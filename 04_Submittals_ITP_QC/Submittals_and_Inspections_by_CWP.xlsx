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2.xml.rels" ContentType="application/vnd.openxmlformats-package.relationships+xml"/>
  <Override PartName="/xl/worksheets/_rels/sheet15.xml.rels" ContentType="application/vnd.openxmlformats-package.relationships+xml"/>
  <Override PartName="/xl/worksheets/_rels/sheet16.xml.rels" ContentType="application/vnd.openxmlformats-package.relationships+xml"/>
  <Override PartName="/xl/worksheets/_rels/sheet17.xml.rels" ContentType="application/vnd.openxmlformats-package.relationships+xml"/>
  <Override PartName="/xl/worksheets/_rels/sheet18.xml.rels" ContentType="application/vnd.openxmlformats-package.relationships+xml"/>
  <Override PartName="/xl/worksheets/_rels/sheet20.xml.rels" ContentType="application/vnd.openxmlformats-package.relationships+xml"/>
  <Override PartName="/xl/worksheets/_rels/sheet2.xml.rels" ContentType="application/vnd.openxmlformats-package.relationships+xml"/>
  <Override PartName="/xl/worksheets/_rels/sheet19.xml.rels" ContentType="application/vnd.openxmlformats-package.relationships+xml"/>
  <Override PartName="/xl/worksheets/_rels/sheet21.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23.xml.rels" ContentType="application/vnd.openxmlformats-package.relationships+xml"/>
  <Override PartName="/xl/worksheets/_rels/sheet6.xml.rels" ContentType="application/vnd.openxmlformats-package.relationships+xml"/>
  <Override PartName="/xl/worksheets/_rels/sheet10.xml.rels" ContentType="application/vnd.openxmlformats-package.relationships+xml"/>
  <Override PartName="/xl/worksheets/_rels/sheet22.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3.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24.xml" ContentType="application/vnd.openxmlformats-officedocument.spreadsheetml.worksheet+xml"/>
  <Override PartName="/xl/worksheets/sheet1.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22.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5.xml" ContentType="application/vnd.openxmlformats-officedocument.drawing+xml"/>
  <Override PartName="/xl/drawings/drawing14.xml" ContentType="application/vnd.openxmlformats-officedocument.drawing+xml"/>
  <Override PartName="/xl/drawings/drawing6.xml" ContentType="application/vnd.openxmlformats-officedocument.drawing+xml"/>
  <Override PartName="/xl/drawings/drawing15.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WP Index" sheetId="1" state="visible" r:id="rId3"/>
    <sheet name="Submittal Register" sheetId="2" state="visible" r:id="rId4"/>
    <sheet name="Inspection &amp; Test Plan" sheetId="3" state="visible" r:id="rId5"/>
    <sheet name="CWP 01 General Requirements &amp; T" sheetId="4" state="visible" r:id="rId6"/>
    <sheet name="CWP 03 Concrete (Cast-in-Place " sheetId="5" state="visible" r:id="rId7"/>
    <sheet name="CWP 05 Metals (Grating, Railing" sheetId="6" state="visible" r:id="rId8"/>
    <sheet name="CWP 06 Wood, Plastics &amp; Composi" sheetId="7" state="visible" r:id="rId9"/>
    <sheet name="CWP 07 Thermal &amp; Moisture Prote" sheetId="8" state="visible" r:id="rId10"/>
    <sheet name="CWP 08 Doors, Frames &amp; Hardware" sheetId="9" state="visible" r:id="rId11"/>
    <sheet name="CWP 09 Painting &amp; Coatings" sheetId="10" state="visible" r:id="rId12"/>
    <sheet name="CWP 10 Specialties" sheetId="11" state="visible" r:id="rId13"/>
    <sheet name="CWP 13 Pre-Engineered Metal Bui" sheetId="12" state="visible" r:id="rId14"/>
    <sheet name="CWP 22 Plumbing &amp; Process Pumps" sheetId="13" state="visible" r:id="rId15"/>
    <sheet name="CWP 23 HVAC &amp; Ventilation" sheetId="14" state="visible" r:id="rId16"/>
    <sheet name="CWP 26 Electrical, Instrumentat" sheetId="15" state="visible" r:id="rId17"/>
    <sheet name="CWP 31 Earthwork, Dewatering &amp; " sheetId="16" state="visible" r:id="rId18"/>
    <sheet name="CWP 32 Paving, Fencing, Walls &amp;" sheetId="17" state="visible" r:id="rId19"/>
    <sheet name="CWP 33 Yard Piping &amp; Utilities" sheetId="18" state="visible" r:id="rId20"/>
    <sheet name="CWP 40 Process Interconnections" sheetId="19" state="visible" r:id="rId21"/>
    <sheet name="CWP 41 Material Handling (Screw" sheetId="20" state="visible" r:id="rId22"/>
    <sheet name="CWP 43 Blowers &amp; 2W Plant Water" sheetId="21" state="visible" r:id="rId23"/>
    <sheet name="CWP 45 Process Valves" sheetId="22" state="visible" r:id="rId24"/>
    <sheet name="CWP 46 Treatment Equipment" sheetId="23" state="visible" r:id="rId25"/>
    <sheet name="CWP Rules" sheetId="24" state="visible" r:id="rId26"/>
  </sheets>
  <definedNames>
    <definedName function="false" hidden="true" localSheetId="3" name="_xlnm._FilterDatabase" vbProcedure="false">'CWP 01 General Requirements &amp; T'!$A$1:$U$32</definedName>
    <definedName function="false" hidden="true" localSheetId="4" name="_xlnm._FilterDatabase" vbProcedure="false">'CWP 03 Concrete (Cast-in-Place '!$A$1:$U$13</definedName>
    <definedName function="false" hidden="true" localSheetId="5" name="_xlnm._FilterDatabase" vbProcedure="false">'CWP 05 Metals (Grating, Railing'!$A$1:$U$9</definedName>
    <definedName function="false" hidden="true" localSheetId="6" name="_xlnm._FilterDatabase" vbProcedure="false">'CWP 06 Wood, Plastics &amp; Composi'!$A$1:$U$3</definedName>
    <definedName function="false" hidden="true" localSheetId="7" name="_xlnm._FilterDatabase" vbProcedure="false">'CWP 07 Thermal &amp; Moisture Prote'!$A$1:$U$4</definedName>
    <definedName function="false" hidden="true" localSheetId="8" name="_xlnm._FilterDatabase" vbProcedure="false">'CWP 08 Doors, Frames &amp; Hardware'!$A$1:$U$6</definedName>
    <definedName function="false" hidden="true" localSheetId="9" name="_xlnm._FilterDatabase" vbProcedure="false">'CWP 09 Painting &amp; Coatings'!$A$1:$U$8</definedName>
    <definedName function="false" hidden="true" localSheetId="10" name="_xlnm._FilterDatabase" vbProcedure="false">'CWP 10 Specialties'!$A$1:$U$7</definedName>
    <definedName function="false" hidden="true" localSheetId="11" name="_xlnm._FilterDatabase" vbProcedure="false">'CWP 13 Pre-Engineered Metal Bui'!$A$1:$U$7</definedName>
    <definedName function="false" hidden="true" localSheetId="12" name="_xlnm._FilterDatabase" vbProcedure="false">'CWP 22 Plumbing &amp; Process Pumps'!$A$1:$U$10</definedName>
    <definedName function="false" hidden="true" localSheetId="13" name="_xlnm._FilterDatabase" vbProcedure="false">'CWP 23 HVAC &amp; Ventilation'!$A$1:$U$2</definedName>
    <definedName function="false" hidden="true" localSheetId="14" name="_xlnm._FilterDatabase" vbProcedure="false">'CWP 26 Electrical, Instrumentat'!$A$1:$U$50</definedName>
    <definedName function="false" hidden="true" localSheetId="15" name="_xlnm._FilterDatabase" vbProcedure="false">'CWP 31 Earthwork, Dewatering &amp; '!$A$1:$U$21</definedName>
    <definedName function="false" hidden="true" localSheetId="16" name="_xlnm._FilterDatabase" vbProcedure="false">'CWP 32 Paving, Fencing, Walls &amp;'!$A$1:$U$9</definedName>
    <definedName function="false" hidden="true" localSheetId="17" name="_xlnm._FilterDatabase" vbProcedure="false">'CWP 33 Yard Piping &amp; Utilities'!$A$1:$U$36</definedName>
    <definedName function="false" hidden="true" localSheetId="18" name="_xlnm._FilterDatabase" vbProcedure="false">'CWP 40 Process Interconnections'!$A$1:$U$2</definedName>
    <definedName function="false" hidden="true" localSheetId="19" name="_xlnm._FilterDatabase" vbProcedure="false">'CWP 41 Material Handling (Screw'!$A$1:$U$3</definedName>
    <definedName function="false" hidden="true" localSheetId="20" name="_xlnm._FilterDatabase" vbProcedure="false">'CWP 43 Blowers &amp; 2W Plant Water'!$A$1:$U$7</definedName>
    <definedName function="false" hidden="true" localSheetId="21" name="_xlnm._FilterDatabase" vbProcedure="false">'CWP 45 Process Valves'!$A$1:$U$6</definedName>
    <definedName function="false" hidden="true" localSheetId="22" name="_xlnm._FilterDatabase" vbProcedure="false">'CWP 46 Treatment Equipment'!$A$1:$U$33</definedName>
    <definedName function="false" hidden="true" localSheetId="2" name="_xlnm._FilterDatabase" vbProcedure="false">'Inspection &amp; Test Plan'!$A$1:$U$104</definedName>
    <definedName function="false" hidden="true" localSheetId="1" name="_xlnm._FilterDatabase" vbProcedure="false">'Submittal Register'!$A$1:$U$146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<sst xmlns="http://schemas.openxmlformats.org/spreadsheetml/2006/main" count="10737" uniqueCount="1476">
  <si>
    <t xml:space="preserve">CWP</t>
  </si>
  <si>
    <t xml:space="preserve">Name</t>
  </si>
  <si>
    <t xml:space="preserve">Color</t>
  </si>
  <si>
    <t xml:space="preserve">Submittal lines (formula)</t>
  </si>
  <si>
    <t xml:space="preserve">Submittal gap lines (formula)</t>
  </si>
  <si>
    <t xml:space="preserve">ITP lines (formula)</t>
  </si>
  <si>
    <t xml:space="preserve">ITP gap lines (formula)</t>
  </si>
  <si>
    <t xml:space="preserve">First scheduled work</t>
  </si>
  <si>
    <t xml:space="preserve">Work span end</t>
  </si>
  <si>
    <t xml:space="preserve">CWP 01</t>
  </si>
  <si>
    <t xml:space="preserve">General Requirements &amp; Temporary Works</t>
  </si>
  <si>
    <t xml:space="preserve">CWP 03</t>
  </si>
  <si>
    <t xml:space="preserve">Concrete (Cast-in-Place &amp; Precast)</t>
  </si>
  <si>
    <t xml:space="preserve">CWP 05</t>
  </si>
  <si>
    <t xml:space="preserve">Metals (Grating, Railings, Ladders, Stairs)</t>
  </si>
  <si>
    <t xml:space="preserve">CWP 06</t>
  </si>
  <si>
    <t xml:space="preserve">Wood, Plastics &amp; Composites</t>
  </si>
  <si>
    <t xml:space="preserve">No scheduled work</t>
  </si>
  <si>
    <t xml:space="preserve">CWP 07</t>
  </si>
  <si>
    <t xml:space="preserve">Thermal &amp; Moisture Protection</t>
  </si>
  <si>
    <t xml:space="preserve">CWP 08</t>
  </si>
  <si>
    <t xml:space="preserve">Doors, Frames &amp; Hardware</t>
  </si>
  <si>
    <t xml:space="preserve">CWP 09</t>
  </si>
  <si>
    <t xml:space="preserve">Painting &amp; Coatings</t>
  </si>
  <si>
    <t xml:space="preserve">CWP 10</t>
  </si>
  <si>
    <t xml:space="preserve">Specialties</t>
  </si>
  <si>
    <t xml:space="preserve">CWP 13</t>
  </si>
  <si>
    <t xml:space="preserve">Pre-Engineered Metal Building</t>
  </si>
  <si>
    <t xml:space="preserve">CWP 22</t>
  </si>
  <si>
    <t xml:space="preserve">Plumbing &amp; Process Pumps</t>
  </si>
  <si>
    <t xml:space="preserve">CWP 23</t>
  </si>
  <si>
    <t xml:space="preserve">HVAC &amp; Ventilation</t>
  </si>
  <si>
    <t xml:space="preserve">CWP 26</t>
  </si>
  <si>
    <t xml:space="preserve">Electrical, Instrumentation &amp; Controls</t>
  </si>
  <si>
    <t xml:space="preserve">CWP 31</t>
  </si>
  <si>
    <t xml:space="preserve">Earthwork, Dewatering &amp; Erosion Control</t>
  </si>
  <si>
    <t xml:space="preserve">CWP 32</t>
  </si>
  <si>
    <t xml:space="preserve">Paving, Fencing, Walls &amp; Landscaping</t>
  </si>
  <si>
    <t xml:space="preserve">CWP 33</t>
  </si>
  <si>
    <t xml:space="preserve">Yard Piping &amp; Utilities</t>
  </si>
  <si>
    <t xml:space="preserve">CWP 40</t>
  </si>
  <si>
    <t xml:space="preserve">Process Interconnections</t>
  </si>
  <si>
    <t xml:space="preserve">CWP 41</t>
  </si>
  <si>
    <t xml:space="preserve">Material Handling (Screw Conveyors)</t>
  </si>
  <si>
    <t xml:space="preserve">CWP 43</t>
  </si>
  <si>
    <t xml:space="preserve">Blowers &amp; 2W Plant Water System</t>
  </si>
  <si>
    <t xml:space="preserve">CWP 45</t>
  </si>
  <si>
    <t xml:space="preserve">Process Valves</t>
  </si>
  <si>
    <t xml:space="preserve">CWP 46</t>
  </si>
  <si>
    <t xml:space="preserve">Treatment Equipment</t>
  </si>
  <si>
    <t xml:space="preserve">Total</t>
  </si>
  <si>
    <t xml:space="preserve">CWP Name</t>
  </si>
  <si>
    <t xml:space="preserve">CWP Basis</t>
  </si>
  <si>
    <t xml:space="preserve">Schedule date (Inferred)</t>
  </si>
  <si>
    <t xml:space="preserve">Schedule activity</t>
  </si>
  <si>
    <t xml:space="preserve">Req ID</t>
  </si>
  <si>
    <t xml:space="preserve">Req Type</t>
  </si>
  <si>
    <t xml:space="preserve">Item</t>
  </si>
  <si>
    <t xml:space="preserve">Subtype</t>
  </si>
  <si>
    <t xml:space="preserve">Timing/Frequency</t>
  </si>
  <si>
    <t xml:space="preserve">Acceptance Criteria</t>
  </si>
  <si>
    <t xml:space="preserve">Responsible Party</t>
  </si>
  <si>
    <t xml:space="preserve">Spec Sections</t>
  </si>
  <si>
    <t xml:space="preserve">Drawing Sheets</t>
  </si>
  <si>
    <t xml:space="preserve">Tag(s)</t>
  </si>
  <si>
    <t xml:space="preserve">Bid Item</t>
  </si>
  <si>
    <t xml:space="preserve">Addenda</t>
  </si>
  <si>
    <t xml:space="preserve">Lane</t>
  </si>
  <si>
    <t xml:space="preserve">Verified/Verified-Visual/Inferred/Unresolved</t>
  </si>
  <si>
    <t xml:space="preserve">Source Citation</t>
  </si>
  <si>
    <t xml:space="preserve">Notes</t>
  </si>
  <si>
    <t xml:space="preserve">Sheet prefix G (no linked rows) — Inferred</t>
  </si>
  <si>
    <t xml:space="preserve">Approve by 2023-03-15 (CWP 01 first work, Inferred)</t>
  </si>
  <si>
    <t xml:space="preserve">01-P01</t>
  </si>
  <si>
    <t xml:space="preserve">SUB G0.4-01</t>
  </si>
  <si>
    <t xml:space="preserve">Submittal</t>
  </si>
  <si>
    <t xml:space="preserve">Utility lines come from surface-visible structures and locate marks, and Wilson does not guarantee their accuracy</t>
  </si>
  <si>
    <t xml:space="preserve">Warranty / guarantee</t>
  </si>
  <si>
    <t xml:space="preserve">Not stated</t>
  </si>
  <si>
    <t xml:space="preserve">n/a — submittal</t>
  </si>
  <si>
    <t xml:space="preserve">Contractor (submits per 01 33 00 — Inferred)</t>
  </si>
  <si>
    <t xml:space="preserve">G0.4</t>
  </si>
  <si>
    <t xml:space="preserve">None linked</t>
  </si>
  <si>
    <t xml:space="preserve">—</t>
  </si>
  <si>
    <t xml:space="preserve">Civil &amp; Site</t>
  </si>
  <si>
    <t xml:space="preserve">Verified</t>
  </si>
  <si>
    <t xml:space="preserve">Project_Wiki.md note G0.4 (Civil &amp; Site): (Notes 3.A–3.C; plans_1 p.4, G0.4 — Verified)</t>
  </si>
  <si>
    <t xml:space="preserve">Requirement sentence taken verbatim from the note; Subtype, Timing, Acceptance and Responsible Party parsed from it by keyword (Merge, Inferred — check against the cited ¶). Linked Ledger rows: 0 (flag Y and sheet cited; linkage Inferred).</t>
  </si>
  <si>
    <t xml:space="preserve">Spec 00 51 00 (Division 00/01 → CWP 01)</t>
  </si>
  <si>
    <t xml:space="preserve">SUB 00 51 00-01</t>
  </si>
  <si>
    <t xml:space="preserve">It requires the contractor to execute the Contract and furnish bonds and certificates of insurance within ten (10) calendar days of the notice, but the forfeiture sentence uses ten (10) working days</t>
  </si>
  <si>
    <t xml:space="preserve">Certificates / reports</t>
  </si>
  <si>
    <t xml:space="preserve">within ten (10</t>
  </si>
  <si>
    <t xml:space="preserve">00 51 00</t>
  </si>
  <si>
    <t xml:space="preserve">Contract &amp; General</t>
  </si>
  <si>
    <t xml:space="preserve">Unresolved</t>
  </si>
  <si>
    <t xml:space="preserve">Project_Wiki.md note 00 51 00 (Contract &amp; General): (p.38; Issues 1.3, Unresolved)</t>
  </si>
  <si>
    <t xml:space="preserve">Requirement sentence taken verbatim from the note; Subtype, Timing, Acceptance and Responsible Party parsed from it by keyword (Merge, Inferred — check against the cited ¶). Linked Ledger rows: 0 (flag Y and section cited; linkage Inferred).</t>
  </si>
  <si>
    <t xml:space="preserve">Spec 00 53 00 (Division 00/01 → CWP 01)</t>
  </si>
  <si>
    <t xml:space="preserve">SUB 00 53 00-01</t>
  </si>
  <si>
    <t xml:space="preserve">Required with the bid: Certification of Nonsegregated Facilities (Attachment 3), EPA DBE forms 6100-4 and 6100-3 (one per DBE sub; forms on the Ecology website), and the complete Bidders List (p.41; Verified); pp.45–46 then allow the DBE forms and the Bidders List "as part of the bid, or within one hour" after bid time (Verified) — timing conflicts inside this section and with 00 43 93 and 01 33 00</t>
  </si>
  <si>
    <t xml:space="preserve">within one hour" after bid time (Verified; with the bid</t>
  </si>
  <si>
    <t xml:space="preserve">00 53 00</t>
  </si>
  <si>
    <t xml:space="preserve">Project_Wiki.md note 00 53 00 (Contract &amp; General): (Issues 1.6)</t>
  </si>
  <si>
    <t xml:space="preserve">SUB 00 53 00-02</t>
  </si>
  <si>
    <t xml:space="preserve">American Iron and Steel applies to treatment works: iron and steel products (pipe and fittings, castings, hydrants, tanks, flanges, restraints, valves, structural steel, reinforced precast, construction materials) must be US-produced unless waived, with certification on request and damages for non-compliance</t>
  </si>
  <si>
    <t xml:space="preserve">Project_Wiki.md note 00 53 00 (Contract &amp; General): (pp.42–43; Verified)</t>
  </si>
  <si>
    <t xml:space="preserve">Spec 00 54 00 (Division 00/01 → CWP 01)</t>
  </si>
  <si>
    <t xml:space="preserve">SUB 00 54 00-01</t>
  </si>
  <si>
    <t xml:space="preserve">HUD-4010 federal labor standards require weekly certified payrolls, and state prevailing wage (RCW 39.12) requires L&amp;I-approved Statements of Intent before any payment and Affidavits of Wages Paid before retainage release under RCW 60.28.010</t>
  </si>
  <si>
    <t xml:space="preserve">before any payment and Affidavits of Wages Paid before retain; weekly</t>
  </si>
  <si>
    <t xml:space="preserve">00 54 00</t>
  </si>
  <si>
    <t xml:space="preserve">Project_Wiki.md note 00 54 00 (Contract &amp; General): (pp.68–74; Verified)</t>
  </si>
  <si>
    <t xml:space="preserve">Spec 00 73 00 (Division 00/01 → CWP 01)</t>
  </si>
  <si>
    <t xml:space="preserve">SUB 00 73 00-01</t>
  </si>
  <si>
    <t xml:space="preserve">Red-line record drawings before 90% payment, temporary barriers at all hazards, insurance ($1M/$2M bodily injury, $1M property damage, builders risk equal to the bid, Owner and Engineer additional insured), one-year guarantee (start date conflicts — Issues 1.11), and funding clauses follow (SC 20–35, pp.92–97; Verified); pp.98–121 repeat the 00 53 00 Ecology insert word for word</t>
  </si>
  <si>
    <t xml:space="preserve">Contractor (submits per 01 33 00 — Inferred); also named: Owner; Engineer</t>
  </si>
  <si>
    <t xml:space="preserve">00 73 00</t>
  </si>
  <si>
    <t xml:space="preserve">C6.4; C6.5; A1.1; A1.2; A1.3; S1.1; S2.3</t>
  </si>
  <si>
    <t xml:space="preserve">PROPOSED-BLOWER-BUILDING; PROPOSED-Blower-Building; PROPOSED-UV-Disinfection-System; PROPOSED-Permanent-Standby-Generator; PROPOSED-PLC-Control-Panel; PROPOSED-Dewatering-System</t>
  </si>
  <si>
    <t xml:space="preserve">1; 6; Equipment Alternate C; Equipment Alternate D; Equipment Alternate E</t>
  </si>
  <si>
    <t xml:space="preserve">Inferred</t>
  </si>
  <si>
    <t xml:space="preserve">Project_Wiki.md note 00 73 00 (Contract &amp; General): (Issues 1.13)</t>
  </si>
  <si>
    <t xml:space="preserve">Requirement sentence taken verbatim from the note; Subtype, Timing, Acceptance and Responsible Party parsed from it by keyword (Merge, Inferred — check against the cited ¶). Linked Ledger rows: 5 (flag Y and section cited; linkage Inferred).</t>
  </si>
  <si>
    <t xml:space="preserve">Spec 01 33 00 (Division 00/01 → CWP 01)</t>
  </si>
  <si>
    <t xml:space="preserve">SUB 01 33 00-01</t>
  </si>
  <si>
    <t xml:space="preserve">Gives general submittal procedures and a non-exhaustive checklist; item-specific requirements sit in the individual sections</t>
  </si>
  <si>
    <t xml:space="preserve">Plan / procedure</t>
  </si>
  <si>
    <t xml:space="preserve">01 33 00</t>
  </si>
  <si>
    <t xml:space="preserve">PROPOSED-8in-Effluent-Flow-Meter; PROPOSED-UV-Disinfection-System; PROPOSED-Sludge-Pumps; PROPOSED-2W-Air-Gap-Water-System; PROPOSED-Submersible-Pump-Equipment; PROPOSED-Influent-Sampler; PROPOSED-Train-3-Biological-Treatment-Equipment; PROPOSED-Automatic-Transfer-Switch; PROPOSED-Permanent-Standby-Generator; PROPOSED-480V-Electrical-Service; PROPOSED-Motor-Control-Center; PROPOSED-PLC-Control-Panel; PROPOSED-Dewatering-System; PROPOSED-Bypass-Pumping-System; PROPOSED-Blowers; PROPOSED-Train-3-Dissolved-Oxygen-Sensors; PROPOSED-Train-3-pH-Sensors; PROPOSED-Magnetic-Flow-Meters</t>
  </si>
  <si>
    <t xml:space="preserve">1; 6; 18 — Unresolved (see 04); 19; Equipment Alternate A; Equipment Alternate B; Equipment Alternate C; Equipment Alternate D; Equipment Alternate E</t>
  </si>
  <si>
    <t xml:space="preserve">Project_Wiki.md note 01 33 00 (Contract &amp; General): (¶1.01, ¶1.03, p.129; Verified)</t>
  </si>
  <si>
    <t xml:space="preserve">Requirement sentence taken verbatim from the note; Subtype, Timing, Acceptance and Responsible Party parsed from it by keyword (Merge, Inferred — check against the cited ¶). Linked Ledger rows: 18 (flag Y and section cited; linkage Inferred).</t>
  </si>
  <si>
    <t xml:space="preserve">SUB 01 33 00-02</t>
  </si>
  <si>
    <t xml:space="preserve">The checklist's bid-phase entries cite sections and attachments that do not exist in the project manual — 00 43 36, 00 22 13, 00 45 14, and DBE forms as "Attachments 6 and 7" of 00 73 00 — and move Contractor Qualifications to 24 hours after opening</t>
  </si>
  <si>
    <t xml:space="preserve">O&amp;M manual; Qualifications</t>
  </si>
  <si>
    <t xml:space="preserve">Project_Wiki.md note 01 33 00 (Contract &amp; General): (¶1.03.A–C, p.129; Issues 1.14, 2.2, 2.5)</t>
  </si>
  <si>
    <t xml:space="preserve">SUB 01 33 00-03</t>
  </si>
  <si>
    <t xml:space="preserve">Before the Agreement: bonds, insurance certificates, prevailing wage filings; 10 days after execution: construction schedule, substitution requests, Schedule of Values; monthly: pay application and updated schedule; certified payroll; 14 days before any WWTP shutdown: a bypass pumping and emergency response plan; closeout: affidavits, record drawings</t>
  </si>
  <si>
    <t xml:space="preserve">Certificates / reports; Plan / procedure</t>
  </si>
  <si>
    <t xml:space="preserve">10 days after execution: construction schedule; 14 days before any WWTP shutdown: a bypass pumping and; Before the Agreement: bonds</t>
  </si>
  <si>
    <t xml:space="preserve">Project_Wiki.md note 01 33 00 (Contract &amp; General): (¶1.03.D–J, pp.129–130; Verified)</t>
  </si>
  <si>
    <t xml:space="preserve">SUB 01 33 00-04</t>
  </si>
  <si>
    <t xml:space="preserve">Submittals are PDF with a transmittal, stamped by the Contractor, with an approved-submittal file kept on site; samples in pairs, product certificates in triplicate, test reports 3 copies</t>
  </si>
  <si>
    <t xml:space="preserve">Calculations / sealed design; Certificates / reports; Samples</t>
  </si>
  <si>
    <t xml:space="preserve">Project_Wiki.md note 01 33 00 (Contract &amp; General): (¶1.04–1.05, pp.130–131; Verified)</t>
  </si>
  <si>
    <t xml:space="preserve">SUB 01 33 00-05</t>
  </si>
  <si>
    <t xml:space="preserve">O&amp;M manuals (4 hard, 2 PDF sets) go in draft with shop drawings, final draft before the 75% pay application, and complete before payment above 90%</t>
  </si>
  <si>
    <t xml:space="preserve">Shop drawings; O&amp;M manual</t>
  </si>
  <si>
    <t xml:space="preserve">before the 75% pay application; before payment above 90% (¶1</t>
  </si>
  <si>
    <t xml:space="preserve">Project_Wiki.md note 01 33 00 (Contract &amp; General): (¶1.05.G, pp.131–132; Verified)</t>
  </si>
  <si>
    <t xml:space="preserve">Spec 01 70 00 (Division 00/01 → CWP 01)</t>
  </si>
  <si>
    <t xml:space="preserve">SUB 01 70 00-01</t>
  </si>
  <si>
    <t xml:space="preserve">Before requesting Substantial Completion the Contractor delivers tools, spare parts and extra stock, changes over locks and hands over keys, completes start-up testing and operator instruction, removes temporary facilities, turns over record information, finishes cleanup, and provides O&amp;M manuals for all equipment, controls, telemetry and SCADA plus 2015 WSEC compliance documentation per C103.6.3</t>
  </si>
  <si>
    <t xml:space="preserve">O&amp;M manual</t>
  </si>
  <si>
    <t xml:space="preserve">01 70 00</t>
  </si>
  <si>
    <t xml:space="preserve">PROPOSED-BLOWER-BUILDING; PROPOSED-Blower-Building; PROPOSED-8in-Effluent-Flow-Meter; PROPOSED-UV-Disinfection-System; PROPOSED-Sludge-Pumps; PROPOSED-2W-Air-Gap-Water-System; PROPOSED-Submersible-Pump-Equipment; PROPOSED-Influent-Sampler; PROPOSED-Train-3-Biological-Treatment-Equipment; PROPOSED-Automatic-Transfer-Switch; PROPOSED-Permanent-Standby-Generator; PROPOSED-480V-Electrical-Service; PROPOSED-Motor-Control-Center; PROPOSED-PLC-Control-Panel; PROPOSED-Dewatering-System; PROPOSED-Blowers; PROPOSED-Train-3-Dissolved-Oxygen-Sensors; PROPOSED-Train-3-pH-Sensors; PROPOSED-Magnetic-Flow-Meters</t>
  </si>
  <si>
    <t xml:space="preserve">Project_Wiki.md note 01 70 00 (Contract &amp; General): (¶1.03.A, pp.152–153; Verified; temporary facility removal conflicts with 00 73 00 SC 19 — Issues 1.19; energy code edition — Issues 1.20)</t>
  </si>
  <si>
    <t xml:space="preserve">SUB 01 70 00-02</t>
  </si>
  <si>
    <t xml:space="preserve">The request carries a completion notice, incomplete-items list, pay request, change accounting, warranties and bonds, releases and occupancy/operating certificates, and record documents; "substantially complete" is defined by the WSDOT General Specifications and "Sections 00 72 00 and 00 73 00a" (¶1.03.B, p.153; WSDOT part Unresolved: external reference, not staged; section numbers — Issues 2.5), and warranties start on the Date of Substantial Completion</t>
  </si>
  <si>
    <t xml:space="preserve">Certificates / reports; Warranty / guarantee</t>
  </si>
  <si>
    <t xml:space="preserve">Project_Wiki.md note 01 70 00 (Contract &amp; General): (¶1.03.D.1, p.153; Verified; bears on Issues 1.11)</t>
  </si>
  <si>
    <t xml:space="preserve">SUB 01 70 00-03</t>
  </si>
  <si>
    <t xml:space="preserve">Retainage is released only against an affidavit of paid payrolls and bills, lien releases, the DOR tax form, the L&amp;I affidavit of wages paid and the ESD release</t>
  </si>
  <si>
    <t xml:space="preserve">Project_Wiki.md note 01 70 00 (Contract &amp; General): (¶1.05.B, p.154; Verified)</t>
  </si>
  <si>
    <t xml:space="preserve">SUB 01 70 00-04</t>
  </si>
  <si>
    <t xml:space="preserve">All mechanical and electrical equipment is tested before any facility goes into operation: procedures due 14 days before start-up covering every control device, equipment item and control circuit, joint sign-off forms, testing witnessed by the Engineer, and manufacturers' representatives who train Owner staff and certify each installation by letter</t>
  </si>
  <si>
    <t xml:space="preserve">14 days before start-up covering every control device; before any facility goes into operation: procedures due 14 da; before start-up covering every control device</t>
  </si>
  <si>
    <t xml:space="preserve">Contractor (submits per 01 33 00 — Inferred); also named: Owner; Engineer; Manufacturer / supplier</t>
  </si>
  <si>
    <t xml:space="preserve">Project_Wiki.md note 01 70 00 (Contract &amp; General): (¶1.06, p.155; Verified)</t>
  </si>
  <si>
    <t xml:space="preserve">Spec 01 91 00 (Division 00/01 → CWP 01)</t>
  </si>
  <si>
    <t xml:space="preserve">SUB 01 91 00-01</t>
  </si>
  <si>
    <t xml:space="preserve">Sets minimum supplier start-up supervision and operator training as a non-exhaustive checklist; every entry covers installation inspection, motor amperage checks, access, controls operation, an O&amp;M manual review and controls training</t>
  </si>
  <si>
    <t xml:space="preserve">Contractor (submits per 01 33 00 — Inferred); also named: Manufacturer / supplier</t>
  </si>
  <si>
    <t xml:space="preserve">01 91 00</t>
  </si>
  <si>
    <t xml:space="preserve">PROPOSED-UV-Disinfection-System; PROPOSED-Sludge-Pumps; PROPOSED-2W-Air-Gap-Water-System; PROPOSED-Submersible-Pump-Equipment; PROPOSED-Train-3-Biological-Treatment-Equipment; PROPOSED-Dewatering-System; PROPOSED-Blowers; PROPOSED-Train-3-Dissolved-Oxygen-Sensors; PROPOSED-Train-3-pH-Sensors; PROPOSED-Magnetic-Flow-Meters</t>
  </si>
  <si>
    <t xml:space="preserve">1; 18 — Unresolved (see 04); 19; Equipment Alternate A; Equipment Alternate B; Equipment Alternate C; Equipment Alternate D</t>
  </si>
  <si>
    <t xml:space="preserve">Project_Wiki.md note 01 91 00 (Contract &amp; General): (¶1.01.B, pp.157–160; Verified)</t>
  </si>
  <si>
    <t xml:space="preserve">Requirement sentence taken verbatim from the note; Subtype, Timing, Acceptance and Responsible Party parsed from it by keyword (Merge, Inferred — check against the cited ¶). Linked Ledger rows: 10 (flag Y and section cited; linkage Inferred).</t>
  </si>
  <si>
    <t xml:space="preserve">SUB 01 91 00-02</t>
  </si>
  <si>
    <t xml:space="preserve">Dewatering equipment suppliers each give "a minimum of one (2) days" (¶1.07, p.159; Unresolved — Issues 1.21); the 2W water system supplier 1 day, verifying constant 60–90 psi from 0 to 50 gpm, the automatic valve at the air gap and the floats; the magnetic flow meter supplier 2 days, checking that submerged units are sealed and rated</t>
  </si>
  <si>
    <t xml:space="preserve">Calculations / sealed design</t>
  </si>
  <si>
    <t xml:space="preserve">Project_Wiki.md note 01 91 00 (Contract &amp; General): (¶1.10–1.11, pp.159–160; Verified)</t>
  </si>
  <si>
    <t xml:space="preserve">Spec 15 08 13; Temporary Construction Sign → Division 01 (MasterFormat 2004: 01 58 13)</t>
  </si>
  <si>
    <t xml:space="preserve">SUB 15 08 13-01</t>
  </si>
  <si>
    <t xml:space="preserve">Submittal: proof of graphics before printing</t>
  </si>
  <si>
    <t xml:space="preserve">General submittal</t>
  </si>
  <si>
    <t xml:space="preserve">15 08 13</t>
  </si>
  <si>
    <t xml:space="preserve">PROPOSED-Temporary construction sign</t>
  </si>
  <si>
    <t xml:space="preserve">1</t>
  </si>
  <si>
    <t xml:space="preserve">Project_Wiki.md note 15 08 13 (Civil &amp; Site): (¶1.01; p.252 — Verified)</t>
  </si>
  <si>
    <t xml:space="preserve">Requirement sentence taken verbatim from the note; Subtype, Timing, Acceptance and Responsible Party parsed from it by keyword (Merge, Inferred — check against the cited ¶). Linked Ledger rows: 1 (flag Y and section cited; linkage Inferred).</t>
  </si>
  <si>
    <t xml:space="preserve">Spec 01 45 00 (Division 00/01 → CWP 01)</t>
  </si>
  <si>
    <t xml:space="preserve">SUB 01 45 00-00</t>
  </si>
  <si>
    <t xml:space="preserve">Requirement flagged on 5 Ledger row(s) citing 01 45 00; the Wiki note does not summarize it</t>
  </si>
  <si>
    <t xml:space="preserve">01 45 00</t>
  </si>
  <si>
    <t xml:space="preserve">C4.2; C6.4; C6.5; A1.1; A1.2; A1.3; S1.1; S2.3</t>
  </si>
  <si>
    <t xml:space="preserve">PROPOSED-2W-PUMP-STATION-WET-WELL; PROPOSED-2W-Pump-Station-Wet-Well; PROPOSED-BLOWER-BUILDING; PROPOSED-Blower-Building; PROPOSED-Sludge-Pumps; PROPOSED-Submersible-Pump-Equipment; PROPOSED-Train-3-Biological-Treatment-Equipment</t>
  </si>
  <si>
    <t xml:space="preserve">1; 18 — Unresolved (see 04); 19; Equipment Alternate A; Equipment Alternate B</t>
  </si>
  <si>
    <t xml:space="preserve">Process &amp; Mechanical; Contract &amp; General; Process &amp; Mechanical; Structural &amp; Building; Contract &amp; General; Contract &amp; General</t>
  </si>
  <si>
    <t xml:space="preserve">Ledger evidence: flag only — no paragraph cited in the rows</t>
  </si>
  <si>
    <t xml:space="preserve">Gap row: Ledger says a requirement exists but the Wiki note carries no requirement sentence. Needed: the section's requirement paragraphs captured as Requirements rows at crawl time.</t>
  </si>
  <si>
    <t xml:space="preserve">Spec 01 50 00 (Division 00/01 → CWP 01)</t>
  </si>
  <si>
    <t xml:space="preserve">SUB 01 50 00-00</t>
  </si>
  <si>
    <t xml:space="preserve">Requirement flagged on 2 Ledger row(s) citing 01 50 00; the Wiki note does not summarize it</t>
  </si>
  <si>
    <t xml:space="preserve">01 50 00</t>
  </si>
  <si>
    <t xml:space="preserve">C4.2</t>
  </si>
  <si>
    <t xml:space="preserve">PROPOSED-2W-PUMP-STATION-WET-WELL; PROPOSED-2W-Pump-Station-Wet-Well; PROPOSED-Bypass-Pumping-System</t>
  </si>
  <si>
    <t xml:space="preserve">Process &amp; Mechanical; Contract &amp; General; Contract &amp; General</t>
  </si>
  <si>
    <t xml:space="preserve">Most linked Ledger rows are in CWP 03 (6 of 9) — Inferred</t>
  </si>
  <si>
    <t xml:space="preserve">Approve by 2023-04-01 (CWP 03 first work, Inferred)</t>
  </si>
  <si>
    <t xml:space="preserve">03-P01</t>
  </si>
  <si>
    <t xml:space="preserve">SUB S1.1-01</t>
  </si>
  <si>
    <t xml:space="preserve">Minimum structural shop drawings are concrete reinforcing (including wall elevations), mix designs, a slab-on-grade jointing plan and structural steel; deferred submittals, sealed by a Washington PE, are metal stairs &amp; landings and the pre-engineered metal building for the Blower Building</t>
  </si>
  <si>
    <t xml:space="preserve">Shop drawings; Calculations / sealed design; Mix design; Plan / procedure</t>
  </si>
  <si>
    <t xml:space="preserve">S1.1</t>
  </si>
  <si>
    <t xml:space="preserve">PROPOSED-BLOWER-BUILDING; PROPOSED-Blower-Building; PROPOSED-Blower-Building-Slab-and-Grade-Beams; PROPOSED-Blower-Pad; PROPOSED-Train-3-Concrete-Tank; PROPOSED-UV-Disinfection-Chamber-Basin; PROPOSED-Digester-Concrete-Tank; PROPOSED-Digester-Grating-Beam; PROPOSED-Drain-Pump-Station-Lid; PROPOSED-Steel-Stairs-Ladders-Platforms</t>
  </si>
  <si>
    <t xml:space="preserve">1; 18 — Unresolved (see 04)</t>
  </si>
  <si>
    <t xml:space="preserve">Structural &amp; Building</t>
  </si>
  <si>
    <t xml:space="preserve">Project_Wiki.md note S1.1 (Structural &amp; Building): [plans_7 p.8, Submittals 4–5 — Verified-Visual]</t>
  </si>
  <si>
    <t xml:space="preserve">Requirement sentence taken verbatim from the note; Subtype, Timing, Acceptance and Responsible Party parsed from it by keyword (Merge, Inferred — check against the cited ¶). Linked Ledger rows: 9 (flag Y and sheet cited; linkage Inferred).</t>
  </si>
  <si>
    <t xml:space="preserve">Most linked Ledger rows are in CWP 03 (1 of 2) — Inferred</t>
  </si>
  <si>
    <t xml:space="preserve">SUB S2.1-01</t>
  </si>
  <si>
    <t xml:space="preserve">Detail 4 requires a hydrophilic waterstop (submit for approval), a grout surface per spec, and subgrade preparation per the structural notes and geotech report, and shows "guardrail, mechanical equipment, and ladders per civil"</t>
  </si>
  <si>
    <t xml:space="preserve">S2.1</t>
  </si>
  <si>
    <t xml:space="preserve">PROPOSED-Train-3-Concrete-Tank; PROPOSED-Train-3-Guardrail-and-Ladders</t>
  </si>
  <si>
    <t xml:space="preserve">Project_Wiki.md note S2.1 (Structural &amp; Building): [plans_8 p.1, Detail 4 — Verified-Visual]</t>
  </si>
  <si>
    <t xml:space="preserve">Requirement sentence taken verbatim from the note; Subtype, Timing, Acceptance and Responsible Party parsed from it by keyword (Merge, Inferred — check against the cited ¶). Linked Ledger rows: 2 (flag Y and sheet cited; linkage Inferred).</t>
  </si>
  <si>
    <t xml:space="preserve">Most linked Ledger rows are in CWP 03 (2 of 4) — Inferred</t>
  </si>
  <si>
    <t xml:space="preserve">SUB S2.3-01</t>
  </si>
  <si>
    <t xml:space="preserve">Details 5–7 cover slab control and construction joints (no more than 12'-0" o.c. each way), sleeved grade beam penetrations, and perimeter foundation drains of 4" rigid ABS perforated pipe or drain tile in drain rock that discharge by gravity or mechanical means, with a foundation drainage plan submitted to civil for review</t>
  </si>
  <si>
    <t xml:space="preserve">S2.3</t>
  </si>
  <si>
    <t xml:space="preserve">PROPOSED-BLOWER-BUILDING; PROPOSED-Blower-Building; PROPOSED-Blower-Building-Slab-and-Grade-Beams; PROPOSED-Blower-Pad; PROPOSED-Blower-Building-Foundation-Drains</t>
  </si>
  <si>
    <t xml:space="preserve">Reissued — Add. 4 p.9 governs</t>
  </si>
  <si>
    <t xml:space="preserve">Project_Wiki.md note S2.3 (Structural &amp; Building): [plans_8 p.3; Add. 4 p.9 — Verified-Visual]</t>
  </si>
  <si>
    <t xml:space="preserve">Requirement sentence taken verbatim from the note; Subtype, Timing, Acceptance and Responsible Party parsed from it by keyword (Merge, Inferred — check against the cited ¶). Linked Ledger rows: 4 (flag Y and sheet cited; linkage Inferred).</t>
  </si>
  <si>
    <t xml:space="preserve">Most linked Ledger rows are in CWP 03 (4 of 4) — Inferred</t>
  </si>
  <si>
    <t xml:space="preserve">SUB S2.4-01</t>
  </si>
  <si>
    <t xml:space="preserve">Add. 4 requires the exterior of all precast concrete wet well and vault joints to be sealed with CANUSA-CPS WrapidSeal (manhole encapsulation system) or approved equal, installed per the manufacturer</t>
  </si>
  <si>
    <t xml:space="preserve">S2.4</t>
  </si>
  <si>
    <t xml:space="preserve">PROPOSED-Drain-Pump-Station-Lid; PROPOSED-Drain-Pump-Station-Precast-Wet-Well; PROPOSED-Generator-Slab; PROPOSED-Flow-Splitter-Pad</t>
  </si>
  <si>
    <t xml:space="preserve">Project_Wiki.md note S2.4 (Structural &amp; Building): [Add. 4 p.1, Clarification 2 — Verified; Add. 4 governs]</t>
  </si>
  <si>
    <t xml:space="preserve">Most linked Ledger rows are in CWP 03 (5 of 5) — Inferred</t>
  </si>
  <si>
    <t xml:space="preserve">SUB S4.1-01</t>
  </si>
  <si>
    <t xml:space="preserve">Details 1–7 are typical concrete details: wall-to-mat-slab reinforcing (hydrophilic waterstop for hydraulic structures, submit for approval), wall corner and intersection reinforcing, development and lap splice lengths, standard hooks, beam stirrups, and small and large penetrations</t>
  </si>
  <si>
    <t xml:space="preserve">S4.1</t>
  </si>
  <si>
    <t xml:space="preserve">PROPOSED-Blower-Building-Slab-and-Grade-Beams; PROPOSED-Train-3-Concrete-Tank; PROPOSED-UV-Disinfection-Chamber-Basin; PROPOSED-Digester-Concrete-Tank; PROPOSED-Existing-Slab-Trench-Infill</t>
  </si>
  <si>
    <t xml:space="preserve">Reissued — Add. 4 p.10 governs; Detail 8 cited p.3</t>
  </si>
  <si>
    <t xml:space="preserve">Project_Wiki.md note S4.1 (Structural &amp; Building): [plans_8 p.5; Add. 4 p.10 — Verified-Visual]</t>
  </si>
  <si>
    <t xml:space="preserve">Requirement sentence taken verbatim from the note; Subtype, Timing, Acceptance and Responsible Party parsed from it by keyword (Merge, Inferred — check against the cited ¶). Linked Ledger rows: 5 (flag Y and sheet cited; linkage Inferred).</t>
  </si>
  <si>
    <t xml:space="preserve">Spec 03 30 00</t>
  </si>
  <si>
    <t xml:space="preserve">SUB 03 30 00-01</t>
  </si>
  <si>
    <t xml:space="preserve">The Drawing Structural Notes take precedence over less specific spec requirements and set the mix designs and reinforcing, while WSDOT M41-10 (2022), WSDOT material sources, WSDOT-approved aggregate sources and WSDOT 9-04.2 joint sealant are incorporated by reference</t>
  </si>
  <si>
    <t xml:space="preserve">Mix design</t>
  </si>
  <si>
    <t xml:space="preserve">03 30 00</t>
  </si>
  <si>
    <t xml:space="preserve">A1.1; A1.2; S1.1; S2.3; S4.1; A1.3; S2.1; S2.2; S2.4</t>
  </si>
  <si>
    <t xml:space="preserve">PROPOSED-Blower-Building-Slab-and-Grade-Beams; PROPOSED-Blower-Pad; PROPOSED-Train-3-Concrete-Tank; PROPOSED-UV-Disinfection-Chamber-Basin; PROPOSED-Digester-Concrete-Tank; PROPOSED-Drain-Pump-Station-Lid; PROPOSED-Generator-Slab; PROPOSED-Flow-Splitter-Pad; PROPOSED-Existing-Slab-Trench-Infill</t>
  </si>
  <si>
    <t xml:space="preserve">Project_Wiki.md note 03 30 00 (Structural &amp; Building): [¶1.05 A, ¶2.03 A, ¶2.04 B–C, pp.172–175 — Verified; ¶1.04 A.1, ¶1.06 D.4, ¶2.04 A, ¶2.04 D — Unresolved: external reference, not staged]</t>
  </si>
  <si>
    <t xml:space="preserve">Requirement sentence taken verbatim from the note; Subtype, Timing, Acceptance and Responsible Party parsed from it by keyword (Merge, Inferred — check against the cited ¶). Linked Ledger rows: 9 (flag Y and section cited; linkage Inferred).</t>
  </si>
  <si>
    <t xml:space="preserve">SUB 03 30 00-02</t>
  </si>
  <si>
    <t xml:space="preserve">Submittals are ACI SP-66 shop drawings, mix designs 15 working days before use, material certificates, a PE-prepared hot and cold weather plan, joint layout plans (control joints no more than 30× slab thickness where not shown), and WA SE-sealed formwork plans and calculations for the "Clarifier, digester and chlorine contact basin structures" — names that do not all match the sheet titles</t>
  </si>
  <si>
    <t xml:space="preserve">Shop drawings; Calculations / sealed design; Mix design; Certificates / reports; Plan / procedure</t>
  </si>
  <si>
    <t xml:space="preserve">15 working days before use; before use</t>
  </si>
  <si>
    <t xml:space="preserve">Project_Wiki.md note 03 30 00 (Structural &amp; Building): [¶1.06 A–G, p.173 — Verified; Issues, Missing information]</t>
  </si>
  <si>
    <t xml:space="preserve">Spec 03 40 00</t>
  </si>
  <si>
    <t xml:space="preserve">SUB 03 40 00-01</t>
  </si>
  <si>
    <t xml:space="preserve">Covers design, supply and installation of all precast concrete structures shown — vaults, top slabs and "the effluent wet well" — with WA-engineer-sealed shop drawings and calculations, mix designs 15 days ahead, material certificates, 5 years of NPCA certification, and Owner/Engineer plant inspection rights</t>
  </si>
  <si>
    <t xml:space="preserve">Shop drawings; Calculations / sealed design; Mix design; Certificates / reports</t>
  </si>
  <si>
    <t xml:space="preserve">15 days ahead</t>
  </si>
  <si>
    <t xml:space="preserve">03 40 00</t>
  </si>
  <si>
    <t xml:space="preserve">PROPOSED-Drain-Pump-Station-Precast-Wet-Well; PROPOSED-2W-Pump-Station-Precast-Wet-Well; PROPOSED-Influent-Pump-Station-Precast-Wet-Well; PROPOSED-Influent-Pump-Station-Top-Slab; PROPOSED-Influent-Flow-Meter-Valve-Vault; PROPOSED-Effluent-Flow-Meter-Valve-Vault; PROPOSED-Plants-2-and-3-Flow-Meter-Vault; PROPOSED-Influent-Pump-Station-Meter-Vaults</t>
  </si>
  <si>
    <t xml:space="preserve">Project_Wiki.md note 03 40 00 (Structural &amp; Building): [¶1.01 A, p.181; ¶1.06 A–F, ¶1.07, p.182 — Verified; WSDOT M41-10 references ¶1.04 C and ¶1.05 B — Unresolved: external reference, not staged]</t>
  </si>
  <si>
    <t xml:space="preserve">Requirement sentence taken verbatim from the note; Subtype, Timing, Acceptance and Responsible Party parsed from it by keyword (Merge, Inferred — check against the cited ¶). Linked Ledger rows: 8 (flag Y and section cited; linkage Inferred).</t>
  </si>
  <si>
    <t xml:space="preserve">Most linked Ledger rows are in CWP 05 (3 of 5) — Inferred</t>
  </si>
  <si>
    <t xml:space="preserve">Approve by 2023-04-01 (CWP 05 first work, Inferred)</t>
  </si>
  <si>
    <t xml:space="preserve">05-P01</t>
  </si>
  <si>
    <t xml:space="preserve">SUB S2.2-01</t>
  </si>
  <si>
    <t xml:space="preserve">Sections A-A, B-B and C-C show #5 and #6 wall bars at 10"–12" o.c. (each face in the 12" walls, centered in the 8" walls) hooked 3" clear from bottom, a hydrophilic waterstop at all construction joints (submit for approval), an unreinforced sloped concrete topping per civil, subgrade preparation per the structural notes and geotech report, and "guardrail &amp; ladders per civil"</t>
  </si>
  <si>
    <t xml:space="preserve">S2.2</t>
  </si>
  <si>
    <t xml:space="preserve">PROPOSED-UV-Disinfection-Chamber-Basin; PROPOSED-Digester-Concrete-Tank; PROPOSED-Digester-Grating-Beam; PROPOSED-UV-Digester-Grating; PROPOSED-UV-Digester-Guardrail-and-Ladders</t>
  </si>
  <si>
    <t xml:space="preserve">Project_Wiki.md note S2.2 (Structural &amp; Building): [plans_8 p.2, Details 2–4 — Verified-Visual]</t>
  </si>
  <si>
    <t xml:space="preserve">SUB S2.2-02</t>
  </si>
  <si>
    <t xml:space="preserve">Aluminum solid plank grating per the specifications (submit for approval; attachment by manufacturer) bears on a continuous HDG 1/4" steel edge angle at wall tops (Detail 5) and a continuous HDG L3×3×1/4 with 5/8" drilled-and-epoxied anchors at 24" o.c. at wall faces (Detail 6); Detail 7 connects the HDG beam to the wall with HDG L4×4×3/8 angles, 3/4" A307 bolts and 5/8" epoxy anchors</t>
  </si>
  <si>
    <t xml:space="preserve">Project_Wiki.md note S2.2 (Structural &amp; Building): [plans_8 p.2, Details 5–7 — Verified-Visual]</t>
  </si>
  <si>
    <t xml:space="preserve">Spec 05 50 00</t>
  </si>
  <si>
    <t xml:space="preserve">SUB 05 50 00-01</t>
  </si>
  <si>
    <t xml:space="preserve">Submittals are shop drawings for all fabricated items, product data, nosing samples, PE qualification data, stainless mill certificates, paint compatibility certificates and welder certificates, with welding to AWS D1.1/D1.6 by state-licensed welders</t>
  </si>
  <si>
    <t xml:space="preserve">Shop drawings; Product data; Certificates / reports; Qualifications; Samples</t>
  </si>
  <si>
    <t xml:space="preserve">05 50 00</t>
  </si>
  <si>
    <t xml:space="preserve">S2.2; S1.1</t>
  </si>
  <si>
    <t xml:space="preserve">PROPOSED-Digester-Grating-Beam</t>
  </si>
  <si>
    <t xml:space="preserve">Project_Wiki.md note 05 50 00 (Structural &amp; Building): [¶1.04, p.187; ¶1.05 B, p.187; ¶2.04 A, p.192 — Verified]</t>
  </si>
  <si>
    <t xml:space="preserve">Spec 05 51 10</t>
  </si>
  <si>
    <t xml:space="preserve">SUB 05 51 10-01</t>
  </si>
  <si>
    <t xml:space="preserve">Submittals are PE-sealed calculations and location-specific shop drawings (typical-detail sets are rejected), coordinated with the grating drawings and with aluminum handrails "as shown in the civil drawings" per 05 52 00 and 05 53 00 [¶1.03 A.1–3, p.200 — Verified], matching the deferred submittal for metal stairs and landings on S1.1</t>
  </si>
  <si>
    <t xml:space="preserve">Shop drawings; Calculations / sealed design</t>
  </si>
  <si>
    <t xml:space="preserve">05 51 10</t>
  </si>
  <si>
    <t xml:space="preserve">S2.1; S2.2; S1.1</t>
  </si>
  <si>
    <t xml:space="preserve">PROPOSED-Train-3-Guardrail-and-Ladders; PROPOSED-UV-Digester-Guardrail-and-Ladders; PROPOSED-Steel-Stairs-Ladders-Platforms</t>
  </si>
  <si>
    <t xml:space="preserve">Project_Wiki.md note 05 51 10 (Structural &amp; Building): [plans_7 p.8 — Verified-Visual]</t>
  </si>
  <si>
    <t xml:space="preserve">Requirement sentence taken verbatim from the note; Subtype, Timing, Acceptance and Responsible Party parsed from it by keyword (Merge, Inferred — check against the cited ¶). Linked Ledger rows: 3 (flag Y and section cited; linkage Inferred).</t>
  </si>
  <si>
    <t xml:space="preserve">SUB 05 51 10-02</t>
  </si>
  <si>
    <t xml:space="preserve">Unless shown otherwise, stairs use 7" risers, 11" treads and 1" nosing with 4'-0" min. clear width, access ladders have 3'-0" min. clear width, and field welding needs written approval at shop drawing review</t>
  </si>
  <si>
    <t xml:space="preserve">Shop drawings</t>
  </si>
  <si>
    <t xml:space="preserve">Project_Wiki.md note 05 51 10 (Structural &amp; Building): [¶2.04, p.201; ¶3.01 D, p.202 — Verified]</t>
  </si>
  <si>
    <t xml:space="preserve">Spec 05 52 00</t>
  </si>
  <si>
    <t xml:space="preserve">SUB 05 52 00-01</t>
  </si>
  <si>
    <t xml:space="preserve">Submittals are shop drawings with a dimensional layout, the manufacturer's assembly and installation instructions, and calculations sealed by a Washington State registered structural engineer; partial or unsealed submittals are rejected</t>
  </si>
  <si>
    <t xml:space="preserve">05 52 00</t>
  </si>
  <si>
    <t xml:space="preserve">Project_Wiki.md note 05 52 00 (Structural &amp; Building): [¶1.02 A–B, p.203 — Verified]</t>
  </si>
  <si>
    <t xml:space="preserve">Spec 05 53 00</t>
  </si>
  <si>
    <t xml:space="preserve">SUB 05 53 00-01</t>
  </si>
  <si>
    <t xml:space="preserve">Scope is aluminum grating set in pultruded vinyl ester FRP embedment angles with an integral anchor, to the NAAMM Metal Bar Grating Manual, with shop drawings and manufacturer's instructions as the submittal (the paragraph asks for a "dimensional layout of all handrailing," as written)</t>
  </si>
  <si>
    <t xml:space="preserve">05 53 00</t>
  </si>
  <si>
    <t xml:space="preserve">PROPOSED-UV-Digester-Grating; PROPOSED-Steel-Stairs-Ladders-Platforms</t>
  </si>
  <si>
    <t xml:space="preserve">Project_Wiki.md note 05 53 00 (Structural &amp; Building): [¶1.01 A, ¶1.02 A, ¶1.03 A, p.205 — Verified]</t>
  </si>
  <si>
    <t xml:space="preserve">Requirement sentence taken verbatim from the note; Subtype, Timing, Acceptance and Responsible Party parsed from it by keyword (Merge, Inferred — check against the cited ¶). Linked Ledger rows: 2 (flag Y and section cited; linkage Inferred).</t>
  </si>
  <si>
    <t xml:space="preserve">Spec 06 20 00</t>
  </si>
  <si>
    <t xml:space="preserve">SUB 06 20 00-01</t>
  </si>
  <si>
    <t xml:space="preserve">Covers finish carpentry to AWI Quality Standards (Section 300, Custom Grade), APA and PS-1, with shop drawings and finish samples as submittals</t>
  </si>
  <si>
    <t xml:space="preserve">Shop drawings; Samples</t>
  </si>
  <si>
    <t xml:space="preserve">06 20 00</t>
  </si>
  <si>
    <t xml:space="preserve">Project_Wiki.md note 06 20 00 (Structural &amp; Building): [¶1.1–1.3, p.207; ¶2.2 A, p.208 — Verified]</t>
  </si>
  <si>
    <t xml:space="preserve">SUB 06 20 00-02</t>
  </si>
  <si>
    <t xml:space="preserve">Execution covers coped and mitered trim, 45° splices, a sealed 1/8" gap at exterior trim ends, and installation of finish hardware and miscellaneous items on solid backing</t>
  </si>
  <si>
    <t xml:space="preserve">Project_Wiki.md note 06 20 00 (Structural &amp; Building): [¶3.1 A–I, p.208 — Verified]</t>
  </si>
  <si>
    <t xml:space="preserve">Spec 07 20 00</t>
  </si>
  <si>
    <t xml:space="preserve">SUB 07 20 00-01</t>
  </si>
  <si>
    <t xml:space="preserve">Covers thermal insulation and vapor barrier in exterior roof and wall construction, installed by a metal building insulation installer with 3 years' experience; materials arrive with instructions and typical shop drawings, and the section has no separate submittal article</t>
  </si>
  <si>
    <t xml:space="preserve">Shop drawings; Qualifications</t>
  </si>
  <si>
    <t xml:space="preserve">07 20 00</t>
  </si>
  <si>
    <t xml:space="preserve">PROPOSED-BLOWER-BUILDING; PROPOSED-Blower-Building</t>
  </si>
  <si>
    <t xml:space="preserve">Project_Wiki.md note 07 20 00 (Structural &amp; Building): [¶1.1 A, ¶1.2 A–B, p.209 — Verified]</t>
  </si>
  <si>
    <t xml:space="preserve">Spec 07 92 00</t>
  </si>
  <si>
    <t xml:space="preserve">SUB 07 92 00-01</t>
  </si>
  <si>
    <t xml:space="preserve">Submittals are manufacturer's data on materials, application equipment and procedures; the applicator needs 3 years' experience, and a 2-year special warranty applies</t>
  </si>
  <si>
    <t xml:space="preserve">Plan / procedure; Warranty / guarantee; Qualifications</t>
  </si>
  <si>
    <t xml:space="preserve">07 92 00</t>
  </si>
  <si>
    <t xml:space="preserve">Project_Wiki.md note 07 92 00 (Structural &amp; Building): [¶1.2 A, ¶1.3 A, ¶1.4 A, p.211 — Verified]</t>
  </si>
  <si>
    <t xml:space="preserve">Most linked Ledger rows are in CWP 08 (3 of 9) — Inferred</t>
  </si>
  <si>
    <t xml:space="preserve">Approve by 2023-04-01 (CWP 08 first work, Inferred)</t>
  </si>
  <si>
    <t xml:space="preserve">08-P01</t>
  </si>
  <si>
    <t xml:space="preserve">SUB A1.1-01</t>
  </si>
  <si>
    <t xml:space="preserve">The door schedule lists insulated hollow-metal, painted doors 101A (two pairs, 10'-0"×8'-0"×1-3/4", Type B), 101B (3'-0" wide, Type A; height illegible at stored resolution) and 101C (5'-0"×8'-0"×1-3/4", Type A) with no hardware group, and the finish schedule with Details 1–2 calls for a sealed concrete floor, 6" rubber base, painted GWB walls, painted exposed-structure ceiling, and R-25 wall / R-30 roof fiberglass insulation with vapor barrier and board on furring channels at 24" o.c.</t>
  </si>
  <si>
    <t xml:space="preserve">A1.1</t>
  </si>
  <si>
    <t xml:space="preserve">PROPOSED-BLOWER-BUILDING; PROPOSED-Blower-Building; MCC; MCP; PROPOSED-Blower-Building-Slab-and-Grade-Beams; PROPOSED-Blower-Pad; PROPOSED-Fire-Extinguishers-Blower-Building; 101A; 101B; 101C</t>
  </si>
  <si>
    <t xml:space="preserve">1; 6</t>
  </si>
  <si>
    <t xml:space="preserve">Reissued — Add. 4 p.4 governs</t>
  </si>
  <si>
    <t xml:space="preserve">Project_Wiki.md note A1.1 (Structural &amp; Building): [plans_7 p.5 — Verified-Visual; 101B height — Unresolved: need native sheet]</t>
  </si>
  <si>
    <t xml:space="preserve">Spec 08 70 00</t>
  </si>
  <si>
    <t xml:space="preserve">SUB 08 70 00-01</t>
  </si>
  <si>
    <t xml:space="preserve">Covers all finish hardware (quantities not guaranteed), with submittals of manufacturer's data, a hardware schedule in sets cross-referenced to the door schedule, a keying schedule and templates; closers carry a 5-year and other hardware a 1-year guarantee</t>
  </si>
  <si>
    <t xml:space="preserve">08 70 00</t>
  </si>
  <si>
    <t xml:space="preserve">A1.1; A1.2</t>
  </si>
  <si>
    <t xml:space="preserve">101A; 101B; 101C; PROPOSED-Boot-Brush-and-Pad</t>
  </si>
  <si>
    <t xml:space="preserve">Project_Wiki.md note 08 70 00 (Structural &amp; Building): [¶1.01 A, ¶1.03 A–E, ¶1.05 A, pp.216–218 — Verified]</t>
  </si>
  <si>
    <t xml:space="preserve">Requirement sentence taken verbatim from the note; Subtype, Timing, Acceptance and Responsible Party parsed from it by keyword (Merge, Inferred — check against the cited ¶). Linked Ledger rows: 4 (flag Y and section cited; linkage Inferred).</t>
  </si>
  <si>
    <t xml:space="preserve">Spec 08 10 00</t>
  </si>
  <si>
    <t xml:space="preserve">SUB 08 10 00-00</t>
  </si>
  <si>
    <t xml:space="preserve">Requirement flagged on 3 Ledger row(s) citing 08 10 00; the Wiki note does not summarize it</t>
  </si>
  <si>
    <t xml:space="preserve">08 10 00</t>
  </si>
  <si>
    <t xml:space="preserve">101A; 101B; 101C</t>
  </si>
  <si>
    <t xml:space="preserve">Spec 09 25 00</t>
  </si>
  <si>
    <t xml:space="preserve">Approve by 2023-06-01 (CWP 09 first work, Inferred)</t>
  </si>
  <si>
    <t xml:space="preserve">09-P01</t>
  </si>
  <si>
    <t xml:space="preserve">SUB 09 25 00-01</t>
  </si>
  <si>
    <t xml:space="preserve">Covers all gypsum drywall shown, taped and spackled, to ASTM C840 from a single source, with texture finish samples as the only submittal</t>
  </si>
  <si>
    <t xml:space="preserve">Samples</t>
  </si>
  <si>
    <t xml:space="preserve">09 25 00</t>
  </si>
  <si>
    <t xml:space="preserve">Project_Wiki.md note 09 25 00 (Structural &amp; Building): [¶1.01 A, ¶1.02 A–B, ¶1.03 A, p.225 — Verified]</t>
  </si>
  <si>
    <t xml:space="preserve">Spec 09 90 00</t>
  </si>
  <si>
    <t xml:space="preserve">SUB 09 90 00-01</t>
  </si>
  <si>
    <t xml:space="preserve">Submittals are product data and procedures per service condition, color charts 30 days and a painting schedule 14 days before work; the Contractor measures wet-film thickness of every coat, the Engineer approves each coat, and hold points follow surface preparation and final coating</t>
  </si>
  <si>
    <t xml:space="preserve">Product data; Plan / procedure</t>
  </si>
  <si>
    <t xml:space="preserve">14 days before work</t>
  </si>
  <si>
    <t xml:space="preserve">Contractor (submits per 01 33 00 — Inferred); also named: Contractor; Engineer</t>
  </si>
  <si>
    <t xml:space="preserve">09 90 00</t>
  </si>
  <si>
    <t xml:space="preserve">PROPOSED-BLOWER-BUILDING; PROPOSED-Blower-Building; 101A; 101B; 101C</t>
  </si>
  <si>
    <t xml:space="preserve">Add. 4 p.2, ¶2.01 I — Add. 4 governs</t>
  </si>
  <si>
    <t xml:space="preserve">Project_Wiki.md note 09 90 00 (Structural &amp; Building): [¶1.03 A–C, ¶1.02 E, p.229; ¶3.03 D, p.234; ¶3.06, p.235 — Verified]</t>
  </si>
  <si>
    <t xml:space="preserve">Spec 09 97 23</t>
  </si>
  <si>
    <t xml:space="preserve">SUB 09 97 23-01</t>
  </si>
  <si>
    <t xml:space="preserve">Submittals are product data with ASTM results, MSDS, project guidelines and applicator qualifications (manufacturer certification, trained equipment operators, 5 references, permits)</t>
  </si>
  <si>
    <t xml:space="preserve">Product data; Certificates / reports; Qualifications</t>
  </si>
  <si>
    <t xml:space="preserve">09 97 23</t>
  </si>
  <si>
    <t xml:space="preserve">PROPOSED-Influent-Pump-Station-Interior-Coating</t>
  </si>
  <si>
    <t xml:space="preserve">Project_Wiki.md note 09 97 23 (Structural &amp; Building): [¶1.02 A, p.236 — Verified]</t>
  </si>
  <si>
    <t xml:space="preserve">SUB 09 97 23-02</t>
  </si>
  <si>
    <t xml:space="preserve">The product is Raven 405 or Tnemec G436 PermaShield (amine-cured, light green), applied by a certified applicator with heated plural-component spray on concrete cured at least 28 days and blasted to CSP 3–5, at 80 mils min. and 100 mils average wet film</t>
  </si>
  <si>
    <t xml:space="preserve">Project_Wiki.md note 09 97 23 (Structural &amp; Building): [¶2.01 A, ¶2.04 A, ¶2.05, ¶3.03 E, ¶3.05 D, pp.237–239 — Verified]</t>
  </si>
  <si>
    <t xml:space="preserve">Spec 10 52 00</t>
  </si>
  <si>
    <t xml:space="preserve">Approve by 2023-04-01 (CWP 10 first work, Inferred)</t>
  </si>
  <si>
    <t xml:space="preserve">10-P01</t>
  </si>
  <si>
    <t xml:space="preserve">SUB 10 52 00-01</t>
  </si>
  <si>
    <t xml:space="preserve">Covers furnishing and installing all fire extinguishers and cabinets shown, with product data (plus cabinet roughing-in and mounting details) as the submittal</t>
  </si>
  <si>
    <t xml:space="preserve">Product data</t>
  </si>
  <si>
    <t xml:space="preserve">10 52 00</t>
  </si>
  <si>
    <t xml:space="preserve">PROPOSED-Fire-Extinguishers-Blower-Building</t>
  </si>
  <si>
    <t xml:space="preserve">Project_Wiki.md note 10 52 00 (Structural &amp; Building): [¶1.01 A–B, ¶1.02 A, p.242 — Verified]</t>
  </si>
  <si>
    <t xml:space="preserve">Spec 10 73 05</t>
  </si>
  <si>
    <t xml:space="preserve">SUB 10 73 05-01</t>
  </si>
  <si>
    <t xml:space="preserve">Submittals per 01 33 00 are catalog data and O&amp;M information (¶2.01 A p.244); the contractor adds a 1-year parts-and-labor extended warranty from substantial completion (¶1.02 A p.244); three sets of wear parts are furnished (¶3.02 p.245); and the manufacturer provides installation certification, 2 days of start-up and field testing and 1 day of operator training</t>
  </si>
  <si>
    <t xml:space="preserve">Product data; Certificates / reports; O&amp;M manual; Warranty / guarantee</t>
  </si>
  <si>
    <t xml:space="preserve">Contractor (submits per 01 33 00 — Inferred); also named: Contractor; Manufacturer / supplier</t>
  </si>
  <si>
    <t xml:space="preserve">10 73 05</t>
  </si>
  <si>
    <t xml:space="preserve">C3.4; C3.5</t>
  </si>
  <si>
    <t xml:space="preserve">PROPOSED-TRAIN-3-FRP-LAUNDER-COVER</t>
  </si>
  <si>
    <t xml:space="preserve">1; 18 — Unresolved (see 04); 19; Equipment Alternate B</t>
  </si>
  <si>
    <t xml:space="preserve">Process &amp; Mechanical</t>
  </si>
  <si>
    <t xml:space="preserve">Project_Wiki.md note 10 73 05 (Process &amp; Mechanical): (¶4.02 p.245)</t>
  </si>
  <si>
    <t xml:space="preserve">SUB 10 73 05-02</t>
  </si>
  <si>
    <t xml:space="preserve">¶3.01 A, under the launder cover heading, repeats the packaged sludge pump paragraph of 22 13 36 ¶2.01 A word for word (Edson peristaltic pumps, 3 HP, a VFD per pump) — Issue 20. The section runs in four parts</t>
  </si>
  <si>
    <t xml:space="preserve">Project_Wiki.md note 10 73 05 (Process &amp; Mechanical): (Part 2 submittals, Part 3 products, Part 4 execution)</t>
  </si>
  <si>
    <t xml:space="preserve">Spec 13 12 20</t>
  </si>
  <si>
    <t xml:space="preserve">Approve by 2023-04-01 (CWP 13 first work, Inferred)</t>
  </si>
  <si>
    <t xml:space="preserve">13-P01</t>
  </si>
  <si>
    <t xml:space="preserve">SUB 13 12 20-01</t>
  </si>
  <si>
    <t xml:space="preserve">Design loads — 5 psf collateral, 25 psf snow, 20 psf roof live, 105 mph ultimate wind (Exposure C), Site Class D with SDS 0.79 / SD1 0.51, SDC D, Ie 1.25, 18" frost — match S1.1, and submittals are WA SE-sealed design calculations and drawings for permit, a WA SE-sealed anchor bolt embedment design by the Contractor, and erection drawings</t>
  </si>
  <si>
    <t xml:space="preserve">13 12 20</t>
  </si>
  <si>
    <t xml:space="preserve">Add. 4 Cited, no change — Add. 4 p.1, Clarification 3 (¶2.03, ¶2.04)</t>
  </si>
  <si>
    <t xml:space="preserve">Project_Wiki.md note 13 12 20 (Structural &amp; Building): [¶1.03 A, p.246; ¶1.04 A–B, p.247 — Verified; plans_7 p.8 — Verified-Visual]</t>
  </si>
  <si>
    <t xml:space="preserve">SUB 13 12 20-02</t>
  </si>
  <si>
    <t xml:space="preserve">Garco Building Systems or equal (AISC Category MB certified, MBMA member) supplies 50 ksi hot-dip galvanized primary framing, G-90 16-gauge secondary members, A325 bolts, galvanized cable or rod bracing, 24-gauge Galvalume standing-seam roof panels (UL 90) and 26-gauge Galvalume R- or A-type wall panels, factory-finished in polyester or Kynar at the Owner's choice</t>
  </si>
  <si>
    <t xml:space="preserve">Contractor (submits per 01 33 00 — Inferred); also named: Owner</t>
  </si>
  <si>
    <t xml:space="preserve">Project_Wiki.md note 13 12 20 (Structural &amp; Building): [¶1.05, ¶2.01–¶2.04, pp.247–249 — Verified; Add. 4 p.1 Clarification 3 — Verified]</t>
  </si>
  <si>
    <t xml:space="preserve">SUB 13 12 20-03</t>
  </si>
  <si>
    <t xml:space="preserve">Installers need 5 years' experience, anchor bolts and base plates are verified against the approved erection drawings, bolts are tightened by turn-of-nut (preferred), and panels are lapped and butyl-sealed with trim and closures for a weather-tight enclosure; the section has no testing article</t>
  </si>
  <si>
    <t xml:space="preserve">Calculations / sealed design; Qualifications</t>
  </si>
  <si>
    <t xml:space="preserve">Project_Wiki.md note 13 12 20 (Structural &amp; Building): [¶3.01–¶3.03, pp.250–251 — Verified]</t>
  </si>
  <si>
    <t xml:space="preserve">Sheet prefix A (no linked rows) — Inferred</t>
  </si>
  <si>
    <t xml:space="preserve">SUB Appendix I-01</t>
  </si>
  <si>
    <t xml:space="preserve">Lists six CDBG documents: Attachment 7-A (bound as Section 00 54 00, which carries the "Attachment 7-A(1)" label), 7-B Section 3 Labor Hours Summary Form, 7-C Contract and Subcontract Activity (HUD-2516), 8-B Notification of Contract Award and Start of Construction, 8-C Labor Standards Compliance Report, and 8-D Authorization to Sign Certified Payrolls</t>
  </si>
  <si>
    <t xml:space="preserve">Appendix I</t>
  </si>
  <si>
    <t xml:space="preserve">Project_Wiki.md note Appendix I (Contract &amp; General): (p.640; 00 54 00 p.66; Verified)</t>
  </si>
  <si>
    <t xml:space="preserve">SUB Appendix I-02</t>
  </si>
  <si>
    <t xml:space="preserve">8-C (June 2021) reports restitution of $10 to $999.99, larger amounts going to the CDBG project manager; 8-D must be signed before, and submitted with, the first certified payroll</t>
  </si>
  <si>
    <t xml:space="preserve">Project_Wiki.md note Appendix I (Contract &amp; General): (pp.644–645; Verified)</t>
  </si>
  <si>
    <t xml:space="preserve">Most linked Ledger rows are in CWP 22 (4 of 8) — Inferred</t>
  </si>
  <si>
    <t xml:space="preserve">Approve by 2023-04-01 (CWP 22 first work, Inferred)</t>
  </si>
  <si>
    <t xml:space="preserve">22-P01</t>
  </si>
  <si>
    <t xml:space="preserve">SUB G0.6-01</t>
  </si>
  <si>
    <t xml:space="preserve">Existing Trains #1 and #2 run at HWL 23.13 (0.257 MGD), NWL 23.09 (0.063 MGD), static 23.05; proposed Train #3 runs at HWL 25.38, NWL 25.34, static 25.30, top of concrete 26.80, with proposed Train #2 and Train #3 flow meters on the inlets. The proposed effluent flow meter feeds proposed UV disinfection channels #1 and #2 (HWL 21.49 at 0.50 MGD per channel; NWL 19.69 at 0.22 MGD per channel), then existing SSMH *1288 (rim 22.89) and 10" and 8" to the 12" outfall; the 100-year flood elevation is 13', and a proposed effluent sample sump is labeled. The solids profile shows proposed WAS pump equipment (pump rate 20–30 gpm), the proposed aerobic digester with a supernatant telescoping valve (TOC 26.80; supernatant to the plant drain P.S.), proposed sludge pump equipment (20–30 gpm), proposed rotary fan press dewatering equipment and the existing screw press, with filtrate to the plant drain P.S. and solids hauled off site</t>
  </si>
  <si>
    <t xml:space="preserve">G0.6</t>
  </si>
  <si>
    <t xml:space="preserve">PROPOSED-TRAIN-3-TREATMENT-SYSTEM; PROPOSED-INFLUENT-PUMP-STATION-WET-WELL; PROPOSED-UV-SYSTEM; PROPOSED-DIGESTER-TELESCOPING-VALVE; PROPOSED-ROTARY-FAN-PRESS; PROPOSED-WAS-PUMP; PROPOSED-SWING-SLUDGE-PUMP; PROPOSED-DIGESTED-SLUDGE-PUMP</t>
  </si>
  <si>
    <t xml:space="preserve">1; 6; 18 — Unresolved (see 04); 19; Equipment Alternate B; Equipment Alternate C; Equipment Alternate D</t>
  </si>
  <si>
    <t xml:space="preserve">Project_Wiki.md note G0.6 (Process &amp; Mechanical): citation in note header</t>
  </si>
  <si>
    <t xml:space="preserve">Requirement sentence taken verbatim from the note; Subtype, Timing, Acceptance and Responsible Party parsed from it by keyword (Merge, Inferred — check against the cited ¶). Linked Ledger rows: 8 (flag Y and sheet cited; linkage Inferred).</t>
  </si>
  <si>
    <t xml:space="preserve">Most linked Ledger rows are in CWP 22 (3 of 5) — Inferred</t>
  </si>
  <si>
    <t xml:space="preserve">SUB C4.1-01</t>
  </si>
  <si>
    <t xml:space="preserve">The new Influent Pump Station is a 96" precast wet well "per WSDOT Std Plan B-15.60-00 for precast manholes" (Unresolved: external reference, not staged) on a 12" thick precast base, interior bottom elev 9.0 and top elev 23.30, with the top slab per 1/S2.4 and 2/S2.4, a 36"×36" Halliday H1R3636 hatch and a 30"×48" Halliday H1R3048 hatch over the pumps (both H-20), and "WrapidSeal or equal" at all joints; it takes 8" influent at IE 19.50, 4" filtrate and digester supernatant at IE 13.40 and a 4" sample sump line at IE 18.00. Small and large pumps, each a duplex arrangement per specs (keyed notes 28, 52, 53), hang on stainless guide rails with stainless haul chains, manufacturer's disconnect elbows and flapper valves that close and seal when submerged; discharges pass through two precast valve vaults (4'-2" × 4'-2" × 5'-6" minimum inside, Utility Vault Co. 506-LA or equal, floor elev 18.0±) with 4" and 6" check and gate valves and pressure gages, into 4" and 6" DI restrained piping with buried gate valves. Floats F1–F4 on timer control start the redundant large lag (19.00), large lead (18.50), small lag (18.00) and small lead (17.50) pumps; the transducer, set 6" above the floor, runs T1 high level alarm 17.50 (with float), T2 large lag 17.00, T3 large lead 16.00, T4 small lag 14.00, T5 small lead 12.00, T6 pumps off 11.00 and T7 low level alarm and redundant off 10.50. Also shown: the influent sample sump structure (see 4/C7.5), a 2" SCH 80 conduit for the influent sampler intake tubing, a 3" stainless vent pipe with 24-mesh stainless screen (IE 21.00), clean outs, 2" PVC and 4" vault drains (IE 16.15), link-seal boots at every pipe-to-concrete penetration, 16 stainless anchor bolts, steps or ladder per WSDOT Std Plan B-30.90-01 (keyed note 21) and a 12" base of Class A gravel per WSDOT 9-03.12(1)A — both Unresolved: external reference, not staged. The vertical pipe brace points to detail 7/C7.2 (keyed note 27) and to "sheet M4.1" (elevation callout), which is not in the sheet index (Issue 11); Add. 4 p.1 Clarification 2 requires CANUSA-CPS WrapidSeal (Manhole Encapsulation System) or approved equal on the exterior of all precast concrete wet well and vault joints, installed per manufacturer, over the C4.1 call-out — Add. 4 governs</t>
  </si>
  <si>
    <t xml:space="preserve">Plan / procedure; Samples</t>
  </si>
  <si>
    <t xml:space="preserve">C4.1</t>
  </si>
  <si>
    <t xml:space="preserve">PROPOSED-INFLUENT-PUMP-STATION-WET-WELL; PROPOSED-INFLUENT-PUMPS-SMALL; PROPOSED-INFLUENT-PUMPS-LARGE; PROPOSED-IPS-CHECK-VALVES; PROPOSED-IPS-GATE-VALVES</t>
  </si>
  <si>
    <t xml:space="preserve">1; Equipment Alternate A</t>
  </si>
  <si>
    <t xml:space="preserve">Project_Wiki.md note C4.1 (Process &amp; Mechanical): citation in note header</t>
  </si>
  <si>
    <t xml:space="preserve">Spec 15 40 00; Misc. Plumbing → Division 22 (Plumbing)</t>
  </si>
  <si>
    <t xml:space="preserve">SUB 15 40 00-01</t>
  </si>
  <si>
    <t xml:space="preserve">Covers miscellaneous plumbing "for exterior purposes only" as described and shown on the plans (¶1.01 A p.253), with shop drawing and product data submittals (¶1.02 A) and compliance with the UBC, UPC and Eastsound Sewer and Water District standards</t>
  </si>
  <si>
    <t xml:space="preserve">Shop drawings; Product data</t>
  </si>
  <si>
    <t xml:space="preserve">15 40 00</t>
  </si>
  <si>
    <t xml:space="preserve">PROPOSED-YARD-HYDRANTS; PROPOSED-POST-HYDRANTS; PROPOSED-EXTERIOR-SANITARY-DRAINS</t>
  </si>
  <si>
    <t xml:space="preserve">Project_Wiki.md note 15 40 00 (Process &amp; Mechanical): (¶1.03 A)</t>
  </si>
  <si>
    <t xml:space="preserve">Spec 22 13 29</t>
  </si>
  <si>
    <t xml:space="preserve">SUB 22 13 29-01</t>
  </si>
  <si>
    <t xml:space="preserve">Submittals include certified curves, shop drawings of the station and lifting system, control panel and interconnection wiring, warranty and factory test report (¶1.03 A p.256); testing includes certified non-witnessed factory performance tests to Hydraulic Institute standards, a factory operational test of the completed station submitted before installation, field tests with the manufacturer's representative, and at least one 8-hour start-up day with flow tests</t>
  </si>
  <si>
    <t xml:space="preserve">Shop drawings; Certificates / reports; Warranty / guarantee</t>
  </si>
  <si>
    <t xml:space="preserve">before installation</t>
  </si>
  <si>
    <t xml:space="preserve">22 13 29</t>
  </si>
  <si>
    <t xml:space="preserve">G0.5; G0.6; C4.1; G0.7</t>
  </si>
  <si>
    <t xml:space="preserve">PROPOSED-INFLUENT-PUMP-STATION-WET-WELL; PROPOSED-INFLUENT-PUMPS-SMALL; PROPOSED-INFLUENT-PUMPS-LARGE; PROPOSED-IPS-MOTOR-SAVER-RELAYS</t>
  </si>
  <si>
    <t xml:space="preserve">Project_Wiki.md note 22 13 29 (Process &amp; Mechanical): (¶1.03 C, ¶1.04 B–C p.256; ¶3.03 p.262)</t>
  </si>
  <si>
    <t xml:space="preserve">SUB 22 13 29-02</t>
  </si>
  <si>
    <t xml:space="preserve">The warranty is 5 years or 10,000 hours (¶1.05 A p.256), and float switches hang at the plan levels with a submersible level transducer also used for pump control</t>
  </si>
  <si>
    <t xml:space="preserve">Plan / procedure; Warranty / guarantee</t>
  </si>
  <si>
    <t xml:space="preserve">Project_Wiki.md note 22 13 29 (Process &amp; Mechanical): (¶3.02 A p.261)</t>
  </si>
  <si>
    <t xml:space="preserve">Spec 22 13 36</t>
  </si>
  <si>
    <t xml:space="preserve">SUB 22 13 36-01</t>
  </si>
  <si>
    <t xml:space="preserve">Base ¶2.01 A (p.263) calls for Edson Platinum peristaltic pumps or equal, 3 HP, 460 V, 3-phase, 0 to 43 gpm (typical set point 10 to 30 gpm), corrosion resistant, with a VFD and a local speed dial per pump, an electrical control panel per pump and a 304 SS enclosure of about 40"×40"×40" per pump. Add. 4 p.2 replaces "Each pump is to include a VFD" with: pumps powered from VFDs in the Motor Control Center, VFDs controlled by the PLC in the Main Control Panel, no local speed control dial at the pump, see Electrical Sheets — Add. 4 governs. Controls follow 26 80 00 ¶3.09 A (WAS pump control) and H (rotary fan press system) (¶2.02 p.263); submittals per 01 33 00 are catalog data with wiring diagrams and O&amp;M information (¶1.02 A p.263); the manufacturer furnishes three sets of wear parts (¶2.03 p.263) and provides installation certification, 2 days of start-up and field testing and 1 day of operator training</t>
  </si>
  <si>
    <t xml:space="preserve">Shop drawings; Product data; Certificates / reports; O&amp;M manual</t>
  </si>
  <si>
    <t xml:space="preserve">22 13 36</t>
  </si>
  <si>
    <t xml:space="preserve">G0.5; G0.6; G0.7; C6.2</t>
  </si>
  <si>
    <t xml:space="preserve">PROPOSED-WAS-PUMP; PROPOSED-SWING-SLUDGE-PUMP; PROPOSED-DIGESTED-SLUDGE-PUMP; PROPOSED-SLUDGE-PUMP-LOCAL-PANELS</t>
  </si>
  <si>
    <t xml:space="preserve">Add. 4 p.2, ¶2.01 A — Add. 4 governs</t>
  </si>
  <si>
    <t xml:space="preserve">Project_Wiki.md note 22 13 36 (Process &amp; Mechanical): (¶3.02 p.264)</t>
  </si>
  <si>
    <t xml:space="preserve">Spec 23 34 00</t>
  </si>
  <si>
    <t xml:space="preserve">Approve by 2023-04-01 (CWP 23 first work, Inferred)</t>
  </si>
  <si>
    <t xml:space="preserve">23-P01</t>
  </si>
  <si>
    <t xml:space="preserve">SUB 23 34 00-01</t>
  </si>
  <si>
    <t xml:space="preserve">Scope (¶1.01 A p.265): in the Blower Building, two 3,300 CFM wall fans on individual thermostats, one motorized 36"×84" louvered vent that opens when either fan runs and stays open until both are off, and one manual 24"×24" louvered vent; in the "Existing Dewatering/Train 1&amp;2 Building Area", three 3,300 CFM wall fans on individual manual on/off switches and two manual 36"×84" louvered vents. Fans are Acme FQ18G6 (3,300 CFM, 1/2 HP, 120 V 1-phase, 12 sones max) with wall collar and guard, each with a Louvers &amp; Dampers EBE445 aluminum gravity combination louver (about 24"×24") with stainless bird screen and a 2-year minimum manufacturer warranty; thermostats are Schaffer TH109 two-speed, 40–100°F, in NEMA 4X enclosures with stainless coil sensors, 4' above floor</t>
  </si>
  <si>
    <t xml:space="preserve">O&amp;M manual; Warranty / guarantee</t>
  </si>
  <si>
    <t xml:space="preserve">23 34 00</t>
  </si>
  <si>
    <t xml:space="preserve">Project_Wiki.md note 23 34 00 (Process &amp; Mechanical): (¶1.01 B; ¶2.1 A–B pp.265–266)</t>
  </si>
  <si>
    <t xml:space="preserve">Sheet prefix E (no linked rows) — Inferred</t>
  </si>
  <si>
    <t xml:space="preserve">Approve by 2023-03-15 (CWP 26 first work, Inferred)</t>
  </si>
  <si>
    <t xml:space="preserve">26-P01</t>
  </si>
  <si>
    <t xml:space="preserve">SUB E0.1-01</t>
  </si>
  <si>
    <t xml:space="preserve">Notes 3–6: coordinate removal of existing equipment and phasing with the Owner to keep the facility operating, dispose of demo material the Owner does not want, conceal conduit in new walls and ceilings where possible, and hand over redline markups (routing, conductor counts, panel schedules, receptacle configurations) for record drawings (plans_8 p.6)</t>
  </si>
  <si>
    <t xml:space="preserve">E0.1</t>
  </si>
  <si>
    <t xml:space="preserve">Electrical &amp; Controls</t>
  </si>
  <si>
    <t xml:space="preserve">Project_Wiki.md note E0.1 (Electrical &amp; Controls): [Verified]</t>
  </si>
  <si>
    <t xml:space="preserve">Most linked Ledger rows are in CWP 26 (19 of 19) — Inferred</t>
  </si>
  <si>
    <t xml:space="preserve">SUB E4.1-01</t>
  </si>
  <si>
    <t xml:space="preserve">Key notes 1–2: individual oversized conduits for every pump, float and transducer cable, duct-sealed at completion; flow meters are Endress+Hauser Promag W400 (Class I Div 2, EtherNet/IP, 316L electrodes, local display on the WAS meter, remote transmitters with submersible kits on vault meters) with two 316L grounding rings per tube — the drawing already shows the W400 that Add. 4 p.2 (26 80 00 ¶2.04 D) substitutes for the L400 (plans_9 p.6)</t>
  </si>
  <si>
    <t xml:space="preserve">E4.1</t>
  </si>
  <si>
    <t xml:space="preserve">PROPOSED-PLANT-DRAIN-FLOW-METER; PROPOSED-Plant-Drain-Flow-Meter; F1 (Influent Pump Station); F2 (Influent Pump Station); F3 (Influent Pump Station); F4 (Influent Pump Station); LT (Influent Pump Station); IPS; LP2; PROPOSED-Influent-Pump-Local-Disconnects; PROPOSED-Influent-Flow-Meter; PROPOSED-Plant-2-Flow-Meter; PROPOSED-Plant-3-Flow-Meter; PROPOSED-WAS-Dewatering-Flow-Meter; PROPOSED-WAS-and-Sludge-Pump-Local-Disconnects; PROPOSED-Treatment-Building-Ventilation-Control-Panel; PROPOSED-Methane-Sensor; PROPOSED-H2S-Sensor; PROPOSED-Gas-Alarm-Light-and-Horn; L2 (Treatment Building)</t>
  </si>
  <si>
    <t xml:space="preserve">6</t>
  </si>
  <si>
    <t xml:space="preserve">Project_Wiki.md note E4.1 (Electrical &amp; Controls): [Verified]</t>
  </si>
  <si>
    <t xml:space="preserve">Requirement sentence taken verbatim from the note; Subtype, Timing, Acceptance and Responsible Party parsed from it by keyword (Merge, Inferred — check against the cited ¶). Linked Ledger rows: 19 (flag Y and sheet cited; linkage Inferred).</t>
  </si>
  <si>
    <t xml:space="preserve">Most linked Ledger rows are in CWP 26 (5 of 5) — Inferred</t>
  </si>
  <si>
    <t xml:space="preserve">SUB E4.2-01</t>
  </si>
  <si>
    <t xml:space="preserve">Key notes: WIKA submersible pressure transmitter (316 SS, 0–15 psi, LevelGuard, polyurethane cable, 4–20 mA loop powered, vented, NEMA 4X termination enclosure); Eco-Float GP60NONC non-mercury NO/NC high-level floats; service loops in the wet well, connections in the handholes with approved connectors, conduits leaving the handholes sealed per NEC Article 500; one oversized conduit per cable (plans_9 p.7)</t>
  </si>
  <si>
    <t xml:space="preserve">E4.2</t>
  </si>
  <si>
    <t xml:space="preserve">F1 (Influent Pump Station); F2 (Influent Pump Station); F3 (Influent Pump Station); F4 (Influent Pump Station); LT (Influent Pump Station)</t>
  </si>
  <si>
    <t xml:space="preserve">Project_Wiki.md note E4.2 (Electrical &amp; Controls): [Verified]</t>
  </si>
  <si>
    <t xml:space="preserve">Most linked Ledger rows are in CWP 26 (14 of 14) — Inferred</t>
  </si>
  <si>
    <t xml:space="preserve">SUB E6.1-01</t>
  </si>
  <si>
    <t xml:space="preserve">Load calculations: 21 loads, 348.9 A connected, 355.7 A demand and 188.0 A on the generator (156 kVA at 480 V); generator factor 1 for TCP-1 to TCP-3, 2W-P1, IP-1, BL-1 to BL-3, DB and WP-1, 0 for the standby/swing units and DW-1, and 0.25 for LP-LAB (existing lab and treatment, 45 kVA), LP-1 (20 kVA) and LP-2 (10 kVA); the 355.7 A demand exceeds the E6.2 MDP total — see Issues (plans_10 p.2)</t>
  </si>
  <si>
    <t xml:space="preserve">Contractor (submits per 01 33 00 — Inferred); also named: Inspector / laboratory</t>
  </si>
  <si>
    <t xml:space="preserve">E6.1</t>
  </si>
  <si>
    <t xml:space="preserve">ATS; MDP; TS; GEN; MCC; LP-1; IPS; T3; LP2; PROPOSED-Influent-Pump-Local-Disconnects; PROPOSED-WAS-and-Sludge-Pump-Local-Disconnects; PROPOSED-2W-Pump-Local-Disconnects; T2; PROPOSED-VFDs-in-MCC</t>
  </si>
  <si>
    <t xml:space="preserve">1; 6; 18 — Unresolved (see 04); Equipment Alternate E</t>
  </si>
  <si>
    <t xml:space="preserve">Project_Wiki.md note E6.1 (Electrical &amp; Controls): [Verified-Visual]</t>
  </si>
  <si>
    <t xml:space="preserve">Requirement sentence taken verbatim from the note; Subtype, Timing, Acceptance and Responsible Party parsed from it by keyword (Merge, Inferred — check against the cited ¶). Linked Ledger rows: 14 (flag Y and sheet cited; linkage Inferred).</t>
  </si>
  <si>
    <t xml:space="preserve">Most linked Ledger rows are in CWP 26 (9 of 9) — Inferred</t>
  </si>
  <si>
    <t xml:space="preserve">SUB E6.2-01</t>
  </si>
  <si>
    <t xml:space="preserve">Gaps against other sheets: the MDP total (225.0 kVA, 270.6 A) is below the E6.1 load-calculation demand (355.7 A), and no pole-light circuit appears on LP1 or LP2 although E6.3 feeds P-LT from a "lighting panel" — see Issues (plans_10 pp.2–4)</t>
  </si>
  <si>
    <t xml:space="preserve">E6.2</t>
  </si>
  <si>
    <t xml:space="preserve">MDP; MCC; MCP; LP-1; LP2; PROPOSED-Treatment-Building-Ventilation-Control-Panel; PROPOSED-Methane-Sensor; PROPOSED-H2S-Sensor; L2 (Treatment Building)</t>
  </si>
  <si>
    <t xml:space="preserve">Project_Wiki.md note E6.2 (Electrical &amp; Controls): [Verified-Visual]</t>
  </si>
  <si>
    <t xml:space="preserve">Most linked Ledger rows are in CWP 26 (2 of 2) — Inferred</t>
  </si>
  <si>
    <t xml:space="preserve">SUB E7.2-01</t>
  </si>
  <si>
    <t xml:space="preserve">The drawing is titled "Main PLC and Influent Control Panel — Power Wiring Diagram (Typ)", so it serves both the main PLC panel and the Influent Pump Station panel; the operator interface and blower PTC relays are marked "main PLC only" and the 800 W panel heater "influent only" (plans_10 p.7)</t>
  </si>
  <si>
    <t xml:space="preserve">E7.2</t>
  </si>
  <si>
    <t xml:space="preserve">MCP; IPS</t>
  </si>
  <si>
    <t xml:space="preserve">Project_Wiki.md note E7.2 (Electrical &amp; Controls): [Verified-Visual; title partly in text]</t>
  </si>
  <si>
    <t xml:space="preserve">SUB E9.2-01</t>
  </si>
  <si>
    <t xml:space="preserve">Key note 1: provide a 120 V blower fan circuit from each MCC unit for each blower; basis of design 0.21 HP and 1.51 A per fan, confirmed with the manufacturer during submittals (plans_12 p.4)</t>
  </si>
  <si>
    <t xml:space="preserve">E9.2</t>
  </si>
  <si>
    <t xml:space="preserve">MCC; PROPOSED-VFDs-in-MCC</t>
  </si>
  <si>
    <t xml:space="preserve">Project_Wiki.md note E9.2 (Electrical &amp; Controls): [Verified]</t>
  </si>
  <si>
    <t xml:space="preserve">Spec 26 05 00</t>
  </si>
  <si>
    <t xml:space="preserve">SUB 26 05 00-01</t>
  </si>
  <si>
    <t xml:space="preserve">Submittals (¶1.012, p.274): electronic PDF with an index, identified by section and paragraph or equipment, each sheet naming the equipment and part number with manufacturer, model, nameplate data, dimensions and local representative; largely incomplete packages are returned unreviewed; variances requested in writing</t>
  </si>
  <si>
    <t xml:space="preserve">26 05 00</t>
  </si>
  <si>
    <t xml:space="preserve">PROPOSED-Temporary-Backup-Generator</t>
  </si>
  <si>
    <t xml:space="preserve">18 — Unresolved (see 04)</t>
  </si>
  <si>
    <t xml:space="preserve">Project_Wiki.md note 26 05 00 (Electrical &amp; Controls): [Verified]</t>
  </si>
  <si>
    <t xml:space="preserve">SUB 26 05 00-02</t>
  </si>
  <si>
    <t xml:space="preserve">Pads, tests and training (¶2.04, ¶3.04, ¶3.05, pp.278–280): a concrete housekeeping pad under each floor-mounted MCC and electrical equipment, 3 in wider each end and 3 in minimum height; feeder, motor and equipment testing and a functional checkout of every control circuit, with procedures submitted first; training of 8 h for electrical and 24 h for control systems</t>
  </si>
  <si>
    <t xml:space="preserve">Spec 26 05 19</t>
  </si>
  <si>
    <t xml:space="preserve">SUB 26 05 19-01</t>
  </si>
  <si>
    <t xml:space="preserve">No product submittal paragraph in the section, read in full (pp.282–288)</t>
  </si>
  <si>
    <t xml:space="preserve">26 05 19</t>
  </si>
  <si>
    <t xml:space="preserve">Project_Wiki.md note 26 05 19 (Electrical &amp; Controls): [Verified]</t>
  </si>
  <si>
    <t xml:space="preserve">Spec 26 05 33</t>
  </si>
  <si>
    <t xml:space="preserve">SUB 26 05 33-01</t>
  </si>
  <si>
    <t xml:space="preserve">Conduit schedule and tags (¶2.05–2.06, p.294): the drawing schedule governs sizing and routing, adjusted for equipment submittals at no added cost; crosslinked polyolefin tags, Impact Industries or equal (p.294)</t>
  </si>
  <si>
    <t xml:space="preserve">26 05 33</t>
  </si>
  <si>
    <t xml:space="preserve">Project_Wiki.md note 26 05 33 (Electrical &amp; Controls): [Verified]</t>
  </si>
  <si>
    <t xml:space="preserve">SUB 26 05 33-02</t>
  </si>
  <si>
    <t xml:space="preserve">Conduit runs (¶3.01 A, p.294): no more than 270 degrees of bends between pull boxes and runs of 400 ft less 100 ft per 90 degrees of bend; no product submittal or test paragraph found in the section (pp.290–296)</t>
  </si>
  <si>
    <t xml:space="preserve">Project_Wiki.md note 26 05 33 (Electrical &amp; Controls): [Verified; submittal and test terms searched on every page]</t>
  </si>
  <si>
    <t xml:space="preserve">Spec 26 22 13</t>
  </si>
  <si>
    <t xml:space="preserve">SUB 26 22 13-01</t>
  </si>
  <si>
    <t xml:space="preserve">Submittals: catalog data per 26 05 00 (¶1.05, p.297); no test paragraph (the only "test" term is the NRTL listing)</t>
  </si>
  <si>
    <t xml:space="preserve">26 22 13</t>
  </si>
  <si>
    <t xml:space="preserve">E1.1; E6.1; E6.3; E8.1; E9.1</t>
  </si>
  <si>
    <t xml:space="preserve">TS; T3; T2</t>
  </si>
  <si>
    <t xml:space="preserve">Project_Wiki.md note 26 22 13 (Electrical &amp; Controls): [Verified]</t>
  </si>
  <si>
    <t xml:space="preserve">Spec 26 24 16</t>
  </si>
  <si>
    <t xml:space="preserve">SUB 26 24 16-01</t>
  </si>
  <si>
    <t xml:space="preserve">Lighting and power distribution panelboards by Square D, Cutler Hammer or equal; submittals are catalog data per 26 05 00 (¶1.01–1.02, ¶2.01, p.300)</t>
  </si>
  <si>
    <t xml:space="preserve">26 24 16</t>
  </si>
  <si>
    <t xml:space="preserve">E1.1; E6.1; E6.2; E6.3; E2.1; E2.2; E9.1; E9.3; E4.1; E8.1</t>
  </si>
  <si>
    <t xml:space="preserve">MDP; LP-1; LP2</t>
  </si>
  <si>
    <t xml:space="preserve">Project_Wiki.md note 26 24 16 (Electrical &amp; Controls): [Verified]</t>
  </si>
  <si>
    <t xml:space="preserve">Spec 26 24 19</t>
  </si>
  <si>
    <t xml:space="preserve">SUB 26 24 19-01</t>
  </si>
  <si>
    <t xml:space="preserve">Submittals beyond 26 05 00: wiring diagrams for every unit, component data sheets with part numbers, scaled arrangement drawings, wire marker text, bill of materials, 11x17 maximum shop drawings (¶1.04, pp.305–306)</t>
  </si>
  <si>
    <t xml:space="preserve">26 24 19</t>
  </si>
  <si>
    <t xml:space="preserve">E1.1; E2.1; E2.2; E6.1; E6.2; E6.3; E7.0; E9.1; E9.2; A1.1</t>
  </si>
  <si>
    <t xml:space="preserve">MCC</t>
  </si>
  <si>
    <t xml:space="preserve">Project_Wiki.md note 26 24 19 (Electrical &amp; Controls): [Verified]</t>
  </si>
  <si>
    <t xml:space="preserve">Spec 26 28 16</t>
  </si>
  <si>
    <t xml:space="preserve">SUB 26 28 16-01</t>
  </si>
  <si>
    <t xml:space="preserve">Submittals: catalog data per 26 05 00 ¶1.012 (¶1.03, p.314); no test paragraph (the only "test" term is the NRTL listing)</t>
  </si>
  <si>
    <t xml:space="preserve">26 28 16</t>
  </si>
  <si>
    <t xml:space="preserve">E2.1; E3.1; E4.1; E6.1</t>
  </si>
  <si>
    <t xml:space="preserve">PROPOSED-DB-Local-Disconnect; PROPOSED-Train-3-Local-Disconnects; PROPOSED-Influent-Pump-Local-Disconnects; PROPOSED-WAS-and-Sludge-Pump-Local-Disconnects; PROPOSED-2W-Pump-Local-Disconnects</t>
  </si>
  <si>
    <t xml:space="preserve">Project_Wiki.md note 26 28 16 (Electrical &amp; Controls): [Verified]</t>
  </si>
  <si>
    <t xml:space="preserve">Spec 26 29 23</t>
  </si>
  <si>
    <t xml:space="preserve">SUB 26 29 23-01</t>
  </si>
  <si>
    <t xml:space="preserve">PWM VFDs for 480 V 3-phase, provided by the system integrator as a complete system integral to the MCC or other control panels; 1-year parts-and-labor guarantee from acceptance (¶1.01, ¶1.02 C, p.316)</t>
  </si>
  <si>
    <t xml:space="preserve">26 29 23</t>
  </si>
  <si>
    <t xml:space="preserve">E6.1; E7.0; E7.3; E7.4; E7.7; E9.1; E9.2</t>
  </si>
  <si>
    <t xml:space="preserve">PROPOSED-VFDs-in-MCC</t>
  </si>
  <si>
    <t xml:space="preserve">Project_Wiki.md note 26 29 23 (Electrical &amp; Controls): [Verified]</t>
  </si>
  <si>
    <t xml:space="preserve">SUB 26 29 23-02</t>
  </si>
  <si>
    <t xml:space="preserve">Submittals beyond 26 05 00: outline dimensions and elevations, wiring diagrams with all interface points and terminals, component and option data, and the operations and programming manual (¶1.02 A–B, p.316)</t>
  </si>
  <si>
    <t xml:space="preserve">SUB 26 29 23-03</t>
  </si>
  <si>
    <t xml:space="preserve">Quality assurance and start-up: each VFD functionally tested under motor load with simulated overload and 100% parameter verification; certified factory start-up for every drive with a start-up form, one week notice to the Engineer, and testing on both utility and standby power where a generator serves the load (¶3.02–3.03, p.319)</t>
  </si>
  <si>
    <t xml:space="preserve">Contractor (submits per 01 33 00 — Inferred); also named: Engineer</t>
  </si>
  <si>
    <t xml:space="preserve">Spec 26 32 13</t>
  </si>
  <si>
    <t xml:space="preserve">SUB 26 32 13-01</t>
  </si>
  <si>
    <t xml:space="preserve">Basis of design Cummins C125D6D; pre-approved Cummins, Kohler, Caterpillar and Generac, equals if performance is shown; single-source package; 2-year warranty from Substantial Completion (¶2.01, p.325; warranty paragraph pp.324–325)</t>
  </si>
  <si>
    <t xml:space="preserve">26 32 13</t>
  </si>
  <si>
    <t xml:space="preserve">E1.1; E6.1; E6.3; E7.3; E10.3</t>
  </si>
  <si>
    <t xml:space="preserve">GEN</t>
  </si>
  <si>
    <t xml:space="preserve">1; 6; Equipment Alternate E</t>
  </si>
  <si>
    <t xml:space="preserve">Project_Wiki.md note 26 32 13 (Electrical &amp; Controls): [Verified]</t>
  </si>
  <si>
    <t xml:space="preserve">SUB 26 32 13-02</t>
  </si>
  <si>
    <t xml:space="preserve">Submittals: action, informational, closeout and maintenance-material submittals including fuel consumption at 0.8 pf and plans and elevations (¶1.04–1.08, pp.322–324)</t>
  </si>
  <si>
    <t xml:space="preserve">Project_Wiki.md note 26 32 13 (Electrical &amp; Controls): [Verified; pages scanned by key terms]</t>
  </si>
  <si>
    <t xml:space="preserve">Spec 26 36 00</t>
  </si>
  <si>
    <t xml:space="preserve">SUB 26 36 00-01</t>
  </si>
  <si>
    <t xml:space="preserve">Switches designated 3-pole get a neutral bus rated 100% of the switch rating; enclosures third-party certified to NEMA ICS 6 (¶2.02, p.341)</t>
  </si>
  <si>
    <t xml:space="preserve">26 36 00</t>
  </si>
  <si>
    <t xml:space="preserve">E1.1; E6.1; E6.3; E7.3</t>
  </si>
  <si>
    <t xml:space="preserve">ATS</t>
  </si>
  <si>
    <t xml:space="preserve">6; 18 — Unresolved (see 04)</t>
  </si>
  <si>
    <t xml:space="preserve">Project_Wiki.md note 26 36 00 (Electrical &amp; Controls): [Verified]</t>
  </si>
  <si>
    <t xml:space="preserve">SUB 26 36 00-02</t>
  </si>
  <si>
    <t xml:space="preserve">Submittals: action, informational and closeout (¶1.03–1.05, p.338); testing: factory dielectric test per NEMA ICS 1 and field tests and inspections by the manufacturer representative with reports (¶2.05, ¶3.03–3.04, pp.345–347)</t>
  </si>
  <si>
    <t xml:space="preserve">Spec 26 51 19</t>
  </si>
  <si>
    <t xml:space="preserve">SUB 26 51 19-01</t>
  </si>
  <si>
    <t xml:space="preserve">Submittals: original product sheets, independent photometric reports where the schedule requires them, fixture types and project name marked, prepared by the local manufacturer representative, plus WSEC lighting control devices (¶1.06, p.350)</t>
  </si>
  <si>
    <t xml:space="preserve">26 51 19</t>
  </si>
  <si>
    <t xml:space="preserve">E2.2; E3.1; E6.3; E4.1; E6.2; E8.1; E5.1</t>
  </si>
  <si>
    <t xml:space="preserve">L1 (Blower Building); L2 (Blower Building); X1 (Blower Building); PROPOSED-Train-3-Pole-Light; L2 (Treatment Building); PROPOSED-UV-Area-Pole-Light</t>
  </si>
  <si>
    <t xml:space="preserve">Project_Wiki.md note 26 51 19 (Electrical &amp; Controls): [Verified]</t>
  </si>
  <si>
    <t xml:space="preserve">Requirement sentence taken verbatim from the note; Subtype, Timing, Acceptance and Responsible Party parsed from it by keyword (Merge, Inferred — check against the cited ¶). Linked Ledger rows: 6 (flag Y and section cited; linkage Inferred).</t>
  </si>
  <si>
    <t xml:space="preserve">SUB 26 51 19-02</t>
  </si>
  <si>
    <t xml:space="preserve">Warranty: 5 years on LED products including parts and labor (¶1.08, p.350)</t>
  </si>
  <si>
    <t xml:space="preserve">Spec 26 80 00</t>
  </si>
  <si>
    <t xml:space="preserve">SUB 26 80 00-00</t>
  </si>
  <si>
    <t xml:space="preserve">Requirement flagged on 30 Ledger row(s) citing 26 80 00; the Wiki note does not summarize it</t>
  </si>
  <si>
    <t xml:space="preserve">26 80 00</t>
  </si>
  <si>
    <t xml:space="preserve">G0.5; G0.7; E4.1; E6.3; E7.0; E8.1; E10.2; C3.3; E3.1; E7.6; E2.1; E2.2; E6.2; E7.1; E7.2; E7.3; E7.4; E7.5; E7.7; A1.1; E0.3; E4.2; E8.3; E10.1; E8.5 (+8 more)</t>
  </si>
  <si>
    <t xml:space="preserve">PROPOSED-PLANT-DRAIN-FLOW-METER; PROPOSED-Plant-Drain-Flow-Meter; DO #1; DO-1; DO #2; DO-2; MCP; PROPOSED-Blower-Building-Smoke-Heat-Detector; PROPOSED-Blower-Building-Door-Intrusion-Switch; PROPOSED-2W-Pressure-Transducer; PROPOSED-SCADA-Computer-System; F1 (Influent Pump Station); F2 (Influent Pump Station); F3 (Influent Pump Station); F4 (Influent Pump Station); LT (Influent Pump Station); IPS; PROPOSED-Influent-Flow-Meter; PROPOSED-Plant-2-Flow-Meter; PROPOSED-Plant-3-Flow-Meter; PROPOSED-WAS-Dewatering-Flow-Meter; PROPOSED-Effluent-Flow-Meter; PROPOSED-Effluent-Flow-Meter-Transmitter-Panel; PROPOSED-2W-Flow-Meter; PROPOSED-Treatment-Building-Ventilation-Control-Panel; PROPOSED-Methane-Sensor; PROPOSED-H2S-Sensor; PROPOSED-Gas-Alarm-Light-and-Horn; LSH-111; F2 (2W Pump Station); F3 (2W Pump Station); LSL-111; PROPOSED-Digester-Level-Transducer</t>
  </si>
  <si>
    <t xml:space="preserve">1; 6; 18 — Unresolved (see 04); 19; Equipment Alternate B</t>
  </si>
  <si>
    <t xml:space="preserve">Add. 4 p.2, ¶2.04 D — Add. 4 governs</t>
  </si>
  <si>
    <t xml:space="preserve">Process &amp; Mechanical; Electrical &amp; Controls; Electrical &amp; Controls; Structural &amp; Building; Electrical &amp; Controls</t>
  </si>
  <si>
    <t xml:space="preserve">Ledger evidence: Submittal: 26 80 00 ¶1.06 p.356 (hardware submittals before fabrication;</t>
  </si>
  <si>
    <t xml:space="preserve">Sheet prefix C (no linked rows) — Inferred</t>
  </si>
  <si>
    <t xml:space="preserve">Approve by 2023-03-15 (CWP 31 first work, Inferred)</t>
  </si>
  <si>
    <t xml:space="preserve">31-P01</t>
  </si>
  <si>
    <t xml:space="preserve">SUB C0.1-01</t>
  </si>
  <si>
    <t xml:space="preserve">Other existing features: 8-in PVC influent sample port (IE 19.4), concrete fuel tank basin, pad-mounted transformer, generator, shed, and hangars on adjoining Port of Orcas parcels</t>
  </si>
  <si>
    <t xml:space="preserve">C0.1</t>
  </si>
  <si>
    <t xml:space="preserve">Verified-Visual</t>
  </si>
  <si>
    <t xml:space="preserve">Project_Wiki.md note C0.1 (Civil &amp; Site): (plans_1 p.8, C0.1 — Verified-Visual)</t>
  </si>
  <si>
    <t xml:space="preserve">Most linked Ledger rows are in CWP 31 (4 of 6) — Inferred</t>
  </si>
  <si>
    <t xml:space="preserve">SUB C0.2-01</t>
  </si>
  <si>
    <t xml:space="preserve">Construction is expected from spring 2023 to fall 2024; no sediment ponds, diversions or waterways are used and no detention calculations are needed</t>
  </si>
  <si>
    <t xml:space="preserve">C0.2</t>
  </si>
  <si>
    <t xml:space="preserve">PROPOSED-Catch basin inserts; PROPOSED-Filter fabric fence; PROPOSED-Stabilized construction entrance; PROPOSED-Block retaining wall; PROPOSED-Hydroseeded restoration areas; PROPOSED-Dewatering system</t>
  </si>
  <si>
    <t xml:space="preserve">1; 4</t>
  </si>
  <si>
    <t xml:space="preserve">Project_Wiki.md note C0.2 (Civil &amp; Site): (Items 23–24; plans_2Part-1 p.1, C0.2 — Verified-Visual)</t>
  </si>
  <si>
    <t xml:space="preserve">Requirement sentence taken verbatim from the note; Subtype, Timing, Acceptance and Responsible Party parsed from it by keyword (Merge, Inferred — check against the cited ¶). Linked Ledger rows: 6 (flag Y and sheet cited; linkage Inferred).</t>
  </si>
  <si>
    <t xml:space="preserve">SUB C3.1-01</t>
  </si>
  <si>
    <t xml:space="preserve">Plan of the new flow splitter box beside existing Train #1, with 8" outlets to Train #1 (west), Train #2 and Train #3 (south), a future Train #4 connection sealed with an 8" blind flange (keyed note 1), and the inlet from the north; dashed vaults with flow meter symbols sit on the inlet line and on the Train #2 and Train #3 lines, and a vault drain is labeled. Keyed notes: proposed concrete support for the splitter box (2); existing sampling port (3); pipe supports per 5/C7.2 (4); carefully cut a hole through the building for the new 8" Train #1 influent and seal with flashing (5); 8" Train #1 influent elbow discharging into the aeration basin beside the existing influent pipe (7); confirm the existing Train #2 influent pipe and connect new 8" DI piping with positive drainage from the splitter box (8); pot-hole existing 8" piping before construction</t>
  </si>
  <si>
    <t xml:space="preserve">Calculations / sealed design; Plan / procedure</t>
  </si>
  <si>
    <t xml:space="preserve">before construction (9</t>
  </si>
  <si>
    <t xml:space="preserve">C3.1</t>
  </si>
  <si>
    <t xml:space="preserve">Project_Wiki.md note C3.1 (Process &amp; Mechanical): (9)</t>
  </si>
  <si>
    <t xml:space="preserve">SUB C3.2-01</t>
  </si>
  <si>
    <t xml:space="preserve">Keyed note 7 makes the flow splitter a prefabricated 316 SS unit sized to match the drawing, with 4 equal splitter chambers (flow to each of the 3 trains and 1 additional train), an adjustable weir in each chamber and a removable cover; manufacturer Smith &amp; Loveless or approved equal. The box is about 7'-0" × 4'-6" in plan (outlet spacing 5'-3") with its bottom at elev 26.00 on a proposed concrete support about 6.5' × 4.0' × 1.3' tall; the contractor coordinates the support with the actual box, top of concrete elev 26.00, see structural drawings (keyed note 2); the existing slab TOC is 24.7. The inlet is 6" DI restrained pipe and a restrained 90° bend (INV 20.75) rising through a 12"×6" DI eccentric reducer, 12" DI flange spools and 90° bends on 12" pipe supports per 5/C7.2; outlets are 8" DI flanged bends and spools (one at INV 20.75) on 8" pipe supports per 5/C7.2, labeled To Cell #1, #2 and #3, with a future connection sealed by a blind flange</t>
  </si>
  <si>
    <t xml:space="preserve">C3.2</t>
  </si>
  <si>
    <t xml:space="preserve">Project_Wiki.md note C3.2 (Process &amp; Mechanical): (keyed note 1)</t>
  </si>
  <si>
    <t xml:space="preserve">SUB C7.2-01</t>
  </si>
  <si>
    <t xml:space="preserve">Pipe and floor sleeves are standard-weight 316 stainless steel with seep rings, sealed with Dow Corning 732 RTV silicone</t>
  </si>
  <si>
    <t xml:space="preserve">C7.2</t>
  </si>
  <si>
    <t xml:space="preserve">Project_Wiki.md note C7.2 (Civil &amp; Site): (Details 2–3; plans_6 p.4, C7.2 — Verified-Visual)</t>
  </si>
  <si>
    <t xml:space="preserve">Spec 31 10 00</t>
  </si>
  <si>
    <t xml:space="preserve">SUB 31 10 00-01</t>
  </si>
  <si>
    <t xml:space="preserve">No products, submittals or testing are specified</t>
  </si>
  <si>
    <t xml:space="preserve">31 10 00</t>
  </si>
  <si>
    <t xml:space="preserve">Project_Wiki.md note 31 10 00 (Civil &amp; Site): (p.382 — Verified)</t>
  </si>
  <si>
    <t xml:space="preserve">Spec 31 20 00</t>
  </si>
  <si>
    <t xml:space="preserve">SUB 31 20 00-01</t>
  </si>
  <si>
    <t xml:space="preserve">Submittals: gradation and moisture-density curves for imported materials, separation geotextile data, and proposed compaction equipment; field density testing is by the Engineer's independent lab (one test per 100 LF of roadway, 1,000 SF of subgrade, 500 CY of structural backfill), with Contractor-paid retests</t>
  </si>
  <si>
    <t xml:space="preserve">Contractor (submits per 01 33 00 — Inferred); also named: Contractor; Engineer; Inspector / laboratory</t>
  </si>
  <si>
    <t xml:space="preserve">31 20 00</t>
  </si>
  <si>
    <t xml:space="preserve">C0.2 (Element 10)</t>
  </si>
  <si>
    <t xml:space="preserve">PROPOSED-Dewatering system</t>
  </si>
  <si>
    <t xml:space="preserve">Project_Wiki.md note 31 20 00 (Civil &amp; Site): (¶1.02–1.03; pp.383–384 — Verified)</t>
  </si>
  <si>
    <t xml:space="preserve">Spec 31 23 19</t>
  </si>
  <si>
    <t xml:space="preserve">SUB 31 23 19-01</t>
  </si>
  <si>
    <t xml:space="preserve">Submittal: a dewatering plan before construction, 'in accordance with Section 01 30 00', showing methods, equipment, well and sump details, stormwater diversions, discharge points and contingency plans for settlement; it is kept up to date like the TESC plan</t>
  </si>
  <si>
    <t xml:space="preserve">O&amp;M manual; Plan / procedure</t>
  </si>
  <si>
    <t xml:space="preserve">before construction</t>
  </si>
  <si>
    <t xml:space="preserve">31 23 19</t>
  </si>
  <si>
    <t xml:space="preserve">Project_Wiki.md note 31 23 19 (Civil &amp; Site): (¶1.2; p.389 — Verified; section number not in the manual, see Issues)</t>
  </si>
  <si>
    <t xml:space="preserve">Spec 31 23 33</t>
  </si>
  <si>
    <t xml:space="preserve">SUB 31 23 33-01</t>
  </si>
  <si>
    <t xml:space="preserve">Submittals: disposal sites, gradation tests and proctors for imported material, geotextile cut sheets, and a traffic control plan per WSDOT 1-10</t>
  </si>
  <si>
    <t xml:space="preserve">31 23 33</t>
  </si>
  <si>
    <t xml:space="preserve">C7.1 (Det. 6); C7.4 (Det. 2, Note I); G0.3 (Note 7)</t>
  </si>
  <si>
    <t xml:space="preserve">PROPOSED-Tracer wire and locater boxes; PROPOSED-Temporary shoring and trench safety systems</t>
  </si>
  <si>
    <t xml:space="preserve">1; 2</t>
  </si>
  <si>
    <t xml:space="preserve">Project_Wiki.md note 31 23 33 (Civil &amp; Site): (¶1.05 C, ¶1.06; p.394 — Verified)</t>
  </si>
  <si>
    <t xml:space="preserve">Spec 31 32 11</t>
  </si>
  <si>
    <t xml:space="preserve">SUB 31 32 11-01</t>
  </si>
  <si>
    <t xml:space="preserve">Submittals: geotextile for silt fence, compost for compost berm, inlet protection products, barrier fence, track clean plates and any other erosion control product; the installer must be a specialist</t>
  </si>
  <si>
    <t xml:space="preserve">31 32 11</t>
  </si>
  <si>
    <t xml:space="preserve">C0.4 (Det. 1); C0.3; C0.4 (Det. 2); C0.2; C0.4 (Det. 3); C0.6; C0.4 (Det. 4); C0.4 (Det. 5); C0.4 (Det. 3 note); C0.3 (KN 1)</t>
  </si>
  <si>
    <t xml:space="preserve">PROPOSED-Plastic covering for slopes and stockpiles; PROPOSED-Catch basin inserts; PROPOSED-Filter fabric fence; PROPOSED-Stabilized construction entrance; PROPOSED-Geotextile encased check dams; PROPOSED-Compost berm; PROPOSED-Orange barrier fence; PROPOSED-Emergency access areas</t>
  </si>
  <si>
    <t xml:space="preserve">4</t>
  </si>
  <si>
    <t xml:space="preserve">Project_Wiki.md note 31 32 11 (Civil &amp; Site): (¶1.04–1.05; p.398 — Verified)</t>
  </si>
  <si>
    <t xml:space="preserve">Spec 31 40 00</t>
  </si>
  <si>
    <t xml:space="preserve">SUB 31 40 00-01</t>
  </si>
  <si>
    <t xml:space="preserve">Submittals: shoring layout and design drawings, calculations and backup data, plus a settlement monitoring and contingency plan for excavations deeper than 10 ft</t>
  </si>
  <si>
    <t xml:space="preserve">31 40 00</t>
  </si>
  <si>
    <t xml:space="preserve">G0.3 (Note 7)</t>
  </si>
  <si>
    <t xml:space="preserve">PROPOSED-Temporary shoring and trench safety systems</t>
  </si>
  <si>
    <t xml:space="preserve">2</t>
  </si>
  <si>
    <t xml:space="preserve">Project_Wiki.md note 31 40 00 (Civil &amp; Site): (¶1.04; p.401 — Verified)</t>
  </si>
  <si>
    <t xml:space="preserve">Spec 02 83 00; Chain Link Fences and Gates → Division 32 (MasterFormat 2004: 32 31 13)</t>
  </si>
  <si>
    <t xml:space="preserve">Approve by 2023-03-15 (CWP 32 first work, Inferred)</t>
  </si>
  <si>
    <t xml:space="preserve">32-P01</t>
  </si>
  <si>
    <t xml:space="preserve">SUB 02 83 00-01</t>
  </si>
  <si>
    <t xml:space="preserve">Submittals: three samples (fabric, post section, accessories) and shop drawings showing height, fabric, post and gate locations and sizes, footings and hardware</t>
  </si>
  <si>
    <t xml:space="preserve">02 83 00</t>
  </si>
  <si>
    <t xml:space="preserve">C2.5; C2.1</t>
  </si>
  <si>
    <t xml:space="preserve">PROPOSED-Chain link fence 126 LF</t>
  </si>
  <si>
    <t xml:space="preserve">Project_Wiki.md note 02 83 00 (Civil &amp; Site): (¶1.04; p.163 — Verified)</t>
  </si>
  <si>
    <t xml:space="preserve">Spec 02 92 00; Landscaping → Division 32 (MasterFormat 2004: 32 90 00)</t>
  </si>
  <si>
    <t xml:space="preserve">SUB 02 92 00-01</t>
  </si>
  <si>
    <t xml:space="preserve">Covers re-establishing grass in areas disturbed by construction: stripping, stockpiling, topsoil, compost and hydroseeding, with a one-year seeding guarantee and 2 in of straw on graded areas not seeded or paved by October 15</t>
  </si>
  <si>
    <t xml:space="preserve">02 92 00</t>
  </si>
  <si>
    <t xml:space="preserve">C7.4 (Det. 2, Notes A, C); C0.2 (Item 22)</t>
  </si>
  <si>
    <t xml:space="preserve">PROPOSED-Hydroseeded restoration areas</t>
  </si>
  <si>
    <t xml:space="preserve">Project_Wiki.md note 02 92 00 (Civil &amp; Site): (¶1.1, ¶1.3; main spec p.169 — Verified)</t>
  </si>
  <si>
    <t xml:space="preserve">SUB 02 92 00-02</t>
  </si>
  <si>
    <t xml:space="preserve">Submittals: product data and installation recommendations, seed vendor blue-tag certification, and maintenance instructions after acceptance</t>
  </si>
  <si>
    <t xml:space="preserve">Product data; Certificates / reports</t>
  </si>
  <si>
    <t xml:space="preserve">Project_Wiki.md note 02 92 00 (Civil &amp; Site): (¶1.03; p.169 — Verified)</t>
  </si>
  <si>
    <t xml:space="preserve">Spec 32 12 16</t>
  </si>
  <si>
    <t xml:space="preserve">SUB 32 12 16-01</t>
  </si>
  <si>
    <t xml:space="preserve">HMA is Class 1/2-in PG 58H-22 per WSDOT 5-04.2 at 91% minimum density, commercial classification, with the mix design submitted on WSDOT form 350-042 and verified by WSDOT; lab certificates (sieve analysis, mix design) are due at least 5 days before placement</t>
  </si>
  <si>
    <t xml:space="preserve">Mix design; Certificates / reports</t>
  </si>
  <si>
    <t xml:space="preserve">5 days before placement (¶1; before placement (¶1</t>
  </si>
  <si>
    <t xml:space="preserve">32 12 16</t>
  </si>
  <si>
    <t xml:space="preserve">C7.3 (Det. 3); C7.4 (Det. 2); C2.6; C2.1 (KN 5)</t>
  </si>
  <si>
    <t xml:space="preserve">PROPOSED-HMA pavement; PROPOSED-Asphalt wedge curb</t>
  </si>
  <si>
    <t xml:space="preserve">Project_Wiki.md note 32 12 16 (Civil &amp; Site): (¶1.02, ¶2.01; p.404 — Verified)</t>
  </si>
  <si>
    <t xml:space="preserve">SUB 32 12 16-02</t>
  </si>
  <si>
    <t xml:space="preserve">Asphalt is placed in 2-in lifts, matching existing thickness or the plan repair section, whichever is thicker; no material transfer devices; joints sealed with hot-poured sealant</t>
  </si>
  <si>
    <t xml:space="preserve">Project_Wiki.md note 32 12 16 (Civil &amp; Site): (¶3.02, ¶3.04; p.405 — Verified)</t>
  </si>
  <si>
    <t xml:space="preserve">Spec 32 32 23</t>
  </si>
  <si>
    <t xml:space="preserve">SUB 32 32 23-01</t>
  </si>
  <si>
    <t xml:space="preserve">The Contractor designs, furnishes and builds the gravity block retaining wall; construction drawings and design calculations must be stamped by a Washington PE, with a manufacturer's certification before work starts</t>
  </si>
  <si>
    <t xml:space="preserve">Calculations / sealed design; Certificates / reports</t>
  </si>
  <si>
    <t xml:space="preserve">32 32 23</t>
  </si>
  <si>
    <t xml:space="preserve">C2.5; C0.2; C0.5; C2.1</t>
  </si>
  <si>
    <t xml:space="preserve">PROPOSED-Block retaining wall</t>
  </si>
  <si>
    <t xml:space="preserve">Project_Wiki.md note 32 32 23 (Civil &amp; Site): (¶1.01, ¶1.04; main spec pp.408–409 — Verified)</t>
  </si>
  <si>
    <t xml:space="preserve">Most linked Ledger rows are in CWP 33 (13 of 13) — Inferred</t>
  </si>
  <si>
    <t xml:space="preserve">Approve by 2023-04-01 (CWP 33 first work, Inferred)</t>
  </si>
  <si>
    <t xml:space="preserve">33-P01</t>
  </si>
  <si>
    <t xml:space="preserve">SUB C1.4-01</t>
  </si>
  <si>
    <t xml:space="preserve">Twelve are gate valves: 6-in influent flow meter isolation (1), 8-in Train 2 and Train 3 flow meter isolation (2, 3), 4-in drain flow meter isolation (4, 5, 13), 4-in treated effluent outlet box drain (6, 7), 4-in UV disinfection drain (8), 4-in sample sump drain (9) and 4-in pump station clean-out drain (10, 11)</t>
  </si>
  <si>
    <t xml:space="preserve">C1.4</t>
  </si>
  <si>
    <t xml:space="preserve">Buried Valve ID 1; Buried Valve ID 2; Buried Valve ID 3; Buried Valve ID 4; Buried Valve ID 5; Buried Valve ID 6; Buried Valve ID 7; Buried Valve ID 8; Buried Valve ID 9; Buried Valve ID 10; Buried Valve ID 11; Buried Valve ID 12; Buried Valve ID 13</t>
  </si>
  <si>
    <t xml:space="preserve">Project_Wiki.md note C1.4 (Civil &amp; Site): (plans_3Part-2 p.1, C1.4 — Verified)</t>
  </si>
  <si>
    <t xml:space="preserve">Requirement sentence taken verbatim from the note; Subtype, Timing, Acceptance and Responsible Party parsed from it by keyword (Merge, Inferred — check against the cited ¶). Linked Ledger rows: 13 (flag Y and sheet cited; linkage Inferred).</t>
  </si>
  <si>
    <t xml:space="preserve">Most linked Ledger rows are in CWP 33 (2 of 3) — Inferred</t>
  </si>
  <si>
    <t xml:space="preserve">SUB C7.1-01</t>
  </si>
  <si>
    <t xml:space="preserve">The floor drain is a 4-in stainless steel drain with a 2-in trap and PVC outlet; the traffic-rated riser uses a 24-in cast iron frame and cover sealed with asphaltic sealant (Ramnek or equal), with a 12 x 8-in reinforced collar in traffic areas</t>
  </si>
  <si>
    <t xml:space="preserve">C7.1</t>
  </si>
  <si>
    <t xml:space="preserve">Pipe ID 22; PROPOSED-Gravity sewer cleanouts; PROPOSED-Tracer wire and locater boxes</t>
  </si>
  <si>
    <t xml:space="preserve">Project_Wiki.md note C7.1 (Civil &amp; Site): (Details 2–3; plans_6 p.3, C7.1 — Verified-Visual)</t>
  </si>
  <si>
    <t xml:space="preserve">Requirement sentence taken verbatim from the note; Subtype, Timing, Acceptance and Responsible Party parsed from it by keyword (Merge, Inferred — check against the cited ¶). Linked Ledger rows: 3 (flag Y and sheet cited; linkage Inferred).</t>
  </si>
  <si>
    <t xml:space="preserve">Most linked Ledger rows are in CWP 33 (2 of 2) — Inferred</t>
  </si>
  <si>
    <t xml:space="preserve">SUB C7.5-01</t>
  </si>
  <si>
    <t xml:space="preserve">Four details, not to scale: 1 Typical Plant Water (2W) Yard Hydrant Stations, 2 Post Hydrant Detail, 3 Traffic Manhole Ring Details (double manhole condition), 4 Influent Sample Sump</t>
  </si>
  <si>
    <t xml:space="preserve">C7.5</t>
  </si>
  <si>
    <t xml:space="preserve">Pipe ID 22; PROPOSED-Post hydrant</t>
  </si>
  <si>
    <t xml:space="preserve">Project_Wiki.md note C7.5 (Civil &amp; Site): (plans_6 p.7, C7.5 — Verified; numbering Verified-Visual)</t>
  </si>
  <si>
    <t xml:space="preserve">SUB C7.5-02</t>
  </si>
  <si>
    <t xml:space="preserve">The influent sample sump is a 24-in by 6-ft precast well curb (H2 Precast WC-24 or equal) on a 12-in precast base, top flush with pavement at about 23.50, with 8-in DI gravity in at IE 19.65 (field-confirm), 8-in influent at IE 19.55, a 4-in drain at IE 18.20, a 2-in sampling conduit, and the traffic-rated lid of 3/C7.1</t>
  </si>
  <si>
    <t xml:space="preserve">Project_Wiki.md note C7.5 (Civil &amp; Site): (Detail 4; plans_6 p.7, C7.5 — Verified-Visual)</t>
  </si>
  <si>
    <t xml:space="preserve">Most linked Ledger rows are in CWP 33 (3 of 3) — Inferred</t>
  </si>
  <si>
    <t xml:space="preserve">SUB C7.10-01</t>
  </si>
  <si>
    <t xml:space="preserve">Add. 4 Clarification 2 requires the exterior of all precast vault joints to be sealed with CANUSA-CPS WrapidSeal or approved equal — Add. 4 governs</t>
  </si>
  <si>
    <t xml:space="preserve">C7.10</t>
  </si>
  <si>
    <t xml:space="preserve">Pipe ID 8; Buried Valve ID 2; Buried Valve ID 3</t>
  </si>
  <si>
    <t xml:space="preserve">Project_Wiki.md note C7.10 (Civil &amp; Site): (Add. 4 p.1, Clarification 2 — Verified)</t>
  </si>
  <si>
    <t xml:space="preserve">Spec 33 05 00</t>
  </si>
  <si>
    <t xml:space="preserve">SUB 33 05 00-01</t>
  </si>
  <si>
    <t xml:space="preserve">Submittals: field-fabrication data, material certifications, and verification of every existing pipe to be connected (exposed and checked for size, material, elevation, location and service)</t>
  </si>
  <si>
    <t xml:space="preserve">33 05 00</t>
  </si>
  <si>
    <t xml:space="preserve">C1.3 (Add. 4 p.7); C1.6A (Add. 4 p.8); C7.10; C7.1 (Det. 1); C7.5 (Det. 1); C1.4; C7.3 (Det. 2)</t>
  </si>
  <si>
    <t xml:space="preserve">Pipe ID 2; Pipe ID 3; Pipe ID 4; Pipe ID 5; Pipe ID 6; Pipe ID 7; Pipe ID 8; Pipe ID 9; Pipe ID 10; Pipe ID 11; Pipe ID 12; Pipe ID 13; Pipe ID 14; Pipe ID 15; Pipe ID 16; Pipe ID 17; Pipe ID 18; Pipe ID 19; Pipe ID 20; Pipe ID 21; Pipe ID 22; Pipe ID 23; Pipe ID 24; Pipe ID 25; Pipe ID 26; Buried Valve ID 1; Buried Valve ID 2; Buried Valve ID 3; Buried Valve ID 4; Buried Valve ID 5; Buried Valve ID 6; Buried Valve ID 7; Buried Valve ID 8; Buried Valve ID 9; Buried Valve ID 10; Buried Valve ID 11; Buried Valve ID 12; Buried Valve ID 13</t>
  </si>
  <si>
    <t xml:space="preserve">Project_Wiki.md note 33 05 00 (Civil &amp; Site): (¶1.04; p.414 — Verified)</t>
  </si>
  <si>
    <t xml:space="preserve">Requirement sentence taken verbatim from the note; Subtype, Timing, Acceptance and Responsible Party parsed from it by keyword (Merge, Inferred — check against the cited ¶). Linked Ledger rows: 38 (flag Y and section cited; linkage Inferred).</t>
  </si>
  <si>
    <t xml:space="preserve">Spec 33 30 00</t>
  </si>
  <si>
    <t xml:space="preserve">SUB 33 30 00-01</t>
  </si>
  <si>
    <t xml:space="preserve">General requirements for all piping systems shown on the plans, with trenching per 31 23 33 and submittals 'per Section 01 30 00' (not in the manual): field-fabrication data, shop laying drawings, pipe support drawings, material certifications and field welding procedures</t>
  </si>
  <si>
    <t xml:space="preserve">Shop drawings; Certificates / reports; O&amp;M manual; Plan / procedure</t>
  </si>
  <si>
    <t xml:space="preserve">33 30 00</t>
  </si>
  <si>
    <t xml:space="preserve">C0.5 (KN 22); C1.3 (Add. 4 p.7); C1.6A (Add. 4 p.8); C7.10; C7.1 (Det. 1); C7.5 (Det. 1); C1.4; C7.3 (Det. 2); C2.2; C7.1 (Det. 5); C7.1 (Det. 6); C7.4 (Det. 2, Note I); C7.5 (Det. 2); C2.3 (plan and profile); C2.1; C2.3; C2.1 (KN 3)</t>
  </si>
  <si>
    <t xml:space="preserve">PROPOSED-Water line relocation at storm drain; Pipe ID 2; Pipe ID 3; Pipe ID 4; Pipe ID 5; Pipe ID 6; Pipe ID 7; Pipe ID 8; Pipe ID 9; Pipe ID 10; Pipe ID 11; Pipe ID 12; Pipe ID 13; Pipe ID 14; Pipe ID 15; Pipe ID 16; Pipe ID 17; Pipe ID 18; Pipe ID 19; Pipe ID 20; Pipe ID 21; Pipe ID 22; Pipe ID 23; Pipe ID 24; Pipe ID 25; Pipe ID 26; Buried Valve ID 1; Buried Valve ID 2; Buried Valve ID 3; Buried Valve ID 4; Buried Valve ID 5; Buried Valve ID 6; Buried Valve ID 7; Buried Valve ID 8; Buried Valve ID 9; Buried Valve ID 10; Buried Valve ID 11; Buried Valve ID 12; Buried Valve ID 13; SD-1 (+7 more)</t>
  </si>
  <si>
    <t xml:space="preserve">Project_Wiki.md note 33 30 00 (Civil &amp; Site): (¶1.01–1.02; main spec pp.420–421 — Verified; see Issues)</t>
  </si>
  <si>
    <t xml:space="preserve">Requirement sentence taken verbatim from the note; Subtype, Timing, Acceptance and Responsible Party parsed from it by keyword (Merge, Inferred — check against the cited ¶). Linked Ledger rows: 47 (flag Y and section cited; linkage Inferred).</t>
  </si>
  <si>
    <t xml:space="preserve">SUB 33 30 00-02</t>
  </si>
  <si>
    <t xml:space="preserve">All new piping gets #12 AWG steel-core tracer wire (Copperhead 1230-HS or equal) tied at 10-ft intervals, color-coded green for sewer, purple for non-potable and blue for potable, with Copperhead LD14/CD14/HS14 boxes whose locations are submitted before construction</t>
  </si>
  <si>
    <t xml:space="preserve">before construction (¶3</t>
  </si>
  <si>
    <t xml:space="preserve">Project_Wiki.md note 33 30 00 (Civil &amp; Site): (¶3.03; pp.426–427 — Verified; conflicts with C7.1 and C7.4, see Issues)</t>
  </si>
  <si>
    <t xml:space="preserve">Spec 33 32 00</t>
  </si>
  <si>
    <t xml:space="preserve">SUB 33 32 00-01</t>
  </si>
  <si>
    <t xml:space="preserve">Submittals: field-fabrication data, material certifications, submittals for all pipe and appurtenances (fittings, valves, valve boxes, services), and a water main shut-down / temporary bypass plan with customer notices (one week for construction, 48 hours for shutdowns)</t>
  </si>
  <si>
    <t xml:space="preserve">33 32 00</t>
  </si>
  <si>
    <t xml:space="preserve">C0.5 (KN 22); C1.3 (Add. 4 p.7)</t>
  </si>
  <si>
    <t xml:space="preserve">PROPOSED-Water line relocation at storm drain; Pipe ID 12</t>
  </si>
  <si>
    <t xml:space="preserve">Project_Wiki.md note 33 32 00 (Civil &amp; Site): (¶1.03; pp.436–437 — Verified)</t>
  </si>
  <si>
    <t xml:space="preserve">Spec 33 33 00</t>
  </si>
  <si>
    <t xml:space="preserve">SUB 33 33 00-01</t>
  </si>
  <si>
    <t xml:space="preserve">Covers HDPE pipe installation; fusion operator qualifications go to the Engineer for approval before pipe is ordered</t>
  </si>
  <si>
    <t xml:space="preserve">Qualifications</t>
  </si>
  <si>
    <t xml:space="preserve">33 33 00</t>
  </si>
  <si>
    <t xml:space="preserve">C0.5 (KN 1, 8); C0.7 (cited); C1.3 (Add. 4 p.7); C1.6A (Add. 4 p.8)</t>
  </si>
  <si>
    <t xml:space="preserve">PROPOSED-Interim 8in HDPE effluent pipe; Pipe ID 10; Pipe ID 23</t>
  </si>
  <si>
    <t xml:space="preserve">Project_Wiki.md note 33 33 00 (Civil &amp; Site): (¶1.01–1.02; main spec p.444 — Verified)</t>
  </si>
  <si>
    <t xml:space="preserve">SUB 33 33 00-02</t>
  </si>
  <si>
    <t xml:space="preserve">Operators must be manufacturer-trained with 5,000 LF of HDPE fusion experience, a comparable project in the last three years, and current 49 CFR 192.283/192.285/192.287 certifications for the machine used</t>
  </si>
  <si>
    <t xml:space="preserve">Certificates / reports; Qualifications</t>
  </si>
  <si>
    <t xml:space="preserve">Project_Wiki.md note 33 33 00 (Civil &amp; Site): (¶1.03; p.444 — Verified)</t>
  </si>
  <si>
    <t xml:space="preserve">SUB 33 33 00-03</t>
  </si>
  <si>
    <t xml:space="preserve">Joints are butt-fused above ground to the manufacturer's procedure; all joints are visually inspected and data-logged (logs submitted), and 3 joints or 3%, whichever is greater, are destructively tested</t>
  </si>
  <si>
    <t xml:space="preserve">Project_Wiki.md note 33 33 00 (Civil &amp; Site): (¶3.03; p.446 — Verified)</t>
  </si>
  <si>
    <t xml:space="preserve">Spec 33 41 00</t>
  </si>
  <si>
    <t xml:space="preserve">SUB 33 41 00-01</t>
  </si>
  <si>
    <t xml:space="preserve">Covers new storm sewer pipe, catch basins, roof drains and retaining wall drainage; submittals are catch basins with frames, grates and lids, and storm and roof drain piping and accessories</t>
  </si>
  <si>
    <t xml:space="preserve">33 41 00</t>
  </si>
  <si>
    <t xml:space="preserve">C2.2; C2.1; C2.3; C2.4; C0.3; C2.1 (KN 7); C2.3 (SD-3); C2.3 (plan and profile); C2.1 (KN 3)</t>
  </si>
  <si>
    <t xml:space="preserve">SD-1; PROPOSED-4in roof drain at SD-1; SDCB #5; SDCB #8; SDCB #9; SDCB #7; SDCB #10; SDCB #2; SDCB #3; SDCB #4; SDCB #6; SDCB #1; SD-2; SD-3; PROPOSED-4in roof drain connections (SD-2, SD-3)</t>
  </si>
  <si>
    <t xml:space="preserve">Add. 4 p.2, ¶2.02 — Add. 4 governs</t>
  </si>
  <si>
    <t xml:space="preserve">Project_Wiki.md note 33 41 00 (Civil &amp; Site): (¶1.01, ¶1.03; main spec p.447 — Verified)</t>
  </si>
  <si>
    <t xml:space="preserve">Requirement sentence taken verbatim from the note; Subtype, Timing, Acceptance and Responsible Party parsed from it by keyword (Merge, Inferred — check against the cited ¶). Linked Ledger rows: 15 (flag Y and section cited; linkage Inferred).</t>
  </si>
  <si>
    <t xml:space="preserve">Spec 33 31 00</t>
  </si>
  <si>
    <t xml:space="preserve">SUB 33 31 00-00</t>
  </si>
  <si>
    <t xml:space="preserve">Requirement flagged on 23 Ledger row(s) citing 33 31 00; the Wiki note does not summarize it</t>
  </si>
  <si>
    <t xml:space="preserve">33 31 00</t>
  </si>
  <si>
    <t xml:space="preserve">C1.3 (Add. 4 p.7); C1.6A (Add. 4 p.8); C7.10; C7.1 (Det. 1); C7.5 (Det. 1); C7.1 (Det. 5)</t>
  </si>
  <si>
    <t xml:space="preserve">Pipe ID 2; Pipe ID 3; Pipe ID 5; Pipe ID 6; Pipe ID 7; Pipe ID 8; Pipe ID 10; Pipe ID 11; Pipe ID 13; Pipe ID 14; Pipe ID 15; Pipe ID 16; Pipe ID 17; Pipe ID 18; Pipe ID 19; Pipe ID 20; Pipe ID 21; Pipe ID 22; Pipe ID 23; Pipe ID 24; Pipe ID 25; Pipe ID 26; PROPOSED-Gravity sewer cleanouts</t>
  </si>
  <si>
    <t xml:space="preserve">Spec 40 05 71</t>
  </si>
  <si>
    <t xml:space="preserve">Approve by 2023-04-01 (CWP 40 first work, Inferred)</t>
  </si>
  <si>
    <t xml:space="preserve">40-P01</t>
  </si>
  <si>
    <t xml:space="preserve">SUB 40 05 71-01</t>
  </si>
  <si>
    <t xml:space="preserve">Basis of design is Waterman TS-2 or equal (¶2.02 p.452); submittals per 01 33 00 are catalog data, fabrication and installation drawings, and O&amp;M information (¶1.02 A p.451); installation follows the manufacturer's instructions and no testing is specified</t>
  </si>
  <si>
    <t xml:space="preserve">Product data; O&amp;M manual</t>
  </si>
  <si>
    <t xml:space="preserve">40 05 71</t>
  </si>
  <si>
    <t xml:space="preserve">G0.6; G0.7; C5.1; C5.3</t>
  </si>
  <si>
    <t xml:space="preserve">PROPOSED-DIGESTER-TELESCOPING-VALVE</t>
  </si>
  <si>
    <t xml:space="preserve">Project_Wiki.md note 40 05 71 (Process &amp; Mechanical): (¶3.01 p.452)</t>
  </si>
  <si>
    <t xml:space="preserve">Spec 41 12 13</t>
  </si>
  <si>
    <t xml:space="preserve">Approve by 2023-11-01 (CWP 41 first work, Inferred)</t>
  </si>
  <si>
    <t xml:space="preserve">41-P01</t>
  </si>
  <si>
    <t xml:space="preserve">SUB 41 12 13-01</t>
  </si>
  <si>
    <t xml:space="preserve">Submittals cite "Section 01340" and "Section 01 30 00" and repeat telescoping valve wording (¶1.3 A p.454; Issue 23), plus data sheets and component lists (¶1.3 B); each conveyor is shop assembled and run before shipment</t>
  </si>
  <si>
    <t xml:space="preserve">41 12 13</t>
  </si>
  <si>
    <t xml:space="preserve">C6.1</t>
  </si>
  <si>
    <t xml:space="preserve">PROPOSED-SCREW-CONVEYOR; Receiving Conveyor; Inclined Conveyor</t>
  </si>
  <si>
    <t xml:space="preserve">1; Equipment Alternate C</t>
  </si>
  <si>
    <t xml:space="preserve">Project_Wiki.md note 41 12 13 (Process &amp; Mechanical): (¶3.02 A p.460)</t>
  </si>
  <si>
    <t xml:space="preserve">Most linked Ledger rows are in CWP 43 (3 of 3) — Inferred</t>
  </si>
  <si>
    <t xml:space="preserve">Approve by 2023-04-01 (CWP 43 first work, Inferred)</t>
  </si>
  <si>
    <t xml:space="preserve">43-P01</t>
  </si>
  <si>
    <t xml:space="preserve">SUB C4.2-01</t>
  </si>
  <si>
    <t xml:space="preserve">Add. 4 p.1 Clarification 2 (exterior of all precast concrete wet well joints sealed with CANUSA-CPS WrapidSeal or approved equal) applies to this precast wet well, where C4.2 calls no joint sealant — Add. 4 governs</t>
  </si>
  <si>
    <t xml:space="preserve">PROPOSED-2W-PUMP-STATION-WET-WELL; PROPOSED-2W-Pump-Station-Wet-Well; PROPOSED-2W-PUMPS; PROPOSED-2W-AIR-GAP-ENCLOSURE</t>
  </si>
  <si>
    <t xml:space="preserve">Project_Wiki.md note C4.2 (Process &amp; Mechanical): citation in note header</t>
  </si>
  <si>
    <t xml:space="preserve">Spec 43 11 00</t>
  </si>
  <si>
    <t xml:space="preserve">SUB 43 11 00-01</t>
  </si>
  <si>
    <t xml:space="preserve">Each blower is slip tested and run 30 minutes at maximum speed and differential, each package runs 15 minutes before shipment with a conformance certificate, the blower warranty is 60 months from shipment (other components 1 year from substantial completion), and submittals per 01 33 00 are catalog data, fabrication and installation drawings, and O&amp;M information</t>
  </si>
  <si>
    <t xml:space="preserve">43 11 00</t>
  </si>
  <si>
    <t xml:space="preserve">C6.3; C6.4; C6.5</t>
  </si>
  <si>
    <t xml:space="preserve">ESWD WWTP – Aerobic Digester Blower; ESWD WWTP – Biological Treatment System Blowers (Trains 1 – 3)</t>
  </si>
  <si>
    <t xml:space="preserve">Project_Wiki.md note 43 11 00 (Process &amp; Mechanical): (¶2.01 L–N pp.467–468; ¶1.02 A p.462)</t>
  </si>
  <si>
    <t xml:space="preserve">Spec 43 22 10</t>
  </si>
  <si>
    <t xml:space="preserve">SUB 43 22 10-01</t>
  </si>
  <si>
    <t xml:space="preserve">Submittals per 01 33 00 are catalog data, fabrication and installation drawings and O&amp;M information (¶1.02 A p.472); one set of special tools is furnished (¶1.03 A); installation includes verifying pump rotation, and the suppliers train the Owner</t>
  </si>
  <si>
    <t xml:space="preserve">Contractor (submits per 01 33 00 — Inferred); also named: Owner; Manufacturer / supplier</t>
  </si>
  <si>
    <t xml:space="preserve">43 22 10</t>
  </si>
  <si>
    <t xml:space="preserve">G0.7; C4.2; C4.3; C6.4</t>
  </si>
  <si>
    <t xml:space="preserve">PROPOSED-2W-FLOW-METER; PROPOSED-2W-PUMP-STATION-WET-WELL; PROPOSED-2W-Pump-Station-Wet-Well; PROPOSED-2W-PUMPS; PROPOSED-2W-DIAPHRAGM-TANKS; PROPOSED-YARD-HYDRANTS; PROPOSED-2W-AIR-GAP-ENCLOSURE; PROPOSED-EYE-WASH-STATIONS</t>
  </si>
  <si>
    <t xml:space="preserve">Project_Wiki.md note 43 22 10 (Process &amp; Mechanical): (¶3.01–3.02 p.475)</t>
  </si>
  <si>
    <t xml:space="preserve">Requirement sentence taken verbatim from the note; Subtype, Timing, Acceptance and Responsible Party parsed from it by keyword (Merge, Inferred — check against the cited ¶). Linked Ledger rows: 7 (flag Y and section cited; linkage Inferred).</t>
  </si>
  <si>
    <t xml:space="preserve">Spec 45 05 00</t>
  </si>
  <si>
    <t xml:space="preserve">Approve by 2023-04-01 (CWP 45 first work, Inferred)</t>
  </si>
  <si>
    <t xml:space="preserve">45-P01</t>
  </si>
  <si>
    <t xml:space="preserve">SUB 45 05 00-01</t>
  </si>
  <si>
    <t xml:space="preserve">Covers furnishing and installing the valves in the plant piping systems, complete with operators, with submittals per 01 33 00 and NSF 61 materials for potable water</t>
  </si>
  <si>
    <t xml:space="preserve">45 05 00</t>
  </si>
  <si>
    <t xml:space="preserve">C4.1; C6.3; C6.5</t>
  </si>
  <si>
    <t xml:space="preserve">PROPOSED-IPS-CHECK-VALVES; PROPOSED-IPS-GATE-VALVES; PROPOSED-AIR-BUTTERFLY-VALVES</t>
  </si>
  <si>
    <t xml:space="preserve">Project_Wiki.md note 45 05 00 (Process &amp; Mechanical): (¶1.01–2.01 p.476)</t>
  </si>
  <si>
    <t xml:space="preserve">SUB 45 05 00-02</t>
  </si>
  <si>
    <t xml:space="preserve">Every shut-off or control valve gets a 1-1/2" stainless tag with its ID "as listed on the valve schedule", a submitted valve directory, and a label marker in a concrete pad per the plans and valve schedule (¶2.015–2.016 p.479); no valve schedule is in the P&amp;M stack</t>
  </si>
  <si>
    <t xml:space="preserve">Project_Wiki.md note 45 05 00 (Process &amp; Mechanical): (cross-lane item)</t>
  </si>
  <si>
    <t xml:space="preserve">SUB 45 05 00-03</t>
  </si>
  <si>
    <t xml:space="preserve">Installation sets stem orientation by pipe centerline height (4'-6") and requires watertight joints, and valves are tested with the adjacent pipeline, with a manufacturer affidavit on request</t>
  </si>
  <si>
    <t xml:space="preserve">Project_Wiki.md note 45 05 00 (Process &amp; Mechanical): (¶3.01–3.02 pp.479–480)</t>
  </si>
  <si>
    <t xml:space="preserve">Most linked Ledger rows are in CWP 46 (7 of 12) — Inferred</t>
  </si>
  <si>
    <t xml:space="preserve">Approve by 2023-04-01 (CWP 46 first work, Inferred)</t>
  </si>
  <si>
    <t xml:space="preserve">46-P01</t>
  </si>
  <si>
    <t xml:space="preserve">SUB G0.5-01</t>
  </si>
  <si>
    <t xml:space="preserve">8" STEP influent and an influent sample sump feed the Influent Pump Station, which pumps through a 6" influent flow meter to the flow splitter; the splitter feeds Treatment Cell #1 (Train #1) on INF1, Treatment Cell #2 (Train #2) through an 8" Train #2 flow meter on INF2, and New Treatment Cell #3 (Train #3) through an 8" Train #3 flow meter on INF3, with a fourth outlet marked FUTURE. Secondary effluent SE1–SE3 passes an 8" effluent flow meter into UV Channels #1 and #2, then 10" final effluent runs to SSMH *1288 and the 12" outfall; a 4" UV chamber drain is shown. WAS1–WAS3 go to a WAS pump and the aerobic digester above the UV chamber; a digested sludge pump with a flow meter feeds the rotary fan press and the existing screw press (drawn gray), and the 4" pressate drain returns through a 4" plant drain flow meter to the pump station. Train #3 shows Anoxic 1, Anoxic 2, Aeration 1, Aeration 2 and a clarifier, with ML recycle airlift pumps, a RAS airlift pump, and a carbon addition point into Anoxic 2. Legend: isolation valve, flow direction, flow meter (FM), airlift pump</t>
  </si>
  <si>
    <t xml:space="preserve">G0.5</t>
  </si>
  <si>
    <t xml:space="preserve">PROPOSED-PLANT-DRAIN-FLOW-METER; PROPOSED-Plant-Drain-Flow-Meter; PROPOSED-DIGESTED-SLUDGE-FLOW-METER; PROPOSED-TRAIN-3-TREATMENT-SYSTEM; PROPOSED-TRAIN-3-RAS-AIRLIFT; PROPOSED-TRAIN-3-MLR-AIRLIFT; PROPOSED-CARBON-FEED-PUMPS; PROPOSED-INFLUENT-PUMP-STATION-WET-WELL; PROPOSED-UV-SYSTEM; PROPOSED-ROTARY-FAN-PRESS; PROPOSED-WAS-PUMP; PROPOSED-SWING-SLUDGE-PUMP; PROPOSED-DIGESTED-SLUDGE-PUMP</t>
  </si>
  <si>
    <t xml:space="preserve">Project_Wiki.md note G0.5 (Process &amp; Mechanical): citation in note header</t>
  </si>
  <si>
    <t xml:space="preserve">Requirement sentence taken verbatim from the note; Subtype, Timing, Acceptance and Responsible Party parsed from it by keyword (Merge, Inferred — check against the cited ¶). Linked Ledger rows: 12 (flag Y and sheet cited; linkage Inferred).</t>
  </si>
  <si>
    <t xml:space="preserve">Most linked Ledger rows are in CWP 46 (3 of 4) — Inferred</t>
  </si>
  <si>
    <t xml:space="preserve">SUB C5.1-01</t>
  </si>
  <si>
    <t xml:space="preserve">One concrete structure about 45.00' × 13.00' (44.00' and 12.00' inside dimensions shown) holds the UV disinfection chamber (UV Channels #1 and #2), an effluent sample chamber ("effluent sample location") and the aerobic digester; section cuts A–D refer to C5.2 and C5.3. An 8" inlet splits to the two channels through 8" gate valves with hand wheels (keyed note 5); each channel holds a bank of UV modules with 1" drains, work areas sloped 1% minimum, rim EL 18.74 and TOC 18.83, with two wall-mounted control panels, aluminum access ladders (nominal 2' wide, keyed note 4) and a 4" UV drain with 4" gate valves</t>
  </si>
  <si>
    <t xml:space="preserve">C5.1</t>
  </si>
  <si>
    <t xml:space="preserve">PROPOSED-UV-SYSTEM; PROPOSED-UV-CONTROL-PANELS; PROPOSED-DIGESTER-TELESCOPING-VALVE; PROPOSED-DIGESTER-DIFFUSERS</t>
  </si>
  <si>
    <t xml:space="preserve">1; Equipment Alternate D</t>
  </si>
  <si>
    <t xml:space="preserve">Project_Wiki.md note C5.1 (Process &amp; Mechanical): (keyed note 3)</t>
  </si>
  <si>
    <t xml:space="preserve">SUB C5.1-02</t>
  </si>
  <si>
    <t xml:space="preserve">The grating &amp; guardrail plan shows guardrail with removable guard chains (4 locations) around the UV chamber, a removable guard chain with a 2'-8" opening at the effluent sample chamber, and removable grating over the aerobic digester. 01 sets this sheet to Text, but its text layer holds only UV module labels (LAMP/STATUS/TOP/BOTTOM) and view titles, so the plan content above was read from the image</t>
  </si>
  <si>
    <t xml:space="preserve">Project_Wiki.md note C5.1 (Process &amp; Mechanical): citation in note header</t>
  </si>
  <si>
    <t xml:space="preserve">Most linked Ledger rows are in CWP 46 (3 of 3) — Inferred</t>
  </si>
  <si>
    <t xml:space="preserve">SUB C5.2-01</t>
  </si>
  <si>
    <t xml:space="preserve">On the UV side the 8" influent pipe (IE 19.61) enters past a valve hand wheel, the unit runs from HWL 21.49 to HWL 21.09 over a weir level control, with 1" drains, a 2"×1" reducer and 1" PVC ball valve, a floor drain (rim 18.74, IE 16.00), a wall control panel, and the 10" effluent pipe leaving at IE 18.75 (IE 19.44 also shown); guardrail tops are 42" above finish grade (field adjust) and a prefab aluminum ladder connects to the access platform. Between the chambers the labels TOC 17.25, bottom elev 16.25 and a 4" drain pipe at IE 17.25 fall in the effluent sample chamber</t>
  </si>
  <si>
    <t xml:space="preserve">C5.2</t>
  </si>
  <si>
    <t xml:space="preserve">PROPOSED-UV-SYSTEM; PROPOSED-UV-CONTROL-PANELS; PROPOSED-DIGESTER-DIFFUSERS</t>
  </si>
  <si>
    <t xml:space="preserve">Project_Wiki.md note C5.2 (Process &amp; Mechanical): (location Inferred from C5.1)</t>
  </si>
  <si>
    <t xml:space="preserve">Most linked Ledger rows are in CWP 46 (2 of 4) — Inferred</t>
  </si>
  <si>
    <t xml:space="preserve">SUB E3.1-01</t>
  </si>
  <si>
    <t xml:space="preserve">Ratings, raceway and conductors shown are estimates to be adjusted during the submittal period from the treatment-system submittal, and all outdoor control panel and disconnect enclosures are Type 316 stainless (key note; general note 4; plans_9 p.5)</t>
  </si>
  <si>
    <t xml:space="preserve">E3.1</t>
  </si>
  <si>
    <t xml:space="preserve">DO #1; DO-1; DO #2; DO-2; PROPOSED-Train-3-Local-Disconnects; PROPOSED-Train-3-Pole-Light</t>
  </si>
  <si>
    <t xml:space="preserve">Project_Wiki.md note E3.1 (Electrical &amp; Controls): [Verified]</t>
  </si>
  <si>
    <t xml:space="preserve">Spec 46 33 33</t>
  </si>
  <si>
    <t xml:space="preserve">SUB 46 33 33-01</t>
  </si>
  <si>
    <t xml:space="preserve">The materials list names Fournier Industries (frame, brackets), Watson-Marlow (dosing pump), Koflo (static mixer), Watts (regulator), Festo (proportional valve), Hoffman (10×10×8 junction box) and McMaster (valves, strainer, gauges, hose), with one metering pump head kit as the spare (items 6.0–7.0 pp.482–483); p.484 carries no text. Submittals cite "Section 01340" with telescoping-valve wording (¶1.02 A p.481; Issue 29), installation follows the manufacturer's instructions with no testing specified (¶3.01 p.485), and the liquid system conflicts with C6.1's "dry polymer mix unit" label</t>
  </si>
  <si>
    <t xml:space="preserve">46 33 33</t>
  </si>
  <si>
    <t xml:space="preserve">PROPOSED-POLYMER-SYSTEM; PROPOSED-RFP-POLYMER-FLOWMETER</t>
  </si>
  <si>
    <t xml:space="preserve">Project_Wiki.md note 46 33 33 (Process &amp; Mechanical): (Issue 16)</t>
  </si>
  <si>
    <t xml:space="preserve">Spec 46 41 23</t>
  </si>
  <si>
    <t xml:space="preserve">SUB 46 41 23-01</t>
  </si>
  <si>
    <t xml:space="preserve">Mixers are at most 5 HP nameplate, 460 V 3-phase, with 316 Ti stainless propeller (EverClean blades), shaft, housing and frame, a duplex stainless casing cover, silicon carbide double mechanical seals in an oil chamber, a plug-and-receptacle power cable with resin-sealed entry, three PTC thermal switches and a moisture detector, bearings over 100,000 hours B10, maintenance intervals of at least 16,000 hours or 2 years, and 10 starts per hour</t>
  </si>
  <si>
    <t xml:space="preserve">46 41 23</t>
  </si>
  <si>
    <t xml:space="preserve">G0.7; C3.3; C3.4</t>
  </si>
  <si>
    <t xml:space="preserve">PROPOSED-TRAIN-3-ANOXIC-MIXERS; PROPOSED-TRAIN-3-DAVIT-CRANES</t>
  </si>
  <si>
    <t xml:space="preserve">Project_Wiki.md note 46 41 23 (Process &amp; Mechanical): (¶2.01 A–B, F pp.486–489)</t>
  </si>
  <si>
    <t xml:space="preserve">SUB 46 41 23-02</t>
  </si>
  <si>
    <t xml:space="preserve">Controls follow 26 80 00 ¶3.09 B (¶2.02 p.489); submittals per 01 33 00 are catalog data with wiring diagrams and O&amp;M information (¶1.02 A p.486); the contractor gives a 1-year parts-and-labor extended warranty (¶1.03 A); three sets of wear parts are furnished (¶2.03); and testing covers factory checks (balance, leakage, electrical, insulation, no-load rotation), field testing after installation, 2 days of start-up and 1 day of training</t>
  </si>
  <si>
    <t xml:space="preserve">Shop drawings; Product data; O&amp;M manual; Warranty / guarantee</t>
  </si>
  <si>
    <t xml:space="preserve">Project_Wiki.md note 46 41 23 (Process &amp; Mechanical): (¶2.04 p.489; ¶3.01 B–3.02 p.490)</t>
  </si>
  <si>
    <t xml:space="preserve">Spec 46 51 21</t>
  </si>
  <si>
    <t xml:space="preserve">SUB 46 51 21-01</t>
  </si>
  <si>
    <t xml:space="preserve">Submittals per 01 33 00 are catalog data, fabrication and installation drawings coordinated with piping connections, and O&amp;M information (¶1.02 A p.491); the contractor supplies tees, supports and fittings, installation follows the manufacturer's instructions, and no testing is specified</t>
  </si>
  <si>
    <t xml:space="preserve">46 51 21</t>
  </si>
  <si>
    <t xml:space="preserve">G0.7; C5.1; C5.2; C5.3</t>
  </si>
  <si>
    <t xml:space="preserve">PROPOSED-DIGESTER-DIFFUSERS</t>
  </si>
  <si>
    <t xml:space="preserve">Project_Wiki.md note 46 51 21 (Process &amp; Mechanical): (¶3.01 p.491)</t>
  </si>
  <si>
    <t xml:space="preserve">Spec 46 53 00</t>
  </si>
  <si>
    <t xml:space="preserve">SUB 46 53 00-01</t>
  </si>
  <si>
    <t xml:space="preserve">Specifies Train 3 ("3rd Train") as a single bullseye multistage anoxic/aerobic activated sludge system, basis of design Smith &amp; Loveless Model R Oxigest, with the in-basin aeration system, mixers, clarifier equipment, instrumentation and controls supplied and guaranteed by one manufacturer (¶1.01 A p.492; ¶1.03 A p.493); this section's valves, equipment, materials and controls supersede other specifications (¶1.03 F p.493), and alternate systems are bid as an Equipment Alternate with a submittal package</t>
  </si>
  <si>
    <t xml:space="preserve">46 53 00</t>
  </si>
  <si>
    <t xml:space="preserve">C3.3; E3.1; E7.6; E6.3; G0.5; G0.6; G0.7; C3.4; C3.5</t>
  </si>
  <si>
    <t xml:space="preserve">DO #1; DO-1; DO #2; DO-2; PROPOSED-TRAIN-3-TREATMENT-SYSTEM; PROPOSED-TRAIN-3-INNER-WALLS; PROPOSED-TRAIN-3-CLARIFIER-MECHANISM; PROPOSED-TRAIN-3-WALKWAYS-AND-LADDER; PROPOSED-TRAIN-3-AERATION-DIFFUSERS; PROPOSED-TRAIN-3-ANOXIC-MIXERS; PROPOSED-TRAIN-3-RAS-AIRLIFT; PROPOSED-TRAIN-3-MLR-AIRLIFT; PROPOSED-CARBON-FEED-PUMPS; PROPOSED-TRAIN-3-CONTROL-PANEL</t>
  </si>
  <si>
    <t xml:space="preserve">Project_Wiki.md note 46 53 00 (Process &amp; Mechanical): (¶1.03 E, ¶1.04 p.493)</t>
  </si>
  <si>
    <t xml:space="preserve">Requirement sentence taken verbatim from the note; Subtype, Timing, Acceptance and Responsible Party parsed from it by keyword (Merge, Inferred — check against the cited ¶). Linked Ledger rows: 12 (flag Y and section cited; linkage Inferred).</t>
  </si>
  <si>
    <t xml:space="preserve">SUB 46 53 00-02</t>
  </si>
  <si>
    <t xml:space="preserve">Design influent is 63,333 gpd average to 178 gpm peak hour, with effluent BOD5 and TSS 30 mg/L and TIN 8 mg/L (¶1.02 p.492); the supplier gives a 2-year process performance guarantee with the equipment submittal and a 12-month mechanical guarantee from Substantial Completion</t>
  </si>
  <si>
    <t xml:space="preserve">with the equipment submittal</t>
  </si>
  <si>
    <t xml:space="preserve">Project_Wiki.md note 46 53 00 (Process &amp; Mechanical): (¶1.05 A, C p.494)</t>
  </si>
  <si>
    <t xml:space="preserve">Spec 46 66 00</t>
  </si>
  <si>
    <t xml:space="preserve">SUB 46 66 00-01</t>
  </si>
  <si>
    <t xml:space="preserve">Two open-channel, gravity-flow, low-pressure high-intensity UV systems, each able to disinfect alone at max day 0.46 MGD, max month 0.22 MGD and minimum 0.03 MGD with TSS up to 30 mg/L, 33–85°F and UVT of at least 50% at 253.7 nm, to 200 FC/100 mL monthly and 400 FC/100 mL weekly geometric means, guaranteed regardless of influent count</t>
  </si>
  <si>
    <t xml:space="preserve">weekly; monthly</t>
  </si>
  <si>
    <t xml:space="preserve">46 66 00</t>
  </si>
  <si>
    <t xml:space="preserve">G0.5; G0.6; G0.7; C5.1; C5.2; C5.3; C5.4</t>
  </si>
  <si>
    <t xml:space="preserve">PROPOSED-UV-SYSTEM; PROPOSED-UV-CONTROL-PANELS; PROPOSED-UV-INTENSITY-SENSORS</t>
  </si>
  <si>
    <t xml:space="preserve">Project_Wiki.md note 46 66 00 (Process &amp; Mechanical): (¶1.01 A p.502; design criteria pp.502–503)</t>
  </si>
  <si>
    <t xml:space="preserve">SUB 46 66 00-02</t>
  </si>
  <si>
    <t xml:space="preserve">Arrangement: 4 lamps per module, 6 modules per bank, 2 banks, 48 lamps (12 modules), in stainless channels furnished with the system, delivering at least 30,000 µWs/cm² (30 mJ/cm²) at 50% UVT after sleeve, fouling and aging reductions, proven by an independent bioassay to EPA/625/1-86/021, for outdoor installation without shelter (pp.503–504); basis is Trojan UV3000 PTP (base bid), with alternates bid as an Equipment Alternate and needing 500 North American installations, a bioassay and a 5-year guarantee</t>
  </si>
  <si>
    <t xml:space="preserve">Project_Wiki.md note 46 66 00 (Process &amp; Mechanical): (¶1.03 A p.502; Part 2 A p.504)</t>
  </si>
  <si>
    <t xml:space="preserve">SUB 46 66 00-03</t>
  </si>
  <si>
    <t xml:space="preserve">Construction: 316 SS or quartz in contact with effluent; modules about 68"×20"×2.8", 38 lb, Type 6P, with electronic ballasts, 10-ft 120 V plug cords and LED lamp status; low-pressure slimline hot-cathode lamps warranted 12,000 hours non-prorated; Type 214 quartz sleeves; per-unit effluent channel with drain, module rack and downstream level control weir holding about 12" depth within 1.5" from zero to peak flow; two inlet and two outlet 304 SS transition boxes; a 304 SS maintenance rack; maximum draw 2,100 W at 120 V</t>
  </si>
  <si>
    <t xml:space="preserve">Project_Wiki.md note 46 66 00 (Process &amp; Mechanical): (pp.505–507)</t>
  </si>
  <si>
    <t xml:space="preserve">SUB 46 66 00-04</t>
  </si>
  <si>
    <t xml:space="preserve">Monitoring: two submersible UV intensity sensors (one per bank, 10-year warranty), intensity and lamp-age displays and a low-UV dry contact in a fiberglass Type 4X wall panel less than 12 ft from the module LED end, plus GFCI duplex PDRs by the UV manufacturer, with the contractor supplying a 120 V circuit of about 19.2 A and a separate 120 V 5 A monitoring supply</t>
  </si>
  <si>
    <t xml:space="preserve">Project_Wiki.md note 46 66 00 (Process &amp; Mechanical): (pp.506–507)</t>
  </si>
  <si>
    <t xml:space="preserve">SUB 46 66 00-05</t>
  </si>
  <si>
    <t xml:space="preserve">Submittals include shop drawings, electrical schematics, hydraulic calculations, bioassay and dose calculations and a lifetime performance guarantee (¶1.04 pp.503–504); equipment warranty is 12 months from substantial completion (¶1.05 p.504); spares are 4 lamps, 4 sleeves, 4 seals and an operator kit per bank (p.507); and the manufacturer provides 2 days of start-up and field testing and 1 day of training</t>
  </si>
  <si>
    <t xml:space="preserve">Shop drawings; Calculations / sealed design; Warranty / guarantee</t>
  </si>
  <si>
    <t xml:space="preserve">Project_Wiki.md note 46 66 00 (Process &amp; Mechanical): (¶3.02 p.508)</t>
  </si>
  <si>
    <t xml:space="preserve">Spec 46 66 10</t>
  </si>
  <si>
    <t xml:space="preserve">SUB 46 66 10-01</t>
  </si>
  <si>
    <t xml:space="preserve">Submittals per 01 33 00 are catalog data with wiring diagrams and O&amp;M information (¶1.02 A); the contractor gives a 1-year parts-and-labor extended warranty (¶1.03 A); and the manufacturer provides installation certification, 1 day of start-up and field testing and 1 day of operator training</t>
  </si>
  <si>
    <t xml:space="preserve">Shop drawings; Product data; Certificates / reports; O&amp;M manual; Warranty / guarantee</t>
  </si>
  <si>
    <t xml:space="preserve">46 66 10</t>
  </si>
  <si>
    <t xml:space="preserve">PROPOSED-UV-TRANSMISSIVITY-ANALYZER</t>
  </si>
  <si>
    <t xml:space="preserve">Project_Wiki.md note 46 66 10 (Process &amp; Mechanical): (¶3.01)</t>
  </si>
  <si>
    <t xml:space="preserve">Spec 46 76 26</t>
  </si>
  <si>
    <t xml:space="preserve">SUB 46 76 26-01</t>
  </si>
  <si>
    <t xml:space="preserve">Submittals cover certified shop and erection drawings, electrical schematics and I/O diagrams, bills of material, spare parts lists and a detailed O&amp;M manual (¶5.0–5.2 pp.527–530); the warranty is 1 year non-prorated from substantial completion (¶6.1 pp.530–531); there is no field start-up, field testing or training paragraph (Issue 37); and ¶1.1 cites "Section 22 13 16" for both the screw conveyor and the sludge pump</t>
  </si>
  <si>
    <t xml:space="preserve">Certificates / reports; O&amp;M manual; Warranty / guarantee</t>
  </si>
  <si>
    <t xml:space="preserve">46 76 26</t>
  </si>
  <si>
    <t xml:space="preserve">G0.5; C6.2; G0.6; G0.7; C6.1</t>
  </si>
  <si>
    <t xml:space="preserve">PROPOSED-DIGESTED-SLUDGE-FLOW-METER; PROPOSED-ROTARY-FAN-PRESS; PROPOSED-RFP-FLOCCULATOR; PROPOSED-RFP-SLUDGE-MANIFOLD; PROPOSED-RFP-CAKE-CHUTE; PROPOSED-RFP-AIR-COMPRESSOR; PROPOSED-RFP-CONTROL-PANEL; PROPOSED-POLYMER-SYSTEM; PROPOSED-SCREW-CONVEYOR; PROPOSED-DIGESTED-SLUDGE-PUMP; Receiving Conveyor; Inclined Conveyor; PROPOSED-RFP-POLYMER-FLOWMETER; PROPOSED-RFP-INLET-PRESSURE-TRANSMITTER</t>
  </si>
  <si>
    <t xml:space="preserve">1; 6; Equipment Alternate C</t>
  </si>
  <si>
    <t xml:space="preserve">Project_Wiki.md note 46 76 26 (Process &amp; Mechanical): (Issue 35)</t>
  </si>
  <si>
    <t xml:space="preserve">Requirement sentence taken verbatim from the note; Subtype, Timing, Acceptance and Responsible Party parsed from it by keyword (Merge, Inferred — check against the cited ¶). Linked Ledger rows: 14 (flag Y and section cited; linkage Inferred).</t>
  </si>
  <si>
    <t xml:space="preserve">Spec 46 12 13</t>
  </si>
  <si>
    <t xml:space="preserve">SUB 46 12 13-00</t>
  </si>
  <si>
    <t xml:space="preserve">Requirement flagged on 1 Ledger row(s) citing 46 12 13; the Wiki note does not summarize it — section not in the 02 index</t>
  </si>
  <si>
    <t xml:space="preserve">46 12 13</t>
  </si>
  <si>
    <t xml:space="preserve">PROPOSED-SCREW-CONVEYOR</t>
  </si>
  <si>
    <t xml:space="preserve">2023-03-15 to 2024-10-16 (CWP 01 work span, Inferred)</t>
  </si>
  <si>
    <t xml:space="preserve">01-T01</t>
  </si>
  <si>
    <t xml:space="preserve">ITP 00 73 00-01</t>
  </si>
  <si>
    <t xml:space="preserve">Inspection</t>
  </si>
  <si>
    <t xml:space="preserve">The Contractor stakes the work, picks up the District Land Disturbance permit and San Juan County Building Permit #21-0385 (stated as still in process), gives 48-hour utility and connection notices, works 7AM–5PM Mon–Fri with $150/hr inspection charge past 40 hr/week, and self-performs at least 50% of the contract price</t>
  </si>
  <si>
    <t xml:space="preserve">Test / inspection</t>
  </si>
  <si>
    <t xml:space="preserve">50% of the contract price (SC 7–14</t>
  </si>
  <si>
    <t xml:space="preserve">Contractor; Owner</t>
  </si>
  <si>
    <t xml:space="preserve">PROPOSED-BLOWER-BUILDING; PROPOSED-Blower-Building; PROPOSED-Aerobic-Digester; PROPOSED-UV-Disinfection-System; PROPOSED-Yard-Piping; PROPOSED-Influent-Pump-Station; PROPOSED-Influent-Flow-Splitter; PROPOSED-Train-3; PROPOSED-Permanent-Standby-Generator; PROPOSED-PLC-Control-Panel; PROPOSED-Dewatering-System; PROPOSED-Site-Final-Surfacing-and-Pavement</t>
  </si>
  <si>
    <t xml:space="preserve">1; 6; 8; Equipment Alternate C; Equipment Alternate D; Equipment Alternate E</t>
  </si>
  <si>
    <t xml:space="preserve">Project_Wiki.md note 00 73 00 (Contract &amp; General): (SC 7–14, pp.89–91; Verified; permit status conflicts with 00 31 13 — Issues 1.9)</t>
  </si>
  <si>
    <t xml:space="preserve">Requirement sentence taken verbatim from the note; Subtype, Timing, Acceptance and Responsible Party parsed from it by keyword (Merge, Inferred — check against the cited ¶). Linked Ledger rows: 11 (flag Y and section cited; linkage Inferred).</t>
  </si>
  <si>
    <t xml:space="preserve">ITP 00 73 00-02</t>
  </si>
  <si>
    <t xml:space="preserve">Test</t>
  </si>
  <si>
    <t xml:space="preserve">SC 19 defines Substantial Completion as the new facility in beneficial use (influent pump station, flow splitter, Train 3, digester, dewatering, blower building, UV, yard piping, electrical, instruments, controls, backup generator, SCADA/PLC programming) and Final Completion as including removal of temporary pump/process equipment, site work, paving, performance testing and cleanup</t>
  </si>
  <si>
    <t xml:space="preserve">Project_Wiki.md note 00 73 00 (Contract &amp; General): (p.92; Verified)</t>
  </si>
  <si>
    <t xml:space="preserve">ITP 01 33 00-01</t>
  </si>
  <si>
    <t xml:space="preserve">Contractor</t>
  </si>
  <si>
    <t xml:space="preserve">PROPOSED-8in-Effluent-Flow-Meter; PROPOSED-UV-Disinfection-System; PROPOSED-Sludge-Pumps; PROPOSED-2W-Air-Gap-Water-System; PROPOSED-Submersible-Pump-Equipment; PROPOSED-Influent-Sampler; PROPOSED-Train-3-Biological-Treatment-Equipment; PROPOSED-Automatic-Transfer-Switch; PROPOSED-Permanent-Standby-Generator; PROPOSED-480V-Electrical-Service; PROPOSED-Motor-Control-Center; PROPOSED-PLC-Control-Panel; PROPOSED-Dewatering-System; PROPOSED-Blowers; PROPOSED-Train-3-Dissolved-Oxygen-Sensors; PROPOSED-Train-3-pH-Sensors; PROPOSED-Magnetic-Flow-Meters</t>
  </si>
  <si>
    <t xml:space="preserve">Requirement sentence taken verbatim from the note; Subtype, Timing, Acceptance and Responsible Party parsed from it by keyword (Merge, Inferred — check against the cited ¶). Linked Ledger rows: 17 (flag Y and section cited; linkage Inferred).</t>
  </si>
  <si>
    <t xml:space="preserve">ITP 01 45 00-01</t>
  </si>
  <si>
    <t xml:space="preserve">Splits inspection and testing between the parties: the Contractor keeps records of all inspections and tests, pays for repeat tests after any failure (including Owner-responsibility tests), gives 48 hours' notice before work needing inspection, and uses only Owner-approved laboratories</t>
  </si>
  <si>
    <t xml:space="preserve">48 hours' notice</t>
  </si>
  <si>
    <t xml:space="preserve">Contractor; Owner; Inspector / laboratory</t>
  </si>
  <si>
    <t xml:space="preserve">PROPOSED-2W-PUMP-STATION-WET-WELL; PROPOSED-2W-Pump-Station-Wet-Well; PROPOSED-BLOWER-BUILDING; PROPOSED-Blower-Building; PROPOSED-8in-Effluent-Piping; PROPOSED-Aerobic-Digester; PROPOSED-UV-Disinfection-Chamber; PROPOSED-Sludge-Pumps; PROPOSED-Yard-Piping; PROPOSED-Influent-Pump-Station; PROPOSED-Submersible-Pump-Equipment; PROPOSED-Influent-Flow-Splitter; PROPOSED-Train-3; PROPOSED-Train-3-Biological-Treatment-Equipment; PROPOSED-Site-Final-Surfacing-and-Pavement; PROPOSED-Aeration-Basins; PROPOSED-Anoxic-Basins; PROPOSED-Clarifier</t>
  </si>
  <si>
    <t xml:space="preserve">1; 8; 18 — Unresolved (see 04); 19; Equipment Alternate A; Equipment Alternate B</t>
  </si>
  <si>
    <t xml:space="preserve">Project_Wiki.md note 01 45 00 (Contract &amp; General): (¶1.05.A–E, ¶1.06.C, pp.137–139; Verified)</t>
  </si>
  <si>
    <t xml:space="preserve">Requirement sentence taken verbatim from the note; Subtype, Timing, Acceptance and Responsible Party parsed from it by keyword (Merge, Inferred — check against the cited ¶). Linked Ledger rows: 16 (flag Y and section cited; linkage Inferred).</t>
  </si>
  <si>
    <t xml:space="preserve">01-T01, 03-S01, 03-S02, 03-S03, 03-S04, 03-S05, 33-S06</t>
  </si>
  <si>
    <t xml:space="preserve">ITP 01 45 00-02</t>
  </si>
  <si>
    <t xml:space="preserve">Contractor-paid: pipe pressure testing and potable water pipe disinfection per the technical sections, equipment testing per the equipment sections (Division 46, p.141), clean water leakage testing, and clean water mechanical testing of pumps, diffusers, mixers and air lift assemblies</t>
  </si>
  <si>
    <t xml:space="preserve">Field pressure / leakage test; Disinfection / bacteriological</t>
  </si>
  <si>
    <t xml:space="preserve">Project_Wiki.md note 01 45 00 (Contract &amp; General): (¶1.05.B.1, p.137; Verified)</t>
  </si>
  <si>
    <t xml:space="preserve">01-T01, 03-S01, 03-S02, 03-S03, 03-S04, 03-S05</t>
  </si>
  <si>
    <t xml:space="preserve">ITP 01 45 00-03</t>
  </si>
  <si>
    <t xml:space="preserve">Owner-paid, Contractor-coordinated: building special inspections for concrete and structural steel (the p.141 summary adds air barrier testing per WA Energy Code Section 402), earthwork, concrete, asphalt (Rice density, compaction, extraction/gradation), coatings and field welding (¶1.05.B.2, pp.137–138, p.141; Verified); the WSDOT/AASHTO compaction and asphalt testing standards (¶1.03.B, p.136) are Unresolved: external reference, not staged. Before startup, eight new structures get a fill-to-rim clean water leakage test held 2 hours with no visible leakage — influent pump station, flow splitter, aeration basins, anoxic basins, clarifier, UV disinfection chamber, digester, 2W water system pump station</t>
  </si>
  <si>
    <t xml:space="preserve">Field pressure / leakage test; Start-up / commissioning; Special inspection; Material testing; Disinfection / bacteriological</t>
  </si>
  <si>
    <t xml:space="preserve">Before startup</t>
  </si>
  <si>
    <t xml:space="preserve">no visible leakage; held 2 hours</t>
  </si>
  <si>
    <t xml:space="preserve">Contractor; Owner; Special inspector</t>
  </si>
  <si>
    <t xml:space="preserve">Project_Wiki.md note 01 45 00 (Contract &amp; General): (¶1.09, pp.139–140; Verified; repeated in 01 50 00 — Issues 1.22)</t>
  </si>
  <si>
    <t xml:space="preserve">ITP 01 50 00-01</t>
  </si>
  <si>
    <t xml:space="preserve">The clean water leakage test repeats 01 45 00 but groups the aeration basins, anoxic basins and clarifier under Train #3 and names UV channels #1 and #2 and the 2W pump station wet well</t>
  </si>
  <si>
    <t xml:space="preserve">Field pressure / leakage test</t>
  </si>
  <si>
    <t xml:space="preserve">Contractor (01 45 00 ¶1.05.B.1 — Inferred)</t>
  </si>
  <si>
    <t xml:space="preserve">PROPOSED-2W-PUMP-STATION-WET-WELL; PROPOSED-2W-Pump-Station-Wet-Well; PROPOSED-Aerobic-Digester; PROPOSED-UV-Disinfection-Chamber; PROPOSED-Influent-Pump-Station; PROPOSED-Influent-Flow-Splitter; PROPOSED-Train-3; PROPOSED-Aeration-Basins; PROPOSED-Anoxic-Basins; PROPOSED-Clarifier</t>
  </si>
  <si>
    <t xml:space="preserve">Project_Wiki.md note 01 50 00 (Contract &amp; General): (¶1.04.C, p.143; Verified; Issues 1.22)</t>
  </si>
  <si>
    <t xml:space="preserve">Spec 01 60 00 (Division 00/01 → CWP 01)</t>
  </si>
  <si>
    <t xml:space="preserve">ITP 01 60 00-01</t>
  </si>
  <si>
    <t xml:space="preserve">Products arrive in labeled original containers, are inspected on delivery, are accepted only when unloading forces are on site, and are stored per the manufacturer with the Contractor fully responsible</t>
  </si>
  <si>
    <t xml:space="preserve">Contractor; Manufacturer / supplier</t>
  </si>
  <si>
    <t xml:space="preserve">01 60 00</t>
  </si>
  <si>
    <t xml:space="preserve">Project_Wiki.md note 01 60 00 (Contract &amp; General): (¶1.04–1.05, pp.146–147; Verified)</t>
  </si>
  <si>
    <t xml:space="preserve">ITP 01 70 00-01</t>
  </si>
  <si>
    <t xml:space="preserve">Start-up / commissioning</t>
  </si>
  <si>
    <t xml:space="preserve">ITP 01 70 00-02</t>
  </si>
  <si>
    <t xml:space="preserve">Owner; Engineer; Manufacturer / supplier</t>
  </si>
  <si>
    <t xml:space="preserve">ITP 01 91 00-01</t>
  </si>
  <si>
    <t xml:space="preserve">Start-up</t>
  </si>
  <si>
    <t xml:space="preserve">Start-up / commissioning; Training</t>
  </si>
  <si>
    <t xml:space="preserve">Manufacturer / supplier</t>
  </si>
  <si>
    <t xml:space="preserve">PROPOSED-UV-Disinfection-System; PROPOSED-Sludge-Pumps; PROPOSED-2W-Air-Gap-Water-System; PROPOSED-Submersible-Pump-Equipment; PROPOSED-Train-3-Biological-Treatment-Equipment; PROPOSED-Dewatering-System; PROPOSED-Clarifier; PROPOSED-Blowers; PROPOSED-Train-3-Dissolved-Oxygen-Sensors; PROPOSED-Train-3-pH-Sensors; PROPOSED-Magnetic-Flow-Meters</t>
  </si>
  <si>
    <t xml:space="preserve">Most linked Ledger rows are in CWP 03 (6 of 8) — Inferred</t>
  </si>
  <si>
    <t xml:space="preserve">2023-04-01 to 2024-07-08 (CWP 03 work span, Inferred)</t>
  </si>
  <si>
    <t xml:space="preserve">03-T01</t>
  </si>
  <si>
    <t xml:space="preserve">ITP S1.1-01</t>
  </si>
  <si>
    <t xml:space="preserve">Structural steel follows AISC 303-16 with A992 W/WT, A500 Gr B HSS, A53 Gr B pipe, A325 bolts, F1554 Gr 36 anchor rods, A36 misc. steel and E70XX welds, exterior steel hot-dip galvanized; a structural special inspection schedule covers steel, concrete, post-installed anchors, and soils and foundations</t>
  </si>
  <si>
    <t xml:space="preserve">Special inspection</t>
  </si>
  <si>
    <t xml:space="preserve">Special inspector</t>
  </si>
  <si>
    <t xml:space="preserve">PROPOSED-BLOWER-BUILDING; PROPOSED-Blower-Building; PROPOSED-Blower-Building-Slab-and-Grade-Beams; PROPOSED-Blower-Pad; PROPOSED-Train-3-Concrete-Tank; PROPOSED-UV-Disinfection-Chamber-Basin; PROPOSED-Digester-Concrete-Tank; PROPOSED-Digester-Grating-Beam; PROPOSED-Drain-Pump-Station-Lid</t>
  </si>
  <si>
    <t xml:space="preserve">Project_Wiki.md note S1.1 (Structural &amp; Building): [plans_7 p.8, Structural Steel 1–4 and Special Inspection schedule — Verified-Visual]</t>
  </si>
  <si>
    <t xml:space="preserve">Most linked Ledger rows are in CWP 03 (2 of 3) — Inferred</t>
  </si>
  <si>
    <t xml:space="preserve">ITP S2.3-01</t>
  </si>
  <si>
    <t xml:space="preserve">Add. 4 adds the north-side condition next to the existing building — grade beam widened 9" (verify with civil) to abut the existing foundation, with #4×30" dowels @ 36" o.c. drilled and epoxied 4" into the existing concrete (special inspection not required) — and a 5" semi-flush girt at the north wall with bypass girt framing elsewhere</t>
  </si>
  <si>
    <t xml:space="preserve">PROPOSED-BLOWER-BUILDING; PROPOSED-Blower-Building; PROPOSED-Blower-Building-Slab-and-Grade-Beams; PROPOSED-Blower-Pad</t>
  </si>
  <si>
    <t xml:space="preserve">Project_Wiki.md note S2.3 (Structural &amp; Building): [Add. 4 p.9, Details 1, 3, 4 — Verified-Visual; Add. 4 p.3 — Verified; Add. 4 governs]</t>
  </si>
  <si>
    <t xml:space="preserve">ITP 03 30 00-01</t>
  </si>
  <si>
    <t xml:space="preserve">The Owner provides independent testing and inspection (subgrade compaction and moisture, reinforcing placement, concrete placement and cylinders) and special inspections, and anchor bolts are set to AISC 303-16 §7.5 tolerances by a registered land surveyor</t>
  </si>
  <si>
    <t xml:space="preserve">Special inspection; Material testing</t>
  </si>
  <si>
    <t xml:space="preserve">Owner; Special inspector</t>
  </si>
  <si>
    <t xml:space="preserve">Project_Wiki.md note 03 30 00 (Structural &amp; Building): [¶1.07 B, p.174; ¶3.012 A, p.180; ¶3.03 B, p.176 — Verified]</t>
  </si>
  <si>
    <t xml:space="preserve">ITP 03 40 00-01</t>
  </si>
  <si>
    <t xml:space="preserve">Owner; Engineer</t>
  </si>
  <si>
    <t xml:space="preserve">2023-04-01 to 2024-07-08 (CWP 05 work span, Inferred)</t>
  </si>
  <si>
    <t xml:space="preserve">05-T01</t>
  </si>
  <si>
    <t xml:space="preserve">ITP 05 50 00-00</t>
  </si>
  <si>
    <t xml:space="preserve">Requirement flagged on 1 Ledger row(s) citing 05 50 00; the Wiki note does not summarize it</t>
  </si>
  <si>
    <t xml:space="preserve">ITP 07 20 00-00</t>
  </si>
  <si>
    <t xml:space="preserve">Requirement flagged on 1 Ledger row(s) citing 07 20 00; the Wiki note does not summarize it</t>
  </si>
  <si>
    <t xml:space="preserve">Process &amp; Mechanical; Structural &amp; Building; Contract &amp; General</t>
  </si>
  <si>
    <t xml:space="preserve">2023-04-01 to 2023-07-31 (CWP 08 work span, Inferred)</t>
  </si>
  <si>
    <t xml:space="preserve">08-T01</t>
  </si>
  <si>
    <t xml:space="preserve">ITP 08 10 00-00</t>
  </si>
  <si>
    <t xml:space="preserve">ITP 08 70 00-00</t>
  </si>
  <si>
    <t xml:space="preserve">Requirement flagged on 3 Ledger row(s) citing 08 70 00; the Wiki note does not summarize it</t>
  </si>
  <si>
    <t xml:space="preserve">Ledger evidence: startup: adjust/check, Owner instruction, 6-month re-adjustment (08 70 00 ¶3.04).</t>
  </si>
  <si>
    <t xml:space="preserve">2023-06-01 to 2023-10-25 (CWP 09 work span, Inferred)</t>
  </si>
  <si>
    <t xml:space="preserve">09-T01</t>
  </si>
  <si>
    <t xml:space="preserve">ITP 09 97 23-01</t>
  </si>
  <si>
    <t xml:space="preserve">Testing covers wet-film readings (ASTM D4414), optional ultrasonic dry-film checks (SSPC-PA 9), high-voltage holiday testing at 100 V/mil (NACE RP0188 or ASTM D4787), and pull-off adhesion (ASTM D7234) with 2 of 3 pulls over 200 psi per test area, all documented to the Owner</t>
  </si>
  <si>
    <t xml:space="preserve">200 psi per test area, all documented to the Ow</t>
  </si>
  <si>
    <t xml:space="preserve">Owner</t>
  </si>
  <si>
    <t xml:space="preserve">Project_Wiki.md note 09 97 23 (Structural &amp; Building): [¶3.06 A–D, pp.239–241 — Verified]</t>
  </si>
  <si>
    <t xml:space="preserve">ITP 09 25 00-00</t>
  </si>
  <si>
    <t xml:space="preserve">Requirement flagged on 1 Ledger row(s) citing 09 25 00; the Wiki note does not summarize it</t>
  </si>
  <si>
    <t xml:space="preserve">ITP 09 90 00-00</t>
  </si>
  <si>
    <t xml:space="preserve">Requirement flagged on 4 Ledger row(s) citing 09 90 00; the Wiki note does not summarize it</t>
  </si>
  <si>
    <t xml:space="preserve">Process &amp; Mechanical; Structural &amp; Building; Contract &amp; General; Structural &amp; Building</t>
  </si>
  <si>
    <t xml:space="preserve">2023-04-01 to 2024-07-08 (CWP 10 work span, Inferred)</t>
  </si>
  <si>
    <t xml:space="preserve">10-T01</t>
  </si>
  <si>
    <t xml:space="preserve">ITP 10 52 00-01</t>
  </si>
  <si>
    <t xml:space="preserve">At completion the work is visually inspected and checked for proper operation, and each extinguisher carries an inspection tag</t>
  </si>
  <si>
    <t xml:space="preserve">Project_Wiki.md note 10 52 00 (Structural &amp; Building): [¶3.01 C, p.242 — Verified]</t>
  </si>
  <si>
    <t xml:space="preserve">ITP 10 73 05-01</t>
  </si>
  <si>
    <t xml:space="preserve">The contractor furnishes and installs a molded, UV-protected, opaque FRP cover over the Train 3 clarifier weir launder and weir, in curved sections at least 4 ft long, each a single section on two pivoting brackets opening toward the tank center, with spring-loaded latches, an optional stainless tether, fixed or vertical panels at the bridge support, no piano hinges, no inspection hatches, and not walk-on except for a reinforced walk-on section at the launder entry</t>
  </si>
  <si>
    <t xml:space="preserve">Project_Wiki.md note 10 73 05 (Process &amp; Mechanical): (¶1.01 A–H pp.243–244)</t>
  </si>
  <si>
    <t xml:space="preserve">ITP 10 73 05-02</t>
  </si>
  <si>
    <t xml:space="preserve">2023-04-01 to 2024-05-31 (CWP 13 work span, Inferred)</t>
  </si>
  <si>
    <t xml:space="preserve">13-T01</t>
  </si>
  <si>
    <t xml:space="preserve">ITP 13 12 20-00</t>
  </si>
  <si>
    <t xml:space="preserve">Requirement flagged on 1 Ledger row(s) citing 13 12 20; the Wiki note does not summarize it</t>
  </si>
  <si>
    <t xml:space="preserve">2023-04-01 to 2024-02-09 (CWP 22 work span, Inferred)</t>
  </si>
  <si>
    <t xml:space="preserve">22-T01</t>
  </si>
  <si>
    <t xml:space="preserve">ITP 22 13 29-01</t>
  </si>
  <si>
    <t xml:space="preserve">A performance specification for the complete, tested Influent Pump Station — pumps, controls, discharge piping, vaults, flow meter and connection to existing piping — with the contractor responsible for field measurements and supplier coordination</t>
  </si>
  <si>
    <t xml:space="preserve">G0.7; C4.1</t>
  </si>
  <si>
    <t xml:space="preserve">PROPOSED-INFLUENT-PUMPS-SMALL; PROPOSED-INFLUENT-PUMPS-LARGE; F1–F4 [Influent Pump Station]</t>
  </si>
  <si>
    <t xml:space="preserve">Project_Wiki.md note 22 13 29 (Process &amp; Mechanical): (¶1.01 A–E p.255)</t>
  </si>
  <si>
    <t xml:space="preserve">22-T01, 22-S12</t>
  </si>
  <si>
    <t xml:space="preserve">ITP 22 13 29-02</t>
  </si>
  <si>
    <t xml:space="preserve">Factory / shop test; Start-up / commissioning</t>
  </si>
  <si>
    <t xml:space="preserve">ITP 22 13 36-01</t>
  </si>
  <si>
    <t xml:space="preserve">PROPOSED-WAS-PUMP; PROPOSED-SWING-SLUDGE-PUMP; PROPOSED-DIGESTED-SLUDGE-PUMP</t>
  </si>
  <si>
    <t xml:space="preserve">Most linked Ledger rows are in CWP 26 (1 of 1) — Inferred</t>
  </si>
  <si>
    <t xml:space="preserve">2023-03-15 to 2024-10-16 (CWP 26 work span, Inferred)</t>
  </si>
  <si>
    <t xml:space="preserve">26-T01</t>
  </si>
  <si>
    <t xml:space="preserve">ITP G0.3-01</t>
  </si>
  <si>
    <t xml:space="preserve">Survey monuments disturbed by construction need WA DNR permits under WAC 332-120 and replacement by a registered land surveyor at Contractor cost; earthwork, concrete and asphalt repair are to be prioritized in dry-weather months; County inspections (footings, concrete structures, electrical, final) and S1.1 special inspections need 24-hour notice to Owner and Engineer</t>
  </si>
  <si>
    <t xml:space="preserve">24-hour notice</t>
  </si>
  <si>
    <t xml:space="preserve">Contractor; Owner; Engineer; Special inspector</t>
  </si>
  <si>
    <t xml:space="preserve">G0.3</t>
  </si>
  <si>
    <t xml:space="preserve">PROPOSED-Temporary power generator</t>
  </si>
  <si>
    <t xml:space="preserve">Project_Wiki.md note G0.3 (Civil &amp; Site): (Schedule, Survey Monumentation and Construction Inspections notes; plans_1 p.3, G0.3 — Verified)</t>
  </si>
  <si>
    <t xml:space="preserve">Requirement sentence taken verbatim from the note; Subtype, Timing, Acceptance and Responsible Party parsed from it by keyword (Merge, Inferred — check against the cited ¶). Linked Ledger rows: 1 (flag Y and sheet cited; linkage Inferred).</t>
  </si>
  <si>
    <t xml:space="preserve">ITP E0.3-01</t>
  </si>
  <si>
    <t xml:space="preserve">Key plan that splits the electrical work by area: Service Area Improvements → E1.1, New Blower Building → E2.1/E2.2, Train No.3 → E3.1, Influent and Dewatering → E4.1, 2W Pump Station and Hotboxes → E4.3, UV Disinfection Chamber and Digester → E5.1 (plans_8 p.8)</t>
  </si>
  <si>
    <t xml:space="preserve">Disinfection / bacteriological</t>
  </si>
  <si>
    <t xml:space="preserve">E0.3</t>
  </si>
  <si>
    <t xml:space="preserve">PROPOSED-SCADA-Computer-System</t>
  </si>
  <si>
    <t xml:space="preserve">Project_Wiki.md note E0.3 (Electrical &amp; Controls): [Verified for the Blower Building and Influent callouts; others Verified-Visual]</t>
  </si>
  <si>
    <t xml:space="preserve">ITP E0.4-01</t>
  </si>
  <si>
    <t xml:space="preserve">Unclassified: aerobic treatment, UV disinfection units, the 2W pump station, the effluent flow meter vault and the aerated digester open to atmosphere; the Office Building and Blower Building are not classified (plans_9 p.1)</t>
  </si>
  <si>
    <t xml:space="preserve">E0.4</t>
  </si>
  <si>
    <t xml:space="preserve">Project_Wiki.md note E0.4 (Electrical &amp; Controls): [Verified]</t>
  </si>
  <si>
    <t xml:space="preserve">Most linked Ledger rows are in CWP 26 (18 of 18) — Inferred</t>
  </si>
  <si>
    <t xml:space="preserve">ITP E4.1-01</t>
  </si>
  <si>
    <t xml:space="preserve">Key notes 3–5: the building housing the dewatering press is unclassified only with Type C ventilation at 6 air changes per hour (NFPA 820-2020 Table 6.2.2 Row 12a, Chapter 9), and the contractor provides ventilation fans, gas sensors, a local alarm light and horn; the dewatering skid arrives pre-wired, factory tested and UL/ETL labeled per Washington L&amp;I, with a 480 V 3-phase feeder and Cat 6 monitoring cable; WAS solenoid wiring routes to the Influent Pump Station panel (plans_9 p.6)</t>
  </si>
  <si>
    <t xml:space="preserve">Factory / shop test</t>
  </si>
  <si>
    <t xml:space="preserve">PROPOSED-PLANT-DRAIN-FLOW-METER; PROPOSED-Plant-Drain-Flow-Meter; P-TPS; F1 (Influent Pump Station); F2 (Influent Pump Station); F3 (Influent Pump Station); F4 (Influent Pump Station); LT (Influent Pump Station); IPS; LP2; PROPOSED-Influent-Flow-Meter; PROPOSED-Plant-2-Flow-Meter; PROPOSED-Plant-3-Flow-Meter; PROPOSED-WAS-Dewatering-Flow-Meter; PROPOSED-Treatment-Building-Ventilation-Control-Panel; PROPOSED-Methane-Sensor; PROPOSED-H2S-Sensor; PROPOSED-Gas-Alarm-Light-and-Horn; L2 (Treatment Building)</t>
  </si>
  <si>
    <t xml:space="preserve">Requirement sentence taken verbatim from the note; Subtype, Timing, Acceptance and Responsible Party parsed from it by keyword (Merge, Inferred — check against the cited ¶). Linked Ledger rows: 18 (flag Y and sheet cited; linkage Inferred).</t>
  </si>
  <si>
    <t xml:space="preserve">Most linked Ledger rows are in CWP 26 (6 of 6) — Inferred</t>
  </si>
  <si>
    <t xml:space="preserve">ITP E5.1-01</t>
  </si>
  <si>
    <t xml:space="preserve">UV disinfection chamber: UV units UV1 and UV2, each with a UV control panel and UV power distribution (key note 3, typ of 2), an effluent flow meter in a vault with a local transmitter panel, a pole light with weatherproof GFCI receptacle, and a digester level transducer with a desiccant J-box; home runs P-UV1, P-UV2, C-UV, S-LT-D, P-LT and a spare to the MCC and PLC panel, plus S-FME and C-FME (plan and elevation; plans_10 p.1)</t>
  </si>
  <si>
    <t xml:space="preserve">E5.1</t>
  </si>
  <si>
    <t xml:space="preserve">PROPOSED-Effluent-Flow-Meter; PROPOSED-Effluent-Flow-Meter-Transmitter-Panel; PROPOSED-UV-Power-Distribution-1; PROPOSED-UV-Power-Distribution-2; PROPOSED-Digester-Level-Transducer; PROPOSED-UV-Area-Pole-Light</t>
  </si>
  <si>
    <t xml:space="preserve">Project_Wiki.md note E5.1 (Electrical &amp; Controls): [Verified-Visual]</t>
  </si>
  <si>
    <t xml:space="preserve">Most linked Ledger rows are in CWP 26 (12 of 12) — Inferred</t>
  </si>
  <si>
    <t xml:space="preserve">ITP E8.1-01</t>
  </si>
  <si>
    <t xml:space="preserve">Swing-out door: influent wet well level display; for each of pumps 1–4 a hand-off-auto switch and run, fail, seal-fail and overtemperature lights with reset; four float-activated lights with float test buttons (plans_11 p.5)</t>
  </si>
  <si>
    <t xml:space="preserve">E8.1</t>
  </si>
  <si>
    <t xml:space="preserve">PROPOSED-PLANT-DRAIN-FLOW-METER; PROPOSED-Plant-Drain-Flow-Meter; F1 (Influent Pump Station); F2 (Influent Pump Station); F3 (Influent Pump Station); F4 (Influent Pump Station); LT (Influent Pump Station); IPS; LP2; PROPOSED-Influent-Flow-Meter; PROPOSED-Plant-2-Flow-Meter; PROPOSED-Plant-3-Flow-Meter; L2 (Treatment Building)</t>
  </si>
  <si>
    <t xml:space="preserve">Project_Wiki.md note E8.1 (Electrical &amp; Controls): [Verified-Visual; labels also in text]</t>
  </si>
  <si>
    <t xml:space="preserve">ITP E8.3-01</t>
  </si>
  <si>
    <t xml:space="preserve">High-level float control circuit (hardwired backup): each wet well high-level float passes an intrinsic safety barrier (relays ISR-FnA/FnB), lights a "high float activated" panel light, has a test button, and "starts pump n" through relay CRHn with a time-off-delay relay TDRn, 0–60 s; key note 1 sets true-off delay, field-adjusted to wet well pump-down rate (plans_11 p.7)</t>
  </si>
  <si>
    <t xml:space="preserve">E8.3</t>
  </si>
  <si>
    <t xml:space="preserve">F1 (Influent Pump Station); F2 (Influent Pump Station); F3 (Influent Pump Station); F4 (Influent Pump Station); IPS; PROPOSED-Treatment-Building-Ventilation-Control-Panel</t>
  </si>
  <si>
    <t xml:space="preserve">Project_Wiki.md note E8.3 (Electrical &amp; Controls): [Verified-Visual; key note Verified]</t>
  </si>
  <si>
    <t xml:space="preserve">ITP E9.2-01</t>
  </si>
  <si>
    <t xml:space="preserve">Control: hand-off-auto with hand and auto status to the PLC panel; PLC relay "call to run" through the motor overtemperature contact to relay CR1; a 10 kΩ hand speed potentiometer; running (CR3) and fault (CR4) contacts to the PLC with push-to-test running and fault lights; MCC cooling fan(s) on a thermostat and the blower enclosure fan on the unit control power (plans_12 p.4)</t>
  </si>
  <si>
    <t xml:space="preserve">Project_Wiki.md note E9.2 (Electrical &amp; Controls): [Verified-Visual]</t>
  </si>
  <si>
    <t xml:space="preserve">ITP 26 05 00-01</t>
  </si>
  <si>
    <t xml:space="preserve">E1.1; E6.1; E6.3</t>
  </si>
  <si>
    <t xml:space="preserve">P-SEC; PROPOSED-Temporary-Backup-Generator</t>
  </si>
  <si>
    <t xml:space="preserve">ITP 26 05 19-01</t>
  </si>
  <si>
    <t xml:space="preserve">Tests (¶3.07, pp.286–288): insulation resistance at 1,000 VDC for 30 s with 1 megohm minimum at 20 °C on scheduled power feeders and on service and feeder conductors; continuity; thermal imaging of all power terminations; ground resistance at each new rod, 25 ohms maximum per rod by the three-rod method and 15 ohms maximum composite; reports to the Engineer before final acceptance</t>
  </si>
  <si>
    <t xml:space="preserve">Electrical test</t>
  </si>
  <si>
    <t xml:space="preserve">Engineer</t>
  </si>
  <si>
    <t xml:space="preserve">E1.1; E6.1; E6.3; E0.2; E4.1; E10.1; E10.2</t>
  </si>
  <si>
    <t xml:space="preserve">P-SEC; P-TPS; PROPOSED-Conduit-and-Conductor-Runs</t>
  </si>
  <si>
    <t xml:space="preserve">Spec 26 05 26</t>
  </si>
  <si>
    <t xml:space="preserve">ITP 26 05 26-01</t>
  </si>
  <si>
    <t xml:space="preserve">No submittal or test paragraph; ground resistance testing sits in 26 05 19 ¶3.07 (25 ohms per rod, 15 ohms composite) (p.289; p.288)</t>
  </si>
  <si>
    <t xml:space="preserve">26 05 26</t>
  </si>
  <si>
    <t xml:space="preserve">E1.1; E6.1; E10.1; E2.1</t>
  </si>
  <si>
    <t xml:space="preserve">PROPOSED-Service-Area-Grounding-Electrode-System; PROPOSED-Blower-Building-Grounding-Electrode-System</t>
  </si>
  <si>
    <t xml:space="preserve">Project_Wiki.md note 26 05 26 (Electrical &amp; Controls): [Verified]</t>
  </si>
  <si>
    <t xml:space="preserve">ITP 26 05 33-01</t>
  </si>
  <si>
    <t xml:space="preserve">ITP 26 24 16-01</t>
  </si>
  <si>
    <t xml:space="preserve">Execution: top of cabinet at 6 ft-6 in unless noted; typed circuit index; field quality control with inspection, phase load balancing within 20% and torque checks (¶3.01–3.03, pp.303–304)</t>
  </si>
  <si>
    <t xml:space="preserve">within 20% and torque checks (¶3</t>
  </si>
  <si>
    <t xml:space="preserve">20%</t>
  </si>
  <si>
    <t xml:space="preserve">ITP 26 24 19-01</t>
  </si>
  <si>
    <t xml:space="preserve">Execution: MCC completed and wired in the contractor shop and tested there with the control system, including every I/O point, control device and motor controller at rated voltage (¶3.01 B, ¶3.02, p.311)</t>
  </si>
  <si>
    <t xml:space="preserve">rated voltage; every I/O point</t>
  </si>
  <si>
    <t xml:space="preserve">Spec 26 27 26</t>
  </si>
  <si>
    <t xml:space="preserve">ITP 26 27 26-01</t>
  </si>
  <si>
    <t xml:space="preserve">Boxes independently supported and devices tested for correct connections (¶2.01, p.313)</t>
  </si>
  <si>
    <t xml:space="preserve">26 27 26</t>
  </si>
  <si>
    <t xml:space="preserve">E5.1; E6.2; E6.3</t>
  </si>
  <si>
    <t xml:space="preserve">PROPOSED-UV-Power-Distribution-1; PROPOSED-UV-Power-Distribution-2</t>
  </si>
  <si>
    <t xml:space="preserve">Project_Wiki.md note 26 27 26 (Electrical &amp; Controls): [Verified]</t>
  </si>
  <si>
    <t xml:space="preserve">ITP 26 29 23-01</t>
  </si>
  <si>
    <t xml:space="preserve">100%</t>
  </si>
  <si>
    <t xml:space="preserve">26-T01, 26-S09</t>
  </si>
  <si>
    <t xml:space="preserve">ITP 26 32 13-01</t>
  </si>
  <si>
    <t xml:space="preserve">Field quality control and on-site acceptance: resistive load bank at full load with temporary connections, run at least 2 hours per NFPA 110; full fuel tank at final commissioning; at least 4 hours of training for up to 5 people (¶3.06–3.07, p.336; ¶3.09, p.337)</t>
  </si>
  <si>
    <t xml:space="preserve">run at least 2 hours per NFPA 110; at least 4 hours of training for up to 5</t>
  </si>
  <si>
    <t xml:space="preserve">ITP 26 36 00-01</t>
  </si>
  <si>
    <t xml:space="preserve">Controller functions include a programmed transition of 0–60 s (default 3 s), test and exercise modes, and two normally open auxiliary contacts per position rated 10 A at 240 VAC; service entrance transfer switch requirements follow in ¶2.04 (pp.342–344)</t>
  </si>
  <si>
    <t xml:space="preserve">Project_Wiki.md note 26 36 00 (Electrical &amp; Controls): [Verified; pages scanned by key terms]</t>
  </si>
  <si>
    <t xml:space="preserve">ITP 26 36 00-02</t>
  </si>
  <si>
    <t xml:space="preserve">ITP 26 51 19-01</t>
  </si>
  <si>
    <t xml:space="preserve">Lighting controls (switches, contactors, occupancy sensors) where shown, compliant with the current Washington State Energy Code, tested and demonstrated as applicable (¶2.02, ¶3.01 I, p.351)</t>
  </si>
  <si>
    <t xml:space="preserve">ITP 26 80 00-01</t>
  </si>
  <si>
    <t xml:space="preserve">Responsibilities: a system integrator (UL508A panel shop, AVEVA-registered, Allen-Bradley experience) designs, builds, programs and commissions the PLC panels and SCADA; equipment suppliers furnish packaged equipment for installation by the electrical contractor, program and commission it, give PLC tags and IP addresses to the Programmer, and supply UL or ETL labels per Washington L&amp;I (¶1.04–1.05, pp.353–356)</t>
  </si>
  <si>
    <t xml:space="preserve">Project_Wiki.md note 26 80 00 (Electrical &amp; Controls): [Verified; pages read by key terms]</t>
  </si>
  <si>
    <t xml:space="preserve">Requirement sentence taken verbatim from the note; Subtype, Timing, Acceptance and Responsible Party parsed from it by keyword (Merge, Inferred — check against the cited ¶). Linked Ledger rows: 30 (flag Y and section cited; linkage Inferred).</t>
  </si>
  <si>
    <t xml:space="preserve">ITP 26 80 00-02</t>
  </si>
  <si>
    <t xml:space="preserve">Execution: factory simulation witnessed by the Engineer and Owner before shipment, field acceptance test and operator training by the system integrator, then programming, start-up and commissioning; the description of operation sets sampler flow pace, the UV interface, generator and ATS status, and ventilation control, whose fan logic differs from E9.3 and E8.4 — see Issues (¶3.03–3.04, ¶3.08–3.09, pp.371–381)</t>
  </si>
  <si>
    <t xml:space="preserve">Factory / shop test; Start-up / commissioning; Training</t>
  </si>
  <si>
    <t xml:space="preserve">Project_Wiki.md note 26 80 00 (Electrical &amp; Controls): [Verified]</t>
  </si>
  <si>
    <t xml:space="preserve">ITP Add. 4 Generator Exhibit-01</t>
  </si>
  <si>
    <t xml:space="preserve">Clarification 5 (p.1) answers bidder questions on "Temporary Back Up Generator (Bid Item #18)": the transfer switch is the permanent ATS (not a long-lead item); the temporary generator connects to it until the permanent genset arrives; testing covers generator connections and an automatic load transfer test; operation must be quiet, 60 dBA or lower at full load; the attached cut sheet is "an example" (Add. 4 p.1)</t>
  </si>
  <si>
    <t xml:space="preserve">60 dBA or lower at full lo</t>
  </si>
  <si>
    <t xml:space="preserve">Add. 4 Generator Exhibit</t>
  </si>
  <si>
    <t xml:space="preserve">ATS; PROPOSED-Temporary-Backup-Generator</t>
  </si>
  <si>
    <t xml:space="preserve">Add. 4 p.1, Clarification 5; exhibit pp.11–13 — Add. 4 governs</t>
  </si>
  <si>
    <t xml:space="preserve">Project_Wiki.md note Add. 4 Generator Exhibit (Electrical &amp; Controls): [Verified]</t>
  </si>
  <si>
    <t xml:space="preserve">2023-03-15 to 2024-10-16 (CWP 31 work span, Inferred)</t>
  </si>
  <si>
    <t xml:space="preserve">31-T01</t>
  </si>
  <si>
    <t xml:space="preserve">ITP C2.4-01</t>
  </si>
  <si>
    <t xml:space="preserve">Add. 4 adds 33 41 00 ¶2.02 F for the trench drains: Zurn Z886-HD or approved equal, HDPE channels with 0.75% built-in slope and 4-in inside width, heavy-duty steel frames, slotted ductile iron grates bolted after final inspection, Load Class C — Add. 4 governs</t>
  </si>
  <si>
    <t xml:space="preserve">0.75%</t>
  </si>
  <si>
    <t xml:space="preserve">C2.4</t>
  </si>
  <si>
    <t xml:space="preserve">Project_Wiki.md note C2.4 (Civil &amp; Site): (Add. 4 p.2 — Verified)</t>
  </si>
  <si>
    <t xml:space="preserve">ITP C3.1-01</t>
  </si>
  <si>
    <t xml:space="preserve">Construction sequence: install the new splitter box and piping to Trains #1 and #3 without disturbing existing piping and operations; when complete and tested, connect the 8" influent to the new influent pump station and direct flow to Trains #1 and #3; then dewater, abandon and remove existing influent piping conflicts so the Train #2 piping and flow meter vault can be installed. Train #2 downtime is limited to 5 days max</t>
  </si>
  <si>
    <t xml:space="preserve">Project_Wiki.md note C3.1 (Process &amp; Mechanical): (Monday–Friday)</t>
  </si>
  <si>
    <t xml:space="preserve">ITP 31 10 00-01</t>
  </si>
  <si>
    <t xml:space="preserve">ITP 31 20 00-01</t>
  </si>
  <si>
    <t xml:space="preserve">Material testing</t>
  </si>
  <si>
    <t xml:space="preserve">Contractor; Engineer; Inspector / laboratory</t>
  </si>
  <si>
    <t xml:space="preserve">ITP 31 20 00-02</t>
  </si>
  <si>
    <t xml:space="preserve">Structural fill is placed in 10-in loose lifts and compacted to 95% MDD (ASTM D1557); unsuitable subgrade is over-excavated 18 in and replaced with CSBC on written authorization, with haul receipts to the Owner</t>
  </si>
  <si>
    <t xml:space="preserve">95% MDD</t>
  </si>
  <si>
    <t xml:space="preserve">Project_Wiki.md note 31 20 00 (Civil &amp; Site): (¶3.03, ¶3.05–3.06; pp.387–388 — Verified)</t>
  </si>
  <si>
    <t xml:space="preserve">ITP 31 23 19-01</t>
  </si>
  <si>
    <t xml:space="preserve">Testing: discharge is checked with a Rossum sand tester (10 ppm silica maximum) with 24-hour notice, and settlement reference points are observed near critical structures</t>
  </si>
  <si>
    <t xml:space="preserve">Project_Wiki.md note 31 23 19 (Civil &amp; Site): (¶3.2–3.3; pp.391–392 — Verified)</t>
  </si>
  <si>
    <t xml:space="preserve">ITP 31 23 33-01</t>
  </si>
  <si>
    <t xml:space="preserve">Owner pays, Contractor coordinates (01 45 00 ¶1.05.B.2 — Inferred)</t>
  </si>
  <si>
    <t xml:space="preserve">ITP 31 23 33-02</t>
  </si>
  <si>
    <t xml:space="preserve">Trench backfill is bank-run gravel (WSDOT 9-03.19) and bedding is pipe-zone gravel (9-03.12(3)), with no native backfill or bedding; bedding is compacted to 90% MDD in 6-in lifts, backfill to 95% under paving or within 5 ft of roadway and 90% in landscaped areas</t>
  </si>
  <si>
    <t xml:space="preserve">within 5 ft of roadway and 90% in landscaped areas (¶2</t>
  </si>
  <si>
    <t xml:space="preserve">90% MDD; 95%; 90%</t>
  </si>
  <si>
    <t xml:space="preserve">Project_Wiki.md note 31 23 33 (Civil &amp; Site): (¶2.01–2.02, ¶3.03–3.04; pp.394–396 — Verified; conflicts with C7.4, see Issues)</t>
  </si>
  <si>
    <t xml:space="preserve">ITP 31 32 11-01</t>
  </si>
  <si>
    <t xml:space="preserve">The Contractor and Owner inspect BMPs periodically, the Contractor corrects impairments immediately and sweeps streets if soil migrates</t>
  </si>
  <si>
    <t xml:space="preserve">Project_Wiki.md note 31 32 11 (Civil &amp; Site): (¶3.03; p.400 — Verified)</t>
  </si>
  <si>
    <t xml:space="preserve">2023-03-15 to 2024-10-16 (CWP 32 work span, Inferred)</t>
  </si>
  <si>
    <t xml:space="preserve">32-T01</t>
  </si>
  <si>
    <t xml:space="preserve">ITP 32 12 16-01</t>
  </si>
  <si>
    <t xml:space="preserve">The Contractor performs QC testing (asphalt content, gradation, voids, fracture, equivalence, in-place density) 'with Section 01400', which is not in the manual</t>
  </si>
  <si>
    <t xml:space="preserve">Project_Wiki.md note 32 12 16 (Civil &amp; Site): (¶3.05; p.405 — Verified; see Issues)</t>
  </si>
  <si>
    <t xml:space="preserve">ITP 32 32 23-01</t>
  </si>
  <si>
    <t xml:space="preserve">The Owner's or Contractor's QA/QC representative inspects the excavation and tests foundation soils before the leveling pad; units are stacked no more than two courses ahead of fill, a footing drain and wall backfill are placed, and caps are glued</t>
  </si>
  <si>
    <t xml:space="preserve">before the leveling pad</t>
  </si>
  <si>
    <t xml:space="preserve">Project_Wiki.md note 32 32 23 (Civil &amp; Site): (¶3.01, ¶3.03–3.04; pp.411–412 — Verified)</t>
  </si>
  <si>
    <t xml:space="preserve">Most linked Ledger rows are in CWP 33 (3 of 4) — Inferred</t>
  </si>
  <si>
    <t xml:space="preserve">2023-04-01 to 2024-07-08 (CWP 33 work span, Inferred)</t>
  </si>
  <si>
    <t xml:space="preserve">33-T01</t>
  </si>
  <si>
    <t xml:space="preserve">ITP C0.5-01</t>
  </si>
  <si>
    <t xml:space="preserve">Removals follow their replacements: the effluent pipes come out after the interim 8-in HDPE pipe (C0.7) is installed and tested, the sump pump station and its piping after the new plant drain pump station, and the septic tank (SSMH 1285) after the new septic tank and influent pump station, with temporary pumps, piping and basins as needed</t>
  </si>
  <si>
    <t xml:space="preserve">C0.5</t>
  </si>
  <si>
    <t xml:space="preserve">PROPOSED-Interim 8in HDPE effluent pipe; PROPOSED-Water line relocation at storm drain; PROPOSED-4in roof drain at SD-1; PROPOSED-Block retaining wall</t>
  </si>
  <si>
    <t xml:space="preserve">Cited — Add. 4 p.1, Clarification 1</t>
  </si>
  <si>
    <t xml:space="preserve">Project_Wiki.md note C0.5 (Civil &amp; Site): (Keyed Notes 1, 3–5, 8, 11–12; plans_2Part-4 p.1, C0.5 — Verified-Visual)</t>
  </si>
  <si>
    <t xml:space="preserve">ITP C0.5-02</t>
  </si>
  <si>
    <t xml:space="preserve">The Contractor keeps the 2-in water service and sump station power live until replacements are tested, protects the storm drain pump station manhole (DMH 1287), potholes storm, power and telecom before new work, relocates existing holding tanks on site per Owner, and sawcuts asphalt pavement</t>
  </si>
  <si>
    <t xml:space="preserve">Project_Wiki.md note C0.5 (Civil &amp; Site): (Keyed Notes 5–6, 10, 13–15, 25; plans_2Part-4 p.1, C0.5 — Verified-Visual)</t>
  </si>
  <si>
    <t xml:space="preserve">Most linked Ledger rows are in CWP 33 (25 of 25) — Inferred</t>
  </si>
  <si>
    <t xml:space="preserve">ITP C1.3-01</t>
  </si>
  <si>
    <t xml:space="preserve">Site piping plan with a pipe identification legend giving size, material (DI, Sch. 80 PVC, SS, HDPE) and minimum slope for 21 base pipe IDs: influent, Train 1–3 influent and effluent, UV disinfection effluent and drains, digested sludge, WAS, 2W and potable water, building septic, vault drain, air vents and process air</t>
  </si>
  <si>
    <t xml:space="preserve">C1.3</t>
  </si>
  <si>
    <t xml:space="preserve">Pipe ID 2; Pipe ID 3; Pipe ID 4; Pipe ID 5; Pipe ID 6; Pipe ID 7; Pipe ID 8; Pipe ID 9; Pipe ID 10; Pipe ID 11; Pipe ID 12; Pipe ID 13; Pipe ID 14; Pipe ID 15; Pipe ID 16; Pipe ID 17; Pipe ID 18; Pipe ID 19; Pipe ID 20; Pipe ID 21; Pipe ID 22; Pipe ID 23; Pipe ID 24; Pipe ID 25; Pipe ID 26</t>
  </si>
  <si>
    <t xml:space="preserve">Reissued — Add. 4 p.7 governs</t>
  </si>
  <si>
    <t xml:space="preserve">Project_Wiki.md note C1.3 (Civil &amp; Site): (base plans_3Part-1 p.1 and Add. 4 p.7, C1.3 — Verified)</t>
  </si>
  <si>
    <t xml:space="preserve">Requirement sentence taken verbatim from the note; Subtype, Timing, Acceptance and Responsible Party parsed from it by keyword (Merge, Inferred — check against the cited ¶). Linked Ledger rows: 25 (flag Y and sheet cited; linkage Inferred).</t>
  </si>
  <si>
    <t xml:space="preserve">ITP C1.4-01</t>
  </si>
  <si>
    <t xml:space="preserve">ITP C7.1-01</t>
  </si>
  <si>
    <t xml:space="preserve">Tracer wire is required on all new water piping, zip-strapped at 6-ft intervals and continuous, with locater boxes next to every building or structure the pipe enters; the Contractor performs a conductivity/locate test on completion and final box locations go to the Engineer</t>
  </si>
  <si>
    <t xml:space="preserve">Contractor; Engineer</t>
  </si>
  <si>
    <t xml:space="preserve">Pipe ID 22; PROPOSED-Gravity sewer cleanouts</t>
  </si>
  <si>
    <t xml:space="preserve">Project_Wiki.md note C7.1 (Civil &amp; Site): (Detail 6 Notes 1–6; plans_6 p.3, C7.1 — Verified-Visual)</t>
  </si>
  <si>
    <t xml:space="preserve">Most linked Ledger rows are in CWP 33 (13 of 14) — Inferred</t>
  </si>
  <si>
    <t xml:space="preserve">ITP C7.3-01</t>
  </si>
  <si>
    <t xml:space="preserve">Signs are baked enamel on steel, black on white, field-located by the Owner, for UV Disinfection Chamber (drawn 'DISENFECTION'), Blower Building, Dewatering Facility, Influent Pump Station, Aerobic Digester, Train 1, Train 2, Train 3 and 2W Water System Pump Station</t>
  </si>
  <si>
    <t xml:space="preserve">C7.3</t>
  </si>
  <si>
    <t xml:space="preserve">Buried Valve ID 1; Buried Valve ID 2; Buried Valve ID 3; Buried Valve ID 4; Buried Valve ID 5; Buried Valve ID 6; Buried Valve ID 7; Buried Valve ID 8; Buried Valve ID 9; Buried Valve ID 10; Buried Valve ID 11; Buried Valve ID 12; Buried Valve ID 13; PROPOSED-HMA pavement</t>
  </si>
  <si>
    <t xml:space="preserve">Project_Wiki.md note C7.3 (Civil &amp; Site): (Detail 1; plans_6 p.5, C7.3 — Verified-Visual)</t>
  </si>
  <si>
    <t xml:space="preserve">Most linked Ledger rows are in CWP 33 (8 of 8) — Inferred</t>
  </si>
  <si>
    <t xml:space="preserve">ITP C1.6A-01</t>
  </si>
  <si>
    <t xml:space="preserve">Pipes called out: 3-in 2W water reducing to 2-in before the sub-floor run to the dewatering skid, 2-in 2W water to the skid, 4-in pressate drain from the dewatering skid to the influent pump station, 2-in digested sludge (digester to pump; pump to dewatering skid), 2-in WAS (Train #3 to pump; pump to digester), 8-in secondary effluent from the Train #2 clarifier to UV disinfection, 4-in air from blower to digester, and 1-in 2W water from the bladder tanks to the 3-in 2W pipe</t>
  </si>
  <si>
    <t xml:space="preserve">before the sub-floor run to the dewatering skid</t>
  </si>
  <si>
    <t xml:space="preserve">C1.6A</t>
  </si>
  <si>
    <t xml:space="preserve">Pipe ID 7; Pipe ID 10; Pipe ID 15; Pipe ID 16; Pipe ID 19; Pipe ID 21; Pipe ID 23; Pipe ID 25</t>
  </si>
  <si>
    <t xml:space="preserve">Issued by Add. 4 p.8 (governs)</t>
  </si>
  <si>
    <t xml:space="preserve">Project_Wiki.md note C1.6A (Civil &amp; Site): (Add. 4 p.8, C1.6A — Verified)</t>
  </si>
  <si>
    <t xml:space="preserve">33-T01, 33-S06</t>
  </si>
  <si>
    <t xml:space="preserve">ITP 33 30 00-01</t>
  </si>
  <si>
    <t xml:space="preserve">Testing is witnessed with 48-hour notice: force mains at 1.5 times operating pressure or 150 psi for 15 minutes (mixed liquor and West Plant Drain Pump Station force mains 150 psi, 2W and 3W piping 200 psi), HDPE per ASTM F2164, and valves with their pipelines</t>
  </si>
  <si>
    <t xml:space="preserve">48-hour notice</t>
  </si>
  <si>
    <t xml:space="preserve">150 psi for 15 minutes (mixed liquor and West P; 150 psi, 2W and 3W piping 200 psi), HDPE per AS; for 15 minutes</t>
  </si>
  <si>
    <t xml:space="preserve">C0.5 (KN 22); C1.3 (Add. 4 p.7); C1.6A (Add. 4 p.8); C7.10; C7.1 (Det. 1); C7.5 (Det. 1); C1.4; C7.3 (Det. 2); C2.2; C7.1 (Det. 5); C7.5 (Det. 2); C2.3 (plan and profile); C2.1; C2.3; C2.1 (KN 3)</t>
  </si>
  <si>
    <t xml:space="preserve">PROPOSED-Water line relocation at storm drain; Pipe ID 2; Pipe ID 3; Pipe ID 4; Pipe ID 5; Pipe ID 6; Pipe ID 7; Pipe ID 8; Pipe ID 9; Pipe ID 10; Pipe ID 11; Pipe ID 12; Pipe ID 13; Pipe ID 14; Pipe ID 15; Pipe ID 16; Pipe ID 17; Pipe ID 18; Pipe ID 19; Pipe ID 20; Pipe ID 21; Pipe ID 22; Pipe ID 23; Pipe ID 24; Pipe ID 25; Pipe ID 26; Buried Valve ID 1; Buried Valve ID 2; Buried Valve ID 3; Buried Valve ID 4; Buried Valve ID 5; Buried Valve ID 6; Buried Valve ID 7; Buried Valve ID 8; Buried Valve ID 9; Buried Valve ID 10; Buried Valve ID 11; Buried Valve ID 12; Buried Valve ID 13; SD-1 (+6 more)</t>
  </si>
  <si>
    <t xml:space="preserve">Project_Wiki.md note 33 30 00 (Civil &amp; Site): (¶3.04.1–6, 8, 10; pp.427–429 — Verified)</t>
  </si>
  <si>
    <t xml:space="preserve">Requirement sentence taken verbatim from the note; Subtype, Timing, Acceptance and Responsible Party parsed from it by keyword (Merge, Inferred — check against the cited ¶). Linked Ledger rows: 46 (flag Y and section cited; linkage Inferred).</t>
  </si>
  <si>
    <t xml:space="preserve">ITP 33 30 00-02</t>
  </si>
  <si>
    <t xml:space="preserve">Gravity storm and sewer tests and water-line pressure tests and disinfection defer to WSDOT 4-04.3(1), 7-17.3(2) and 7-09.3(23), with DOH-lab chlorine (50 mg/L initial, 25 mg/L at 24 hours) and bacteriological reports</t>
  </si>
  <si>
    <t xml:space="preserve">50 mg/L initial; 25 mg/L at 24 hours) and bacteriologi</t>
  </si>
  <si>
    <t xml:space="preserve">Inspector / laboratory</t>
  </si>
  <si>
    <t xml:space="preserve">Project_Wiki.md note 33 30 00 (Civil &amp; Site): (¶3.04.7, 9; p.428 — Verified; WSDOT test methods Unresolved: external reference, not staged)</t>
  </si>
  <si>
    <t xml:space="preserve">ITP 33 31 00-01</t>
  </si>
  <si>
    <t xml:space="preserve">Material requirements for wastewater lines, with installation and testing per 33 30 00</t>
  </si>
  <si>
    <t xml:space="preserve">C1.3 (Add. 4 p.7); C1.6A (Add. 4 p.8); C7.10; C7.1 (Det. 1); C7.5 (Det. 1); C7.1 (Det. 5); C6.4; C6.5; C3.3; C3.5</t>
  </si>
  <si>
    <t xml:space="preserve">Pipe ID 2; Pipe ID 3; Pipe ID 5; Pipe ID 6; Pipe ID 7; Pipe ID 8; Pipe ID 10; Pipe ID 11; Pipe ID 13; Pipe ID 14; Pipe ID 15; Pipe ID 16; Pipe ID 17; Pipe ID 18; Pipe ID 19; Pipe ID 20; Pipe ID 21; Pipe ID 22; Pipe ID 23; Pipe ID 24; Pipe ID 25; Pipe ID 26; PROPOSED-Gravity sewer cleanouts; PROPOSED-AIR-TO-TRAIN-3</t>
  </si>
  <si>
    <t xml:space="preserve">Project_Wiki.md note 33 31 00 (Civil &amp; Site): (¶1.01, ¶3.02; main spec pp.430, 435 — Verified)</t>
  </si>
  <si>
    <t xml:space="preserve">Requirement sentence taken verbatim from the note; Subtype, Timing, Acceptance and Responsible Party parsed from it by keyword (Merge, Inferred — check against the cited ¶). Linked Ledger rows: 24 (flag Y and section cited; linkage Inferred).</t>
  </si>
  <si>
    <t xml:space="preserve">ITP 33 32 00-01</t>
  </si>
  <si>
    <t xml:space="preserve">Covers HDPE, PVC and DI water main and appurtenances, chlorination, pressure testing and start-up, and as-built records per 01 70 00</t>
  </si>
  <si>
    <t xml:space="preserve">Field pressure / leakage test; Start-up / commissioning</t>
  </si>
  <si>
    <t xml:space="preserve">Project_Wiki.md note 33 32 00 (Civil &amp; Site): (¶1.01 A; main spec p.436 — Verified)</t>
  </si>
  <si>
    <t xml:space="preserve">ITP 33 32 00-02</t>
  </si>
  <si>
    <t xml:space="preserve">Fire hydrants are Iowa or M.H. 929T with a 5-in Storz port, shutoff valve 5–20 ft away, crash posts where exposed, a 200 psi hydrostatic test and a flow test, and installation per 'ESWD Standard Detail W-1', which is not in the library</t>
  </si>
  <si>
    <t xml:space="preserve">200 psi hydrostatic test and a flow test, and i</t>
  </si>
  <si>
    <t xml:space="preserve">Project_Wiki.md note 33 32 00 (Civil &amp; Site): (¶2.011; pp.439–440 — Verified)</t>
  </si>
  <si>
    <t xml:space="preserve">ITP 33 32 00-03</t>
  </si>
  <si>
    <t xml:space="preserve">Testing and disinfection follow 33 30 00, and only Association staff may operate isolation valves on the existing system</t>
  </si>
  <si>
    <t xml:space="preserve">Project_Wiki.md note 33 32 00 (Civil &amp; Site): (¶3.05–3.06; p.443 — Verified)</t>
  </si>
  <si>
    <t xml:space="preserve">ITP 33 33 00-01</t>
  </si>
  <si>
    <t xml:space="preserve">3%</t>
  </si>
  <si>
    <t xml:space="preserve">ITP 33 33 00-02</t>
  </si>
  <si>
    <t xml:space="preserve">Pressure testing follows ASTM F2164 and Performance Pipe Technical Note 802</t>
  </si>
  <si>
    <t xml:space="preserve">Project_Wiki.md note 33 33 00 (Civil &amp; Site): (¶3.04; p.446 — Verified)</t>
  </si>
  <si>
    <t xml:space="preserve">ITP 33 41 00-01</t>
  </si>
  <si>
    <t xml:space="preserve">Add. 4 adds ¶2.02 F: trench drains are Zurn Z886-HD or approved equal, HDPE channels with 0.75% built-in slope, 4-in inside width, 80-in minimum lengths with interlocking ends, black Dura-coated heavy-duty steel frames with embedment studs, and slotted ductile iron grates (5.375 in wide, about 18.5 sq in open area per LF) bolted after final inspection, Load Class C — Add. 4 governs</t>
  </si>
  <si>
    <t xml:space="preserve">C2.2; C2.3 (plan and profile); C2.1; C2.3; C2.1 (KN 3)</t>
  </si>
  <si>
    <t xml:space="preserve">SD-1; PROPOSED-4in roof drain at SD-1; SD-2; SD-3; PROPOSED-4in roof drain connections (SD-2, SD-3)</t>
  </si>
  <si>
    <t xml:space="preserve">Project_Wiki.md note 33 41 00 (Civil &amp; Site): (Add. 4 p.2 — Verified)</t>
  </si>
  <si>
    <t xml:space="preserve">Most linked Ledger rows are in CWP 33 (1 of 1) — Inferred</t>
  </si>
  <si>
    <t xml:space="preserve">ITP Appendix F-01</t>
  </si>
  <si>
    <t xml:space="preserve">Wilson Engineering's plan of interim operation lists the operational milestones from construction through start-up and states it is not part of the construction Contract Documents</t>
  </si>
  <si>
    <t xml:space="preserve">Appendix F</t>
  </si>
  <si>
    <t xml:space="preserve">C0.5 (KN 1, 8); C0.7 (cited)</t>
  </si>
  <si>
    <t xml:space="preserve">PROPOSED-Interim 8in HDPE effluent pipe</t>
  </si>
  <si>
    <t xml:space="preserve">Project_Wiki.md note Appendix F (Civil &amp; Site): (§1.0–1.2; main spec p.614 — Verified)</t>
  </si>
  <si>
    <t xml:space="preserve">ITP Appendix F-02</t>
  </si>
  <si>
    <t xml:space="preserve">Scope summary: a third bullseye-style Bardenpho treatment train with new clarifier, an aerobic digester, UV disinfection, new dewatering equipment, a new influent flow splitter, new influent and 2W pump stations, a new blower building and stormwater improvements</t>
  </si>
  <si>
    <t xml:space="preserve">Project_Wiki.md note Appendix F (Civil &amp; Site): (§2.0; p.615 — Verified)</t>
  </si>
  <si>
    <t xml:space="preserve">ITP Appendix F-03</t>
  </si>
  <si>
    <t xml:space="preserve">Treatment stays continuous: the Contractor provides temporary piping from the existing chlorine disinfection chamber outlet to the 8-in effluent pipe just upstream of SSMH #1288, limits each disruption to 1 hour (influent pump station start-up with the flow splitter, the new 10-in effluent tie-in, the new transformer), lowers Train #2 with temporary pumps for the splitter tie-in, and submits a bypass plan; the detailed sequence is on C0.7</t>
  </si>
  <si>
    <t xml:space="preserve">Start-up / commissioning; Disinfection / bacteriological</t>
  </si>
  <si>
    <t xml:space="preserve">Project_Wiki.md note Appendix F (Civil &amp; Site): (§5.1–5.2; pp.618–619 — Verified)</t>
  </si>
  <si>
    <t xml:space="preserve">33-T01, 03-S01, 03-S02, 03-S03, 03-S04, 03-S05</t>
  </si>
  <si>
    <t xml:space="preserve">ITP Appendix F-04</t>
  </si>
  <si>
    <t xml:space="preserve">The Owner must have full use of the new generator before the old generator and switchgear are demolished, and at start-up new concrete basins get clean-water leakage tests and equipment gets operational tests per 01 45 00 and the equipment sections</t>
  </si>
  <si>
    <t xml:space="preserve">before the old generator and switchgear are demolished</t>
  </si>
  <si>
    <t xml:space="preserve">Project_Wiki.md note Appendix F (Civil &amp; Site): (§5.3.1, §6.0; p.619 — Verified)</t>
  </si>
  <si>
    <t xml:space="preserve">ITP 33 05 00-00</t>
  </si>
  <si>
    <t xml:space="preserve">Requirement flagged on 38 Ledger row(s) citing 33 05 00; the Wiki note does not summarize it</t>
  </si>
  <si>
    <t xml:space="preserve">2023-11-01 to 2024-02-09 (CWP 41 work span, Inferred)</t>
  </si>
  <si>
    <t xml:space="preserve">41-T01</t>
  </si>
  <si>
    <t xml:space="preserve">ITP 41 12 13-00</t>
  </si>
  <si>
    <t xml:space="preserve">Requirement flagged on 3 Ledger row(s) citing 41 12 13; the Wiki note does not summarize it</t>
  </si>
  <si>
    <t xml:space="preserve">Most linked Ledger rows are in CWP 43 (1 of 1) — Inferred</t>
  </si>
  <si>
    <t xml:space="preserve">2023-04-01 to 2024-02-09 (CWP 43 work span, Inferred)</t>
  </si>
  <si>
    <t xml:space="preserve">43-T01, 33-S06</t>
  </si>
  <si>
    <t xml:space="preserve">ITP C4.3-01</t>
  </si>
  <si>
    <t xml:space="preserve">Their 1" SCH 80 PVC manifold on 4 floor pipe supports carries pressure transducer PIT-620 (labeled "EQ# PIT-620"; 0–150 psi per specifications; operating pressure 55–75 psi), a 0–150 psi pressure gage with stainless accessories, a pressure relief valve rated 120 psi or greater (Clayton Mark or equal), a 5/8" faucet for air relief and sampling, Simmons S1704 tank tees or equal, 1" ball valves and a pressure-rated end plug. Notes: fill all piping with clean domestic potable water before starting and testing the 2W system equipment; the contractor coordinates the piping connection style (grooved, flanged, threaded) and performs pressure testing to demonstrate watertight construction; valve handles and hoist chains are not shown. The sheet does not name the room; Add. 4 p.3 (A1.1, A1.2, C6.4 item) adjusts "Bladder Tanks" with the Blower Building layout, taken here to be these tanks</t>
  </si>
  <si>
    <t xml:space="preserve">150 psi per specifications; 75 psi), a 0–150 psi pressure gage with stainl; 120 psi or greater (Clayton Mark or equal), a 5</t>
  </si>
  <si>
    <t xml:space="preserve">C4.3</t>
  </si>
  <si>
    <t xml:space="preserve">PROPOSED-2W-DIAPHRAGM-TANKS</t>
  </si>
  <si>
    <t xml:space="preserve">Project_Wiki.md note C4.3 (Process &amp; Mechanical): (Inferred; checked against C6.4 in batch 4)</t>
  </si>
  <si>
    <t xml:space="preserve">43-T01</t>
  </si>
  <si>
    <t xml:space="preserve">ITP 43 11 00-01</t>
  </si>
  <si>
    <t xml:space="preserve">run 30 minutes at maximum speed and differential</t>
  </si>
  <si>
    <t xml:space="preserve">ITP 43 22 10-00</t>
  </si>
  <si>
    <t xml:space="preserve">Requirement flagged on 3 Ledger row(s) citing 43 22 10; the Wiki note does not summarize it</t>
  </si>
  <si>
    <t xml:space="preserve">C4.2; G0.7; C4.3; C6.4</t>
  </si>
  <si>
    <t xml:space="preserve">PROPOSED-2W-PUMP-STATION-WET-WELL; PROPOSED-2W-Pump-Station-Wet-Well; PROPOSED-2W-PUMPS; PROPOSED-2W-DIAPHRAGM-TANKS</t>
  </si>
  <si>
    <t xml:space="preserve">Process &amp; Mechanical; Contract &amp; General; Process &amp; Mechanical</t>
  </si>
  <si>
    <t xml:space="preserve">2023-04-01 to 2023-11-01 (CWP 45 work span, Inferred)</t>
  </si>
  <si>
    <t xml:space="preserve">45-T01</t>
  </si>
  <si>
    <t xml:space="preserve">ITP 45 05 00-01</t>
  </si>
  <si>
    <t xml:space="preserve">Products: Kennedy resilient-seated NRS gate valves 2"–12" (AWWA C509/C515, C550 epoxy) and all-stainless NPT gate valves under 4" exposed; swing check valves with external lever, spring and limit switch (MH 259-02ALS, AWWA C508) and Tideflex TF-2M duckbill checks for vertical service; Pratt Ballcentric plug valves; Watts S-FBV-1 stainless ball valves under 4" for general exposed non-potable use and Asahi Type 21 CPVC true-union ball valves 2" and under for interior potable water; M&amp;H Style 47 flap gates, demonstrated in dry and wet tests; butterfly valves — Asahi Type 57 PVC for interior PVC systems, Bray Series 31 lug or Dezurik for exposed ductile iron or stainless air piping, AWWA C504 Class 150B for buried water mains 10" and larger; A.R.I. D-025 combination air release valves; 2"-and-under globe valves (Issue 28); and Kennedy gate valves for buried plant water hydrant isolation</t>
  </si>
  <si>
    <t xml:space="preserve">Project_Wiki.md note 45 05 00 (Process &amp; Mechanical): (¶2.04–2.014 pp.477–479)</t>
  </si>
  <si>
    <t xml:space="preserve">ITP 45 05 00-02</t>
  </si>
  <si>
    <t xml:space="preserve">Most linked Ledger rows are in CWP 46 (3 of 6) — Inferred</t>
  </si>
  <si>
    <t xml:space="preserve">2023-04-01 to 2024-07-08 (CWP 46 work span, Inferred)</t>
  </si>
  <si>
    <t xml:space="preserve">46-T01</t>
  </si>
  <si>
    <t xml:space="preserve">ITP G0.6-01</t>
  </si>
  <si>
    <t xml:space="preserve">PROPOSED-TRAIN-3-TREATMENT-SYSTEM; PROPOSED-UV-SYSTEM; PROPOSED-ROTARY-FAN-PRESS; PROPOSED-WAS-PUMP; PROPOSED-SWING-SLUDGE-PUMP; PROPOSED-DIGESTED-SLUDGE-PUMP</t>
  </si>
  <si>
    <t xml:space="preserve">Most linked Ledger rows are in CWP 46 (7 of 14) — Inferred</t>
  </si>
  <si>
    <t xml:space="preserve">46-T01, 46-S10, 46-S14, 46-S15</t>
  </si>
  <si>
    <t xml:space="preserve">ITP G0.7-01</t>
  </si>
  <si>
    <t xml:space="preserve">Start-up design (after Phase I) is ADF 0.10, MMF 0.12, max day 0.30 and peak hour 0.49 MGD; build-out (year 2040, after Phase II — phase numerals read from the image, Verified-Visual) is 0.19, 0.22, 0.46 and 0.77 MGD. The Influent Pump Station has 2 small submersible pumps (120–220 gpm each) and 2 large (320–500 gpm each), firm capacity 535 gpm (0.77 MGD) with one small and one large out of service; electromagnetic flow meters are influent 6" (0–880 gpm), Train #2 and Train #3 8" (0–470 gpm each), effluent 8" (0–940 gpm), plant drain 4" (0–200 gpm) and 2W water 1"</t>
  </si>
  <si>
    <t xml:space="preserve">G0.7</t>
  </si>
  <si>
    <t xml:space="preserve">PROPOSED-PLANT-DRAIN-FLOW-METER; PROPOSED-Plant-Drain-Flow-Meter; PROPOSED-TRAIN-3-TREATMENT-SYSTEM; PROPOSED-TRAIN-3-AERATION-DIFFUSERS; PROPOSED-TRAIN-3-ANOXIC-MIXERS; PROPOSED-TRAIN-3-RAS-AIRLIFT; PROPOSED-TRAIN-3-MLR-AIRLIFT; PROPOSED-INFLUENT-PUMPS-SMALL; PROPOSED-INFLUENT-PUMPS-LARGE; PROPOSED-2W-PUMPS; PROPOSED-UV-SYSTEM; PROPOSED-ROTARY-FAN-PRESS; PROPOSED-WAS-PUMP; PROPOSED-SWING-SLUDGE-PUMP; PROPOSED-DIGESTED-SLUDGE-PUMP</t>
  </si>
  <si>
    <t xml:space="preserve">1; 6; 18 — Unresolved (see 04); 19; Equipment Alternate A; Equipment Alternate B; Equipment Alternate C; Equipment Alternate D</t>
  </si>
  <si>
    <t xml:space="preserve">Project_Wiki.md note G0.7 (Process &amp; Mechanical): (0–25 gpm)</t>
  </si>
  <si>
    <t xml:space="preserve">Most linked Ledger rows are in CWP 46 (2 of 2) — Inferred</t>
  </si>
  <si>
    <t xml:space="preserve">ITP C5.1-01</t>
  </si>
  <si>
    <t xml:space="preserve">1%</t>
  </si>
  <si>
    <t xml:space="preserve">PROPOSED-UV-SYSTEM; PROPOSED-UV-CONTROL-PANELS</t>
  </si>
  <si>
    <t xml:space="preserve">ITP C5.4-01</t>
  </si>
  <si>
    <t xml:space="preserve">Detail 1 shows the Trojan UV disinfection unit: one bank (1A) of "4-64 UV PTP" modules, "6 required / bank" (read at stored resolution; the text layer also carries 6 module label groups), in a steel channel about 13'-7 1/2" long (a 9'-7" module section between 2'-0 3/4" transition boxes, 1'-4" inside channel height) with removable cover plates, module lamp status viewing plates, an access plate with warning label, solid blocking, 2" NPT drains with plugs, a standard 3600K level control weir with a 1" NPT drain plug, and flanged influent and effluent connections drilled to fit 12" DIN, BS and JIS pipe; HWL 21.49 upstream, 21.09 downstream, EL 19.08. Power: a splitter panel within 10 ft of the module power end (120 V, 1-phase, 19.1 A from distribution panel DP, not shown), power distribution receptacles (6.3 A each, from the splitter panel), 10' grounded power cords, and a wall-mounted system monitor within 15 ft of the channel</t>
  </si>
  <si>
    <t xml:space="preserve">within 10 ft of the module power end (120 V; within 15 ft of the channel (120 V</t>
  </si>
  <si>
    <t xml:space="preserve">C5.4</t>
  </si>
  <si>
    <t xml:space="preserve">Project_Wiki.md note C5.4 (Process &amp; Mechanical): (120 V, 5 A from DP)</t>
  </si>
  <si>
    <t xml:space="preserve">46-T01, 46-S10, 46-S14, 46-S15, 03-S01, 03-S02, 03-S03, 03-S04, 03-S05</t>
  </si>
  <si>
    <t xml:space="preserve">ITP 46 41 23-01</t>
  </si>
  <si>
    <t xml:space="preserve">Factory / shop test; Field pressure / leakage test; Start-up / commissioning; Training</t>
  </si>
  <si>
    <t xml:space="preserve">PROPOSED-TRAIN-3-ANOXIC-MIXERS</t>
  </si>
  <si>
    <t xml:space="preserve">46-T01, 46-S10, 46-S14, 46-S15, 33-S06</t>
  </si>
  <si>
    <t xml:space="preserve">ITP 46 53 00-01</t>
  </si>
  <si>
    <t xml:space="preserve">Blowers are in 43 11 00 and air piping in 33 31 00 ¶2.01 D, the air header gets a 15 psi, 60-minute low-pressure air test (¶2.01 D–E p.498), and the manufacturer furnishes a NEMA 4X 316 SS control panel and spares and performs programming, start-up and a witnessed Functional Acceptance Test</t>
  </si>
  <si>
    <t xml:space="preserve">15 psi, 60-minute low-pressure air test (¶2</t>
  </si>
  <si>
    <t xml:space="preserve">C3.3; E3.1; E7.6; E6.3; G0.5; G0.6; G0.7; C3.4; C3.5; C6.4; C6.5</t>
  </si>
  <si>
    <t xml:space="preserve">DO #1; DO-1; DO #2; DO-2; PROPOSED-TRAIN-3-TREATMENT-SYSTEM; PROPOSED-TRAIN-3-CLARIFIER-MECHANISM; PROPOSED-TRAIN-3-AERATION-DIFFUSERS; PROPOSED-TRAIN-3-ANOXIC-MIXERS; PROPOSED-TRAIN-3-RAS-AIRLIFT; PROPOSED-TRAIN-3-MLR-AIRLIFT; PROPOSED-CARBON-FEED-PUMPS; PROPOSED-TRAIN-3-CONTROL-PANEL; PROPOSED-AIR-TO-TRAIN-3</t>
  </si>
  <si>
    <t xml:space="preserve">Project_Wiki.md note 46 53 00 (Process &amp; Mechanical): (¶2.01 F–G p.499; ¶3.03 pp.500–501)</t>
  </si>
  <si>
    <t xml:space="preserve">46-T01, 33-S06</t>
  </si>
  <si>
    <t xml:space="preserve">ITP 46 66 00-01</t>
  </si>
  <si>
    <t xml:space="preserve">50%; 30 mg/L</t>
  </si>
  <si>
    <t xml:space="preserve">ITP 46 66 00-02</t>
  </si>
  <si>
    <t xml:space="preserve">ITP 46 66 10-01</t>
  </si>
  <si>
    <t xml:space="preserve">ITP 46 76 26-01</t>
  </si>
  <si>
    <t xml:space="preserve">A single-source, shop-tested "plug and play" dewatering skid: one rotary fan press with one 36" dewatering channel, a flocculator, sludge manifold and piping, cake chute, an emulsified-polymer make-up system with dosing pump, an air compressor for pneumatic valving, screw conveyors (receiving and inclined "as needed" to reach the District's dumpster, as shown on drawings) and one control panel for the whole system, which also sets the digested sludge feed pump rate</t>
  </si>
  <si>
    <t xml:space="preserve">G0.5; G0.6; G0.7; C6.1; C6.2</t>
  </si>
  <si>
    <t xml:space="preserve">PROPOSED-ROTARY-FAN-PRESS; PROPOSED-RFP-FLOCCULATOR; PROPOSED-RFP-SLUDGE-MANIFOLD; PROPOSED-RFP-CONTROL-PANEL; PROPOSED-SCREW-CONVEYOR; PROPOSED-DIGESTED-SLUDGE-PUMP; Receiving Conveyor; Inclined Conveyor</t>
  </si>
  <si>
    <t xml:space="preserve">Project_Wiki.md note 46 76 26 (Process &amp; Mechanical): (¶1.0 A, C p.510; ¶1.7 p.514)</t>
  </si>
  <si>
    <t xml:space="preserve">ITP 46 76 26-02</t>
  </si>
  <si>
    <t xml:space="preserve">The flocculator (model 05-300-900, 17 gal, 100 psi) has a 1 HP Nord SK0282 variable-speed agitator and a PVC air breather tied to "the potable water line", feeding the press through Sch 10 316 SS piping with Victaulic joints, 3" pneumatic feed and recirculation ball valves, lever channel isolating valves, 1" pneumatic wash valves and a 1" stainless polymer check valve, with the feed manifold shop tested at 100 psi</t>
  </si>
  <si>
    <t xml:space="preserve">100 psi) has a 1 HP Nord SK0282 variable-speed; 100 psi (¶2</t>
  </si>
  <si>
    <t xml:space="preserve">Project_Wiki.md note 46 76 26 (Process &amp; Mechanical): (¶2.1–2.2 pp.515–518)</t>
  </si>
  <si>
    <t xml:space="preserve">ITP 46 76 26-03</t>
  </si>
  <si>
    <t xml:space="preserve">ITP 46 12 13-00</t>
  </si>
  <si>
    <t xml:space="preserve">How each register line is placed in a CWP:</t>
  </si>
  <si>
    <t xml:space="preserve">Spec section on the line → its division (same package list and color as Project_Ledger_by_CWP.xlsx). Division 00/01 lines → CWP 01. The four older section numbers move as in the Ledger view.</t>
  </si>
  <si>
    <t xml:space="preserve">Sheet-note and Add. 4 lines → the CWP most of their linked Ledger rows sit in (Inferred); with no linked rows, the sheet prefix decides (G→01, C→31, E→26, A→13, S→03).</t>
  </si>
  <si>
    <t xml:space="preserve">3</t>
  </si>
  <si>
    <t xml:space="preserve">Schedule date: submittals — approve by the package's first scheduled work (Schedule_by_CWP.xlsx); inspections — the package's work span, plus any matching test or start-up activity. All schedule dates on register lines are Inferred.</t>
  </si>
  <si>
    <t xml:space="preserve">Register columns after "Schedule activity" are the Requirements_Schema.csv columns, unchanged from Submittal_Register.csv / Inspection_Test_Plan.csv.</t>
  </si>
</sst>
</file>

<file path=xl/styles.xml><?xml version="1.0" encoding="utf-8"?>
<styleSheet xmlns="http://schemas.openxmlformats.org/spreadsheetml/2006/main">
  <numFmts count="2">
    <numFmt numFmtId="164" formatCode="General"/>
    <numFmt numFmtId="165" formatCode="yyyy\-mm\-dd"/>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1"/>
      <name val="Arial"/>
      <family val="0"/>
      <charset val="1"/>
    </font>
    <font>
      <b val="true"/>
      <sz val="10"/>
      <color rgb="FFFFFFFF"/>
      <name val="Arial"/>
      <family val="0"/>
      <charset val="1"/>
    </font>
  </fonts>
  <fills count="42">
    <fill>
      <patternFill patternType="none"/>
    </fill>
    <fill>
      <patternFill patternType="gray125"/>
    </fill>
    <fill>
      <patternFill patternType="solid">
        <fgColor rgb="FF1F3864"/>
        <bgColor rgb="FF3F3F9F"/>
      </patternFill>
    </fill>
    <fill>
      <patternFill patternType="solid">
        <fgColor rgb="FF595959"/>
        <bgColor rgb="FF5F6B7A"/>
      </patternFill>
    </fill>
    <fill>
      <patternFill patternType="solid">
        <fgColor rgb="FFEDEDED"/>
        <bgColor rgb="FFEEE8E2"/>
      </patternFill>
    </fill>
    <fill>
      <patternFill patternType="solid">
        <fgColor rgb="FF8C7B6B"/>
        <bgColor rgb="FF5F6B7A"/>
      </patternFill>
    </fill>
    <fill>
      <patternFill patternType="solid">
        <fgColor rgb="FFEEE8E2"/>
        <bgColor rgb="FFEDEDED"/>
      </patternFill>
    </fill>
    <fill>
      <patternFill patternType="solid">
        <fgColor rgb="FFDAE1EE"/>
        <bgColor rgb="FFDEDEF4"/>
      </patternFill>
    </fill>
    <fill>
      <patternFill patternType="solid">
        <fgColor rgb="FF806000"/>
        <bgColor rgb="FF7F7F00"/>
      </patternFill>
    </fill>
    <fill>
      <patternFill patternType="solid">
        <fgColor rgb="FFF2E8CC"/>
        <bgColor rgb="FFEFEFCC"/>
      </patternFill>
    </fill>
    <fill>
      <patternFill patternType="solid">
        <fgColor rgb="FF00796B"/>
        <bgColor rgb="FF0E7C61"/>
      </patternFill>
    </fill>
    <fill>
      <patternFill patternType="solid">
        <fgColor rgb="FFD4EFEC"/>
        <bgColor rgb="FFD2EEE6"/>
      </patternFill>
    </fill>
    <fill>
      <patternFill patternType="solid">
        <fgColor rgb="FF7030A0"/>
        <bgColor rgb="FF7B2D5C"/>
      </patternFill>
    </fill>
    <fill>
      <patternFill patternType="solid">
        <fgColor rgb="FFEADCF4"/>
        <bgColor rgb="FFEFDCE7"/>
      </patternFill>
    </fill>
    <fill>
      <patternFill patternType="solid">
        <fgColor rgb="FFC00070"/>
        <bgColor rgb="FF800080"/>
      </patternFill>
    </fill>
    <fill>
      <patternFill patternType="solid">
        <fgColor rgb="FFF9D9EA"/>
        <bgColor rgb="FFFBDDDB"/>
      </patternFill>
    </fill>
    <fill>
      <patternFill patternType="solid">
        <fgColor rgb="FF7F7F00"/>
        <bgColor rgb="FF806000"/>
      </patternFill>
    </fill>
    <fill>
      <patternFill patternType="solid">
        <fgColor rgb="FFEFEFCC"/>
        <bgColor rgb="FFF2E8CC"/>
      </patternFill>
    </fill>
    <fill>
      <patternFill patternType="solid">
        <fgColor rgb="FF3F3F9F"/>
        <bgColor rgb="FF1F3864"/>
      </patternFill>
    </fill>
    <fill>
      <patternFill patternType="solid">
        <fgColor rgb="FFDEDEF4"/>
        <bgColor rgb="FFDAE1EE"/>
      </patternFill>
    </fill>
    <fill>
      <patternFill patternType="solid">
        <fgColor rgb="FF2E75B6"/>
        <bgColor rgb="FF0E7C61"/>
      </patternFill>
    </fill>
    <fill>
      <patternFill patternType="solid">
        <fgColor rgb="FFDDEBF7"/>
        <bgColor rgb="FFE3E6EA"/>
      </patternFill>
    </fill>
    <fill>
      <patternFill patternType="solid">
        <fgColor rgb="FF00A0B0"/>
        <bgColor rgb="FF00796B"/>
      </patternFill>
    </fill>
    <fill>
      <patternFill patternType="solid">
        <fgColor rgb="FFD1F2F5"/>
        <bgColor rgb="FFD4EFEC"/>
      </patternFill>
    </fill>
    <fill>
      <patternFill patternType="solid">
        <fgColor rgb="FFBF8F00"/>
        <bgColor rgb="FF7F7F00"/>
      </patternFill>
    </fill>
    <fill>
      <patternFill patternType="solid">
        <fgColor rgb="FFFFF2CC"/>
        <bgColor rgb="FFEFEFCC"/>
      </patternFill>
    </fill>
    <fill>
      <patternFill patternType="solid">
        <fgColor rgb="FFC55A11"/>
        <bgColor rgb="FFE03C31"/>
      </patternFill>
    </fill>
    <fill>
      <patternFill patternType="solid">
        <fgColor rgb="FFFBE4D5"/>
        <bgColor rgb="FFFBDDDB"/>
      </patternFill>
    </fill>
    <fill>
      <patternFill patternType="solid">
        <fgColor rgb="FF548235"/>
        <bgColor rgb="FF7F7F00"/>
      </patternFill>
    </fill>
    <fill>
      <patternFill patternType="solid">
        <fgColor rgb="FFE2EFDA"/>
        <bgColor rgb="FFEFEFCC"/>
      </patternFill>
    </fill>
    <fill>
      <patternFill patternType="solid">
        <fgColor rgb="FF0E7C61"/>
        <bgColor rgb="FF00796B"/>
      </patternFill>
    </fill>
    <fill>
      <patternFill patternType="solid">
        <fgColor rgb="FFD2EEE6"/>
        <bgColor rgb="FFD4EFEC"/>
      </patternFill>
    </fill>
    <fill>
      <patternFill patternType="solid">
        <fgColor rgb="FF5F6B7A"/>
        <bgColor rgb="FF595959"/>
      </patternFill>
    </fill>
    <fill>
      <patternFill patternType="solid">
        <fgColor rgb="FFE3E6EA"/>
        <bgColor rgb="FFDAE1EE"/>
      </patternFill>
    </fill>
    <fill>
      <patternFill patternType="solid">
        <fgColor rgb="FF9C2A2A"/>
        <bgColor rgb="FF7B2D5C"/>
      </patternFill>
    </fill>
    <fill>
      <patternFill patternType="solid">
        <fgColor rgb="FFF4DADA"/>
        <bgColor rgb="FFFBDDDB"/>
      </patternFill>
    </fill>
    <fill>
      <patternFill patternType="solid">
        <fgColor rgb="FFE03C31"/>
        <bgColor rgb="FFC55A11"/>
      </patternFill>
    </fill>
    <fill>
      <patternFill patternType="solid">
        <fgColor rgb="FFFBDDDB"/>
        <bgColor rgb="FFF4DADA"/>
      </patternFill>
    </fill>
    <fill>
      <patternFill patternType="solid">
        <fgColor rgb="FF7B2D5C"/>
        <bgColor rgb="FF7030A0"/>
      </patternFill>
    </fill>
    <fill>
      <patternFill patternType="solid">
        <fgColor rgb="FFEFDCE7"/>
        <bgColor rgb="FFEADCF4"/>
      </patternFill>
    </fill>
    <fill>
      <patternFill patternType="solid">
        <fgColor rgb="FF005F73"/>
        <bgColor rgb="FF00796B"/>
      </patternFill>
    </fill>
    <fill>
      <patternFill patternType="solid">
        <fgColor rgb="FFCCE7EC"/>
        <bgColor rgb="FFD2EEE6"/>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3" borderId="0" xfId="0" applyFont="true" applyBorder="false" applyAlignment="true" applyProtection="false">
      <alignment horizontal="general" vertical="top" textRotation="0" wrapText="tru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5" fontId="5" fillId="4" borderId="0" xfId="0" applyFont="true" applyBorder="false" applyAlignment="true" applyProtection="false">
      <alignment horizontal="general" vertical="top" textRotation="0" wrapText="true" indent="0" shrinkToFit="false"/>
      <protection locked="true" hidden="false"/>
    </xf>
    <xf numFmtId="164" fontId="4" fillId="5" borderId="0" xfId="0" applyFont="true" applyBorder="false" applyAlignment="true" applyProtection="false">
      <alignment horizontal="general" vertical="top" textRotation="0" wrapText="true" indent="0" shrinkToFit="false"/>
      <protection locked="true" hidden="false"/>
    </xf>
    <xf numFmtId="164" fontId="5" fillId="6" borderId="0" xfId="0" applyFont="true" applyBorder="false" applyAlignment="true" applyProtection="false">
      <alignment horizontal="general" vertical="top" textRotation="0" wrapText="true" indent="0" shrinkToFit="false"/>
      <protection locked="true" hidden="false"/>
    </xf>
    <xf numFmtId="164" fontId="5" fillId="5" borderId="0" xfId="0" applyFont="true" applyBorder="false" applyAlignment="true" applyProtection="false">
      <alignment horizontal="general" vertical="top" textRotation="0" wrapText="true" indent="0" shrinkToFit="false"/>
      <protection locked="true" hidden="false"/>
    </xf>
    <xf numFmtId="165" fontId="5" fillId="6" borderId="0" xfId="0" applyFont="true" applyBorder="false" applyAlignment="true" applyProtection="false">
      <alignment horizontal="general" vertical="top" textRotation="0" wrapText="true" indent="0" shrinkToFit="false"/>
      <protection locked="true" hidden="false"/>
    </xf>
    <xf numFmtId="164" fontId="5" fillId="7"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5" fontId="5" fillId="7" borderId="0" xfId="0" applyFont="true" applyBorder="false" applyAlignment="true" applyProtection="false">
      <alignment horizontal="general" vertical="top" textRotation="0" wrapText="true" indent="0" shrinkToFit="false"/>
      <protection locked="true" hidden="false"/>
    </xf>
    <xf numFmtId="164" fontId="4" fillId="8" borderId="0" xfId="0" applyFont="true" applyBorder="false" applyAlignment="true" applyProtection="false">
      <alignment horizontal="general" vertical="top" textRotation="0" wrapText="true" indent="0" shrinkToFit="false"/>
      <protection locked="true" hidden="false"/>
    </xf>
    <xf numFmtId="164" fontId="5" fillId="9" borderId="0" xfId="0" applyFont="true" applyBorder="false" applyAlignment="true" applyProtection="false">
      <alignment horizontal="general" vertical="top" textRotation="0" wrapText="true" indent="0" shrinkToFit="false"/>
      <protection locked="true" hidden="false"/>
    </xf>
    <xf numFmtId="164" fontId="5" fillId="8" borderId="0" xfId="0" applyFont="true" applyBorder="false" applyAlignment="true" applyProtection="false">
      <alignment horizontal="general" vertical="top" textRotation="0" wrapText="true" indent="0" shrinkToFit="false"/>
      <protection locked="true" hidden="false"/>
    </xf>
    <xf numFmtId="165" fontId="5" fillId="9" borderId="0" xfId="0" applyFont="true" applyBorder="false" applyAlignment="true" applyProtection="false">
      <alignment horizontal="general" vertical="top" textRotation="0" wrapText="true" indent="0" shrinkToFit="false"/>
      <protection locked="true" hidden="false"/>
    </xf>
    <xf numFmtId="164" fontId="4" fillId="10" borderId="0" xfId="0" applyFont="true" applyBorder="false" applyAlignment="true" applyProtection="false">
      <alignment horizontal="general" vertical="top" textRotation="0" wrapText="true" indent="0" shrinkToFit="false"/>
      <protection locked="true" hidden="false"/>
    </xf>
    <xf numFmtId="164" fontId="5" fillId="11" borderId="0" xfId="0" applyFont="true" applyBorder="false" applyAlignment="true" applyProtection="false">
      <alignment horizontal="general" vertical="top" textRotation="0" wrapText="true" indent="0" shrinkToFit="false"/>
      <protection locked="true" hidden="false"/>
    </xf>
    <xf numFmtId="164" fontId="5" fillId="10" borderId="0" xfId="0" applyFont="true" applyBorder="false" applyAlignment="true" applyProtection="false">
      <alignment horizontal="general" vertical="top" textRotation="0" wrapText="true" indent="0" shrinkToFit="false"/>
      <protection locked="true" hidden="false"/>
    </xf>
    <xf numFmtId="165" fontId="5" fillId="11" borderId="0" xfId="0" applyFont="true" applyBorder="false" applyAlignment="true" applyProtection="false">
      <alignment horizontal="general" vertical="top" textRotation="0" wrapText="true" indent="0" shrinkToFit="false"/>
      <protection locked="true" hidden="false"/>
    </xf>
    <xf numFmtId="164" fontId="4" fillId="12" borderId="0" xfId="0" applyFont="true" applyBorder="false" applyAlignment="true" applyProtection="false">
      <alignment horizontal="general" vertical="top" textRotation="0" wrapText="true" indent="0" shrinkToFit="false"/>
      <protection locked="true" hidden="false"/>
    </xf>
    <xf numFmtId="164" fontId="5" fillId="13" borderId="0" xfId="0" applyFont="true" applyBorder="false" applyAlignment="true" applyProtection="false">
      <alignment horizontal="general" vertical="top" textRotation="0" wrapText="true" indent="0" shrinkToFit="false"/>
      <protection locked="true" hidden="false"/>
    </xf>
    <xf numFmtId="164" fontId="5" fillId="12" borderId="0" xfId="0" applyFont="true" applyBorder="false" applyAlignment="true" applyProtection="false">
      <alignment horizontal="general" vertical="top" textRotation="0" wrapText="true" indent="0" shrinkToFit="false"/>
      <protection locked="true" hidden="false"/>
    </xf>
    <xf numFmtId="165" fontId="5" fillId="13" borderId="0" xfId="0" applyFont="true" applyBorder="false" applyAlignment="true" applyProtection="false">
      <alignment horizontal="general" vertical="top" textRotation="0" wrapText="true" indent="0" shrinkToFit="false"/>
      <protection locked="true" hidden="false"/>
    </xf>
    <xf numFmtId="164" fontId="4" fillId="14" borderId="0" xfId="0" applyFont="true" applyBorder="false" applyAlignment="true" applyProtection="false">
      <alignment horizontal="general" vertical="top" textRotation="0" wrapText="true" indent="0" shrinkToFit="false"/>
      <protection locked="true" hidden="false"/>
    </xf>
    <xf numFmtId="164" fontId="5" fillId="15" borderId="0" xfId="0" applyFont="true" applyBorder="false" applyAlignment="true" applyProtection="false">
      <alignment horizontal="general" vertical="top" textRotation="0" wrapText="true" indent="0" shrinkToFit="false"/>
      <protection locked="true" hidden="false"/>
    </xf>
    <xf numFmtId="164" fontId="5" fillId="14" borderId="0" xfId="0" applyFont="true" applyBorder="false" applyAlignment="true" applyProtection="false">
      <alignment horizontal="general" vertical="top" textRotation="0" wrapText="true" indent="0" shrinkToFit="false"/>
      <protection locked="true" hidden="false"/>
    </xf>
    <xf numFmtId="165" fontId="5" fillId="15" borderId="0" xfId="0" applyFont="true" applyBorder="false" applyAlignment="true" applyProtection="false">
      <alignment horizontal="general" vertical="top" textRotation="0" wrapText="true" indent="0" shrinkToFit="false"/>
      <protection locked="true" hidden="false"/>
    </xf>
    <xf numFmtId="164" fontId="4" fillId="16" borderId="0" xfId="0" applyFont="true" applyBorder="false" applyAlignment="true" applyProtection="false">
      <alignment horizontal="general" vertical="top" textRotation="0" wrapText="true" indent="0" shrinkToFit="false"/>
      <protection locked="true" hidden="false"/>
    </xf>
    <xf numFmtId="164" fontId="5" fillId="17" borderId="0" xfId="0" applyFont="true" applyBorder="false" applyAlignment="true" applyProtection="false">
      <alignment horizontal="general" vertical="top" textRotation="0" wrapText="true" indent="0" shrinkToFit="false"/>
      <protection locked="true" hidden="false"/>
    </xf>
    <xf numFmtId="164" fontId="5" fillId="16" borderId="0" xfId="0" applyFont="true" applyBorder="false" applyAlignment="true" applyProtection="false">
      <alignment horizontal="general" vertical="top" textRotation="0" wrapText="true" indent="0" shrinkToFit="false"/>
      <protection locked="true" hidden="false"/>
    </xf>
    <xf numFmtId="165" fontId="5" fillId="17" borderId="0" xfId="0" applyFont="true" applyBorder="false" applyAlignment="true" applyProtection="false">
      <alignment horizontal="general" vertical="top" textRotation="0" wrapText="true" indent="0" shrinkToFit="false"/>
      <protection locked="true" hidden="false"/>
    </xf>
    <xf numFmtId="164" fontId="4" fillId="18" borderId="0" xfId="0" applyFont="true" applyBorder="false" applyAlignment="true" applyProtection="false">
      <alignment horizontal="general" vertical="top" textRotation="0" wrapText="true" indent="0" shrinkToFit="false"/>
      <protection locked="true" hidden="false"/>
    </xf>
    <xf numFmtId="164" fontId="5" fillId="19" borderId="0" xfId="0" applyFont="true" applyBorder="false" applyAlignment="true" applyProtection="false">
      <alignment horizontal="general" vertical="top" textRotation="0" wrapText="true" indent="0" shrinkToFit="false"/>
      <protection locked="true" hidden="false"/>
    </xf>
    <xf numFmtId="164" fontId="5" fillId="18" borderId="0" xfId="0" applyFont="true" applyBorder="false" applyAlignment="true" applyProtection="false">
      <alignment horizontal="general" vertical="top" textRotation="0" wrapText="true" indent="0" shrinkToFit="false"/>
      <protection locked="true" hidden="false"/>
    </xf>
    <xf numFmtId="165" fontId="5" fillId="19" borderId="0" xfId="0" applyFont="true" applyBorder="false" applyAlignment="true" applyProtection="false">
      <alignment horizontal="general" vertical="top" textRotation="0" wrapText="true" indent="0" shrinkToFit="false"/>
      <protection locked="true" hidden="false"/>
    </xf>
    <xf numFmtId="164" fontId="4" fillId="20" borderId="0" xfId="0" applyFont="true" applyBorder="false" applyAlignment="true" applyProtection="false">
      <alignment horizontal="general" vertical="top" textRotation="0" wrapText="true" indent="0" shrinkToFit="false"/>
      <protection locked="true" hidden="false"/>
    </xf>
    <xf numFmtId="164" fontId="5" fillId="21" borderId="0" xfId="0" applyFont="true" applyBorder="false" applyAlignment="true" applyProtection="false">
      <alignment horizontal="general" vertical="top" textRotation="0" wrapText="true" indent="0" shrinkToFit="false"/>
      <protection locked="true" hidden="false"/>
    </xf>
    <xf numFmtId="164" fontId="5" fillId="20" borderId="0" xfId="0" applyFont="true" applyBorder="false" applyAlignment="true" applyProtection="false">
      <alignment horizontal="general" vertical="top" textRotation="0" wrapText="true" indent="0" shrinkToFit="false"/>
      <protection locked="true" hidden="false"/>
    </xf>
    <xf numFmtId="165" fontId="5" fillId="21" borderId="0" xfId="0" applyFont="true" applyBorder="false" applyAlignment="true" applyProtection="false">
      <alignment horizontal="general" vertical="top" textRotation="0" wrapText="true" indent="0" shrinkToFit="false"/>
      <protection locked="true" hidden="false"/>
    </xf>
    <xf numFmtId="164" fontId="4" fillId="22" borderId="0" xfId="0" applyFont="true" applyBorder="false" applyAlignment="true" applyProtection="false">
      <alignment horizontal="general" vertical="top" textRotation="0" wrapText="true" indent="0" shrinkToFit="false"/>
      <protection locked="true" hidden="false"/>
    </xf>
    <xf numFmtId="164" fontId="5" fillId="23" borderId="0" xfId="0" applyFont="true" applyBorder="false" applyAlignment="true" applyProtection="false">
      <alignment horizontal="general" vertical="top" textRotation="0" wrapText="true" indent="0" shrinkToFit="false"/>
      <protection locked="true" hidden="false"/>
    </xf>
    <xf numFmtId="164" fontId="5" fillId="22" borderId="0" xfId="0" applyFont="true" applyBorder="false" applyAlignment="true" applyProtection="false">
      <alignment horizontal="general" vertical="top" textRotation="0" wrapText="true" indent="0" shrinkToFit="false"/>
      <protection locked="true" hidden="false"/>
    </xf>
    <xf numFmtId="165" fontId="5" fillId="23" borderId="0" xfId="0" applyFont="true" applyBorder="false" applyAlignment="true" applyProtection="false">
      <alignment horizontal="general" vertical="top" textRotation="0" wrapText="true" indent="0" shrinkToFit="false"/>
      <protection locked="true" hidden="false"/>
    </xf>
    <xf numFmtId="164" fontId="4" fillId="24" borderId="0" xfId="0" applyFont="true" applyBorder="false" applyAlignment="true" applyProtection="false">
      <alignment horizontal="general" vertical="top" textRotation="0" wrapText="true" indent="0" shrinkToFit="false"/>
      <protection locked="true" hidden="false"/>
    </xf>
    <xf numFmtId="164" fontId="5" fillId="25" borderId="0" xfId="0" applyFont="true" applyBorder="false" applyAlignment="true" applyProtection="false">
      <alignment horizontal="general" vertical="top" textRotation="0" wrapText="true" indent="0" shrinkToFit="false"/>
      <protection locked="true" hidden="false"/>
    </xf>
    <xf numFmtId="164" fontId="5" fillId="24" borderId="0" xfId="0" applyFont="true" applyBorder="false" applyAlignment="true" applyProtection="false">
      <alignment horizontal="general" vertical="top" textRotation="0" wrapText="true" indent="0" shrinkToFit="false"/>
      <protection locked="true" hidden="false"/>
    </xf>
    <xf numFmtId="165" fontId="5" fillId="25" borderId="0" xfId="0" applyFont="true" applyBorder="false" applyAlignment="true" applyProtection="false">
      <alignment horizontal="general" vertical="top" textRotation="0" wrapText="true" indent="0" shrinkToFit="false"/>
      <protection locked="true" hidden="false"/>
    </xf>
    <xf numFmtId="164" fontId="4" fillId="26" borderId="0" xfId="0" applyFont="true" applyBorder="false" applyAlignment="true" applyProtection="false">
      <alignment horizontal="general" vertical="top" textRotation="0" wrapText="true" indent="0" shrinkToFit="false"/>
      <protection locked="true" hidden="false"/>
    </xf>
    <xf numFmtId="164" fontId="5" fillId="27" borderId="0" xfId="0" applyFont="true" applyBorder="false" applyAlignment="true" applyProtection="false">
      <alignment horizontal="general" vertical="top" textRotation="0" wrapText="true" indent="0" shrinkToFit="false"/>
      <protection locked="true" hidden="false"/>
    </xf>
    <xf numFmtId="164" fontId="5" fillId="26" borderId="0" xfId="0" applyFont="true" applyBorder="false" applyAlignment="true" applyProtection="false">
      <alignment horizontal="general" vertical="top" textRotation="0" wrapText="true" indent="0" shrinkToFit="false"/>
      <protection locked="true" hidden="false"/>
    </xf>
    <xf numFmtId="165" fontId="5" fillId="27" borderId="0" xfId="0" applyFont="true" applyBorder="false" applyAlignment="true" applyProtection="false">
      <alignment horizontal="general" vertical="top" textRotation="0" wrapText="true" indent="0" shrinkToFit="false"/>
      <protection locked="true" hidden="false"/>
    </xf>
    <xf numFmtId="164" fontId="4" fillId="28" borderId="0" xfId="0" applyFont="true" applyBorder="false" applyAlignment="true" applyProtection="false">
      <alignment horizontal="general" vertical="top" textRotation="0" wrapText="true" indent="0" shrinkToFit="false"/>
      <protection locked="true" hidden="false"/>
    </xf>
    <xf numFmtId="164" fontId="5" fillId="29" borderId="0" xfId="0" applyFont="true" applyBorder="false" applyAlignment="true" applyProtection="false">
      <alignment horizontal="general" vertical="top" textRotation="0" wrapText="true" indent="0" shrinkToFit="false"/>
      <protection locked="true" hidden="false"/>
    </xf>
    <xf numFmtId="164" fontId="5" fillId="28" borderId="0" xfId="0" applyFont="true" applyBorder="false" applyAlignment="true" applyProtection="false">
      <alignment horizontal="general" vertical="top" textRotation="0" wrapText="true" indent="0" shrinkToFit="false"/>
      <protection locked="true" hidden="false"/>
    </xf>
    <xf numFmtId="165" fontId="5" fillId="29" borderId="0" xfId="0" applyFont="true" applyBorder="false" applyAlignment="true" applyProtection="false">
      <alignment horizontal="general" vertical="top" textRotation="0" wrapText="true" indent="0" shrinkToFit="false"/>
      <protection locked="true" hidden="false"/>
    </xf>
    <xf numFmtId="164" fontId="4" fillId="30" borderId="0" xfId="0" applyFont="true" applyBorder="false" applyAlignment="true" applyProtection="false">
      <alignment horizontal="general" vertical="top" textRotation="0" wrapText="true" indent="0" shrinkToFit="false"/>
      <protection locked="true" hidden="false"/>
    </xf>
    <xf numFmtId="164" fontId="5" fillId="31" borderId="0" xfId="0" applyFont="true" applyBorder="false" applyAlignment="true" applyProtection="false">
      <alignment horizontal="general" vertical="top" textRotation="0" wrapText="true" indent="0" shrinkToFit="false"/>
      <protection locked="true" hidden="false"/>
    </xf>
    <xf numFmtId="164" fontId="5" fillId="30" borderId="0" xfId="0" applyFont="true" applyBorder="false" applyAlignment="true" applyProtection="false">
      <alignment horizontal="general" vertical="top" textRotation="0" wrapText="true" indent="0" shrinkToFit="false"/>
      <protection locked="true" hidden="false"/>
    </xf>
    <xf numFmtId="165" fontId="5" fillId="31" borderId="0" xfId="0" applyFont="true" applyBorder="false" applyAlignment="true" applyProtection="false">
      <alignment horizontal="general" vertical="top" textRotation="0" wrapText="true" indent="0" shrinkToFit="false"/>
      <protection locked="true" hidden="false"/>
    </xf>
    <xf numFmtId="164" fontId="4" fillId="32" borderId="0" xfId="0" applyFont="true" applyBorder="false" applyAlignment="true" applyProtection="false">
      <alignment horizontal="general" vertical="top" textRotation="0" wrapText="true" indent="0" shrinkToFit="false"/>
      <protection locked="true" hidden="false"/>
    </xf>
    <xf numFmtId="164" fontId="5" fillId="33" borderId="0" xfId="0" applyFont="true" applyBorder="false" applyAlignment="true" applyProtection="false">
      <alignment horizontal="general" vertical="top" textRotation="0" wrapText="true" indent="0" shrinkToFit="false"/>
      <protection locked="true" hidden="false"/>
    </xf>
    <xf numFmtId="164" fontId="5" fillId="32" borderId="0" xfId="0" applyFont="true" applyBorder="false" applyAlignment="true" applyProtection="false">
      <alignment horizontal="general" vertical="top" textRotation="0" wrapText="true" indent="0" shrinkToFit="false"/>
      <protection locked="true" hidden="false"/>
    </xf>
    <xf numFmtId="165" fontId="5" fillId="33" borderId="0" xfId="0" applyFont="true" applyBorder="false" applyAlignment="true" applyProtection="false">
      <alignment horizontal="general" vertical="top" textRotation="0" wrapText="true" indent="0" shrinkToFit="false"/>
      <protection locked="true" hidden="false"/>
    </xf>
    <xf numFmtId="164" fontId="4" fillId="34" borderId="0" xfId="0" applyFont="true" applyBorder="false" applyAlignment="true" applyProtection="false">
      <alignment horizontal="general" vertical="top" textRotation="0" wrapText="true" indent="0" shrinkToFit="false"/>
      <protection locked="true" hidden="false"/>
    </xf>
    <xf numFmtId="164" fontId="5" fillId="35" borderId="0" xfId="0" applyFont="true" applyBorder="false" applyAlignment="true" applyProtection="false">
      <alignment horizontal="general" vertical="top" textRotation="0" wrapText="true" indent="0" shrinkToFit="false"/>
      <protection locked="true" hidden="false"/>
    </xf>
    <xf numFmtId="164" fontId="5" fillId="34" borderId="0" xfId="0" applyFont="true" applyBorder="false" applyAlignment="true" applyProtection="false">
      <alignment horizontal="general" vertical="top" textRotation="0" wrapText="true" indent="0" shrinkToFit="false"/>
      <protection locked="true" hidden="false"/>
    </xf>
    <xf numFmtId="165" fontId="5" fillId="35" borderId="0" xfId="0" applyFont="true" applyBorder="false" applyAlignment="true" applyProtection="false">
      <alignment horizontal="general" vertical="top" textRotation="0" wrapText="true" indent="0" shrinkToFit="false"/>
      <protection locked="true" hidden="false"/>
    </xf>
    <xf numFmtId="164" fontId="4" fillId="36" borderId="0" xfId="0" applyFont="true" applyBorder="false" applyAlignment="true" applyProtection="false">
      <alignment horizontal="general" vertical="top" textRotation="0" wrapText="true" indent="0" shrinkToFit="false"/>
      <protection locked="true" hidden="false"/>
    </xf>
    <xf numFmtId="164" fontId="5" fillId="37" borderId="0" xfId="0" applyFont="true" applyBorder="false" applyAlignment="true" applyProtection="false">
      <alignment horizontal="general" vertical="top" textRotation="0" wrapText="true" indent="0" shrinkToFit="false"/>
      <protection locked="true" hidden="false"/>
    </xf>
    <xf numFmtId="164" fontId="5" fillId="36" borderId="0" xfId="0" applyFont="true" applyBorder="false" applyAlignment="true" applyProtection="false">
      <alignment horizontal="general" vertical="top" textRotation="0" wrapText="true" indent="0" shrinkToFit="false"/>
      <protection locked="true" hidden="false"/>
    </xf>
    <xf numFmtId="165" fontId="5" fillId="37" borderId="0" xfId="0" applyFont="true" applyBorder="false" applyAlignment="true" applyProtection="false">
      <alignment horizontal="general" vertical="top" textRotation="0" wrapText="true" indent="0" shrinkToFit="false"/>
      <protection locked="true" hidden="false"/>
    </xf>
    <xf numFmtId="164" fontId="4" fillId="38" borderId="0" xfId="0" applyFont="true" applyBorder="false" applyAlignment="true" applyProtection="false">
      <alignment horizontal="general" vertical="top" textRotation="0" wrapText="true" indent="0" shrinkToFit="false"/>
      <protection locked="true" hidden="false"/>
    </xf>
    <xf numFmtId="164" fontId="5" fillId="39" borderId="0" xfId="0" applyFont="true" applyBorder="false" applyAlignment="true" applyProtection="false">
      <alignment horizontal="general" vertical="top" textRotation="0" wrapText="true" indent="0" shrinkToFit="false"/>
      <protection locked="true" hidden="false"/>
    </xf>
    <xf numFmtId="164" fontId="5" fillId="38" borderId="0" xfId="0" applyFont="true" applyBorder="false" applyAlignment="true" applyProtection="false">
      <alignment horizontal="general" vertical="top" textRotation="0" wrapText="true" indent="0" shrinkToFit="false"/>
      <protection locked="true" hidden="false"/>
    </xf>
    <xf numFmtId="165" fontId="5" fillId="39" borderId="0" xfId="0" applyFont="true" applyBorder="false" applyAlignment="true" applyProtection="false">
      <alignment horizontal="general" vertical="top" textRotation="0" wrapText="true" indent="0" shrinkToFit="false"/>
      <protection locked="true" hidden="false"/>
    </xf>
    <xf numFmtId="164" fontId="4" fillId="40" borderId="0" xfId="0" applyFont="true" applyBorder="false" applyAlignment="true" applyProtection="false">
      <alignment horizontal="general" vertical="top" textRotation="0" wrapText="true" indent="0" shrinkToFit="false"/>
      <protection locked="true" hidden="false"/>
    </xf>
    <xf numFmtId="164" fontId="5" fillId="41" borderId="0" xfId="0" applyFont="true" applyBorder="false" applyAlignment="true" applyProtection="false">
      <alignment horizontal="general" vertical="top" textRotation="0" wrapText="true" indent="0" shrinkToFit="false"/>
      <protection locked="true" hidden="false"/>
    </xf>
    <xf numFmtId="164" fontId="5" fillId="40" borderId="0" xfId="0" applyFont="true" applyBorder="false" applyAlignment="true" applyProtection="false">
      <alignment horizontal="general" vertical="top" textRotation="0" wrapText="true" indent="0" shrinkToFit="false"/>
      <protection locked="true" hidden="false"/>
    </xf>
    <xf numFmtId="165" fontId="5" fillId="41"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5" fillId="9" borderId="1" xfId="0" applyFont="true" applyBorder="true" applyAlignment="true" applyProtection="false">
      <alignment horizontal="general" vertical="top" textRotation="0" wrapText="true" indent="0" shrinkToFit="false"/>
      <protection locked="true" hidden="false"/>
    </xf>
    <xf numFmtId="164" fontId="7" fillId="10" borderId="1" xfId="0" applyFont="true" applyBorder="true" applyAlignment="true" applyProtection="false">
      <alignment horizontal="general" vertical="top" textRotation="0" wrapText="true" indent="0" shrinkToFit="false"/>
      <protection locked="true" hidden="false"/>
    </xf>
    <xf numFmtId="164" fontId="5" fillId="11" borderId="1" xfId="0" applyFont="true" applyBorder="true" applyAlignment="true" applyProtection="false">
      <alignment horizontal="general" vertical="top" textRotation="0" wrapText="true" indent="0" shrinkToFit="false"/>
      <protection locked="true" hidden="false"/>
    </xf>
    <xf numFmtId="164" fontId="7" fillId="12" borderId="1" xfId="0" applyFont="true" applyBorder="true" applyAlignment="true" applyProtection="false">
      <alignment horizontal="general" vertical="top" textRotation="0" wrapText="true" indent="0" shrinkToFit="false"/>
      <protection locked="true" hidden="false"/>
    </xf>
    <xf numFmtId="164" fontId="5" fillId="13" borderId="1" xfId="0" applyFont="true" applyBorder="true" applyAlignment="true" applyProtection="false">
      <alignment horizontal="general" vertical="top" textRotation="0" wrapText="true" indent="0" shrinkToFit="false"/>
      <protection locked="true" hidden="false"/>
    </xf>
    <xf numFmtId="164" fontId="7" fillId="14" borderId="1" xfId="0" applyFont="true" applyBorder="true" applyAlignment="true" applyProtection="false">
      <alignment horizontal="general" vertical="top" textRotation="0" wrapText="true" indent="0" shrinkToFit="false"/>
      <protection locked="true" hidden="false"/>
    </xf>
    <xf numFmtId="164" fontId="5" fillId="15" borderId="1" xfId="0" applyFont="true" applyBorder="true" applyAlignment="true" applyProtection="false">
      <alignment horizontal="general" vertical="top" textRotation="0" wrapText="true" indent="0" shrinkToFit="false"/>
      <protection locked="true" hidden="false"/>
    </xf>
    <xf numFmtId="164" fontId="7" fillId="16" borderId="1" xfId="0" applyFont="true" applyBorder="true" applyAlignment="true" applyProtection="false">
      <alignment horizontal="general" vertical="top" textRotation="0" wrapText="true" indent="0" shrinkToFit="false"/>
      <protection locked="true" hidden="false"/>
    </xf>
    <xf numFmtId="164" fontId="5" fillId="17" borderId="1" xfId="0" applyFont="true" applyBorder="true" applyAlignment="true" applyProtection="false">
      <alignment horizontal="general" vertical="top" textRotation="0" wrapText="true" indent="0" shrinkToFit="false"/>
      <protection locked="true" hidden="false"/>
    </xf>
    <xf numFmtId="164" fontId="7" fillId="18" borderId="1" xfId="0" applyFont="true" applyBorder="true" applyAlignment="true" applyProtection="false">
      <alignment horizontal="general" vertical="top" textRotation="0" wrapText="true" indent="0" shrinkToFit="false"/>
      <protection locked="true" hidden="false"/>
    </xf>
    <xf numFmtId="164" fontId="5" fillId="19" borderId="1" xfId="0" applyFont="true" applyBorder="true" applyAlignment="true" applyProtection="false">
      <alignment horizontal="general" vertical="top" textRotation="0" wrapText="true" indent="0" shrinkToFit="false"/>
      <protection locked="true" hidden="false"/>
    </xf>
    <xf numFmtId="164" fontId="7" fillId="20" borderId="1" xfId="0" applyFont="true" applyBorder="true" applyAlignment="true" applyProtection="false">
      <alignment horizontal="general" vertical="top" textRotation="0" wrapText="true" indent="0" shrinkToFit="false"/>
      <protection locked="true" hidden="false"/>
    </xf>
    <xf numFmtId="164" fontId="5" fillId="21" borderId="1" xfId="0" applyFont="true" applyBorder="true" applyAlignment="true" applyProtection="false">
      <alignment horizontal="general" vertical="top" textRotation="0" wrapText="true" indent="0" shrinkToFit="false"/>
      <protection locked="true" hidden="false"/>
    </xf>
    <xf numFmtId="164" fontId="7" fillId="22" borderId="1" xfId="0" applyFont="true" applyBorder="true" applyAlignment="true" applyProtection="false">
      <alignment horizontal="general" vertical="top" textRotation="0" wrapText="true" indent="0" shrinkToFit="false"/>
      <protection locked="true" hidden="false"/>
    </xf>
    <xf numFmtId="164" fontId="5" fillId="23" borderId="1" xfId="0" applyFont="true" applyBorder="true" applyAlignment="true" applyProtection="false">
      <alignment horizontal="general" vertical="top" textRotation="0" wrapText="true" indent="0" shrinkToFit="false"/>
      <protection locked="true" hidden="false"/>
    </xf>
    <xf numFmtId="164" fontId="7" fillId="24" borderId="1" xfId="0" applyFont="true" applyBorder="true" applyAlignment="true" applyProtection="false">
      <alignment horizontal="general" vertical="top" textRotation="0" wrapText="true" indent="0" shrinkToFit="false"/>
      <protection locked="true" hidden="false"/>
    </xf>
    <xf numFmtId="164" fontId="5" fillId="25" borderId="1" xfId="0" applyFont="true" applyBorder="true" applyAlignment="true" applyProtection="false">
      <alignment horizontal="general" vertical="top" textRotation="0" wrapText="true" indent="0" shrinkToFit="false"/>
      <protection locked="true" hidden="false"/>
    </xf>
    <xf numFmtId="164" fontId="7" fillId="26" borderId="1" xfId="0" applyFont="true" applyBorder="true" applyAlignment="true" applyProtection="false">
      <alignment horizontal="general" vertical="top" textRotation="0" wrapText="true" indent="0" shrinkToFit="false"/>
      <protection locked="true" hidden="false"/>
    </xf>
    <xf numFmtId="164" fontId="5" fillId="27" borderId="1" xfId="0" applyFont="true" applyBorder="true" applyAlignment="true" applyProtection="false">
      <alignment horizontal="general" vertical="top" textRotation="0" wrapText="true" indent="0" shrinkToFit="false"/>
      <protection locked="true" hidden="false"/>
    </xf>
    <xf numFmtId="164" fontId="7" fillId="28" borderId="1" xfId="0" applyFont="true" applyBorder="true" applyAlignment="true" applyProtection="false">
      <alignment horizontal="general" vertical="top" textRotation="0" wrapText="true" indent="0" shrinkToFit="false"/>
      <protection locked="true" hidden="false"/>
    </xf>
    <xf numFmtId="164" fontId="5" fillId="29" borderId="1" xfId="0" applyFont="true" applyBorder="true" applyAlignment="true" applyProtection="false">
      <alignment horizontal="general" vertical="top" textRotation="0" wrapText="true" indent="0" shrinkToFit="false"/>
      <protection locked="true" hidden="false"/>
    </xf>
    <xf numFmtId="164" fontId="7" fillId="30" borderId="1" xfId="0" applyFont="true" applyBorder="true" applyAlignment="true" applyProtection="false">
      <alignment horizontal="general" vertical="top" textRotation="0" wrapText="true" indent="0" shrinkToFit="false"/>
      <protection locked="true" hidden="false"/>
    </xf>
    <xf numFmtId="164" fontId="5" fillId="31" borderId="1" xfId="0" applyFont="true" applyBorder="true" applyAlignment="true" applyProtection="false">
      <alignment horizontal="general" vertical="top" textRotation="0" wrapText="true" indent="0" shrinkToFit="false"/>
      <protection locked="true" hidden="false"/>
    </xf>
    <xf numFmtId="164" fontId="7" fillId="32" borderId="1" xfId="0" applyFont="true" applyBorder="true" applyAlignment="true" applyProtection="false">
      <alignment horizontal="general" vertical="top" textRotation="0" wrapText="true" indent="0" shrinkToFit="false"/>
      <protection locked="true" hidden="false"/>
    </xf>
    <xf numFmtId="164" fontId="5" fillId="33" borderId="1" xfId="0" applyFont="true" applyBorder="true" applyAlignment="true" applyProtection="false">
      <alignment horizontal="general" vertical="top" textRotation="0" wrapText="true" indent="0" shrinkToFit="false"/>
      <protection locked="true" hidden="false"/>
    </xf>
    <xf numFmtId="164" fontId="7" fillId="34" borderId="1" xfId="0" applyFont="true" applyBorder="true" applyAlignment="true" applyProtection="false">
      <alignment horizontal="general" vertical="top" textRotation="0" wrapText="true" indent="0" shrinkToFit="false"/>
      <protection locked="true" hidden="false"/>
    </xf>
    <xf numFmtId="164" fontId="5" fillId="35" borderId="1" xfId="0" applyFont="true" applyBorder="true" applyAlignment="true" applyProtection="false">
      <alignment horizontal="general" vertical="top" textRotation="0" wrapText="true" indent="0" shrinkToFit="false"/>
      <protection locked="true" hidden="false"/>
    </xf>
    <xf numFmtId="164" fontId="7" fillId="36" borderId="1" xfId="0" applyFont="true" applyBorder="true" applyAlignment="true" applyProtection="false">
      <alignment horizontal="general" vertical="top" textRotation="0" wrapText="true" indent="0" shrinkToFit="false"/>
      <protection locked="true" hidden="false"/>
    </xf>
    <xf numFmtId="164" fontId="5" fillId="37" borderId="1" xfId="0" applyFont="true" applyBorder="true" applyAlignment="true" applyProtection="false">
      <alignment horizontal="general" vertical="top" textRotation="0" wrapText="true" indent="0" shrinkToFit="false"/>
      <protection locked="true" hidden="false"/>
    </xf>
    <xf numFmtId="164" fontId="7" fillId="38" borderId="1" xfId="0" applyFont="true" applyBorder="true" applyAlignment="true" applyProtection="false">
      <alignment horizontal="general" vertical="top" textRotation="0" wrapText="true" indent="0" shrinkToFit="false"/>
      <protection locked="true" hidden="false"/>
    </xf>
    <xf numFmtId="164" fontId="5" fillId="39" borderId="1" xfId="0" applyFont="true" applyBorder="true" applyAlignment="true" applyProtection="false">
      <alignment horizontal="general" vertical="top" textRotation="0" wrapText="true" indent="0" shrinkToFit="false"/>
      <protection locked="true" hidden="false"/>
    </xf>
    <xf numFmtId="164" fontId="7" fillId="40" borderId="1" xfId="0" applyFont="true" applyBorder="true" applyAlignment="true" applyProtection="false">
      <alignment horizontal="general" vertical="top" textRotation="0" wrapText="true" indent="0" shrinkToFit="false"/>
      <protection locked="true" hidden="false"/>
    </xf>
    <xf numFmtId="164" fontId="5" fillId="41" borderId="1"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7" fillId="5" borderId="0" xfId="0" applyFont="true" applyBorder="false" applyAlignment="true" applyProtection="false">
      <alignment horizontal="general" vertical="top" textRotation="0" wrapText="true" indent="0" shrinkToFit="false"/>
      <protection locked="true" hidden="false"/>
    </xf>
    <xf numFmtId="164" fontId="7" fillId="8" borderId="0" xfId="0" applyFont="true" applyBorder="false" applyAlignment="true" applyProtection="false">
      <alignment horizontal="general" vertical="top" textRotation="0" wrapText="true" indent="0" shrinkToFit="false"/>
      <protection locked="true" hidden="false"/>
    </xf>
    <xf numFmtId="164" fontId="7" fillId="10" borderId="0" xfId="0" applyFont="true" applyBorder="false" applyAlignment="true" applyProtection="false">
      <alignment horizontal="general" vertical="top" textRotation="0" wrapText="true" indent="0" shrinkToFit="false"/>
      <protection locked="true" hidden="false"/>
    </xf>
    <xf numFmtId="164" fontId="7" fillId="12" borderId="0" xfId="0" applyFont="true" applyBorder="false" applyAlignment="true" applyProtection="false">
      <alignment horizontal="general" vertical="top" textRotation="0" wrapText="true" indent="0" shrinkToFit="false"/>
      <protection locked="true" hidden="false"/>
    </xf>
    <xf numFmtId="164" fontId="7" fillId="14" borderId="0" xfId="0" applyFont="true" applyBorder="false" applyAlignment="true" applyProtection="false">
      <alignment horizontal="general" vertical="top" textRotation="0" wrapText="true" indent="0" shrinkToFit="false"/>
      <protection locked="true" hidden="false"/>
    </xf>
    <xf numFmtId="164" fontId="7" fillId="16" borderId="0" xfId="0" applyFont="true" applyBorder="false" applyAlignment="true" applyProtection="false">
      <alignment horizontal="general" vertical="top" textRotation="0" wrapText="true" indent="0" shrinkToFit="false"/>
      <protection locked="true" hidden="false"/>
    </xf>
    <xf numFmtId="164" fontId="7" fillId="18" borderId="0" xfId="0" applyFont="true" applyBorder="false" applyAlignment="true" applyProtection="false">
      <alignment horizontal="general" vertical="top" textRotation="0" wrapText="true" indent="0" shrinkToFit="false"/>
      <protection locked="true" hidden="false"/>
    </xf>
    <xf numFmtId="164" fontId="7" fillId="20" borderId="0" xfId="0" applyFont="true" applyBorder="false" applyAlignment="true" applyProtection="false">
      <alignment horizontal="general" vertical="top" textRotation="0" wrapText="true" indent="0" shrinkToFit="false"/>
      <protection locked="true" hidden="false"/>
    </xf>
    <xf numFmtId="164" fontId="7" fillId="22" borderId="0" xfId="0" applyFont="true" applyBorder="false" applyAlignment="true" applyProtection="false">
      <alignment horizontal="general" vertical="top" textRotation="0" wrapText="true" indent="0" shrinkToFit="false"/>
      <protection locked="true" hidden="false"/>
    </xf>
    <xf numFmtId="164" fontId="7" fillId="24" borderId="0" xfId="0" applyFont="true" applyBorder="false" applyAlignment="true" applyProtection="false">
      <alignment horizontal="general" vertical="top" textRotation="0" wrapText="true" indent="0" shrinkToFit="false"/>
      <protection locked="true" hidden="false"/>
    </xf>
    <xf numFmtId="164" fontId="7" fillId="26" borderId="0" xfId="0" applyFont="true" applyBorder="false" applyAlignment="true" applyProtection="false">
      <alignment horizontal="general" vertical="top" textRotation="0" wrapText="true" indent="0" shrinkToFit="false"/>
      <protection locked="true" hidden="false"/>
    </xf>
    <xf numFmtId="164" fontId="7" fillId="28" borderId="0" xfId="0" applyFont="true" applyBorder="false" applyAlignment="true" applyProtection="false">
      <alignment horizontal="general" vertical="top" textRotation="0" wrapText="true" indent="0" shrinkToFit="false"/>
      <protection locked="true" hidden="false"/>
    </xf>
    <xf numFmtId="164" fontId="7" fillId="30" borderId="0" xfId="0" applyFont="true" applyBorder="false" applyAlignment="true" applyProtection="false">
      <alignment horizontal="general" vertical="top" textRotation="0" wrapText="true" indent="0" shrinkToFit="false"/>
      <protection locked="true" hidden="false"/>
    </xf>
    <xf numFmtId="164" fontId="7" fillId="32" borderId="0" xfId="0" applyFont="true" applyBorder="false" applyAlignment="true" applyProtection="false">
      <alignment horizontal="general" vertical="top" textRotation="0" wrapText="true" indent="0" shrinkToFit="false"/>
      <protection locked="true" hidden="false"/>
    </xf>
    <xf numFmtId="164" fontId="7" fillId="34" borderId="0" xfId="0" applyFont="true" applyBorder="false" applyAlignment="true" applyProtection="false">
      <alignment horizontal="general" vertical="top" textRotation="0" wrapText="true" indent="0" shrinkToFit="false"/>
      <protection locked="true" hidden="false"/>
    </xf>
    <xf numFmtId="164" fontId="7" fillId="36" borderId="0" xfId="0" applyFont="true" applyBorder="false" applyAlignment="true" applyProtection="false">
      <alignment horizontal="general" vertical="top" textRotation="0" wrapText="true" indent="0" shrinkToFit="false"/>
      <protection locked="true" hidden="false"/>
    </xf>
    <xf numFmtId="164" fontId="7" fillId="38" borderId="0" xfId="0" applyFont="true" applyBorder="false" applyAlignment="true" applyProtection="false">
      <alignment horizontal="general" vertical="top" textRotation="0" wrapText="true" indent="0" shrinkToFit="false"/>
      <protection locked="true" hidden="false"/>
    </xf>
    <xf numFmtId="164" fontId="7" fillId="4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2">
    <dxf>
      <fill>
        <patternFill patternType="solid">
          <fgColor rgb="FF005F73"/>
          <bgColor rgb="FF000000"/>
        </patternFill>
      </fill>
    </dxf>
    <dxf>
      <fill>
        <patternFill patternType="solid">
          <fgColor rgb="FF00796B"/>
          <bgColor rgb="FF000000"/>
        </patternFill>
      </fill>
    </dxf>
    <dxf>
      <fill>
        <patternFill patternType="solid">
          <fgColor rgb="FF00A0B0"/>
          <bgColor rgb="FF000000"/>
        </patternFill>
      </fill>
    </dxf>
    <dxf>
      <fill>
        <patternFill patternType="solid">
          <fgColor rgb="FF0E7C61"/>
          <bgColor rgb="FF000000"/>
        </patternFill>
      </fill>
    </dxf>
    <dxf>
      <fill>
        <patternFill patternType="solid">
          <fgColor rgb="FF1F3864"/>
          <bgColor rgb="FF000000"/>
        </patternFill>
      </fill>
    </dxf>
    <dxf>
      <fill>
        <patternFill patternType="solid">
          <fgColor rgb="FF2E75B6"/>
          <bgColor rgb="FF000000"/>
        </patternFill>
      </fill>
    </dxf>
    <dxf>
      <fill>
        <patternFill patternType="solid">
          <fgColor rgb="FF3F3F9F"/>
          <bgColor rgb="FF000000"/>
        </patternFill>
      </fill>
    </dxf>
    <dxf>
      <fill>
        <patternFill patternType="solid">
          <fgColor rgb="FF548235"/>
          <bgColor rgb="FF000000"/>
        </patternFill>
      </fill>
    </dxf>
    <dxf>
      <fill>
        <patternFill patternType="solid">
          <fgColor rgb="FF595959"/>
          <bgColor rgb="FF000000"/>
        </patternFill>
      </fill>
    </dxf>
    <dxf>
      <fill>
        <patternFill patternType="solid">
          <fgColor rgb="FF5F6B7A"/>
          <bgColor rgb="FF000000"/>
        </patternFill>
      </fill>
    </dxf>
    <dxf>
      <fill>
        <patternFill patternType="solid">
          <fgColor rgb="FF7030A0"/>
          <bgColor rgb="FF000000"/>
        </patternFill>
      </fill>
    </dxf>
    <dxf>
      <fill>
        <patternFill patternType="solid">
          <fgColor rgb="FF7B2D5C"/>
          <bgColor rgb="FF000000"/>
        </patternFill>
      </fill>
    </dxf>
    <dxf>
      <fill>
        <patternFill patternType="solid">
          <fgColor rgb="FF7F7F00"/>
          <bgColor rgb="FF000000"/>
        </patternFill>
      </fill>
    </dxf>
    <dxf>
      <fill>
        <patternFill patternType="solid">
          <fgColor rgb="FF806000"/>
          <bgColor rgb="FF000000"/>
        </patternFill>
      </fill>
    </dxf>
    <dxf>
      <fill>
        <patternFill patternType="solid">
          <fgColor rgb="FF8C7B6B"/>
          <bgColor rgb="FF000000"/>
        </patternFill>
      </fill>
    </dxf>
    <dxf>
      <fill>
        <patternFill patternType="solid">
          <fgColor rgb="FF9C2A2A"/>
          <bgColor rgb="FF000000"/>
        </patternFill>
      </fill>
    </dxf>
    <dxf>
      <fill>
        <patternFill patternType="solid">
          <fgColor rgb="FFBF8F00"/>
          <bgColor rgb="FF000000"/>
        </patternFill>
      </fill>
    </dxf>
    <dxf>
      <fill>
        <patternFill patternType="solid">
          <fgColor rgb="FFC00070"/>
          <bgColor rgb="FF000000"/>
        </patternFill>
      </fill>
    </dxf>
    <dxf>
      <fill>
        <patternFill patternType="solid">
          <fgColor rgb="FFC55A11"/>
          <bgColor rgb="FF000000"/>
        </patternFill>
      </fill>
    </dxf>
    <dxf>
      <fill>
        <patternFill patternType="solid">
          <fgColor rgb="FFE03C31"/>
          <bgColor rgb="FF000000"/>
        </patternFill>
      </fill>
    </dxf>
    <dxf>
      <fill>
        <patternFill patternType="solid">
          <fgColor rgb="FFFFFFFF"/>
          <bgColor rgb="FF000000"/>
        </patternFill>
      </fill>
    </dxf>
    <dxf>
      <fill>
        <patternFill patternType="solid">
          <fgColor rgb="FFCCE7EC"/>
          <bgColor rgb="FF000000"/>
        </patternFill>
      </fill>
    </dxf>
    <dxf>
      <fill>
        <patternFill patternType="solid">
          <fgColor rgb="FFD1F2F5"/>
          <bgColor rgb="FF000000"/>
        </patternFill>
      </fill>
    </dxf>
    <dxf>
      <fill>
        <patternFill patternType="solid">
          <fgColor rgb="FFD2EEE6"/>
          <bgColor rgb="FF000000"/>
        </patternFill>
      </fill>
    </dxf>
    <dxf>
      <fill>
        <patternFill patternType="solid">
          <fgColor rgb="FFD4EFEC"/>
          <bgColor rgb="FF000000"/>
        </patternFill>
      </fill>
    </dxf>
    <dxf>
      <fill>
        <patternFill patternType="solid">
          <fgColor rgb="FFDAE1EE"/>
          <bgColor rgb="FF000000"/>
        </patternFill>
      </fill>
    </dxf>
    <dxf>
      <fill>
        <patternFill patternType="solid">
          <fgColor rgb="FFDDEBF7"/>
          <bgColor rgb="FF000000"/>
        </patternFill>
      </fill>
    </dxf>
    <dxf>
      <fill>
        <patternFill patternType="solid">
          <fgColor rgb="FFDEDEF4"/>
          <bgColor rgb="FF000000"/>
        </patternFill>
      </fill>
    </dxf>
    <dxf>
      <fill>
        <patternFill patternType="solid">
          <fgColor rgb="FFE2EFDA"/>
          <bgColor rgb="FF000000"/>
        </patternFill>
      </fill>
    </dxf>
    <dxf>
      <fill>
        <patternFill patternType="solid">
          <fgColor rgb="FFE3E6EA"/>
          <bgColor rgb="FF000000"/>
        </patternFill>
      </fill>
    </dxf>
    <dxf>
      <fill>
        <patternFill patternType="solid">
          <fgColor rgb="FFEADCF4"/>
          <bgColor rgb="FF000000"/>
        </patternFill>
      </fill>
    </dxf>
    <dxf>
      <fill>
        <patternFill patternType="solid">
          <fgColor rgb="FFEDEDED"/>
          <bgColor rgb="FF000000"/>
        </patternFill>
      </fill>
    </dxf>
    <dxf>
      <fill>
        <patternFill patternType="solid">
          <fgColor rgb="FFEEE8E2"/>
          <bgColor rgb="FF000000"/>
        </patternFill>
      </fill>
    </dxf>
    <dxf>
      <fill>
        <patternFill patternType="solid">
          <fgColor rgb="FFEFDCE7"/>
          <bgColor rgb="FF000000"/>
        </patternFill>
      </fill>
    </dxf>
    <dxf>
      <fill>
        <patternFill patternType="solid">
          <fgColor rgb="FFEFEFCC"/>
          <bgColor rgb="FF000000"/>
        </patternFill>
      </fill>
    </dxf>
    <dxf>
      <fill>
        <patternFill patternType="solid">
          <fgColor rgb="FFF2E8CC"/>
          <bgColor rgb="FF000000"/>
        </patternFill>
      </fill>
    </dxf>
    <dxf>
      <fill>
        <patternFill patternType="solid">
          <fgColor rgb="FFF4DADA"/>
          <bgColor rgb="FF000000"/>
        </patternFill>
      </fill>
    </dxf>
    <dxf>
      <fill>
        <patternFill patternType="solid">
          <fgColor rgb="FFF9D9EA"/>
          <bgColor rgb="FF000000"/>
        </patternFill>
      </fill>
    </dxf>
    <dxf>
      <fill>
        <patternFill patternType="solid">
          <fgColor rgb="FFFBDDDB"/>
          <bgColor rgb="FF000000"/>
        </patternFill>
      </fill>
    </dxf>
    <dxf>
      <fill>
        <patternFill patternType="solid">
          <fgColor rgb="FFFBE4D5"/>
          <bgColor rgb="FF000000"/>
        </patternFill>
      </fill>
    </dxf>
    <dxf>
      <fill>
        <patternFill patternType="solid">
          <fgColor rgb="FFFFF2CC"/>
          <bgColor rgb="FF000000"/>
        </patternFill>
      </fill>
    </dxf>
    <dxf>
      <fill>
        <patternFill patternType="solid">
          <bgColor rgb="FF000000"/>
        </patternFill>
      </fill>
    </dxf>
  </dxfs>
  <colors>
    <indexedColors>
      <rgbColor rgb="FF000000"/>
      <rgbColor rgb="FFFFFFFF"/>
      <rgbColor rgb="FFE03C31"/>
      <rgbColor rgb="FF00FF00"/>
      <rgbColor rgb="FF0000FF"/>
      <rgbColor rgb="FFF2E8CC"/>
      <rgbColor rgb="FFFF00FF"/>
      <rgbColor rgb="FFEDEDED"/>
      <rgbColor rgb="FF800000"/>
      <rgbColor rgb="FF008000"/>
      <rgbColor rgb="FF000080"/>
      <rgbColor rgb="FF7F7F00"/>
      <rgbColor rgb="FFC00070"/>
      <rgbColor rgb="FF00796B"/>
      <rgbColor rgb="FFBFBFBF"/>
      <rgbColor rgb="FF8C7B6B"/>
      <rgbColor rgb="FFDAE1EE"/>
      <rgbColor rgb="FF7B2D5C"/>
      <rgbColor rgb="FFFFF2CC"/>
      <rgbColor rgb="FFD1F2F5"/>
      <rgbColor rgb="FF660066"/>
      <rgbColor rgb="FFFBDDDB"/>
      <rgbColor rgb="FF005F73"/>
      <rgbColor rgb="FFDEDEF4"/>
      <rgbColor rgb="FF000080"/>
      <rgbColor rgb="FFFF00FF"/>
      <rgbColor rgb="FFE2EFDA"/>
      <rgbColor rgb="FFEEE8E2"/>
      <rgbColor rgb="FF800080"/>
      <rgbColor rgb="FF800000"/>
      <rgbColor rgb="FF0E7C61"/>
      <rgbColor rgb="FF0000FF"/>
      <rgbColor rgb="FF00A0B0"/>
      <rgbColor rgb="FFD4EFEC"/>
      <rgbColor rgb="FFD2EEE6"/>
      <rgbColor rgb="FFEFEFCC"/>
      <rgbColor rgb="FFCCE7EC"/>
      <rgbColor rgb="FFF9D9EA"/>
      <rgbColor rgb="FFEADCF4"/>
      <rgbColor rgb="FFF4DADA"/>
      <rgbColor rgb="FF2E75B6"/>
      <rgbColor rgb="FFDDEBF7"/>
      <rgbColor rgb="FFE3E6EA"/>
      <rgbColor rgb="FFFBE4D5"/>
      <rgbColor rgb="FFBF8F00"/>
      <rgbColor rgb="FFC55A11"/>
      <rgbColor rgb="FF5F6B7A"/>
      <rgbColor rgb="FFEFDCE7"/>
      <rgbColor rgb="FF1F3864"/>
      <rgbColor rgb="FF548235"/>
      <rgbColor rgb="FF003300"/>
      <rgbColor rgb="FF806000"/>
      <rgbColor rgb="FF9C2A2A"/>
      <rgbColor rgb="FF7030A0"/>
      <rgbColor rgb="FF3F3F9F"/>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drawing" Target="../drawings/drawing13.xml"/>
</Relationships>
</file>

<file path=xl/worksheets/_rels/sheet15.xml.rels><?xml version="1.0" encoding="UTF-8"?>
<Relationships xmlns="http://schemas.openxmlformats.org/package/2006/relationships"><Relationship Id="rId1" Type="http://schemas.openxmlformats.org/officeDocument/2006/relationships/drawing" Target="../drawings/drawing14.xml"/>
</Relationships>
</file>

<file path=xl/worksheets/_rels/sheet16.xml.rels><?xml version="1.0" encoding="UTF-8"?>
<Relationships xmlns="http://schemas.openxmlformats.org/package/2006/relationships"><Relationship Id="rId1" Type="http://schemas.openxmlformats.org/officeDocument/2006/relationships/drawing" Target="../drawings/drawing15.xml"/>
</Relationships>
</file>

<file path=xl/worksheets/_rels/sheet17.xml.rels><?xml version="1.0" encoding="UTF-8"?>
<Relationships xmlns="http://schemas.openxmlformats.org/package/2006/relationships"><Relationship Id="rId1" Type="http://schemas.openxmlformats.org/officeDocument/2006/relationships/drawing" Target="../drawings/drawing16.xml"/>
</Relationships>
</file>

<file path=xl/worksheets/_rels/sheet18.xml.rels><?xml version="1.0" encoding="UTF-8"?>
<Relationships xmlns="http://schemas.openxmlformats.org/package/2006/relationships"><Relationship Id="rId1" Type="http://schemas.openxmlformats.org/officeDocument/2006/relationships/drawing" Target="../drawings/drawing17.xml"/>
</Relationships>
</file>

<file path=xl/worksheets/_rels/sheet19.xml.rels><?xml version="1.0" encoding="UTF-8"?>
<Relationships xmlns="http://schemas.openxmlformats.org/package/2006/relationships"><Relationship Id="rId1" Type="http://schemas.openxmlformats.org/officeDocument/2006/relationships/drawing" Target="../drawings/drawing18.xml"/>
</Relationships>
</file>

<file path=xl/worksheets/_rels/sheet20.xml.rels><?xml version="1.0" encoding="UTF-8"?>
<Relationships xmlns="http://schemas.openxmlformats.org/package/2006/relationships"><Relationship Id="rId1" Type="http://schemas.openxmlformats.org/officeDocument/2006/relationships/drawing" Target="../drawings/drawing19.xml"/>
</Relationships>
</file>

<file path=xl/worksheets/_rels/sheet21.xml.rels><?xml version="1.0" encoding="UTF-8"?>
<Relationships xmlns="http://schemas.openxmlformats.org/package/2006/relationships"><Relationship Id="rId1" Type="http://schemas.openxmlformats.org/officeDocument/2006/relationships/drawing" Target="../drawings/drawing20.xml"/>
</Relationships>
</file>

<file path=xl/worksheets/_rels/sheet22.xml.rels><?xml version="1.0" encoding="UTF-8"?>
<Relationships xmlns="http://schemas.openxmlformats.org/package/2006/relationships"><Relationship Id="rId1" Type="http://schemas.openxmlformats.org/officeDocument/2006/relationships/drawing" Target="../drawings/drawing21.xml"/>
</Relationships>
</file>

<file path=xl/worksheets/_rels/sheet23.xml.rels><?xml version="1.0" encoding="UTF-8"?>
<Relationships xmlns="http://schemas.openxmlformats.org/package/2006/relationships"><Relationship Id="rId1" Type="http://schemas.openxmlformats.org/officeDocument/2006/relationships/drawing" Target="../drawings/drawing2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0"/>
    <col collapsed="false" customWidth="true" hidden="false" outlineLevel="0" max="3" min="3" style="0" width="7"/>
    <col collapsed="false" customWidth="true" hidden="false" outlineLevel="0" max="5" min="4" style="0" width="14"/>
    <col collapsed="false" customWidth="true" hidden="false" outlineLevel="0" max="7" min="6" style="0" width="12"/>
    <col collapsed="false" customWidth="true" hidden="false" outlineLevel="0" max="9" min="8" style="0" width="14"/>
  </cols>
  <sheetData>
    <row r="1" customFormat="false" ht="39.55" hidden="false" customHeight="false" outlineLevel="0" collapsed="false">
      <c r="A1" s="1" t="s">
        <v>0</v>
      </c>
      <c r="B1" s="1" t="s">
        <v>1</v>
      </c>
      <c r="C1" s="1" t="s">
        <v>2</v>
      </c>
      <c r="D1" s="1" t="s">
        <v>3</v>
      </c>
      <c r="E1" s="1" t="s">
        <v>4</v>
      </c>
      <c r="F1" s="1" t="s">
        <v>5</v>
      </c>
      <c r="G1" s="1" t="s">
        <v>6</v>
      </c>
      <c r="H1" s="1" t="s">
        <v>7</v>
      </c>
      <c r="I1" s="1" t="s">
        <v>8</v>
      </c>
    </row>
    <row r="2" customFormat="false" ht="15" hidden="false" customHeight="false" outlineLevel="0" collapsed="false">
      <c r="A2" s="2" t="s">
        <v>9</v>
      </c>
      <c r="B2" s="3" t="s">
        <v>10</v>
      </c>
      <c r="C2" s="4"/>
      <c r="D2" s="3" t="n">
        <f aca="false">COUNTIF('Submittal Register'!A:A,A2)</f>
        <v>20</v>
      </c>
      <c r="E2" s="3" t="n">
        <f aca="false">COUNTIFS('Submittal Register'!A:A,A2,'Submittal Register'!F:F,"*-00")</f>
        <v>2</v>
      </c>
      <c r="F2" s="3" t="n">
        <f aca="false">COUNTIF('Inspection &amp; Test Plan'!A:A,A2)</f>
        <v>11</v>
      </c>
      <c r="G2" s="3" t="n">
        <f aca="false">COUNTIFS('Inspection &amp; Test Plan'!A:A,A2,'Inspection &amp; Test Plan'!F:F,"*-00")</f>
        <v>0</v>
      </c>
      <c r="H2" s="5" t="n">
        <v>45000</v>
      </c>
      <c r="I2" s="5" t="n">
        <v>45581</v>
      </c>
    </row>
    <row r="3" customFormat="false" ht="15" hidden="false" customHeight="false" outlineLevel="0" collapsed="false">
      <c r="A3" s="6" t="s">
        <v>11</v>
      </c>
      <c r="B3" s="7" t="s">
        <v>12</v>
      </c>
      <c r="C3" s="8"/>
      <c r="D3" s="7" t="n">
        <f aca="false">COUNTIF('Submittal Register'!A:A,A3)</f>
        <v>8</v>
      </c>
      <c r="E3" s="7" t="n">
        <f aca="false">COUNTIFS('Submittal Register'!A:A,A3,'Submittal Register'!F:F,"*-00")</f>
        <v>0</v>
      </c>
      <c r="F3" s="7" t="n">
        <f aca="false">COUNTIF('Inspection &amp; Test Plan'!A:A,A3)</f>
        <v>4</v>
      </c>
      <c r="G3" s="7" t="n">
        <f aca="false">COUNTIFS('Inspection &amp; Test Plan'!A:A,A3,'Inspection &amp; Test Plan'!F:F,"*-00")</f>
        <v>0</v>
      </c>
      <c r="H3" s="9" t="n">
        <v>45017</v>
      </c>
      <c r="I3" s="9" t="n">
        <v>45481</v>
      </c>
    </row>
    <row r="4" customFormat="false" ht="15" hidden="false" customHeight="false" outlineLevel="0" collapsed="false">
      <c r="A4" s="1" t="s">
        <v>13</v>
      </c>
      <c r="B4" s="10" t="s">
        <v>14</v>
      </c>
      <c r="C4" s="11"/>
      <c r="D4" s="10" t="n">
        <f aca="false">COUNTIF('Submittal Register'!A:A,A4)</f>
        <v>7</v>
      </c>
      <c r="E4" s="10" t="n">
        <f aca="false">COUNTIFS('Submittal Register'!A:A,A4,'Submittal Register'!F:F,"*-00")</f>
        <v>0</v>
      </c>
      <c r="F4" s="10" t="n">
        <f aca="false">COUNTIF('Inspection &amp; Test Plan'!A:A,A4)</f>
        <v>1</v>
      </c>
      <c r="G4" s="10" t="n">
        <f aca="false">COUNTIFS('Inspection &amp; Test Plan'!A:A,A4,'Inspection &amp; Test Plan'!F:F,"*-00")</f>
        <v>1</v>
      </c>
      <c r="H4" s="12" t="n">
        <v>45017</v>
      </c>
      <c r="I4" s="12" t="n">
        <v>45481</v>
      </c>
    </row>
    <row r="5" customFormat="false" ht="23.85" hidden="false" customHeight="false" outlineLevel="0" collapsed="false">
      <c r="A5" s="13" t="s">
        <v>15</v>
      </c>
      <c r="B5" s="14" t="s">
        <v>16</v>
      </c>
      <c r="C5" s="15"/>
      <c r="D5" s="14" t="n">
        <f aca="false">COUNTIF('Submittal Register'!A:A,A5)</f>
        <v>2</v>
      </c>
      <c r="E5" s="14" t="n">
        <f aca="false">COUNTIFS('Submittal Register'!A:A,A5,'Submittal Register'!F:F,"*-00")</f>
        <v>0</v>
      </c>
      <c r="F5" s="14" t="n">
        <f aca="false">COUNTIF('Inspection &amp; Test Plan'!A:A,A5)</f>
        <v>0</v>
      </c>
      <c r="G5" s="14" t="n">
        <f aca="false">COUNTIFS('Inspection &amp; Test Plan'!A:A,A5,'Inspection &amp; Test Plan'!F:F,"*-00")</f>
        <v>0</v>
      </c>
      <c r="H5" s="16" t="s">
        <v>17</v>
      </c>
      <c r="I5" s="16"/>
    </row>
    <row r="6" customFormat="false" ht="23.85" hidden="false" customHeight="false" outlineLevel="0" collapsed="false">
      <c r="A6" s="17" t="s">
        <v>18</v>
      </c>
      <c r="B6" s="18" t="s">
        <v>19</v>
      </c>
      <c r="C6" s="19"/>
      <c r="D6" s="18" t="n">
        <f aca="false">COUNTIF('Submittal Register'!A:A,A6)</f>
        <v>2</v>
      </c>
      <c r="E6" s="18" t="n">
        <f aca="false">COUNTIFS('Submittal Register'!A:A,A6,'Submittal Register'!F:F,"*-00")</f>
        <v>0</v>
      </c>
      <c r="F6" s="18" t="n">
        <f aca="false">COUNTIF('Inspection &amp; Test Plan'!A:A,A6)</f>
        <v>1</v>
      </c>
      <c r="G6" s="18" t="n">
        <f aca="false">COUNTIFS('Inspection &amp; Test Plan'!A:A,A6,'Inspection &amp; Test Plan'!F:F,"*-00")</f>
        <v>1</v>
      </c>
      <c r="H6" s="20" t="s">
        <v>17</v>
      </c>
      <c r="I6" s="20"/>
    </row>
    <row r="7" customFormat="false" ht="15" hidden="false" customHeight="false" outlineLevel="0" collapsed="false">
      <c r="A7" s="21" t="s">
        <v>20</v>
      </c>
      <c r="B7" s="22" t="s">
        <v>21</v>
      </c>
      <c r="C7" s="23"/>
      <c r="D7" s="22" t="n">
        <f aca="false">COUNTIF('Submittal Register'!A:A,A7)</f>
        <v>3</v>
      </c>
      <c r="E7" s="22" t="n">
        <f aca="false">COUNTIFS('Submittal Register'!A:A,A7,'Submittal Register'!F:F,"*-00")</f>
        <v>1</v>
      </c>
      <c r="F7" s="22" t="n">
        <f aca="false">COUNTIF('Inspection &amp; Test Plan'!A:A,A7)</f>
        <v>2</v>
      </c>
      <c r="G7" s="22" t="n">
        <f aca="false">COUNTIFS('Inspection &amp; Test Plan'!A:A,A7,'Inspection &amp; Test Plan'!F:F,"*-00")</f>
        <v>2</v>
      </c>
      <c r="H7" s="24" t="n">
        <v>45017</v>
      </c>
      <c r="I7" s="24" t="n">
        <v>45138</v>
      </c>
    </row>
    <row r="8" customFormat="false" ht="15" hidden="false" customHeight="false" outlineLevel="0" collapsed="false">
      <c r="A8" s="25" t="s">
        <v>22</v>
      </c>
      <c r="B8" s="26" t="s">
        <v>23</v>
      </c>
      <c r="C8" s="27"/>
      <c r="D8" s="26" t="n">
        <f aca="false">COUNTIF('Submittal Register'!A:A,A8)</f>
        <v>4</v>
      </c>
      <c r="E8" s="26" t="n">
        <f aca="false">COUNTIFS('Submittal Register'!A:A,A8,'Submittal Register'!F:F,"*-00")</f>
        <v>0</v>
      </c>
      <c r="F8" s="26" t="n">
        <f aca="false">COUNTIF('Inspection &amp; Test Plan'!A:A,A8)</f>
        <v>3</v>
      </c>
      <c r="G8" s="26" t="n">
        <f aca="false">COUNTIFS('Inspection &amp; Test Plan'!A:A,A8,'Inspection &amp; Test Plan'!F:F,"*-00")</f>
        <v>2</v>
      </c>
      <c r="H8" s="28" t="n">
        <v>45078</v>
      </c>
      <c r="I8" s="28" t="n">
        <v>45224</v>
      </c>
    </row>
    <row r="9" customFormat="false" ht="15" hidden="false" customHeight="false" outlineLevel="0" collapsed="false">
      <c r="A9" s="29" t="s">
        <v>24</v>
      </c>
      <c r="B9" s="30" t="s">
        <v>25</v>
      </c>
      <c r="C9" s="31"/>
      <c r="D9" s="30" t="n">
        <f aca="false">COUNTIF('Submittal Register'!A:A,A9)</f>
        <v>3</v>
      </c>
      <c r="E9" s="30" t="n">
        <f aca="false">COUNTIFS('Submittal Register'!A:A,A9,'Submittal Register'!F:F,"*-00")</f>
        <v>0</v>
      </c>
      <c r="F9" s="30" t="n">
        <f aca="false">COUNTIF('Inspection &amp; Test Plan'!A:A,A9)</f>
        <v>3</v>
      </c>
      <c r="G9" s="30" t="n">
        <f aca="false">COUNTIFS('Inspection &amp; Test Plan'!A:A,A9,'Inspection &amp; Test Plan'!F:F,"*-00")</f>
        <v>0</v>
      </c>
      <c r="H9" s="32" t="n">
        <v>45017</v>
      </c>
      <c r="I9" s="32" t="n">
        <v>45481</v>
      </c>
    </row>
    <row r="10" customFormat="false" ht="15" hidden="false" customHeight="false" outlineLevel="0" collapsed="false">
      <c r="A10" s="33" t="s">
        <v>26</v>
      </c>
      <c r="B10" s="34" t="s">
        <v>27</v>
      </c>
      <c r="C10" s="35"/>
      <c r="D10" s="34" t="n">
        <f aca="false">COUNTIF('Submittal Register'!A:A,A10)</f>
        <v>5</v>
      </c>
      <c r="E10" s="34" t="n">
        <f aca="false">COUNTIFS('Submittal Register'!A:A,A10,'Submittal Register'!F:F,"*-00")</f>
        <v>0</v>
      </c>
      <c r="F10" s="34" t="n">
        <f aca="false">COUNTIF('Inspection &amp; Test Plan'!A:A,A10)</f>
        <v>1</v>
      </c>
      <c r="G10" s="34" t="n">
        <f aca="false">COUNTIFS('Inspection &amp; Test Plan'!A:A,A10,'Inspection &amp; Test Plan'!F:F,"*-00")</f>
        <v>1</v>
      </c>
      <c r="H10" s="36" t="n">
        <v>45017</v>
      </c>
      <c r="I10" s="36" t="n">
        <v>45443</v>
      </c>
    </row>
    <row r="11" customFormat="false" ht="15" hidden="false" customHeight="false" outlineLevel="0" collapsed="false">
      <c r="A11" s="37" t="s">
        <v>28</v>
      </c>
      <c r="B11" s="38" t="s">
        <v>29</v>
      </c>
      <c r="C11" s="39"/>
      <c r="D11" s="38" t="n">
        <f aca="false">COUNTIF('Submittal Register'!A:A,A11)</f>
        <v>6</v>
      </c>
      <c r="E11" s="38" t="n">
        <f aca="false">COUNTIFS('Submittal Register'!A:A,A11,'Submittal Register'!F:F,"*-00")</f>
        <v>0</v>
      </c>
      <c r="F11" s="38" t="n">
        <f aca="false">COUNTIF('Inspection &amp; Test Plan'!A:A,A11)</f>
        <v>3</v>
      </c>
      <c r="G11" s="38" t="n">
        <f aca="false">COUNTIFS('Inspection &amp; Test Plan'!A:A,A11,'Inspection &amp; Test Plan'!F:F,"*-00")</f>
        <v>0</v>
      </c>
      <c r="H11" s="40" t="n">
        <v>45017</v>
      </c>
      <c r="I11" s="40" t="n">
        <v>45331</v>
      </c>
    </row>
    <row r="12" customFormat="false" ht="15" hidden="false" customHeight="false" outlineLevel="0" collapsed="false">
      <c r="A12" s="41" t="s">
        <v>30</v>
      </c>
      <c r="B12" s="42" t="s">
        <v>31</v>
      </c>
      <c r="C12" s="43"/>
      <c r="D12" s="42" t="n">
        <f aca="false">COUNTIF('Submittal Register'!A:A,A12)</f>
        <v>1</v>
      </c>
      <c r="E12" s="42" t="n">
        <f aca="false">COUNTIFS('Submittal Register'!A:A,A12,'Submittal Register'!F:F,"*-00")</f>
        <v>0</v>
      </c>
      <c r="F12" s="42" t="n">
        <f aca="false">COUNTIF('Inspection &amp; Test Plan'!A:A,A12)</f>
        <v>0</v>
      </c>
      <c r="G12" s="42" t="n">
        <f aca="false">COUNTIFS('Inspection &amp; Test Plan'!A:A,A12,'Inspection &amp; Test Plan'!F:F,"*-00")</f>
        <v>0</v>
      </c>
      <c r="H12" s="44" t="n">
        <v>45017</v>
      </c>
      <c r="I12" s="44" t="n">
        <v>45331</v>
      </c>
    </row>
    <row r="13" customFormat="false" ht="15" hidden="false" customHeight="false" outlineLevel="0" collapsed="false">
      <c r="A13" s="45" t="s">
        <v>32</v>
      </c>
      <c r="B13" s="46" t="s">
        <v>33</v>
      </c>
      <c r="C13" s="47"/>
      <c r="D13" s="46" t="n">
        <f aca="false">COUNTIF('Submittal Register'!A:A,A13)</f>
        <v>26</v>
      </c>
      <c r="E13" s="46" t="n">
        <f aca="false">COUNTIFS('Submittal Register'!A:A,A13,'Submittal Register'!F:F,"*-00")</f>
        <v>1</v>
      </c>
      <c r="F13" s="46" t="n">
        <f aca="false">COUNTIF('Inspection &amp; Test Plan'!A:A,A13)</f>
        <v>23</v>
      </c>
      <c r="G13" s="46" t="n">
        <f aca="false">COUNTIFS('Inspection &amp; Test Plan'!A:A,A13,'Inspection &amp; Test Plan'!F:F,"*-00")</f>
        <v>0</v>
      </c>
      <c r="H13" s="48" t="n">
        <v>45000</v>
      </c>
      <c r="I13" s="48" t="n">
        <v>45581</v>
      </c>
    </row>
    <row r="14" customFormat="false" ht="15" hidden="false" customHeight="false" outlineLevel="0" collapsed="false">
      <c r="A14" s="49" t="s">
        <v>34</v>
      </c>
      <c r="B14" s="50" t="s">
        <v>35</v>
      </c>
      <c r="C14" s="51"/>
      <c r="D14" s="50" t="n">
        <f aca="false">COUNTIF('Submittal Register'!A:A,A14)</f>
        <v>11</v>
      </c>
      <c r="E14" s="50" t="n">
        <f aca="false">COUNTIFS('Submittal Register'!A:A,A14,'Submittal Register'!F:F,"*-00")</f>
        <v>0</v>
      </c>
      <c r="F14" s="50" t="n">
        <f aca="false">COUNTIF('Inspection &amp; Test Plan'!A:A,A14)</f>
        <v>9</v>
      </c>
      <c r="G14" s="50" t="n">
        <f aca="false">COUNTIFS('Inspection &amp; Test Plan'!A:A,A14,'Inspection &amp; Test Plan'!F:F,"*-00")</f>
        <v>0</v>
      </c>
      <c r="H14" s="52" t="n">
        <v>45000</v>
      </c>
      <c r="I14" s="52" t="n">
        <v>45581</v>
      </c>
    </row>
    <row r="15" customFormat="false" ht="15" hidden="false" customHeight="false" outlineLevel="0" collapsed="false">
      <c r="A15" s="53" t="s">
        <v>36</v>
      </c>
      <c r="B15" s="54" t="s">
        <v>37</v>
      </c>
      <c r="C15" s="55"/>
      <c r="D15" s="54" t="n">
        <f aca="false">COUNTIF('Submittal Register'!A:A,A15)</f>
        <v>6</v>
      </c>
      <c r="E15" s="54" t="n">
        <f aca="false">COUNTIFS('Submittal Register'!A:A,A15,'Submittal Register'!F:F,"*-00")</f>
        <v>0</v>
      </c>
      <c r="F15" s="54" t="n">
        <f aca="false">COUNTIF('Inspection &amp; Test Plan'!A:A,A15)</f>
        <v>2</v>
      </c>
      <c r="G15" s="54" t="n">
        <f aca="false">COUNTIFS('Inspection &amp; Test Plan'!A:A,A15,'Inspection &amp; Test Plan'!F:F,"*-00")</f>
        <v>0</v>
      </c>
      <c r="H15" s="56" t="n">
        <v>45000</v>
      </c>
      <c r="I15" s="56" t="n">
        <v>45581</v>
      </c>
    </row>
    <row r="16" customFormat="false" ht="15" hidden="false" customHeight="false" outlineLevel="0" collapsed="false">
      <c r="A16" s="57" t="s">
        <v>38</v>
      </c>
      <c r="B16" s="58" t="s">
        <v>39</v>
      </c>
      <c r="C16" s="59"/>
      <c r="D16" s="58" t="n">
        <f aca="false">COUNTIF('Submittal Register'!A:A,A16)</f>
        <v>14</v>
      </c>
      <c r="E16" s="58" t="n">
        <f aca="false">COUNTIFS('Submittal Register'!A:A,A16,'Submittal Register'!F:F,"*-00")</f>
        <v>1</v>
      </c>
      <c r="F16" s="58" t="n">
        <f aca="false">COUNTIF('Inspection &amp; Test Plan'!A:A,A16)</f>
        <v>21</v>
      </c>
      <c r="G16" s="58" t="n">
        <f aca="false">COUNTIFS('Inspection &amp; Test Plan'!A:A,A16,'Inspection &amp; Test Plan'!F:F,"*-00")</f>
        <v>1</v>
      </c>
      <c r="H16" s="60" t="n">
        <v>45017</v>
      </c>
      <c r="I16" s="60" t="n">
        <v>45481</v>
      </c>
    </row>
    <row r="17" customFormat="false" ht="15" hidden="false" customHeight="false" outlineLevel="0" collapsed="false">
      <c r="A17" s="61" t="s">
        <v>40</v>
      </c>
      <c r="B17" s="62" t="s">
        <v>41</v>
      </c>
      <c r="C17" s="63"/>
      <c r="D17" s="62" t="n">
        <f aca="false">COUNTIF('Submittal Register'!A:A,A17)</f>
        <v>1</v>
      </c>
      <c r="E17" s="62" t="n">
        <f aca="false">COUNTIFS('Submittal Register'!A:A,A17,'Submittal Register'!F:F,"*-00")</f>
        <v>0</v>
      </c>
      <c r="F17" s="62" t="n">
        <f aca="false">COUNTIF('Inspection &amp; Test Plan'!A:A,A17)</f>
        <v>0</v>
      </c>
      <c r="G17" s="62" t="n">
        <f aca="false">COUNTIFS('Inspection &amp; Test Plan'!A:A,A17,'Inspection &amp; Test Plan'!F:F,"*-00")</f>
        <v>0</v>
      </c>
      <c r="H17" s="64" t="n">
        <v>45017</v>
      </c>
      <c r="I17" s="64" t="n">
        <v>45231</v>
      </c>
    </row>
    <row r="18" customFormat="false" ht="15" hidden="false" customHeight="false" outlineLevel="0" collapsed="false">
      <c r="A18" s="65" t="s">
        <v>42</v>
      </c>
      <c r="B18" s="66" t="s">
        <v>43</v>
      </c>
      <c r="C18" s="67"/>
      <c r="D18" s="66" t="n">
        <f aca="false">COUNTIF('Submittal Register'!A:A,A18)</f>
        <v>1</v>
      </c>
      <c r="E18" s="66" t="n">
        <f aca="false">COUNTIFS('Submittal Register'!A:A,A18,'Submittal Register'!F:F,"*-00")</f>
        <v>0</v>
      </c>
      <c r="F18" s="66" t="n">
        <f aca="false">COUNTIF('Inspection &amp; Test Plan'!A:A,A18)</f>
        <v>1</v>
      </c>
      <c r="G18" s="66" t="n">
        <f aca="false">COUNTIFS('Inspection &amp; Test Plan'!A:A,A18,'Inspection &amp; Test Plan'!F:F,"*-00")</f>
        <v>1</v>
      </c>
      <c r="H18" s="68" t="n">
        <v>45231</v>
      </c>
      <c r="I18" s="68" t="n">
        <v>45331</v>
      </c>
    </row>
    <row r="19" customFormat="false" ht="15" hidden="false" customHeight="false" outlineLevel="0" collapsed="false">
      <c r="A19" s="69" t="s">
        <v>44</v>
      </c>
      <c r="B19" s="70" t="s">
        <v>45</v>
      </c>
      <c r="C19" s="71"/>
      <c r="D19" s="70" t="n">
        <f aca="false">COUNTIF('Submittal Register'!A:A,A19)</f>
        <v>3</v>
      </c>
      <c r="E19" s="70" t="n">
        <f aca="false">COUNTIFS('Submittal Register'!A:A,A19,'Submittal Register'!F:F,"*-00")</f>
        <v>0</v>
      </c>
      <c r="F19" s="70" t="n">
        <f aca="false">COUNTIF('Inspection &amp; Test Plan'!A:A,A19)</f>
        <v>3</v>
      </c>
      <c r="G19" s="70" t="n">
        <f aca="false">COUNTIFS('Inspection &amp; Test Plan'!A:A,A19,'Inspection &amp; Test Plan'!F:F,"*-00")</f>
        <v>1</v>
      </c>
      <c r="H19" s="72" t="n">
        <v>45017</v>
      </c>
      <c r="I19" s="72" t="n">
        <v>45331</v>
      </c>
    </row>
    <row r="20" customFormat="false" ht="15" hidden="false" customHeight="false" outlineLevel="0" collapsed="false">
      <c r="A20" s="73" t="s">
        <v>46</v>
      </c>
      <c r="B20" s="74" t="s">
        <v>47</v>
      </c>
      <c r="C20" s="75"/>
      <c r="D20" s="74" t="n">
        <f aca="false">COUNTIF('Submittal Register'!A:A,A20)</f>
        <v>3</v>
      </c>
      <c r="E20" s="74" t="n">
        <f aca="false">COUNTIFS('Submittal Register'!A:A,A20,'Submittal Register'!F:F,"*-00")</f>
        <v>0</v>
      </c>
      <c r="F20" s="74" t="n">
        <f aca="false">COUNTIF('Inspection &amp; Test Plan'!A:A,A20)</f>
        <v>2</v>
      </c>
      <c r="G20" s="74" t="n">
        <f aca="false">COUNTIFS('Inspection &amp; Test Plan'!A:A,A20,'Inspection &amp; Test Plan'!F:F,"*-00")</f>
        <v>0</v>
      </c>
      <c r="H20" s="76" t="n">
        <v>45017</v>
      </c>
      <c r="I20" s="76" t="n">
        <v>45231</v>
      </c>
    </row>
    <row r="21" customFormat="false" ht="15" hidden="false" customHeight="false" outlineLevel="0" collapsed="false">
      <c r="A21" s="77" t="s">
        <v>48</v>
      </c>
      <c r="B21" s="78" t="s">
        <v>49</v>
      </c>
      <c r="C21" s="79"/>
      <c r="D21" s="78" t="n">
        <f aca="false">COUNTIF('Submittal Register'!A:A,A21)</f>
        <v>19</v>
      </c>
      <c r="E21" s="78" t="n">
        <f aca="false">COUNTIFS('Submittal Register'!A:A,A21,'Submittal Register'!F:F,"*-00")</f>
        <v>1</v>
      </c>
      <c r="F21" s="78" t="n">
        <f aca="false">COUNTIF('Inspection &amp; Test Plan'!A:A,A21)</f>
        <v>13</v>
      </c>
      <c r="G21" s="78" t="n">
        <f aca="false">COUNTIFS('Inspection &amp; Test Plan'!A:A,A21,'Inspection &amp; Test Plan'!F:F,"*-00")</f>
        <v>1</v>
      </c>
      <c r="H21" s="80" t="n">
        <v>45017</v>
      </c>
      <c r="I21" s="80" t="n">
        <v>45481</v>
      </c>
    </row>
    <row r="22" customFormat="false" ht="15" hidden="false" customHeight="false" outlineLevel="0" collapsed="false">
      <c r="A22" s="81" t="s">
        <v>50</v>
      </c>
      <c r="B22" s="81"/>
      <c r="C22" s="81"/>
      <c r="D22" s="81" t="n">
        <f aca="false">SUM(D2:D21)</f>
        <v>145</v>
      </c>
      <c r="E22" s="81" t="n">
        <f aca="false">SUM(E2:E21)</f>
        <v>6</v>
      </c>
      <c r="F22" s="81" t="n">
        <f aca="false">SUM(F2:F21)</f>
        <v>103</v>
      </c>
      <c r="G22" s="81" t="n">
        <f aca="false">SUM(G2:G21)</f>
        <v>11</v>
      </c>
      <c r="H22" s="81"/>
      <c r="I22" s="8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4"/>
    <col collapsed="false" customWidth="true" hidden="false" outlineLevel="0" max="6" min="6" style="0" width="16"/>
    <col collapsed="false" customWidth="true" hidden="false" outlineLevel="0" max="7" min="7" style="0" width="11"/>
    <col collapsed="false" customWidth="true" hidden="false" outlineLevel="0" max="8" min="8" style="0" width="60"/>
    <col collapsed="false" customWidth="true" hidden="false" outlineLevel="0" max="9" min="9" style="0" width="22"/>
    <col collapsed="false" customWidth="true" hidden="false" outlineLevel="0" max="11" min="10" style="0" width="24"/>
    <col collapsed="false" customWidth="true" hidden="false" outlineLevel="0" max="12" min="12" style="0" width="26"/>
    <col collapsed="false" customWidth="true" hidden="false" outlineLevel="0" max="13" min="13" style="0" width="11"/>
    <col collapsed="false" customWidth="true" hidden="false" outlineLevel="0" max="14" min="14" style="0" width="20"/>
    <col collapsed="false" customWidth="true" hidden="false" outlineLevel="0" max="15" min="15" style="0" width="30"/>
    <col collapsed="false" customWidth="true" hidden="false" outlineLevel="0" max="16" min="16" style="0" width="16"/>
    <col collapsed="false" customWidth="true" hidden="false" outlineLevel="0" max="18" min="17" style="0" width="18"/>
    <col collapsed="false" customWidth="true" hidden="false" outlineLevel="0" max="19" min="19" style="0" width="12"/>
    <col collapsed="false" customWidth="true" hidden="false" outlineLevel="0" max="20" min="20" style="0" width="40"/>
    <col collapsed="false" customWidth="true" hidden="false" outlineLevel="0" max="21" min="21" style="0" width="45"/>
  </cols>
  <sheetData>
    <row r="1" customFormat="false" ht="68.65" hidden="false" customHeight="false" outlineLevel="0" collapsed="false">
      <c r="A1" s="82" t="s">
        <v>0</v>
      </c>
      <c r="B1" s="82" t="s">
        <v>51</v>
      </c>
      <c r="C1" s="82" t="s">
        <v>52</v>
      </c>
      <c r="D1" s="82" t="s">
        <v>53</v>
      </c>
      <c r="E1" s="82" t="s">
        <v>54</v>
      </c>
      <c r="F1" s="82" t="s">
        <v>55</v>
      </c>
      <c r="G1" s="82" t="s">
        <v>56</v>
      </c>
      <c r="H1" s="82" t="s">
        <v>57</v>
      </c>
      <c r="I1" s="82" t="s">
        <v>58</v>
      </c>
      <c r="J1" s="82" t="s">
        <v>59</v>
      </c>
      <c r="K1" s="82" t="s">
        <v>60</v>
      </c>
      <c r="L1" s="82" t="s">
        <v>61</v>
      </c>
      <c r="M1" s="82" t="s">
        <v>62</v>
      </c>
      <c r="N1" s="82" t="s">
        <v>63</v>
      </c>
      <c r="O1" s="82" t="s">
        <v>64</v>
      </c>
      <c r="P1" s="82" t="s">
        <v>65</v>
      </c>
      <c r="Q1" s="82" t="s">
        <v>66</v>
      </c>
      <c r="R1" s="82" t="s">
        <v>67</v>
      </c>
      <c r="S1" s="82" t="s">
        <v>68</v>
      </c>
      <c r="T1" s="82" t="s">
        <v>69</v>
      </c>
      <c r="U1" s="82" t="s">
        <v>70</v>
      </c>
    </row>
    <row r="2" customFormat="false" ht="57.45" hidden="false" customHeight="false" outlineLevel="0" collapsed="false">
      <c r="A2" s="83" t="s">
        <v>9</v>
      </c>
      <c r="B2" s="84" t="s">
        <v>10</v>
      </c>
      <c r="C2" s="84" t="s">
        <v>71</v>
      </c>
      <c r="D2" s="84" t="s">
        <v>72</v>
      </c>
      <c r="E2" s="84" t="s">
        <v>73</v>
      </c>
      <c r="F2" s="84" t="s">
        <v>74</v>
      </c>
      <c r="G2" s="84" t="s">
        <v>75</v>
      </c>
      <c r="H2" s="84" t="s">
        <v>76</v>
      </c>
      <c r="I2" s="84" t="s">
        <v>77</v>
      </c>
      <c r="J2" s="84" t="s">
        <v>78</v>
      </c>
      <c r="K2" s="84" t="s">
        <v>79</v>
      </c>
      <c r="L2" s="84" t="s">
        <v>80</v>
      </c>
      <c r="M2" s="84"/>
      <c r="N2" s="84" t="s">
        <v>81</v>
      </c>
      <c r="O2" s="84" t="s">
        <v>82</v>
      </c>
      <c r="P2" s="84" t="s">
        <v>78</v>
      </c>
      <c r="Q2" s="84" t="s">
        <v>83</v>
      </c>
      <c r="R2" s="84" t="s">
        <v>84</v>
      </c>
      <c r="S2" s="84" t="s">
        <v>85</v>
      </c>
      <c r="T2" s="84" t="s">
        <v>86</v>
      </c>
      <c r="U2" s="84" t="s">
        <v>87</v>
      </c>
    </row>
    <row r="3" customFormat="false" ht="57.45" hidden="false" customHeight="false" outlineLevel="0" collapsed="false">
      <c r="A3" s="83" t="s">
        <v>9</v>
      </c>
      <c r="B3" s="84" t="s">
        <v>10</v>
      </c>
      <c r="C3" s="84" t="s">
        <v>88</v>
      </c>
      <c r="D3" s="84" t="s">
        <v>72</v>
      </c>
      <c r="E3" s="84" t="s">
        <v>73</v>
      </c>
      <c r="F3" s="84" t="s">
        <v>89</v>
      </c>
      <c r="G3" s="84" t="s">
        <v>75</v>
      </c>
      <c r="H3" s="84" t="s">
        <v>90</v>
      </c>
      <c r="I3" s="84" t="s">
        <v>91</v>
      </c>
      <c r="J3" s="84" t="s">
        <v>92</v>
      </c>
      <c r="K3" s="84" t="s">
        <v>79</v>
      </c>
      <c r="L3" s="84" t="s">
        <v>80</v>
      </c>
      <c r="M3" s="84" t="s">
        <v>93</v>
      </c>
      <c r="N3" s="84"/>
      <c r="O3" s="84" t="s">
        <v>82</v>
      </c>
      <c r="P3" s="84" t="s">
        <v>78</v>
      </c>
      <c r="Q3" s="84" t="s">
        <v>83</v>
      </c>
      <c r="R3" s="84" t="s">
        <v>94</v>
      </c>
      <c r="S3" s="84" t="s">
        <v>95</v>
      </c>
      <c r="T3" s="84" t="s">
        <v>96</v>
      </c>
      <c r="U3" s="84" t="s">
        <v>97</v>
      </c>
    </row>
    <row r="4" customFormat="false" ht="68.65" hidden="false" customHeight="false" outlineLevel="0" collapsed="false">
      <c r="A4" s="83" t="s">
        <v>9</v>
      </c>
      <c r="B4" s="84" t="s">
        <v>10</v>
      </c>
      <c r="C4" s="84" t="s">
        <v>98</v>
      </c>
      <c r="D4" s="84" t="s">
        <v>72</v>
      </c>
      <c r="E4" s="84" t="s">
        <v>73</v>
      </c>
      <c r="F4" s="84" t="s">
        <v>99</v>
      </c>
      <c r="G4" s="84" t="s">
        <v>75</v>
      </c>
      <c r="H4" s="84" t="s">
        <v>100</v>
      </c>
      <c r="I4" s="84" t="s">
        <v>91</v>
      </c>
      <c r="J4" s="84" t="s">
        <v>101</v>
      </c>
      <c r="K4" s="84" t="s">
        <v>79</v>
      </c>
      <c r="L4" s="84" t="s">
        <v>80</v>
      </c>
      <c r="M4" s="84" t="s">
        <v>102</v>
      </c>
      <c r="N4" s="84"/>
      <c r="O4" s="84" t="s">
        <v>82</v>
      </c>
      <c r="P4" s="84" t="s">
        <v>78</v>
      </c>
      <c r="Q4" s="84" t="s">
        <v>83</v>
      </c>
      <c r="R4" s="84" t="s">
        <v>94</v>
      </c>
      <c r="S4" s="84" t="s">
        <v>85</v>
      </c>
      <c r="T4" s="84" t="s">
        <v>103</v>
      </c>
      <c r="U4" s="84" t="s">
        <v>97</v>
      </c>
    </row>
    <row r="5" customFormat="false" ht="57.45" hidden="false" customHeight="false" outlineLevel="0" collapsed="false">
      <c r="A5" s="83" t="s">
        <v>9</v>
      </c>
      <c r="B5" s="84" t="s">
        <v>10</v>
      </c>
      <c r="C5" s="84" t="s">
        <v>98</v>
      </c>
      <c r="D5" s="84" t="s">
        <v>72</v>
      </c>
      <c r="E5" s="84" t="s">
        <v>73</v>
      </c>
      <c r="F5" s="84" t="s">
        <v>104</v>
      </c>
      <c r="G5" s="84" t="s">
        <v>75</v>
      </c>
      <c r="H5" s="84" t="s">
        <v>105</v>
      </c>
      <c r="I5" s="84" t="s">
        <v>91</v>
      </c>
      <c r="J5" s="84" t="s">
        <v>78</v>
      </c>
      <c r="K5" s="84" t="s">
        <v>79</v>
      </c>
      <c r="L5" s="84" t="s">
        <v>80</v>
      </c>
      <c r="M5" s="84" t="s">
        <v>102</v>
      </c>
      <c r="N5" s="84"/>
      <c r="O5" s="84" t="s">
        <v>82</v>
      </c>
      <c r="P5" s="84" t="s">
        <v>78</v>
      </c>
      <c r="Q5" s="84" t="s">
        <v>83</v>
      </c>
      <c r="R5" s="84" t="s">
        <v>94</v>
      </c>
      <c r="S5" s="84" t="s">
        <v>85</v>
      </c>
      <c r="T5" s="84" t="s">
        <v>106</v>
      </c>
      <c r="U5" s="84" t="s">
        <v>97</v>
      </c>
    </row>
    <row r="6" customFormat="false" ht="57.45" hidden="false" customHeight="false" outlineLevel="0" collapsed="false">
      <c r="A6" s="83" t="s">
        <v>9</v>
      </c>
      <c r="B6" s="84" t="s">
        <v>10</v>
      </c>
      <c r="C6" s="84" t="s">
        <v>107</v>
      </c>
      <c r="D6" s="84" t="s">
        <v>72</v>
      </c>
      <c r="E6" s="84" t="s">
        <v>73</v>
      </c>
      <c r="F6" s="84" t="s">
        <v>108</v>
      </c>
      <c r="G6" s="84" t="s">
        <v>75</v>
      </c>
      <c r="H6" s="84" t="s">
        <v>109</v>
      </c>
      <c r="I6" s="84" t="s">
        <v>91</v>
      </c>
      <c r="J6" s="84" t="s">
        <v>110</v>
      </c>
      <c r="K6" s="84" t="s">
        <v>79</v>
      </c>
      <c r="L6" s="84" t="s">
        <v>80</v>
      </c>
      <c r="M6" s="84" t="s">
        <v>111</v>
      </c>
      <c r="N6" s="84"/>
      <c r="O6" s="84" t="s">
        <v>82</v>
      </c>
      <c r="P6" s="84" t="s">
        <v>78</v>
      </c>
      <c r="Q6" s="84" t="s">
        <v>83</v>
      </c>
      <c r="R6" s="84" t="s">
        <v>94</v>
      </c>
      <c r="S6" s="84" t="s">
        <v>85</v>
      </c>
      <c r="T6" s="84" t="s">
        <v>112</v>
      </c>
      <c r="U6" s="84" t="s">
        <v>97</v>
      </c>
    </row>
    <row r="7" customFormat="false" ht="79.85" hidden="false" customHeight="false" outlineLevel="0" collapsed="false">
      <c r="A7" s="83" t="s">
        <v>9</v>
      </c>
      <c r="B7" s="84" t="s">
        <v>10</v>
      </c>
      <c r="C7" s="84" t="s">
        <v>113</v>
      </c>
      <c r="D7" s="84" t="s">
        <v>72</v>
      </c>
      <c r="E7" s="84" t="s">
        <v>73</v>
      </c>
      <c r="F7" s="84" t="s">
        <v>114</v>
      </c>
      <c r="G7" s="84" t="s">
        <v>75</v>
      </c>
      <c r="H7" s="84" t="s">
        <v>115</v>
      </c>
      <c r="I7" s="84" t="s">
        <v>77</v>
      </c>
      <c r="J7" s="84" t="s">
        <v>78</v>
      </c>
      <c r="K7" s="84" t="s">
        <v>79</v>
      </c>
      <c r="L7" s="84" t="s">
        <v>116</v>
      </c>
      <c r="M7" s="84" t="s">
        <v>117</v>
      </c>
      <c r="N7" s="84" t="s">
        <v>118</v>
      </c>
      <c r="O7" s="84" t="s">
        <v>119</v>
      </c>
      <c r="P7" s="84" t="s">
        <v>120</v>
      </c>
      <c r="Q7" s="84" t="s">
        <v>83</v>
      </c>
      <c r="R7" s="84" t="s">
        <v>94</v>
      </c>
      <c r="S7" s="84" t="s">
        <v>121</v>
      </c>
      <c r="T7" s="84" t="s">
        <v>122</v>
      </c>
      <c r="U7" s="84" t="s">
        <v>123</v>
      </c>
    </row>
    <row r="8" customFormat="false" ht="247.75" hidden="false" customHeight="false" outlineLevel="0" collapsed="false">
      <c r="A8" s="83" t="s">
        <v>9</v>
      </c>
      <c r="B8" s="84" t="s">
        <v>10</v>
      </c>
      <c r="C8" s="84" t="s">
        <v>124</v>
      </c>
      <c r="D8" s="84" t="s">
        <v>72</v>
      </c>
      <c r="E8" s="84" t="s">
        <v>73</v>
      </c>
      <c r="F8" s="84" t="s">
        <v>125</v>
      </c>
      <c r="G8" s="84" t="s">
        <v>75</v>
      </c>
      <c r="H8" s="84" t="s">
        <v>126</v>
      </c>
      <c r="I8" s="84" t="s">
        <v>127</v>
      </c>
      <c r="J8" s="84" t="s">
        <v>78</v>
      </c>
      <c r="K8" s="84" t="s">
        <v>79</v>
      </c>
      <c r="L8" s="84" t="s">
        <v>80</v>
      </c>
      <c r="M8" s="84" t="s">
        <v>128</v>
      </c>
      <c r="N8" s="84"/>
      <c r="O8" s="84" t="s">
        <v>129</v>
      </c>
      <c r="P8" s="84" t="s">
        <v>130</v>
      </c>
      <c r="Q8" s="84" t="s">
        <v>83</v>
      </c>
      <c r="R8" s="84" t="s">
        <v>94</v>
      </c>
      <c r="S8" s="84" t="s">
        <v>121</v>
      </c>
      <c r="T8" s="84" t="s">
        <v>131</v>
      </c>
      <c r="U8" s="84" t="s">
        <v>132</v>
      </c>
    </row>
    <row r="9" customFormat="false" ht="247.75" hidden="false" customHeight="false" outlineLevel="0" collapsed="false">
      <c r="A9" s="83" t="s">
        <v>9</v>
      </c>
      <c r="B9" s="84" t="s">
        <v>10</v>
      </c>
      <c r="C9" s="84" t="s">
        <v>124</v>
      </c>
      <c r="D9" s="84" t="s">
        <v>72</v>
      </c>
      <c r="E9" s="84" t="s">
        <v>73</v>
      </c>
      <c r="F9" s="84" t="s">
        <v>133</v>
      </c>
      <c r="G9" s="84" t="s">
        <v>75</v>
      </c>
      <c r="H9" s="84" t="s">
        <v>134</v>
      </c>
      <c r="I9" s="84" t="s">
        <v>135</v>
      </c>
      <c r="J9" s="84" t="s">
        <v>78</v>
      </c>
      <c r="K9" s="84" t="s">
        <v>79</v>
      </c>
      <c r="L9" s="84" t="s">
        <v>80</v>
      </c>
      <c r="M9" s="84" t="s">
        <v>128</v>
      </c>
      <c r="N9" s="84"/>
      <c r="O9" s="84" t="s">
        <v>129</v>
      </c>
      <c r="P9" s="84" t="s">
        <v>130</v>
      </c>
      <c r="Q9" s="84" t="s">
        <v>83</v>
      </c>
      <c r="R9" s="84" t="s">
        <v>94</v>
      </c>
      <c r="S9" s="84" t="s">
        <v>121</v>
      </c>
      <c r="T9" s="84" t="s">
        <v>136</v>
      </c>
      <c r="U9" s="84" t="s">
        <v>132</v>
      </c>
    </row>
    <row r="10" customFormat="false" ht="247.75" hidden="false" customHeight="false" outlineLevel="0" collapsed="false">
      <c r="A10" s="83" t="s">
        <v>9</v>
      </c>
      <c r="B10" s="84" t="s">
        <v>10</v>
      </c>
      <c r="C10" s="84" t="s">
        <v>124</v>
      </c>
      <c r="D10" s="84" t="s">
        <v>72</v>
      </c>
      <c r="E10" s="84" t="s">
        <v>73</v>
      </c>
      <c r="F10" s="84" t="s">
        <v>137</v>
      </c>
      <c r="G10" s="84" t="s">
        <v>75</v>
      </c>
      <c r="H10" s="84" t="s">
        <v>138</v>
      </c>
      <c r="I10" s="84" t="s">
        <v>139</v>
      </c>
      <c r="J10" s="84" t="s">
        <v>140</v>
      </c>
      <c r="K10" s="84" t="s">
        <v>79</v>
      </c>
      <c r="L10" s="84" t="s">
        <v>80</v>
      </c>
      <c r="M10" s="84" t="s">
        <v>128</v>
      </c>
      <c r="N10" s="84"/>
      <c r="O10" s="84" t="s">
        <v>129</v>
      </c>
      <c r="P10" s="84" t="s">
        <v>130</v>
      </c>
      <c r="Q10" s="84" t="s">
        <v>83</v>
      </c>
      <c r="R10" s="84" t="s">
        <v>94</v>
      </c>
      <c r="S10" s="84" t="s">
        <v>121</v>
      </c>
      <c r="T10" s="84" t="s">
        <v>141</v>
      </c>
      <c r="U10" s="84" t="s">
        <v>132</v>
      </c>
    </row>
    <row r="11" customFormat="false" ht="247.75" hidden="false" customHeight="false" outlineLevel="0" collapsed="false">
      <c r="A11" s="83" t="s">
        <v>9</v>
      </c>
      <c r="B11" s="84" t="s">
        <v>10</v>
      </c>
      <c r="C11" s="84" t="s">
        <v>124</v>
      </c>
      <c r="D11" s="84" t="s">
        <v>72</v>
      </c>
      <c r="E11" s="84" t="s">
        <v>73</v>
      </c>
      <c r="F11" s="84" t="s">
        <v>142</v>
      </c>
      <c r="G11" s="84" t="s">
        <v>75</v>
      </c>
      <c r="H11" s="84" t="s">
        <v>143</v>
      </c>
      <c r="I11" s="84" t="s">
        <v>144</v>
      </c>
      <c r="J11" s="84" t="s">
        <v>78</v>
      </c>
      <c r="K11" s="84" t="s">
        <v>79</v>
      </c>
      <c r="L11" s="84" t="s">
        <v>80</v>
      </c>
      <c r="M11" s="84" t="s">
        <v>128</v>
      </c>
      <c r="N11" s="84"/>
      <c r="O11" s="84" t="s">
        <v>129</v>
      </c>
      <c r="P11" s="84" t="s">
        <v>130</v>
      </c>
      <c r="Q11" s="84" t="s">
        <v>83</v>
      </c>
      <c r="R11" s="84" t="s">
        <v>94</v>
      </c>
      <c r="S11" s="84" t="s">
        <v>121</v>
      </c>
      <c r="T11" s="84" t="s">
        <v>145</v>
      </c>
      <c r="U11" s="84" t="s">
        <v>132</v>
      </c>
    </row>
    <row r="12" customFormat="false" ht="247.75" hidden="false" customHeight="false" outlineLevel="0" collapsed="false">
      <c r="A12" s="83" t="s">
        <v>9</v>
      </c>
      <c r="B12" s="84" t="s">
        <v>10</v>
      </c>
      <c r="C12" s="84" t="s">
        <v>124</v>
      </c>
      <c r="D12" s="84" t="s">
        <v>72</v>
      </c>
      <c r="E12" s="84" t="s">
        <v>73</v>
      </c>
      <c r="F12" s="84" t="s">
        <v>146</v>
      </c>
      <c r="G12" s="84" t="s">
        <v>75</v>
      </c>
      <c r="H12" s="84" t="s">
        <v>147</v>
      </c>
      <c r="I12" s="84" t="s">
        <v>148</v>
      </c>
      <c r="J12" s="84" t="s">
        <v>149</v>
      </c>
      <c r="K12" s="84" t="s">
        <v>79</v>
      </c>
      <c r="L12" s="84" t="s">
        <v>80</v>
      </c>
      <c r="M12" s="84" t="s">
        <v>128</v>
      </c>
      <c r="N12" s="84"/>
      <c r="O12" s="84" t="s">
        <v>129</v>
      </c>
      <c r="P12" s="84" t="s">
        <v>130</v>
      </c>
      <c r="Q12" s="84" t="s">
        <v>83</v>
      </c>
      <c r="R12" s="84" t="s">
        <v>94</v>
      </c>
      <c r="S12" s="84" t="s">
        <v>121</v>
      </c>
      <c r="T12" s="84" t="s">
        <v>150</v>
      </c>
      <c r="U12" s="84" t="s">
        <v>132</v>
      </c>
    </row>
    <row r="13" customFormat="false" ht="247.75" hidden="false" customHeight="false" outlineLevel="0" collapsed="false">
      <c r="A13" s="83" t="s">
        <v>9</v>
      </c>
      <c r="B13" s="84" t="s">
        <v>10</v>
      </c>
      <c r="C13" s="84" t="s">
        <v>151</v>
      </c>
      <c r="D13" s="84" t="s">
        <v>72</v>
      </c>
      <c r="E13" s="84" t="s">
        <v>73</v>
      </c>
      <c r="F13" s="84" t="s">
        <v>152</v>
      </c>
      <c r="G13" s="84" t="s">
        <v>75</v>
      </c>
      <c r="H13" s="84" t="s">
        <v>153</v>
      </c>
      <c r="I13" s="84" t="s">
        <v>154</v>
      </c>
      <c r="J13" s="84" t="s">
        <v>78</v>
      </c>
      <c r="K13" s="84" t="s">
        <v>79</v>
      </c>
      <c r="L13" s="84" t="s">
        <v>80</v>
      </c>
      <c r="M13" s="84" t="s">
        <v>155</v>
      </c>
      <c r="N13" s="84" t="s">
        <v>118</v>
      </c>
      <c r="O13" s="84" t="s">
        <v>156</v>
      </c>
      <c r="P13" s="84" t="s">
        <v>130</v>
      </c>
      <c r="Q13" s="84" t="s">
        <v>83</v>
      </c>
      <c r="R13" s="84" t="s">
        <v>94</v>
      </c>
      <c r="S13" s="84" t="s">
        <v>121</v>
      </c>
      <c r="T13" s="84" t="s">
        <v>157</v>
      </c>
      <c r="U13" s="84" t="s">
        <v>132</v>
      </c>
    </row>
    <row r="14" customFormat="false" ht="247.75" hidden="false" customHeight="false" outlineLevel="0" collapsed="false">
      <c r="A14" s="83" t="s">
        <v>9</v>
      </c>
      <c r="B14" s="84" t="s">
        <v>10</v>
      </c>
      <c r="C14" s="84" t="s">
        <v>151</v>
      </c>
      <c r="D14" s="84" t="s">
        <v>72</v>
      </c>
      <c r="E14" s="84" t="s">
        <v>73</v>
      </c>
      <c r="F14" s="84" t="s">
        <v>158</v>
      </c>
      <c r="G14" s="84" t="s">
        <v>75</v>
      </c>
      <c r="H14" s="84" t="s">
        <v>159</v>
      </c>
      <c r="I14" s="84" t="s">
        <v>160</v>
      </c>
      <c r="J14" s="84" t="s">
        <v>78</v>
      </c>
      <c r="K14" s="84" t="s">
        <v>79</v>
      </c>
      <c r="L14" s="84" t="s">
        <v>80</v>
      </c>
      <c r="M14" s="84" t="s">
        <v>155</v>
      </c>
      <c r="N14" s="84" t="s">
        <v>118</v>
      </c>
      <c r="O14" s="84" t="s">
        <v>156</v>
      </c>
      <c r="P14" s="84" t="s">
        <v>130</v>
      </c>
      <c r="Q14" s="84" t="s">
        <v>83</v>
      </c>
      <c r="R14" s="84" t="s">
        <v>94</v>
      </c>
      <c r="S14" s="84" t="s">
        <v>121</v>
      </c>
      <c r="T14" s="84" t="s">
        <v>161</v>
      </c>
      <c r="U14" s="84" t="s">
        <v>132</v>
      </c>
    </row>
    <row r="15" customFormat="false" ht="247.75" hidden="false" customHeight="false" outlineLevel="0" collapsed="false">
      <c r="A15" s="83" t="s">
        <v>9</v>
      </c>
      <c r="B15" s="84" t="s">
        <v>10</v>
      </c>
      <c r="C15" s="84" t="s">
        <v>151</v>
      </c>
      <c r="D15" s="84" t="s">
        <v>72</v>
      </c>
      <c r="E15" s="84" t="s">
        <v>73</v>
      </c>
      <c r="F15" s="84" t="s">
        <v>162</v>
      </c>
      <c r="G15" s="84" t="s">
        <v>75</v>
      </c>
      <c r="H15" s="84" t="s">
        <v>163</v>
      </c>
      <c r="I15" s="84" t="s">
        <v>91</v>
      </c>
      <c r="J15" s="84" t="s">
        <v>78</v>
      </c>
      <c r="K15" s="84" t="s">
        <v>79</v>
      </c>
      <c r="L15" s="84" t="s">
        <v>80</v>
      </c>
      <c r="M15" s="84" t="s">
        <v>155</v>
      </c>
      <c r="N15" s="84" t="s">
        <v>118</v>
      </c>
      <c r="O15" s="84" t="s">
        <v>156</v>
      </c>
      <c r="P15" s="84" t="s">
        <v>130</v>
      </c>
      <c r="Q15" s="84" t="s">
        <v>83</v>
      </c>
      <c r="R15" s="84" t="s">
        <v>94</v>
      </c>
      <c r="S15" s="84" t="s">
        <v>121</v>
      </c>
      <c r="T15" s="84" t="s">
        <v>164</v>
      </c>
      <c r="U15" s="84" t="s">
        <v>132</v>
      </c>
    </row>
    <row r="16" customFormat="false" ht="247.75" hidden="false" customHeight="false" outlineLevel="0" collapsed="false">
      <c r="A16" s="83" t="s">
        <v>9</v>
      </c>
      <c r="B16" s="84" t="s">
        <v>10</v>
      </c>
      <c r="C16" s="84" t="s">
        <v>151</v>
      </c>
      <c r="D16" s="84" t="s">
        <v>72</v>
      </c>
      <c r="E16" s="84" t="s">
        <v>73</v>
      </c>
      <c r="F16" s="84" t="s">
        <v>165</v>
      </c>
      <c r="G16" s="84" t="s">
        <v>75</v>
      </c>
      <c r="H16" s="84" t="s">
        <v>166</v>
      </c>
      <c r="I16" s="84" t="s">
        <v>139</v>
      </c>
      <c r="J16" s="84" t="s">
        <v>167</v>
      </c>
      <c r="K16" s="84" t="s">
        <v>79</v>
      </c>
      <c r="L16" s="84" t="s">
        <v>168</v>
      </c>
      <c r="M16" s="84" t="s">
        <v>155</v>
      </c>
      <c r="N16" s="84" t="s">
        <v>118</v>
      </c>
      <c r="O16" s="84" t="s">
        <v>156</v>
      </c>
      <c r="P16" s="84" t="s">
        <v>130</v>
      </c>
      <c r="Q16" s="84" t="s">
        <v>83</v>
      </c>
      <c r="R16" s="84" t="s">
        <v>94</v>
      </c>
      <c r="S16" s="84" t="s">
        <v>121</v>
      </c>
      <c r="T16" s="84" t="s">
        <v>169</v>
      </c>
      <c r="U16" s="84" t="s">
        <v>132</v>
      </c>
    </row>
    <row r="17" customFormat="false" ht="135.8" hidden="false" customHeight="false" outlineLevel="0" collapsed="false">
      <c r="A17" s="83" t="s">
        <v>9</v>
      </c>
      <c r="B17" s="84" t="s">
        <v>10</v>
      </c>
      <c r="C17" s="84" t="s">
        <v>170</v>
      </c>
      <c r="D17" s="84" t="s">
        <v>72</v>
      </c>
      <c r="E17" s="84" t="s">
        <v>73</v>
      </c>
      <c r="F17" s="84" t="s">
        <v>171</v>
      </c>
      <c r="G17" s="84" t="s">
        <v>75</v>
      </c>
      <c r="H17" s="84" t="s">
        <v>172</v>
      </c>
      <c r="I17" s="84" t="s">
        <v>154</v>
      </c>
      <c r="J17" s="84" t="s">
        <v>78</v>
      </c>
      <c r="K17" s="84" t="s">
        <v>79</v>
      </c>
      <c r="L17" s="84" t="s">
        <v>173</v>
      </c>
      <c r="M17" s="84" t="s">
        <v>174</v>
      </c>
      <c r="N17" s="84"/>
      <c r="O17" s="84" t="s">
        <v>175</v>
      </c>
      <c r="P17" s="84" t="s">
        <v>176</v>
      </c>
      <c r="Q17" s="84" t="s">
        <v>83</v>
      </c>
      <c r="R17" s="84" t="s">
        <v>94</v>
      </c>
      <c r="S17" s="84" t="s">
        <v>121</v>
      </c>
      <c r="T17" s="84" t="s">
        <v>177</v>
      </c>
      <c r="U17" s="84" t="s">
        <v>178</v>
      </c>
    </row>
    <row r="18" customFormat="false" ht="135.8" hidden="false" customHeight="false" outlineLevel="0" collapsed="false">
      <c r="A18" s="83" t="s">
        <v>9</v>
      </c>
      <c r="B18" s="84" t="s">
        <v>10</v>
      </c>
      <c r="C18" s="84" t="s">
        <v>170</v>
      </c>
      <c r="D18" s="84" t="s">
        <v>72</v>
      </c>
      <c r="E18" s="84" t="s">
        <v>73</v>
      </c>
      <c r="F18" s="84" t="s">
        <v>179</v>
      </c>
      <c r="G18" s="84" t="s">
        <v>75</v>
      </c>
      <c r="H18" s="84" t="s">
        <v>180</v>
      </c>
      <c r="I18" s="84" t="s">
        <v>181</v>
      </c>
      <c r="J18" s="84" t="s">
        <v>78</v>
      </c>
      <c r="K18" s="84" t="s">
        <v>79</v>
      </c>
      <c r="L18" s="84" t="s">
        <v>173</v>
      </c>
      <c r="M18" s="84" t="s">
        <v>174</v>
      </c>
      <c r="N18" s="84"/>
      <c r="O18" s="84" t="s">
        <v>175</v>
      </c>
      <c r="P18" s="84" t="s">
        <v>176</v>
      </c>
      <c r="Q18" s="84" t="s">
        <v>83</v>
      </c>
      <c r="R18" s="84" t="s">
        <v>94</v>
      </c>
      <c r="S18" s="84" t="s">
        <v>121</v>
      </c>
      <c r="T18" s="84" t="s">
        <v>182</v>
      </c>
      <c r="U18" s="84" t="s">
        <v>178</v>
      </c>
    </row>
    <row r="19" customFormat="false" ht="57.45" hidden="false" customHeight="false" outlineLevel="0" collapsed="false">
      <c r="A19" s="83" t="s">
        <v>9</v>
      </c>
      <c r="B19" s="84" t="s">
        <v>10</v>
      </c>
      <c r="C19" s="84" t="s">
        <v>183</v>
      </c>
      <c r="D19" s="84" t="s">
        <v>72</v>
      </c>
      <c r="E19" s="84" t="s">
        <v>73</v>
      </c>
      <c r="F19" s="84" t="s">
        <v>184</v>
      </c>
      <c r="G19" s="84" t="s">
        <v>75</v>
      </c>
      <c r="H19" s="84" t="s">
        <v>185</v>
      </c>
      <c r="I19" s="84" t="s">
        <v>186</v>
      </c>
      <c r="J19" s="84" t="s">
        <v>78</v>
      </c>
      <c r="K19" s="84" t="s">
        <v>79</v>
      </c>
      <c r="L19" s="84" t="s">
        <v>80</v>
      </c>
      <c r="M19" s="84" t="s">
        <v>187</v>
      </c>
      <c r="N19" s="84"/>
      <c r="O19" s="84" t="s">
        <v>188</v>
      </c>
      <c r="P19" s="84" t="s">
        <v>189</v>
      </c>
      <c r="Q19" s="84" t="s">
        <v>83</v>
      </c>
      <c r="R19" s="84" t="s">
        <v>84</v>
      </c>
      <c r="S19" s="84" t="s">
        <v>121</v>
      </c>
      <c r="T19" s="84" t="s">
        <v>190</v>
      </c>
      <c r="U19" s="84" t="s">
        <v>191</v>
      </c>
    </row>
    <row r="20" customFormat="false" ht="102.2" hidden="false" customHeight="false" outlineLevel="0" collapsed="false">
      <c r="A20" s="83" t="s">
        <v>9</v>
      </c>
      <c r="B20" s="84" t="s">
        <v>10</v>
      </c>
      <c r="C20" s="84" t="s">
        <v>192</v>
      </c>
      <c r="D20" s="84" t="s">
        <v>72</v>
      </c>
      <c r="E20" s="84" t="s">
        <v>73</v>
      </c>
      <c r="F20" s="84" t="s">
        <v>193</v>
      </c>
      <c r="G20" s="84" t="s">
        <v>75</v>
      </c>
      <c r="H20" s="84" t="s">
        <v>194</v>
      </c>
      <c r="I20" s="84" t="s">
        <v>78</v>
      </c>
      <c r="J20" s="84" t="s">
        <v>78</v>
      </c>
      <c r="K20" s="84" t="s">
        <v>78</v>
      </c>
      <c r="L20" s="84" t="s">
        <v>78</v>
      </c>
      <c r="M20" s="84" t="s">
        <v>195</v>
      </c>
      <c r="N20" s="84" t="s">
        <v>196</v>
      </c>
      <c r="O20" s="84" t="s">
        <v>197</v>
      </c>
      <c r="P20" s="84" t="s">
        <v>198</v>
      </c>
      <c r="Q20" s="84" t="s">
        <v>83</v>
      </c>
      <c r="R20" s="84" t="s">
        <v>199</v>
      </c>
      <c r="S20" s="84" t="s">
        <v>95</v>
      </c>
      <c r="T20" s="84" t="s">
        <v>200</v>
      </c>
      <c r="U20" s="84" t="s">
        <v>201</v>
      </c>
    </row>
    <row r="21" customFormat="false" ht="57.45" hidden="false" customHeight="false" outlineLevel="0" collapsed="false">
      <c r="A21" s="83" t="s">
        <v>9</v>
      </c>
      <c r="B21" s="84" t="s">
        <v>10</v>
      </c>
      <c r="C21" s="84" t="s">
        <v>202</v>
      </c>
      <c r="D21" s="84" t="s">
        <v>72</v>
      </c>
      <c r="E21" s="84" t="s">
        <v>73</v>
      </c>
      <c r="F21" s="84" t="s">
        <v>203</v>
      </c>
      <c r="G21" s="84" t="s">
        <v>75</v>
      </c>
      <c r="H21" s="84" t="s">
        <v>204</v>
      </c>
      <c r="I21" s="84" t="s">
        <v>78</v>
      </c>
      <c r="J21" s="84" t="s">
        <v>78</v>
      </c>
      <c r="K21" s="84" t="s">
        <v>78</v>
      </c>
      <c r="L21" s="84" t="s">
        <v>78</v>
      </c>
      <c r="M21" s="84" t="s">
        <v>205</v>
      </c>
      <c r="N21" s="84" t="s">
        <v>206</v>
      </c>
      <c r="O21" s="84" t="s">
        <v>207</v>
      </c>
      <c r="P21" s="84" t="s">
        <v>189</v>
      </c>
      <c r="Q21" s="84" t="s">
        <v>83</v>
      </c>
      <c r="R21" s="84" t="s">
        <v>208</v>
      </c>
      <c r="S21" s="84" t="s">
        <v>95</v>
      </c>
      <c r="T21" s="84" t="s">
        <v>200</v>
      </c>
      <c r="U21" s="84" t="s">
        <v>201</v>
      </c>
    </row>
    <row r="22" customFormat="false" ht="135.8" hidden="false" customHeight="false" outlineLevel="0" collapsed="false">
      <c r="A22" s="85" t="s">
        <v>11</v>
      </c>
      <c r="B22" s="86" t="s">
        <v>12</v>
      </c>
      <c r="C22" s="86" t="s">
        <v>209</v>
      </c>
      <c r="D22" s="86" t="s">
        <v>210</v>
      </c>
      <c r="E22" s="86" t="s">
        <v>211</v>
      </c>
      <c r="F22" s="86" t="s">
        <v>212</v>
      </c>
      <c r="G22" s="86" t="s">
        <v>75</v>
      </c>
      <c r="H22" s="86" t="s">
        <v>213</v>
      </c>
      <c r="I22" s="86" t="s">
        <v>214</v>
      </c>
      <c r="J22" s="86" t="s">
        <v>78</v>
      </c>
      <c r="K22" s="86" t="s">
        <v>79</v>
      </c>
      <c r="L22" s="86" t="s">
        <v>80</v>
      </c>
      <c r="M22" s="86"/>
      <c r="N22" s="86" t="s">
        <v>215</v>
      </c>
      <c r="O22" s="86" t="s">
        <v>216</v>
      </c>
      <c r="P22" s="86" t="s">
        <v>217</v>
      </c>
      <c r="Q22" s="86" t="s">
        <v>83</v>
      </c>
      <c r="R22" s="86" t="s">
        <v>218</v>
      </c>
      <c r="S22" s="86" t="s">
        <v>121</v>
      </c>
      <c r="T22" s="86" t="s">
        <v>219</v>
      </c>
      <c r="U22" s="86" t="s">
        <v>220</v>
      </c>
    </row>
    <row r="23" customFormat="false" ht="57.45" hidden="false" customHeight="false" outlineLevel="0" collapsed="false">
      <c r="A23" s="85" t="s">
        <v>11</v>
      </c>
      <c r="B23" s="86" t="s">
        <v>12</v>
      </c>
      <c r="C23" s="86" t="s">
        <v>221</v>
      </c>
      <c r="D23" s="86" t="s">
        <v>210</v>
      </c>
      <c r="E23" s="86" t="s">
        <v>211</v>
      </c>
      <c r="F23" s="86" t="s">
        <v>222</v>
      </c>
      <c r="G23" s="86" t="s">
        <v>75</v>
      </c>
      <c r="H23" s="86" t="s">
        <v>223</v>
      </c>
      <c r="I23" s="86" t="s">
        <v>91</v>
      </c>
      <c r="J23" s="86" t="s">
        <v>78</v>
      </c>
      <c r="K23" s="86" t="s">
        <v>79</v>
      </c>
      <c r="L23" s="86" t="s">
        <v>80</v>
      </c>
      <c r="M23" s="86"/>
      <c r="N23" s="86" t="s">
        <v>224</v>
      </c>
      <c r="O23" s="86" t="s">
        <v>225</v>
      </c>
      <c r="P23" s="86" t="s">
        <v>217</v>
      </c>
      <c r="Q23" s="86" t="s">
        <v>83</v>
      </c>
      <c r="R23" s="86" t="s">
        <v>218</v>
      </c>
      <c r="S23" s="86" t="s">
        <v>121</v>
      </c>
      <c r="T23" s="86" t="s">
        <v>226</v>
      </c>
      <c r="U23" s="86" t="s">
        <v>227</v>
      </c>
    </row>
    <row r="24" customFormat="false" ht="68.65" hidden="false" customHeight="false" outlineLevel="0" collapsed="false">
      <c r="A24" s="85" t="s">
        <v>11</v>
      </c>
      <c r="B24" s="86" t="s">
        <v>12</v>
      </c>
      <c r="C24" s="86" t="s">
        <v>228</v>
      </c>
      <c r="D24" s="86" t="s">
        <v>210</v>
      </c>
      <c r="E24" s="86" t="s">
        <v>211</v>
      </c>
      <c r="F24" s="86" t="s">
        <v>229</v>
      </c>
      <c r="G24" s="86" t="s">
        <v>75</v>
      </c>
      <c r="H24" s="86" t="s">
        <v>230</v>
      </c>
      <c r="I24" s="86" t="s">
        <v>127</v>
      </c>
      <c r="J24" s="86" t="s">
        <v>78</v>
      </c>
      <c r="K24" s="86" t="s">
        <v>79</v>
      </c>
      <c r="L24" s="86" t="s">
        <v>80</v>
      </c>
      <c r="M24" s="86"/>
      <c r="N24" s="86" t="s">
        <v>231</v>
      </c>
      <c r="O24" s="86" t="s">
        <v>232</v>
      </c>
      <c r="P24" s="86" t="s">
        <v>189</v>
      </c>
      <c r="Q24" s="86" t="s">
        <v>233</v>
      </c>
      <c r="R24" s="86" t="s">
        <v>218</v>
      </c>
      <c r="S24" s="86" t="s">
        <v>121</v>
      </c>
      <c r="T24" s="86" t="s">
        <v>234</v>
      </c>
      <c r="U24" s="86" t="s">
        <v>235</v>
      </c>
    </row>
    <row r="25" customFormat="false" ht="57.45" hidden="false" customHeight="false" outlineLevel="0" collapsed="false">
      <c r="A25" s="85" t="s">
        <v>11</v>
      </c>
      <c r="B25" s="86" t="s">
        <v>12</v>
      </c>
      <c r="C25" s="86" t="s">
        <v>236</v>
      </c>
      <c r="D25" s="86" t="s">
        <v>210</v>
      </c>
      <c r="E25" s="86" t="s">
        <v>211</v>
      </c>
      <c r="F25" s="86" t="s">
        <v>237</v>
      </c>
      <c r="G25" s="86" t="s">
        <v>75</v>
      </c>
      <c r="H25" s="86" t="s">
        <v>238</v>
      </c>
      <c r="I25" s="86" t="s">
        <v>181</v>
      </c>
      <c r="J25" s="86" t="s">
        <v>78</v>
      </c>
      <c r="K25" s="86" t="s">
        <v>79</v>
      </c>
      <c r="L25" s="86" t="s">
        <v>173</v>
      </c>
      <c r="M25" s="86"/>
      <c r="N25" s="86" t="s">
        <v>239</v>
      </c>
      <c r="O25" s="86" t="s">
        <v>240</v>
      </c>
      <c r="P25" s="86" t="s">
        <v>189</v>
      </c>
      <c r="Q25" s="86" t="s">
        <v>83</v>
      </c>
      <c r="R25" s="86" t="s">
        <v>218</v>
      </c>
      <c r="S25" s="86" t="s">
        <v>121</v>
      </c>
      <c r="T25" s="86" t="s">
        <v>241</v>
      </c>
      <c r="U25" s="86" t="s">
        <v>235</v>
      </c>
    </row>
    <row r="26" customFormat="false" ht="91" hidden="false" customHeight="false" outlineLevel="0" collapsed="false">
      <c r="A26" s="85" t="s">
        <v>11</v>
      </c>
      <c r="B26" s="86" t="s">
        <v>12</v>
      </c>
      <c r="C26" s="86" t="s">
        <v>242</v>
      </c>
      <c r="D26" s="86" t="s">
        <v>210</v>
      </c>
      <c r="E26" s="86" t="s">
        <v>211</v>
      </c>
      <c r="F26" s="86" t="s">
        <v>243</v>
      </c>
      <c r="G26" s="86" t="s">
        <v>75</v>
      </c>
      <c r="H26" s="86" t="s">
        <v>244</v>
      </c>
      <c r="I26" s="86" t="s">
        <v>186</v>
      </c>
      <c r="J26" s="86" t="s">
        <v>78</v>
      </c>
      <c r="K26" s="86" t="s">
        <v>79</v>
      </c>
      <c r="L26" s="86" t="s">
        <v>80</v>
      </c>
      <c r="M26" s="86"/>
      <c r="N26" s="86" t="s">
        <v>245</v>
      </c>
      <c r="O26" s="86" t="s">
        <v>246</v>
      </c>
      <c r="P26" s="86" t="s">
        <v>189</v>
      </c>
      <c r="Q26" s="86" t="s">
        <v>247</v>
      </c>
      <c r="R26" s="86" t="s">
        <v>218</v>
      </c>
      <c r="S26" s="86" t="s">
        <v>121</v>
      </c>
      <c r="T26" s="86" t="s">
        <v>248</v>
      </c>
      <c r="U26" s="86" t="s">
        <v>249</v>
      </c>
    </row>
    <row r="27" customFormat="false" ht="124.6" hidden="false" customHeight="false" outlineLevel="0" collapsed="false">
      <c r="A27" s="85" t="s">
        <v>11</v>
      </c>
      <c r="B27" s="86" t="s">
        <v>12</v>
      </c>
      <c r="C27" s="86" t="s">
        <v>250</v>
      </c>
      <c r="D27" s="86" t="s">
        <v>210</v>
      </c>
      <c r="E27" s="86" t="s">
        <v>211</v>
      </c>
      <c r="F27" s="86" t="s">
        <v>251</v>
      </c>
      <c r="G27" s="86" t="s">
        <v>75</v>
      </c>
      <c r="H27" s="86" t="s">
        <v>252</v>
      </c>
      <c r="I27" s="86" t="s">
        <v>253</v>
      </c>
      <c r="J27" s="86" t="s">
        <v>78</v>
      </c>
      <c r="K27" s="86" t="s">
        <v>79</v>
      </c>
      <c r="L27" s="86" t="s">
        <v>80</v>
      </c>
      <c r="M27" s="86" t="s">
        <v>254</v>
      </c>
      <c r="N27" s="86" t="s">
        <v>255</v>
      </c>
      <c r="O27" s="86" t="s">
        <v>256</v>
      </c>
      <c r="P27" s="86" t="s">
        <v>189</v>
      </c>
      <c r="Q27" s="86" t="s">
        <v>83</v>
      </c>
      <c r="R27" s="86" t="s">
        <v>218</v>
      </c>
      <c r="S27" s="86" t="s">
        <v>95</v>
      </c>
      <c r="T27" s="86" t="s">
        <v>257</v>
      </c>
      <c r="U27" s="86" t="s">
        <v>258</v>
      </c>
    </row>
    <row r="28" customFormat="false" ht="124.6" hidden="false" customHeight="false" outlineLevel="0" collapsed="false">
      <c r="A28" s="85" t="s">
        <v>11</v>
      </c>
      <c r="B28" s="86" t="s">
        <v>12</v>
      </c>
      <c r="C28" s="86" t="s">
        <v>250</v>
      </c>
      <c r="D28" s="86" t="s">
        <v>210</v>
      </c>
      <c r="E28" s="86" t="s">
        <v>211</v>
      </c>
      <c r="F28" s="86" t="s">
        <v>259</v>
      </c>
      <c r="G28" s="86" t="s">
        <v>75</v>
      </c>
      <c r="H28" s="86" t="s">
        <v>260</v>
      </c>
      <c r="I28" s="86" t="s">
        <v>261</v>
      </c>
      <c r="J28" s="86" t="s">
        <v>262</v>
      </c>
      <c r="K28" s="86" t="s">
        <v>79</v>
      </c>
      <c r="L28" s="86" t="s">
        <v>80</v>
      </c>
      <c r="M28" s="86" t="s">
        <v>254</v>
      </c>
      <c r="N28" s="86" t="s">
        <v>255</v>
      </c>
      <c r="O28" s="86" t="s">
        <v>256</v>
      </c>
      <c r="P28" s="86" t="s">
        <v>189</v>
      </c>
      <c r="Q28" s="86" t="s">
        <v>83</v>
      </c>
      <c r="R28" s="86" t="s">
        <v>218</v>
      </c>
      <c r="S28" s="86" t="s">
        <v>121</v>
      </c>
      <c r="T28" s="86" t="s">
        <v>263</v>
      </c>
      <c r="U28" s="86" t="s">
        <v>258</v>
      </c>
    </row>
    <row r="29" customFormat="false" ht="135.8" hidden="false" customHeight="false" outlineLevel="0" collapsed="false">
      <c r="A29" s="85" t="s">
        <v>11</v>
      </c>
      <c r="B29" s="86" t="s">
        <v>12</v>
      </c>
      <c r="C29" s="86" t="s">
        <v>264</v>
      </c>
      <c r="D29" s="86" t="s">
        <v>210</v>
      </c>
      <c r="E29" s="86" t="s">
        <v>211</v>
      </c>
      <c r="F29" s="86" t="s">
        <v>265</v>
      </c>
      <c r="G29" s="86" t="s">
        <v>75</v>
      </c>
      <c r="H29" s="86" t="s">
        <v>266</v>
      </c>
      <c r="I29" s="86" t="s">
        <v>267</v>
      </c>
      <c r="J29" s="86" t="s">
        <v>268</v>
      </c>
      <c r="K29" s="86" t="s">
        <v>79</v>
      </c>
      <c r="L29" s="86" t="s">
        <v>116</v>
      </c>
      <c r="M29" s="86" t="s">
        <v>269</v>
      </c>
      <c r="N29" s="86" t="s">
        <v>239</v>
      </c>
      <c r="O29" s="86" t="s">
        <v>270</v>
      </c>
      <c r="P29" s="86" t="s">
        <v>189</v>
      </c>
      <c r="Q29" s="86" t="s">
        <v>83</v>
      </c>
      <c r="R29" s="86" t="s">
        <v>218</v>
      </c>
      <c r="S29" s="86" t="s">
        <v>95</v>
      </c>
      <c r="T29" s="86" t="s">
        <v>271</v>
      </c>
      <c r="U29" s="86" t="s">
        <v>272</v>
      </c>
    </row>
    <row r="30" customFormat="false" ht="79.85" hidden="false" customHeight="false" outlineLevel="0" collapsed="false">
      <c r="A30" s="87" t="s">
        <v>13</v>
      </c>
      <c r="B30" s="88" t="s">
        <v>14</v>
      </c>
      <c r="C30" s="88" t="s">
        <v>273</v>
      </c>
      <c r="D30" s="88" t="s">
        <v>274</v>
      </c>
      <c r="E30" s="88" t="s">
        <v>275</v>
      </c>
      <c r="F30" s="88" t="s">
        <v>276</v>
      </c>
      <c r="G30" s="88" t="s">
        <v>75</v>
      </c>
      <c r="H30" s="88" t="s">
        <v>277</v>
      </c>
      <c r="I30" s="88" t="s">
        <v>91</v>
      </c>
      <c r="J30" s="88" t="s">
        <v>78</v>
      </c>
      <c r="K30" s="88" t="s">
        <v>79</v>
      </c>
      <c r="L30" s="88" t="s">
        <v>80</v>
      </c>
      <c r="M30" s="88"/>
      <c r="N30" s="88" t="s">
        <v>278</v>
      </c>
      <c r="O30" s="88" t="s">
        <v>279</v>
      </c>
      <c r="P30" s="88" t="s">
        <v>189</v>
      </c>
      <c r="Q30" s="88" t="s">
        <v>83</v>
      </c>
      <c r="R30" s="88" t="s">
        <v>218</v>
      </c>
      <c r="S30" s="88" t="s">
        <v>121</v>
      </c>
      <c r="T30" s="88" t="s">
        <v>280</v>
      </c>
      <c r="U30" s="88" t="s">
        <v>249</v>
      </c>
    </row>
    <row r="31" customFormat="false" ht="79.85" hidden="false" customHeight="false" outlineLevel="0" collapsed="false">
      <c r="A31" s="87" t="s">
        <v>13</v>
      </c>
      <c r="B31" s="88" t="s">
        <v>14</v>
      </c>
      <c r="C31" s="88" t="s">
        <v>273</v>
      </c>
      <c r="D31" s="88" t="s">
        <v>274</v>
      </c>
      <c r="E31" s="88" t="s">
        <v>275</v>
      </c>
      <c r="F31" s="88" t="s">
        <v>281</v>
      </c>
      <c r="G31" s="88" t="s">
        <v>75</v>
      </c>
      <c r="H31" s="88" t="s">
        <v>282</v>
      </c>
      <c r="I31" s="88" t="s">
        <v>186</v>
      </c>
      <c r="J31" s="88" t="s">
        <v>78</v>
      </c>
      <c r="K31" s="88" t="s">
        <v>79</v>
      </c>
      <c r="L31" s="88" t="s">
        <v>173</v>
      </c>
      <c r="M31" s="88"/>
      <c r="N31" s="88" t="s">
        <v>278</v>
      </c>
      <c r="O31" s="88" t="s">
        <v>279</v>
      </c>
      <c r="P31" s="88" t="s">
        <v>189</v>
      </c>
      <c r="Q31" s="88" t="s">
        <v>83</v>
      </c>
      <c r="R31" s="88" t="s">
        <v>218</v>
      </c>
      <c r="S31" s="88" t="s">
        <v>121</v>
      </c>
      <c r="T31" s="88" t="s">
        <v>283</v>
      </c>
      <c r="U31" s="88" t="s">
        <v>249</v>
      </c>
    </row>
    <row r="32" customFormat="false" ht="57.45" hidden="false" customHeight="false" outlineLevel="0" collapsed="false">
      <c r="A32" s="87" t="s">
        <v>13</v>
      </c>
      <c r="B32" s="88" t="s">
        <v>14</v>
      </c>
      <c r="C32" s="88" t="s">
        <v>284</v>
      </c>
      <c r="D32" s="88" t="s">
        <v>274</v>
      </c>
      <c r="E32" s="88" t="s">
        <v>275</v>
      </c>
      <c r="F32" s="88" t="s">
        <v>285</v>
      </c>
      <c r="G32" s="88" t="s">
        <v>75</v>
      </c>
      <c r="H32" s="88" t="s">
        <v>286</v>
      </c>
      <c r="I32" s="88" t="s">
        <v>287</v>
      </c>
      <c r="J32" s="88" t="s">
        <v>78</v>
      </c>
      <c r="K32" s="88" t="s">
        <v>79</v>
      </c>
      <c r="L32" s="88" t="s">
        <v>80</v>
      </c>
      <c r="M32" s="88" t="s">
        <v>288</v>
      </c>
      <c r="N32" s="88" t="s">
        <v>289</v>
      </c>
      <c r="O32" s="88" t="s">
        <v>290</v>
      </c>
      <c r="P32" s="88" t="s">
        <v>189</v>
      </c>
      <c r="Q32" s="88" t="s">
        <v>83</v>
      </c>
      <c r="R32" s="88" t="s">
        <v>218</v>
      </c>
      <c r="S32" s="88" t="s">
        <v>121</v>
      </c>
      <c r="T32" s="88" t="s">
        <v>291</v>
      </c>
      <c r="U32" s="88" t="s">
        <v>191</v>
      </c>
    </row>
    <row r="33" customFormat="false" ht="57.45" hidden="false" customHeight="false" outlineLevel="0" collapsed="false">
      <c r="A33" s="87" t="s">
        <v>13</v>
      </c>
      <c r="B33" s="88" t="s">
        <v>14</v>
      </c>
      <c r="C33" s="88" t="s">
        <v>292</v>
      </c>
      <c r="D33" s="88" t="s">
        <v>274</v>
      </c>
      <c r="E33" s="88" t="s">
        <v>275</v>
      </c>
      <c r="F33" s="88" t="s">
        <v>293</v>
      </c>
      <c r="G33" s="88" t="s">
        <v>75</v>
      </c>
      <c r="H33" s="88" t="s">
        <v>294</v>
      </c>
      <c r="I33" s="88" t="s">
        <v>295</v>
      </c>
      <c r="J33" s="88" t="s">
        <v>78</v>
      </c>
      <c r="K33" s="88" t="s">
        <v>79</v>
      </c>
      <c r="L33" s="88" t="s">
        <v>80</v>
      </c>
      <c r="M33" s="88" t="s">
        <v>296</v>
      </c>
      <c r="N33" s="88" t="s">
        <v>297</v>
      </c>
      <c r="O33" s="88" t="s">
        <v>298</v>
      </c>
      <c r="P33" s="88" t="s">
        <v>217</v>
      </c>
      <c r="Q33" s="88" t="s">
        <v>83</v>
      </c>
      <c r="R33" s="88" t="s">
        <v>218</v>
      </c>
      <c r="S33" s="88" t="s">
        <v>121</v>
      </c>
      <c r="T33" s="88" t="s">
        <v>299</v>
      </c>
      <c r="U33" s="88" t="s">
        <v>300</v>
      </c>
    </row>
    <row r="34" customFormat="false" ht="57.45" hidden="false" customHeight="false" outlineLevel="0" collapsed="false">
      <c r="A34" s="87" t="s">
        <v>13</v>
      </c>
      <c r="B34" s="88" t="s">
        <v>14</v>
      </c>
      <c r="C34" s="88" t="s">
        <v>292</v>
      </c>
      <c r="D34" s="88" t="s">
        <v>274</v>
      </c>
      <c r="E34" s="88" t="s">
        <v>275</v>
      </c>
      <c r="F34" s="88" t="s">
        <v>301</v>
      </c>
      <c r="G34" s="88" t="s">
        <v>75</v>
      </c>
      <c r="H34" s="88" t="s">
        <v>302</v>
      </c>
      <c r="I34" s="88" t="s">
        <v>303</v>
      </c>
      <c r="J34" s="88" t="s">
        <v>78</v>
      </c>
      <c r="K34" s="88" t="s">
        <v>79</v>
      </c>
      <c r="L34" s="88" t="s">
        <v>80</v>
      </c>
      <c r="M34" s="88" t="s">
        <v>296</v>
      </c>
      <c r="N34" s="88" t="s">
        <v>297</v>
      </c>
      <c r="O34" s="88" t="s">
        <v>298</v>
      </c>
      <c r="P34" s="88" t="s">
        <v>217</v>
      </c>
      <c r="Q34" s="88" t="s">
        <v>83</v>
      </c>
      <c r="R34" s="88" t="s">
        <v>218</v>
      </c>
      <c r="S34" s="88" t="s">
        <v>121</v>
      </c>
      <c r="T34" s="88" t="s">
        <v>304</v>
      </c>
      <c r="U34" s="88" t="s">
        <v>300</v>
      </c>
    </row>
    <row r="35" customFormat="false" ht="57.45" hidden="false" customHeight="false" outlineLevel="0" collapsed="false">
      <c r="A35" s="87" t="s">
        <v>13</v>
      </c>
      <c r="B35" s="88" t="s">
        <v>14</v>
      </c>
      <c r="C35" s="88" t="s">
        <v>305</v>
      </c>
      <c r="D35" s="88" t="s">
        <v>274</v>
      </c>
      <c r="E35" s="88" t="s">
        <v>275</v>
      </c>
      <c r="F35" s="88" t="s">
        <v>306</v>
      </c>
      <c r="G35" s="88" t="s">
        <v>75</v>
      </c>
      <c r="H35" s="88" t="s">
        <v>307</v>
      </c>
      <c r="I35" s="88" t="s">
        <v>295</v>
      </c>
      <c r="J35" s="88" t="s">
        <v>78</v>
      </c>
      <c r="K35" s="88" t="s">
        <v>79</v>
      </c>
      <c r="L35" s="88" t="s">
        <v>173</v>
      </c>
      <c r="M35" s="88" t="s">
        <v>308</v>
      </c>
      <c r="N35" s="88" t="s">
        <v>297</v>
      </c>
      <c r="O35" s="88" t="s">
        <v>298</v>
      </c>
      <c r="P35" s="88" t="s">
        <v>217</v>
      </c>
      <c r="Q35" s="88" t="s">
        <v>83</v>
      </c>
      <c r="R35" s="88" t="s">
        <v>218</v>
      </c>
      <c r="S35" s="88" t="s">
        <v>121</v>
      </c>
      <c r="T35" s="88" t="s">
        <v>309</v>
      </c>
      <c r="U35" s="88" t="s">
        <v>300</v>
      </c>
    </row>
    <row r="36" customFormat="false" ht="57.45" hidden="false" customHeight="false" outlineLevel="0" collapsed="false">
      <c r="A36" s="87" t="s">
        <v>13</v>
      </c>
      <c r="B36" s="88" t="s">
        <v>14</v>
      </c>
      <c r="C36" s="88" t="s">
        <v>310</v>
      </c>
      <c r="D36" s="88" t="s">
        <v>274</v>
      </c>
      <c r="E36" s="88" t="s">
        <v>275</v>
      </c>
      <c r="F36" s="88" t="s">
        <v>311</v>
      </c>
      <c r="G36" s="88" t="s">
        <v>75</v>
      </c>
      <c r="H36" s="88" t="s">
        <v>312</v>
      </c>
      <c r="I36" s="88" t="s">
        <v>148</v>
      </c>
      <c r="J36" s="88" t="s">
        <v>78</v>
      </c>
      <c r="K36" s="88" t="s">
        <v>79</v>
      </c>
      <c r="L36" s="88" t="s">
        <v>173</v>
      </c>
      <c r="M36" s="88" t="s">
        <v>313</v>
      </c>
      <c r="N36" s="88" t="s">
        <v>289</v>
      </c>
      <c r="O36" s="88" t="s">
        <v>314</v>
      </c>
      <c r="P36" s="88" t="s">
        <v>217</v>
      </c>
      <c r="Q36" s="88" t="s">
        <v>83</v>
      </c>
      <c r="R36" s="88" t="s">
        <v>218</v>
      </c>
      <c r="S36" s="88" t="s">
        <v>121</v>
      </c>
      <c r="T36" s="88" t="s">
        <v>315</v>
      </c>
      <c r="U36" s="88" t="s">
        <v>316</v>
      </c>
    </row>
    <row r="37" customFormat="false" ht="57.45" hidden="false" customHeight="false" outlineLevel="0" collapsed="false">
      <c r="A37" s="89" t="s">
        <v>15</v>
      </c>
      <c r="B37" s="90" t="s">
        <v>16</v>
      </c>
      <c r="C37" s="90" t="s">
        <v>317</v>
      </c>
      <c r="D37" s="90" t="s">
        <v>17</v>
      </c>
      <c r="E37" s="90"/>
      <c r="F37" s="90" t="s">
        <v>318</v>
      </c>
      <c r="G37" s="90" t="s">
        <v>75</v>
      </c>
      <c r="H37" s="90" t="s">
        <v>319</v>
      </c>
      <c r="I37" s="90" t="s">
        <v>320</v>
      </c>
      <c r="J37" s="90" t="s">
        <v>78</v>
      </c>
      <c r="K37" s="90" t="s">
        <v>79</v>
      </c>
      <c r="L37" s="90" t="s">
        <v>80</v>
      </c>
      <c r="M37" s="90" t="s">
        <v>321</v>
      </c>
      <c r="N37" s="90"/>
      <c r="O37" s="90" t="s">
        <v>82</v>
      </c>
      <c r="P37" s="90" t="s">
        <v>78</v>
      </c>
      <c r="Q37" s="90" t="s">
        <v>83</v>
      </c>
      <c r="R37" s="90" t="s">
        <v>218</v>
      </c>
      <c r="S37" s="90" t="s">
        <v>85</v>
      </c>
      <c r="T37" s="90" t="s">
        <v>322</v>
      </c>
      <c r="U37" s="90" t="s">
        <v>97</v>
      </c>
    </row>
    <row r="38" customFormat="false" ht="57.45" hidden="false" customHeight="false" outlineLevel="0" collapsed="false">
      <c r="A38" s="89" t="s">
        <v>15</v>
      </c>
      <c r="B38" s="90" t="s">
        <v>16</v>
      </c>
      <c r="C38" s="90" t="s">
        <v>317</v>
      </c>
      <c r="D38" s="90" t="s">
        <v>17</v>
      </c>
      <c r="E38" s="90"/>
      <c r="F38" s="90" t="s">
        <v>323</v>
      </c>
      <c r="G38" s="90" t="s">
        <v>75</v>
      </c>
      <c r="H38" s="90" t="s">
        <v>324</v>
      </c>
      <c r="I38" s="90" t="s">
        <v>181</v>
      </c>
      <c r="J38" s="90" t="s">
        <v>78</v>
      </c>
      <c r="K38" s="90" t="s">
        <v>79</v>
      </c>
      <c r="L38" s="90" t="s">
        <v>80</v>
      </c>
      <c r="M38" s="90" t="s">
        <v>321</v>
      </c>
      <c r="N38" s="90"/>
      <c r="O38" s="90" t="s">
        <v>82</v>
      </c>
      <c r="P38" s="90" t="s">
        <v>78</v>
      </c>
      <c r="Q38" s="90" t="s">
        <v>83</v>
      </c>
      <c r="R38" s="90" t="s">
        <v>218</v>
      </c>
      <c r="S38" s="90" t="s">
        <v>85</v>
      </c>
      <c r="T38" s="90" t="s">
        <v>325</v>
      </c>
      <c r="U38" s="90" t="s">
        <v>97</v>
      </c>
    </row>
    <row r="39" customFormat="false" ht="57.45" hidden="false" customHeight="false" outlineLevel="0" collapsed="false">
      <c r="A39" s="91" t="s">
        <v>18</v>
      </c>
      <c r="B39" s="92" t="s">
        <v>19</v>
      </c>
      <c r="C39" s="92" t="s">
        <v>326</v>
      </c>
      <c r="D39" s="92" t="s">
        <v>17</v>
      </c>
      <c r="E39" s="92"/>
      <c r="F39" s="92" t="s">
        <v>327</v>
      </c>
      <c r="G39" s="92" t="s">
        <v>75</v>
      </c>
      <c r="H39" s="92" t="s">
        <v>328</v>
      </c>
      <c r="I39" s="92" t="s">
        <v>329</v>
      </c>
      <c r="J39" s="92" t="s">
        <v>78</v>
      </c>
      <c r="K39" s="92" t="s">
        <v>79</v>
      </c>
      <c r="L39" s="92" t="s">
        <v>80</v>
      </c>
      <c r="M39" s="92" t="s">
        <v>330</v>
      </c>
      <c r="N39" s="92" t="s">
        <v>118</v>
      </c>
      <c r="O39" s="92" t="s">
        <v>331</v>
      </c>
      <c r="P39" s="92" t="s">
        <v>189</v>
      </c>
      <c r="Q39" s="92" t="s">
        <v>83</v>
      </c>
      <c r="R39" s="92" t="s">
        <v>218</v>
      </c>
      <c r="S39" s="92" t="s">
        <v>121</v>
      </c>
      <c r="T39" s="92" t="s">
        <v>332</v>
      </c>
      <c r="U39" s="92" t="s">
        <v>191</v>
      </c>
    </row>
    <row r="40" customFormat="false" ht="57.45" hidden="false" customHeight="false" outlineLevel="0" collapsed="false">
      <c r="A40" s="91" t="s">
        <v>18</v>
      </c>
      <c r="B40" s="92" t="s">
        <v>19</v>
      </c>
      <c r="C40" s="92" t="s">
        <v>333</v>
      </c>
      <c r="D40" s="92" t="s">
        <v>17</v>
      </c>
      <c r="E40" s="92"/>
      <c r="F40" s="92" t="s">
        <v>334</v>
      </c>
      <c r="G40" s="92" t="s">
        <v>75</v>
      </c>
      <c r="H40" s="92" t="s">
        <v>335</v>
      </c>
      <c r="I40" s="92" t="s">
        <v>336</v>
      </c>
      <c r="J40" s="92" t="s">
        <v>78</v>
      </c>
      <c r="K40" s="92" t="s">
        <v>79</v>
      </c>
      <c r="L40" s="92" t="s">
        <v>173</v>
      </c>
      <c r="M40" s="92" t="s">
        <v>337</v>
      </c>
      <c r="N40" s="92"/>
      <c r="O40" s="92" t="s">
        <v>82</v>
      </c>
      <c r="P40" s="92" t="s">
        <v>78</v>
      </c>
      <c r="Q40" s="92" t="s">
        <v>83</v>
      </c>
      <c r="R40" s="92" t="s">
        <v>218</v>
      </c>
      <c r="S40" s="92" t="s">
        <v>85</v>
      </c>
      <c r="T40" s="92" t="s">
        <v>338</v>
      </c>
      <c r="U40" s="92" t="s">
        <v>97</v>
      </c>
    </row>
    <row r="41" customFormat="false" ht="79.85" hidden="false" customHeight="false" outlineLevel="0" collapsed="false">
      <c r="A41" s="93" t="s">
        <v>20</v>
      </c>
      <c r="B41" s="94" t="s">
        <v>21</v>
      </c>
      <c r="C41" s="94" t="s">
        <v>339</v>
      </c>
      <c r="D41" s="94" t="s">
        <v>340</v>
      </c>
      <c r="E41" s="94" t="s">
        <v>341</v>
      </c>
      <c r="F41" s="94" t="s">
        <v>342</v>
      </c>
      <c r="G41" s="94" t="s">
        <v>75</v>
      </c>
      <c r="H41" s="94" t="s">
        <v>343</v>
      </c>
      <c r="I41" s="94" t="s">
        <v>181</v>
      </c>
      <c r="J41" s="94" t="s">
        <v>78</v>
      </c>
      <c r="K41" s="94" t="s">
        <v>79</v>
      </c>
      <c r="L41" s="94" t="s">
        <v>80</v>
      </c>
      <c r="M41" s="94"/>
      <c r="N41" s="94" t="s">
        <v>344</v>
      </c>
      <c r="O41" s="94" t="s">
        <v>345</v>
      </c>
      <c r="P41" s="94" t="s">
        <v>346</v>
      </c>
      <c r="Q41" s="94" t="s">
        <v>347</v>
      </c>
      <c r="R41" s="94" t="s">
        <v>218</v>
      </c>
      <c r="S41" s="94" t="s">
        <v>95</v>
      </c>
      <c r="T41" s="94" t="s">
        <v>348</v>
      </c>
      <c r="U41" s="94" t="s">
        <v>220</v>
      </c>
    </row>
    <row r="42" customFormat="false" ht="57.45" hidden="false" customHeight="false" outlineLevel="0" collapsed="false">
      <c r="A42" s="93" t="s">
        <v>20</v>
      </c>
      <c r="B42" s="94" t="s">
        <v>21</v>
      </c>
      <c r="C42" s="94" t="s">
        <v>349</v>
      </c>
      <c r="D42" s="94" t="s">
        <v>340</v>
      </c>
      <c r="E42" s="94" t="s">
        <v>341</v>
      </c>
      <c r="F42" s="94" t="s">
        <v>350</v>
      </c>
      <c r="G42" s="94" t="s">
        <v>75</v>
      </c>
      <c r="H42" s="94" t="s">
        <v>351</v>
      </c>
      <c r="I42" s="94" t="s">
        <v>77</v>
      </c>
      <c r="J42" s="94" t="s">
        <v>78</v>
      </c>
      <c r="K42" s="94" t="s">
        <v>79</v>
      </c>
      <c r="L42" s="94" t="s">
        <v>173</v>
      </c>
      <c r="M42" s="94" t="s">
        <v>352</v>
      </c>
      <c r="N42" s="94" t="s">
        <v>353</v>
      </c>
      <c r="O42" s="94" t="s">
        <v>354</v>
      </c>
      <c r="P42" s="94" t="s">
        <v>189</v>
      </c>
      <c r="Q42" s="94" t="s">
        <v>83</v>
      </c>
      <c r="R42" s="94" t="s">
        <v>218</v>
      </c>
      <c r="S42" s="94" t="s">
        <v>121</v>
      </c>
      <c r="T42" s="94" t="s">
        <v>355</v>
      </c>
      <c r="U42" s="94" t="s">
        <v>356</v>
      </c>
    </row>
    <row r="43" customFormat="false" ht="46.25" hidden="false" customHeight="false" outlineLevel="0" collapsed="false">
      <c r="A43" s="93" t="s">
        <v>20</v>
      </c>
      <c r="B43" s="94" t="s">
        <v>21</v>
      </c>
      <c r="C43" s="94" t="s">
        <v>357</v>
      </c>
      <c r="D43" s="94" t="s">
        <v>340</v>
      </c>
      <c r="E43" s="94" t="s">
        <v>341</v>
      </c>
      <c r="F43" s="94" t="s">
        <v>358</v>
      </c>
      <c r="G43" s="94" t="s">
        <v>75</v>
      </c>
      <c r="H43" s="94" t="s">
        <v>359</v>
      </c>
      <c r="I43" s="94" t="s">
        <v>78</v>
      </c>
      <c r="J43" s="94" t="s">
        <v>78</v>
      </c>
      <c r="K43" s="94" t="s">
        <v>78</v>
      </c>
      <c r="L43" s="94" t="s">
        <v>78</v>
      </c>
      <c r="M43" s="94" t="s">
        <v>360</v>
      </c>
      <c r="N43" s="94" t="s">
        <v>353</v>
      </c>
      <c r="O43" s="94" t="s">
        <v>361</v>
      </c>
      <c r="P43" s="94" t="s">
        <v>189</v>
      </c>
      <c r="Q43" s="94" t="s">
        <v>83</v>
      </c>
      <c r="R43" s="94" t="s">
        <v>218</v>
      </c>
      <c r="S43" s="94" t="s">
        <v>95</v>
      </c>
      <c r="T43" s="94" t="s">
        <v>200</v>
      </c>
      <c r="U43" s="94" t="s">
        <v>201</v>
      </c>
    </row>
    <row r="44" customFormat="false" ht="57.45" hidden="false" customHeight="false" outlineLevel="0" collapsed="false">
      <c r="A44" s="95" t="s">
        <v>22</v>
      </c>
      <c r="B44" s="96" t="s">
        <v>23</v>
      </c>
      <c r="C44" s="96" t="s">
        <v>362</v>
      </c>
      <c r="D44" s="96" t="s">
        <v>363</v>
      </c>
      <c r="E44" s="96" t="s">
        <v>364</v>
      </c>
      <c r="F44" s="96" t="s">
        <v>365</v>
      </c>
      <c r="G44" s="96" t="s">
        <v>75</v>
      </c>
      <c r="H44" s="96" t="s">
        <v>366</v>
      </c>
      <c r="I44" s="96" t="s">
        <v>367</v>
      </c>
      <c r="J44" s="96" t="s">
        <v>78</v>
      </c>
      <c r="K44" s="96" t="s">
        <v>79</v>
      </c>
      <c r="L44" s="96" t="s">
        <v>80</v>
      </c>
      <c r="M44" s="96" t="s">
        <v>368</v>
      </c>
      <c r="N44" s="96" t="s">
        <v>118</v>
      </c>
      <c r="O44" s="96" t="s">
        <v>331</v>
      </c>
      <c r="P44" s="96" t="s">
        <v>189</v>
      </c>
      <c r="Q44" s="96" t="s">
        <v>83</v>
      </c>
      <c r="R44" s="96" t="s">
        <v>218</v>
      </c>
      <c r="S44" s="96" t="s">
        <v>121</v>
      </c>
      <c r="T44" s="96" t="s">
        <v>369</v>
      </c>
      <c r="U44" s="96" t="s">
        <v>191</v>
      </c>
    </row>
    <row r="45" customFormat="false" ht="57.45" hidden="false" customHeight="false" outlineLevel="0" collapsed="false">
      <c r="A45" s="95" t="s">
        <v>22</v>
      </c>
      <c r="B45" s="96" t="s">
        <v>23</v>
      </c>
      <c r="C45" s="96" t="s">
        <v>370</v>
      </c>
      <c r="D45" s="96" t="s">
        <v>363</v>
      </c>
      <c r="E45" s="96" t="s">
        <v>364</v>
      </c>
      <c r="F45" s="96" t="s">
        <v>371</v>
      </c>
      <c r="G45" s="96" t="s">
        <v>75</v>
      </c>
      <c r="H45" s="96" t="s">
        <v>372</v>
      </c>
      <c r="I45" s="96" t="s">
        <v>373</v>
      </c>
      <c r="J45" s="96" t="s">
        <v>374</v>
      </c>
      <c r="K45" s="96" t="s">
        <v>79</v>
      </c>
      <c r="L45" s="96" t="s">
        <v>375</v>
      </c>
      <c r="M45" s="96" t="s">
        <v>376</v>
      </c>
      <c r="N45" s="96" t="s">
        <v>118</v>
      </c>
      <c r="O45" s="96" t="s">
        <v>377</v>
      </c>
      <c r="P45" s="96" t="s">
        <v>189</v>
      </c>
      <c r="Q45" s="96" t="s">
        <v>378</v>
      </c>
      <c r="R45" s="96" t="s">
        <v>218</v>
      </c>
      <c r="S45" s="96" t="s">
        <v>121</v>
      </c>
      <c r="T45" s="96" t="s">
        <v>379</v>
      </c>
      <c r="U45" s="96" t="s">
        <v>356</v>
      </c>
    </row>
    <row r="46" customFormat="false" ht="57.45" hidden="false" customHeight="false" outlineLevel="0" collapsed="false">
      <c r="A46" s="95" t="s">
        <v>22</v>
      </c>
      <c r="B46" s="96" t="s">
        <v>23</v>
      </c>
      <c r="C46" s="96" t="s">
        <v>380</v>
      </c>
      <c r="D46" s="96" t="s">
        <v>363</v>
      </c>
      <c r="E46" s="96" t="s">
        <v>364</v>
      </c>
      <c r="F46" s="96" t="s">
        <v>381</v>
      </c>
      <c r="G46" s="96" t="s">
        <v>75</v>
      </c>
      <c r="H46" s="96" t="s">
        <v>382</v>
      </c>
      <c r="I46" s="96" t="s">
        <v>383</v>
      </c>
      <c r="J46" s="96" t="s">
        <v>78</v>
      </c>
      <c r="K46" s="96" t="s">
        <v>79</v>
      </c>
      <c r="L46" s="96" t="s">
        <v>173</v>
      </c>
      <c r="M46" s="96" t="s">
        <v>384</v>
      </c>
      <c r="N46" s="96"/>
      <c r="O46" s="96" t="s">
        <v>385</v>
      </c>
      <c r="P46" s="96" t="s">
        <v>189</v>
      </c>
      <c r="Q46" s="96" t="s">
        <v>83</v>
      </c>
      <c r="R46" s="96" t="s">
        <v>218</v>
      </c>
      <c r="S46" s="96" t="s">
        <v>121</v>
      </c>
      <c r="T46" s="96" t="s">
        <v>386</v>
      </c>
      <c r="U46" s="96" t="s">
        <v>191</v>
      </c>
    </row>
    <row r="47" customFormat="false" ht="57.45" hidden="false" customHeight="false" outlineLevel="0" collapsed="false">
      <c r="A47" s="95" t="s">
        <v>22</v>
      </c>
      <c r="B47" s="96" t="s">
        <v>23</v>
      </c>
      <c r="C47" s="96" t="s">
        <v>380</v>
      </c>
      <c r="D47" s="96" t="s">
        <v>363</v>
      </c>
      <c r="E47" s="96" t="s">
        <v>364</v>
      </c>
      <c r="F47" s="96" t="s">
        <v>387</v>
      </c>
      <c r="G47" s="96" t="s">
        <v>75</v>
      </c>
      <c r="H47" s="96" t="s">
        <v>388</v>
      </c>
      <c r="I47" s="96" t="s">
        <v>91</v>
      </c>
      <c r="J47" s="96" t="s">
        <v>78</v>
      </c>
      <c r="K47" s="96" t="s">
        <v>79</v>
      </c>
      <c r="L47" s="96" t="s">
        <v>80</v>
      </c>
      <c r="M47" s="96" t="s">
        <v>384</v>
      </c>
      <c r="N47" s="96"/>
      <c r="O47" s="96" t="s">
        <v>385</v>
      </c>
      <c r="P47" s="96" t="s">
        <v>189</v>
      </c>
      <c r="Q47" s="96" t="s">
        <v>83</v>
      </c>
      <c r="R47" s="96" t="s">
        <v>218</v>
      </c>
      <c r="S47" s="96" t="s">
        <v>121</v>
      </c>
      <c r="T47" s="96" t="s">
        <v>389</v>
      </c>
      <c r="U47" s="96" t="s">
        <v>191</v>
      </c>
    </row>
    <row r="48" customFormat="false" ht="57.45" hidden="false" customHeight="false" outlineLevel="0" collapsed="false">
      <c r="A48" s="97" t="s">
        <v>24</v>
      </c>
      <c r="B48" s="98" t="s">
        <v>25</v>
      </c>
      <c r="C48" s="98" t="s">
        <v>390</v>
      </c>
      <c r="D48" s="98" t="s">
        <v>391</v>
      </c>
      <c r="E48" s="98" t="s">
        <v>392</v>
      </c>
      <c r="F48" s="98" t="s">
        <v>393</v>
      </c>
      <c r="G48" s="98" t="s">
        <v>75</v>
      </c>
      <c r="H48" s="98" t="s">
        <v>394</v>
      </c>
      <c r="I48" s="98" t="s">
        <v>395</v>
      </c>
      <c r="J48" s="98" t="s">
        <v>78</v>
      </c>
      <c r="K48" s="98" t="s">
        <v>79</v>
      </c>
      <c r="L48" s="98" t="s">
        <v>80</v>
      </c>
      <c r="M48" s="98" t="s">
        <v>396</v>
      </c>
      <c r="N48" s="98" t="s">
        <v>344</v>
      </c>
      <c r="O48" s="98" t="s">
        <v>397</v>
      </c>
      <c r="P48" s="98" t="s">
        <v>189</v>
      </c>
      <c r="Q48" s="98" t="s">
        <v>83</v>
      </c>
      <c r="R48" s="98" t="s">
        <v>218</v>
      </c>
      <c r="S48" s="98" t="s">
        <v>121</v>
      </c>
      <c r="T48" s="98" t="s">
        <v>398</v>
      </c>
      <c r="U48" s="98" t="s">
        <v>191</v>
      </c>
    </row>
    <row r="49" customFormat="false" ht="68.65" hidden="false" customHeight="false" outlineLevel="0" collapsed="false">
      <c r="A49" s="97" t="s">
        <v>24</v>
      </c>
      <c r="B49" s="98" t="s">
        <v>25</v>
      </c>
      <c r="C49" s="98" t="s">
        <v>399</v>
      </c>
      <c r="D49" s="98" t="s">
        <v>391</v>
      </c>
      <c r="E49" s="98" t="s">
        <v>392</v>
      </c>
      <c r="F49" s="98" t="s">
        <v>400</v>
      </c>
      <c r="G49" s="98" t="s">
        <v>75</v>
      </c>
      <c r="H49" s="98" t="s">
        <v>401</v>
      </c>
      <c r="I49" s="98" t="s">
        <v>402</v>
      </c>
      <c r="J49" s="98" t="s">
        <v>78</v>
      </c>
      <c r="K49" s="98" t="s">
        <v>79</v>
      </c>
      <c r="L49" s="98" t="s">
        <v>403</v>
      </c>
      <c r="M49" s="98" t="s">
        <v>404</v>
      </c>
      <c r="N49" s="98" t="s">
        <v>405</v>
      </c>
      <c r="O49" s="98" t="s">
        <v>406</v>
      </c>
      <c r="P49" s="98" t="s">
        <v>407</v>
      </c>
      <c r="Q49" s="98" t="s">
        <v>83</v>
      </c>
      <c r="R49" s="98" t="s">
        <v>408</v>
      </c>
      <c r="S49" s="98" t="s">
        <v>121</v>
      </c>
      <c r="T49" s="98" t="s">
        <v>409</v>
      </c>
      <c r="U49" s="98" t="s">
        <v>191</v>
      </c>
    </row>
    <row r="50" customFormat="false" ht="57.45" hidden="false" customHeight="false" outlineLevel="0" collapsed="false">
      <c r="A50" s="97" t="s">
        <v>24</v>
      </c>
      <c r="B50" s="98" t="s">
        <v>25</v>
      </c>
      <c r="C50" s="98" t="s">
        <v>399</v>
      </c>
      <c r="D50" s="98" t="s">
        <v>391</v>
      </c>
      <c r="E50" s="98" t="s">
        <v>392</v>
      </c>
      <c r="F50" s="98" t="s">
        <v>410</v>
      </c>
      <c r="G50" s="98" t="s">
        <v>75</v>
      </c>
      <c r="H50" s="98" t="s">
        <v>411</v>
      </c>
      <c r="I50" s="98" t="s">
        <v>186</v>
      </c>
      <c r="J50" s="98" t="s">
        <v>78</v>
      </c>
      <c r="K50" s="98" t="s">
        <v>79</v>
      </c>
      <c r="L50" s="98" t="s">
        <v>80</v>
      </c>
      <c r="M50" s="98" t="s">
        <v>404</v>
      </c>
      <c r="N50" s="98" t="s">
        <v>405</v>
      </c>
      <c r="O50" s="98" t="s">
        <v>406</v>
      </c>
      <c r="P50" s="98" t="s">
        <v>407</v>
      </c>
      <c r="Q50" s="98" t="s">
        <v>83</v>
      </c>
      <c r="R50" s="98" t="s">
        <v>408</v>
      </c>
      <c r="S50" s="98" t="s">
        <v>121</v>
      </c>
      <c r="T50" s="98" t="s">
        <v>412</v>
      </c>
      <c r="U50" s="98" t="s">
        <v>191</v>
      </c>
    </row>
    <row r="51" customFormat="false" ht="57.45" hidden="false" customHeight="false" outlineLevel="0" collapsed="false">
      <c r="A51" s="99" t="s">
        <v>26</v>
      </c>
      <c r="B51" s="100" t="s">
        <v>27</v>
      </c>
      <c r="C51" s="100" t="s">
        <v>413</v>
      </c>
      <c r="D51" s="100" t="s">
        <v>414</v>
      </c>
      <c r="E51" s="100" t="s">
        <v>415</v>
      </c>
      <c r="F51" s="100" t="s">
        <v>416</v>
      </c>
      <c r="G51" s="100" t="s">
        <v>75</v>
      </c>
      <c r="H51" s="100" t="s">
        <v>417</v>
      </c>
      <c r="I51" s="100" t="s">
        <v>181</v>
      </c>
      <c r="J51" s="100" t="s">
        <v>78</v>
      </c>
      <c r="K51" s="100" t="s">
        <v>79</v>
      </c>
      <c r="L51" s="100" t="s">
        <v>80</v>
      </c>
      <c r="M51" s="100" t="s">
        <v>418</v>
      </c>
      <c r="N51" s="100" t="s">
        <v>118</v>
      </c>
      <c r="O51" s="100" t="s">
        <v>331</v>
      </c>
      <c r="P51" s="100" t="s">
        <v>189</v>
      </c>
      <c r="Q51" s="100" t="s">
        <v>419</v>
      </c>
      <c r="R51" s="100" t="s">
        <v>218</v>
      </c>
      <c r="S51" s="100" t="s">
        <v>121</v>
      </c>
      <c r="T51" s="100" t="s">
        <v>420</v>
      </c>
      <c r="U51" s="100" t="s">
        <v>191</v>
      </c>
    </row>
    <row r="52" customFormat="false" ht="68.65" hidden="false" customHeight="false" outlineLevel="0" collapsed="false">
      <c r="A52" s="99" t="s">
        <v>26</v>
      </c>
      <c r="B52" s="100" t="s">
        <v>27</v>
      </c>
      <c r="C52" s="100" t="s">
        <v>413</v>
      </c>
      <c r="D52" s="100" t="s">
        <v>414</v>
      </c>
      <c r="E52" s="100" t="s">
        <v>415</v>
      </c>
      <c r="F52" s="100" t="s">
        <v>421</v>
      </c>
      <c r="G52" s="100" t="s">
        <v>75</v>
      </c>
      <c r="H52" s="100" t="s">
        <v>422</v>
      </c>
      <c r="I52" s="100" t="s">
        <v>91</v>
      </c>
      <c r="J52" s="100" t="s">
        <v>78</v>
      </c>
      <c r="K52" s="100" t="s">
        <v>79</v>
      </c>
      <c r="L52" s="100" t="s">
        <v>423</v>
      </c>
      <c r="M52" s="100" t="s">
        <v>418</v>
      </c>
      <c r="N52" s="100" t="s">
        <v>118</v>
      </c>
      <c r="O52" s="100" t="s">
        <v>331</v>
      </c>
      <c r="P52" s="100" t="s">
        <v>189</v>
      </c>
      <c r="Q52" s="100" t="s">
        <v>419</v>
      </c>
      <c r="R52" s="100" t="s">
        <v>218</v>
      </c>
      <c r="S52" s="100" t="s">
        <v>121</v>
      </c>
      <c r="T52" s="100" t="s">
        <v>424</v>
      </c>
      <c r="U52" s="100" t="s">
        <v>191</v>
      </c>
    </row>
    <row r="53" customFormat="false" ht="57.45" hidden="false" customHeight="false" outlineLevel="0" collapsed="false">
      <c r="A53" s="99" t="s">
        <v>26</v>
      </c>
      <c r="B53" s="100" t="s">
        <v>27</v>
      </c>
      <c r="C53" s="100" t="s">
        <v>413</v>
      </c>
      <c r="D53" s="100" t="s">
        <v>414</v>
      </c>
      <c r="E53" s="100" t="s">
        <v>415</v>
      </c>
      <c r="F53" s="100" t="s">
        <v>425</v>
      </c>
      <c r="G53" s="100" t="s">
        <v>75</v>
      </c>
      <c r="H53" s="100" t="s">
        <v>426</v>
      </c>
      <c r="I53" s="100" t="s">
        <v>427</v>
      </c>
      <c r="J53" s="100" t="s">
        <v>78</v>
      </c>
      <c r="K53" s="100" t="s">
        <v>79</v>
      </c>
      <c r="L53" s="100" t="s">
        <v>80</v>
      </c>
      <c r="M53" s="100" t="s">
        <v>418</v>
      </c>
      <c r="N53" s="100" t="s">
        <v>118</v>
      </c>
      <c r="O53" s="100" t="s">
        <v>331</v>
      </c>
      <c r="P53" s="100" t="s">
        <v>189</v>
      </c>
      <c r="Q53" s="100" t="s">
        <v>419</v>
      </c>
      <c r="R53" s="100" t="s">
        <v>218</v>
      </c>
      <c r="S53" s="100" t="s">
        <v>121</v>
      </c>
      <c r="T53" s="100" t="s">
        <v>428</v>
      </c>
      <c r="U53" s="100" t="s">
        <v>191</v>
      </c>
    </row>
    <row r="54" customFormat="false" ht="68.65" hidden="false" customHeight="false" outlineLevel="0" collapsed="false">
      <c r="A54" s="99" t="s">
        <v>26</v>
      </c>
      <c r="B54" s="100" t="s">
        <v>27</v>
      </c>
      <c r="C54" s="100" t="s">
        <v>429</v>
      </c>
      <c r="D54" s="100" t="s">
        <v>414</v>
      </c>
      <c r="E54" s="100" t="s">
        <v>415</v>
      </c>
      <c r="F54" s="100" t="s">
        <v>430</v>
      </c>
      <c r="G54" s="100" t="s">
        <v>75</v>
      </c>
      <c r="H54" s="100" t="s">
        <v>431</v>
      </c>
      <c r="I54" s="100" t="s">
        <v>91</v>
      </c>
      <c r="J54" s="100" t="s">
        <v>78</v>
      </c>
      <c r="K54" s="100" t="s">
        <v>79</v>
      </c>
      <c r="L54" s="100" t="s">
        <v>80</v>
      </c>
      <c r="M54" s="100" t="s">
        <v>432</v>
      </c>
      <c r="N54" s="100"/>
      <c r="O54" s="100" t="s">
        <v>82</v>
      </c>
      <c r="P54" s="100" t="s">
        <v>78</v>
      </c>
      <c r="Q54" s="100" t="s">
        <v>83</v>
      </c>
      <c r="R54" s="100" t="s">
        <v>94</v>
      </c>
      <c r="S54" s="100" t="s">
        <v>85</v>
      </c>
      <c r="T54" s="100" t="s">
        <v>433</v>
      </c>
      <c r="U54" s="100" t="s">
        <v>97</v>
      </c>
    </row>
    <row r="55" customFormat="false" ht="57.45" hidden="false" customHeight="false" outlineLevel="0" collapsed="false">
      <c r="A55" s="99" t="s">
        <v>26</v>
      </c>
      <c r="B55" s="100" t="s">
        <v>27</v>
      </c>
      <c r="C55" s="100" t="s">
        <v>429</v>
      </c>
      <c r="D55" s="100" t="s">
        <v>414</v>
      </c>
      <c r="E55" s="100" t="s">
        <v>415</v>
      </c>
      <c r="F55" s="100" t="s">
        <v>434</v>
      </c>
      <c r="G55" s="100" t="s">
        <v>75</v>
      </c>
      <c r="H55" s="100" t="s">
        <v>435</v>
      </c>
      <c r="I55" s="100" t="s">
        <v>91</v>
      </c>
      <c r="J55" s="100" t="s">
        <v>78</v>
      </c>
      <c r="K55" s="100" t="s">
        <v>79</v>
      </c>
      <c r="L55" s="100" t="s">
        <v>80</v>
      </c>
      <c r="M55" s="100" t="s">
        <v>432</v>
      </c>
      <c r="N55" s="100"/>
      <c r="O55" s="100" t="s">
        <v>82</v>
      </c>
      <c r="P55" s="100" t="s">
        <v>78</v>
      </c>
      <c r="Q55" s="100" t="s">
        <v>83</v>
      </c>
      <c r="R55" s="100" t="s">
        <v>94</v>
      </c>
      <c r="S55" s="100" t="s">
        <v>85</v>
      </c>
      <c r="T55" s="100" t="s">
        <v>436</v>
      </c>
      <c r="U55" s="100" t="s">
        <v>97</v>
      </c>
    </row>
    <row r="56" customFormat="false" ht="158.2" hidden="false" customHeight="false" outlineLevel="0" collapsed="false">
      <c r="A56" s="101" t="s">
        <v>28</v>
      </c>
      <c r="B56" s="102" t="s">
        <v>29</v>
      </c>
      <c r="C56" s="102" t="s">
        <v>437</v>
      </c>
      <c r="D56" s="102" t="s">
        <v>438</v>
      </c>
      <c r="E56" s="102" t="s">
        <v>439</v>
      </c>
      <c r="F56" s="102" t="s">
        <v>440</v>
      </c>
      <c r="G56" s="102" t="s">
        <v>75</v>
      </c>
      <c r="H56" s="102" t="s">
        <v>441</v>
      </c>
      <c r="I56" s="102" t="s">
        <v>367</v>
      </c>
      <c r="J56" s="102" t="s">
        <v>78</v>
      </c>
      <c r="K56" s="102" t="s">
        <v>79</v>
      </c>
      <c r="L56" s="102" t="s">
        <v>80</v>
      </c>
      <c r="M56" s="102"/>
      <c r="N56" s="102" t="s">
        <v>442</v>
      </c>
      <c r="O56" s="102" t="s">
        <v>443</v>
      </c>
      <c r="P56" s="102" t="s">
        <v>444</v>
      </c>
      <c r="Q56" s="102" t="s">
        <v>83</v>
      </c>
      <c r="R56" s="102" t="s">
        <v>408</v>
      </c>
      <c r="S56" s="102" t="s">
        <v>121</v>
      </c>
      <c r="T56" s="102" t="s">
        <v>445</v>
      </c>
      <c r="U56" s="102" t="s">
        <v>446</v>
      </c>
    </row>
    <row r="57" customFormat="false" ht="359.7" hidden="false" customHeight="false" outlineLevel="0" collapsed="false">
      <c r="A57" s="101" t="s">
        <v>28</v>
      </c>
      <c r="B57" s="102" t="s">
        <v>29</v>
      </c>
      <c r="C57" s="102" t="s">
        <v>447</v>
      </c>
      <c r="D57" s="102" t="s">
        <v>438</v>
      </c>
      <c r="E57" s="102" t="s">
        <v>439</v>
      </c>
      <c r="F57" s="102" t="s">
        <v>448</v>
      </c>
      <c r="G57" s="102" t="s">
        <v>75</v>
      </c>
      <c r="H57" s="102" t="s">
        <v>449</v>
      </c>
      <c r="I57" s="102" t="s">
        <v>450</v>
      </c>
      <c r="J57" s="102" t="s">
        <v>78</v>
      </c>
      <c r="K57" s="102" t="s">
        <v>79</v>
      </c>
      <c r="L57" s="102" t="s">
        <v>173</v>
      </c>
      <c r="M57" s="102"/>
      <c r="N57" s="102" t="s">
        <v>451</v>
      </c>
      <c r="O57" s="102" t="s">
        <v>452</v>
      </c>
      <c r="P57" s="102" t="s">
        <v>453</v>
      </c>
      <c r="Q57" s="102" t="s">
        <v>83</v>
      </c>
      <c r="R57" s="102" t="s">
        <v>408</v>
      </c>
      <c r="S57" s="102" t="s">
        <v>121</v>
      </c>
      <c r="T57" s="102" t="s">
        <v>454</v>
      </c>
      <c r="U57" s="102" t="s">
        <v>249</v>
      </c>
    </row>
    <row r="58" customFormat="false" ht="57.45" hidden="false" customHeight="false" outlineLevel="0" collapsed="false">
      <c r="A58" s="101" t="s">
        <v>28</v>
      </c>
      <c r="B58" s="102" t="s">
        <v>29</v>
      </c>
      <c r="C58" s="102" t="s">
        <v>455</v>
      </c>
      <c r="D58" s="102" t="s">
        <v>438</v>
      </c>
      <c r="E58" s="102" t="s">
        <v>439</v>
      </c>
      <c r="F58" s="102" t="s">
        <v>456</v>
      </c>
      <c r="G58" s="102" t="s">
        <v>75</v>
      </c>
      <c r="H58" s="102" t="s">
        <v>457</v>
      </c>
      <c r="I58" s="102" t="s">
        <v>458</v>
      </c>
      <c r="J58" s="102" t="s">
        <v>78</v>
      </c>
      <c r="K58" s="102" t="s">
        <v>79</v>
      </c>
      <c r="L58" s="102" t="s">
        <v>423</v>
      </c>
      <c r="M58" s="102" t="s">
        <v>459</v>
      </c>
      <c r="N58" s="102"/>
      <c r="O58" s="102" t="s">
        <v>460</v>
      </c>
      <c r="P58" s="102" t="s">
        <v>189</v>
      </c>
      <c r="Q58" s="102" t="s">
        <v>83</v>
      </c>
      <c r="R58" s="102" t="s">
        <v>408</v>
      </c>
      <c r="S58" s="102" t="s">
        <v>121</v>
      </c>
      <c r="T58" s="102" t="s">
        <v>461</v>
      </c>
      <c r="U58" s="102" t="s">
        <v>300</v>
      </c>
    </row>
    <row r="59" customFormat="false" ht="79.85" hidden="false" customHeight="false" outlineLevel="0" collapsed="false">
      <c r="A59" s="101" t="s">
        <v>28</v>
      </c>
      <c r="B59" s="102" t="s">
        <v>29</v>
      </c>
      <c r="C59" s="102" t="s">
        <v>462</v>
      </c>
      <c r="D59" s="102" t="s">
        <v>438</v>
      </c>
      <c r="E59" s="102" t="s">
        <v>439</v>
      </c>
      <c r="F59" s="102" t="s">
        <v>463</v>
      </c>
      <c r="G59" s="102" t="s">
        <v>75</v>
      </c>
      <c r="H59" s="102" t="s">
        <v>464</v>
      </c>
      <c r="I59" s="102" t="s">
        <v>465</v>
      </c>
      <c r="J59" s="102" t="s">
        <v>466</v>
      </c>
      <c r="K59" s="102" t="s">
        <v>79</v>
      </c>
      <c r="L59" s="102" t="s">
        <v>173</v>
      </c>
      <c r="M59" s="102" t="s">
        <v>467</v>
      </c>
      <c r="N59" s="102" t="s">
        <v>468</v>
      </c>
      <c r="O59" s="102" t="s">
        <v>469</v>
      </c>
      <c r="P59" s="102" t="s">
        <v>453</v>
      </c>
      <c r="Q59" s="102" t="s">
        <v>83</v>
      </c>
      <c r="R59" s="102" t="s">
        <v>408</v>
      </c>
      <c r="S59" s="102" t="s">
        <v>121</v>
      </c>
      <c r="T59" s="102" t="s">
        <v>470</v>
      </c>
      <c r="U59" s="102" t="s">
        <v>356</v>
      </c>
    </row>
    <row r="60" customFormat="false" ht="68.65" hidden="false" customHeight="false" outlineLevel="0" collapsed="false">
      <c r="A60" s="101" t="s">
        <v>28</v>
      </c>
      <c r="B60" s="102" t="s">
        <v>29</v>
      </c>
      <c r="C60" s="102" t="s">
        <v>462</v>
      </c>
      <c r="D60" s="102" t="s">
        <v>438</v>
      </c>
      <c r="E60" s="102" t="s">
        <v>439</v>
      </c>
      <c r="F60" s="102" t="s">
        <v>471</v>
      </c>
      <c r="G60" s="102" t="s">
        <v>75</v>
      </c>
      <c r="H60" s="102" t="s">
        <v>472</v>
      </c>
      <c r="I60" s="102" t="s">
        <v>473</v>
      </c>
      <c r="J60" s="102" t="s">
        <v>78</v>
      </c>
      <c r="K60" s="102" t="s">
        <v>79</v>
      </c>
      <c r="L60" s="102" t="s">
        <v>80</v>
      </c>
      <c r="M60" s="102" t="s">
        <v>467</v>
      </c>
      <c r="N60" s="102" t="s">
        <v>468</v>
      </c>
      <c r="O60" s="102" t="s">
        <v>469</v>
      </c>
      <c r="P60" s="102" t="s">
        <v>453</v>
      </c>
      <c r="Q60" s="102" t="s">
        <v>83</v>
      </c>
      <c r="R60" s="102" t="s">
        <v>408</v>
      </c>
      <c r="S60" s="102" t="s">
        <v>121</v>
      </c>
      <c r="T60" s="102" t="s">
        <v>474</v>
      </c>
      <c r="U60" s="102" t="s">
        <v>356</v>
      </c>
    </row>
    <row r="61" customFormat="false" ht="158.2" hidden="false" customHeight="false" outlineLevel="0" collapsed="false">
      <c r="A61" s="101" t="s">
        <v>28</v>
      </c>
      <c r="B61" s="102" t="s">
        <v>29</v>
      </c>
      <c r="C61" s="102" t="s">
        <v>475</v>
      </c>
      <c r="D61" s="102" t="s">
        <v>438</v>
      </c>
      <c r="E61" s="102" t="s">
        <v>439</v>
      </c>
      <c r="F61" s="102" t="s">
        <v>476</v>
      </c>
      <c r="G61" s="102" t="s">
        <v>75</v>
      </c>
      <c r="H61" s="102" t="s">
        <v>477</v>
      </c>
      <c r="I61" s="102" t="s">
        <v>478</v>
      </c>
      <c r="J61" s="102" t="s">
        <v>78</v>
      </c>
      <c r="K61" s="102" t="s">
        <v>79</v>
      </c>
      <c r="L61" s="102" t="s">
        <v>173</v>
      </c>
      <c r="M61" s="102" t="s">
        <v>479</v>
      </c>
      <c r="N61" s="102" t="s">
        <v>480</v>
      </c>
      <c r="O61" s="102" t="s">
        <v>481</v>
      </c>
      <c r="P61" s="102" t="s">
        <v>346</v>
      </c>
      <c r="Q61" s="102" t="s">
        <v>482</v>
      </c>
      <c r="R61" s="102" t="s">
        <v>408</v>
      </c>
      <c r="S61" s="102" t="s">
        <v>121</v>
      </c>
      <c r="T61" s="102" t="s">
        <v>483</v>
      </c>
      <c r="U61" s="102" t="s">
        <v>356</v>
      </c>
    </row>
    <row r="62" customFormat="false" ht="135.8" hidden="false" customHeight="false" outlineLevel="0" collapsed="false">
      <c r="A62" s="103" t="s">
        <v>30</v>
      </c>
      <c r="B62" s="104" t="s">
        <v>31</v>
      </c>
      <c r="C62" s="104" t="s">
        <v>484</v>
      </c>
      <c r="D62" s="104" t="s">
        <v>485</v>
      </c>
      <c r="E62" s="104" t="s">
        <v>486</v>
      </c>
      <c r="F62" s="104" t="s">
        <v>487</v>
      </c>
      <c r="G62" s="104" t="s">
        <v>75</v>
      </c>
      <c r="H62" s="104" t="s">
        <v>488</v>
      </c>
      <c r="I62" s="104" t="s">
        <v>489</v>
      </c>
      <c r="J62" s="104" t="s">
        <v>78</v>
      </c>
      <c r="K62" s="104" t="s">
        <v>79</v>
      </c>
      <c r="L62" s="104" t="s">
        <v>173</v>
      </c>
      <c r="M62" s="104" t="s">
        <v>490</v>
      </c>
      <c r="N62" s="104"/>
      <c r="O62" s="104" t="s">
        <v>82</v>
      </c>
      <c r="P62" s="104" t="s">
        <v>78</v>
      </c>
      <c r="Q62" s="104" t="s">
        <v>83</v>
      </c>
      <c r="R62" s="104" t="s">
        <v>408</v>
      </c>
      <c r="S62" s="104" t="s">
        <v>85</v>
      </c>
      <c r="T62" s="104" t="s">
        <v>491</v>
      </c>
      <c r="U62" s="104" t="s">
        <v>97</v>
      </c>
    </row>
    <row r="63" customFormat="false" ht="57.45" hidden="false" customHeight="false" outlineLevel="0" collapsed="false">
      <c r="A63" s="105" t="s">
        <v>32</v>
      </c>
      <c r="B63" s="106" t="s">
        <v>33</v>
      </c>
      <c r="C63" s="106" t="s">
        <v>492</v>
      </c>
      <c r="D63" s="106" t="s">
        <v>493</v>
      </c>
      <c r="E63" s="106" t="s">
        <v>494</v>
      </c>
      <c r="F63" s="106" t="s">
        <v>495</v>
      </c>
      <c r="G63" s="106" t="s">
        <v>75</v>
      </c>
      <c r="H63" s="106" t="s">
        <v>496</v>
      </c>
      <c r="I63" s="106" t="s">
        <v>186</v>
      </c>
      <c r="J63" s="106" t="s">
        <v>78</v>
      </c>
      <c r="K63" s="106" t="s">
        <v>79</v>
      </c>
      <c r="L63" s="106" t="s">
        <v>423</v>
      </c>
      <c r="M63" s="106"/>
      <c r="N63" s="106" t="s">
        <v>497</v>
      </c>
      <c r="O63" s="106" t="s">
        <v>82</v>
      </c>
      <c r="P63" s="106" t="s">
        <v>78</v>
      </c>
      <c r="Q63" s="106" t="s">
        <v>83</v>
      </c>
      <c r="R63" s="106" t="s">
        <v>498</v>
      </c>
      <c r="S63" s="106" t="s">
        <v>85</v>
      </c>
      <c r="T63" s="106" t="s">
        <v>499</v>
      </c>
      <c r="U63" s="106" t="s">
        <v>87</v>
      </c>
    </row>
    <row r="64" customFormat="false" ht="236.55" hidden="false" customHeight="false" outlineLevel="0" collapsed="false">
      <c r="A64" s="105" t="s">
        <v>32</v>
      </c>
      <c r="B64" s="106" t="s">
        <v>33</v>
      </c>
      <c r="C64" s="106" t="s">
        <v>500</v>
      </c>
      <c r="D64" s="106" t="s">
        <v>493</v>
      </c>
      <c r="E64" s="106" t="s">
        <v>494</v>
      </c>
      <c r="F64" s="106" t="s">
        <v>501</v>
      </c>
      <c r="G64" s="106" t="s">
        <v>75</v>
      </c>
      <c r="H64" s="106" t="s">
        <v>502</v>
      </c>
      <c r="I64" s="106" t="s">
        <v>181</v>
      </c>
      <c r="J64" s="106" t="s">
        <v>78</v>
      </c>
      <c r="K64" s="106" t="s">
        <v>79</v>
      </c>
      <c r="L64" s="106" t="s">
        <v>80</v>
      </c>
      <c r="M64" s="106"/>
      <c r="N64" s="106" t="s">
        <v>503</v>
      </c>
      <c r="O64" s="106" t="s">
        <v>504</v>
      </c>
      <c r="P64" s="106" t="s">
        <v>505</v>
      </c>
      <c r="Q64" s="106" t="s">
        <v>83</v>
      </c>
      <c r="R64" s="106" t="s">
        <v>498</v>
      </c>
      <c r="S64" s="106" t="s">
        <v>121</v>
      </c>
      <c r="T64" s="106" t="s">
        <v>506</v>
      </c>
      <c r="U64" s="106" t="s">
        <v>507</v>
      </c>
    </row>
    <row r="65" customFormat="false" ht="68.65" hidden="false" customHeight="false" outlineLevel="0" collapsed="false">
      <c r="A65" s="105" t="s">
        <v>32</v>
      </c>
      <c r="B65" s="106" t="s">
        <v>33</v>
      </c>
      <c r="C65" s="106" t="s">
        <v>508</v>
      </c>
      <c r="D65" s="106" t="s">
        <v>493</v>
      </c>
      <c r="E65" s="106" t="s">
        <v>494</v>
      </c>
      <c r="F65" s="106" t="s">
        <v>509</v>
      </c>
      <c r="G65" s="106" t="s">
        <v>75</v>
      </c>
      <c r="H65" s="106" t="s">
        <v>510</v>
      </c>
      <c r="I65" s="106" t="s">
        <v>181</v>
      </c>
      <c r="J65" s="106" t="s">
        <v>78</v>
      </c>
      <c r="K65" s="106" t="s">
        <v>79</v>
      </c>
      <c r="L65" s="106" t="s">
        <v>80</v>
      </c>
      <c r="M65" s="106"/>
      <c r="N65" s="106" t="s">
        <v>511</v>
      </c>
      <c r="O65" s="106" t="s">
        <v>512</v>
      </c>
      <c r="P65" s="106" t="s">
        <v>505</v>
      </c>
      <c r="Q65" s="106" t="s">
        <v>83</v>
      </c>
      <c r="R65" s="106" t="s">
        <v>498</v>
      </c>
      <c r="S65" s="106" t="s">
        <v>121</v>
      </c>
      <c r="T65" s="106" t="s">
        <v>513</v>
      </c>
      <c r="U65" s="106" t="s">
        <v>249</v>
      </c>
    </row>
    <row r="66" customFormat="false" ht="91" hidden="false" customHeight="false" outlineLevel="0" collapsed="false">
      <c r="A66" s="105" t="s">
        <v>32</v>
      </c>
      <c r="B66" s="106" t="s">
        <v>33</v>
      </c>
      <c r="C66" s="106" t="s">
        <v>514</v>
      </c>
      <c r="D66" s="106" t="s">
        <v>493</v>
      </c>
      <c r="E66" s="106" t="s">
        <v>494</v>
      </c>
      <c r="F66" s="106" t="s">
        <v>515</v>
      </c>
      <c r="G66" s="106" t="s">
        <v>75</v>
      </c>
      <c r="H66" s="106" t="s">
        <v>516</v>
      </c>
      <c r="I66" s="106" t="s">
        <v>181</v>
      </c>
      <c r="J66" s="106" t="s">
        <v>78</v>
      </c>
      <c r="K66" s="106" t="s">
        <v>79</v>
      </c>
      <c r="L66" s="106" t="s">
        <v>517</v>
      </c>
      <c r="M66" s="106"/>
      <c r="N66" s="106" t="s">
        <v>518</v>
      </c>
      <c r="O66" s="106" t="s">
        <v>519</v>
      </c>
      <c r="P66" s="106" t="s">
        <v>520</v>
      </c>
      <c r="Q66" s="106" t="s">
        <v>83</v>
      </c>
      <c r="R66" s="106" t="s">
        <v>498</v>
      </c>
      <c r="S66" s="106" t="s">
        <v>121</v>
      </c>
      <c r="T66" s="106" t="s">
        <v>521</v>
      </c>
      <c r="U66" s="106" t="s">
        <v>522</v>
      </c>
    </row>
    <row r="67" customFormat="false" ht="68.65" hidden="false" customHeight="false" outlineLevel="0" collapsed="false">
      <c r="A67" s="105" t="s">
        <v>32</v>
      </c>
      <c r="B67" s="106" t="s">
        <v>33</v>
      </c>
      <c r="C67" s="106" t="s">
        <v>523</v>
      </c>
      <c r="D67" s="106" t="s">
        <v>493</v>
      </c>
      <c r="E67" s="106" t="s">
        <v>494</v>
      </c>
      <c r="F67" s="106" t="s">
        <v>524</v>
      </c>
      <c r="G67" s="106" t="s">
        <v>75</v>
      </c>
      <c r="H67" s="106" t="s">
        <v>525</v>
      </c>
      <c r="I67" s="106" t="s">
        <v>181</v>
      </c>
      <c r="J67" s="106" t="s">
        <v>78</v>
      </c>
      <c r="K67" s="106" t="s">
        <v>79</v>
      </c>
      <c r="L67" s="106" t="s">
        <v>80</v>
      </c>
      <c r="M67" s="106"/>
      <c r="N67" s="106" t="s">
        <v>526</v>
      </c>
      <c r="O67" s="106" t="s">
        <v>527</v>
      </c>
      <c r="P67" s="106" t="s">
        <v>505</v>
      </c>
      <c r="Q67" s="106" t="s">
        <v>83</v>
      </c>
      <c r="R67" s="106" t="s">
        <v>498</v>
      </c>
      <c r="S67" s="106" t="s">
        <v>121</v>
      </c>
      <c r="T67" s="106" t="s">
        <v>528</v>
      </c>
      <c r="U67" s="106" t="s">
        <v>220</v>
      </c>
    </row>
    <row r="68" customFormat="false" ht="57.45" hidden="false" customHeight="false" outlineLevel="0" collapsed="false">
      <c r="A68" s="105" t="s">
        <v>32</v>
      </c>
      <c r="B68" s="106" t="s">
        <v>33</v>
      </c>
      <c r="C68" s="106" t="s">
        <v>529</v>
      </c>
      <c r="D68" s="106" t="s">
        <v>493</v>
      </c>
      <c r="E68" s="106" t="s">
        <v>494</v>
      </c>
      <c r="F68" s="106" t="s">
        <v>530</v>
      </c>
      <c r="G68" s="106" t="s">
        <v>75</v>
      </c>
      <c r="H68" s="106" t="s">
        <v>531</v>
      </c>
      <c r="I68" s="106" t="s">
        <v>303</v>
      </c>
      <c r="J68" s="106" t="s">
        <v>78</v>
      </c>
      <c r="K68" s="106" t="s">
        <v>79</v>
      </c>
      <c r="L68" s="106" t="s">
        <v>80</v>
      </c>
      <c r="M68" s="106"/>
      <c r="N68" s="106" t="s">
        <v>532</v>
      </c>
      <c r="O68" s="106" t="s">
        <v>533</v>
      </c>
      <c r="P68" s="106" t="s">
        <v>505</v>
      </c>
      <c r="Q68" s="106" t="s">
        <v>83</v>
      </c>
      <c r="R68" s="106" t="s">
        <v>498</v>
      </c>
      <c r="S68" s="106" t="s">
        <v>121</v>
      </c>
      <c r="T68" s="106" t="s">
        <v>534</v>
      </c>
      <c r="U68" s="106" t="s">
        <v>227</v>
      </c>
    </row>
    <row r="69" customFormat="false" ht="57.45" hidden="false" customHeight="false" outlineLevel="0" collapsed="false">
      <c r="A69" s="105" t="s">
        <v>32</v>
      </c>
      <c r="B69" s="106" t="s">
        <v>33</v>
      </c>
      <c r="C69" s="106" t="s">
        <v>529</v>
      </c>
      <c r="D69" s="106" t="s">
        <v>493</v>
      </c>
      <c r="E69" s="106" t="s">
        <v>494</v>
      </c>
      <c r="F69" s="106" t="s">
        <v>535</v>
      </c>
      <c r="G69" s="106" t="s">
        <v>75</v>
      </c>
      <c r="H69" s="106" t="s">
        <v>536</v>
      </c>
      <c r="I69" s="106" t="s">
        <v>186</v>
      </c>
      <c r="J69" s="106" t="s">
        <v>78</v>
      </c>
      <c r="K69" s="106" t="s">
        <v>79</v>
      </c>
      <c r="L69" s="106" t="s">
        <v>173</v>
      </c>
      <c r="M69" s="106"/>
      <c r="N69" s="106" t="s">
        <v>537</v>
      </c>
      <c r="O69" s="106" t="s">
        <v>538</v>
      </c>
      <c r="P69" s="106" t="s">
        <v>505</v>
      </c>
      <c r="Q69" s="106" t="s">
        <v>83</v>
      </c>
      <c r="R69" s="106" t="s">
        <v>498</v>
      </c>
      <c r="S69" s="106" t="s">
        <v>121</v>
      </c>
      <c r="T69" s="106" t="s">
        <v>539</v>
      </c>
      <c r="U69" s="106" t="s">
        <v>227</v>
      </c>
    </row>
    <row r="70" customFormat="false" ht="57.45" hidden="false" customHeight="false" outlineLevel="0" collapsed="false">
      <c r="A70" s="105" t="s">
        <v>32</v>
      </c>
      <c r="B70" s="106" t="s">
        <v>33</v>
      </c>
      <c r="C70" s="106" t="s">
        <v>540</v>
      </c>
      <c r="D70" s="106" t="s">
        <v>493</v>
      </c>
      <c r="E70" s="106" t="s">
        <v>494</v>
      </c>
      <c r="F70" s="106" t="s">
        <v>541</v>
      </c>
      <c r="G70" s="106" t="s">
        <v>75</v>
      </c>
      <c r="H70" s="106" t="s">
        <v>542</v>
      </c>
      <c r="I70" s="106" t="s">
        <v>186</v>
      </c>
      <c r="J70" s="106" t="s">
        <v>78</v>
      </c>
      <c r="K70" s="106" t="s">
        <v>79</v>
      </c>
      <c r="L70" s="106" t="s">
        <v>173</v>
      </c>
      <c r="M70" s="106" t="s">
        <v>543</v>
      </c>
      <c r="N70" s="106"/>
      <c r="O70" s="106" t="s">
        <v>544</v>
      </c>
      <c r="P70" s="106" t="s">
        <v>545</v>
      </c>
      <c r="Q70" s="106" t="s">
        <v>83</v>
      </c>
      <c r="R70" s="106" t="s">
        <v>498</v>
      </c>
      <c r="S70" s="106" t="s">
        <v>121</v>
      </c>
      <c r="T70" s="106" t="s">
        <v>546</v>
      </c>
      <c r="U70" s="106" t="s">
        <v>191</v>
      </c>
    </row>
    <row r="71" customFormat="false" ht="68.65" hidden="false" customHeight="false" outlineLevel="0" collapsed="false">
      <c r="A71" s="105" t="s">
        <v>32</v>
      </c>
      <c r="B71" s="106" t="s">
        <v>33</v>
      </c>
      <c r="C71" s="106" t="s">
        <v>540</v>
      </c>
      <c r="D71" s="106" t="s">
        <v>493</v>
      </c>
      <c r="E71" s="106" t="s">
        <v>494</v>
      </c>
      <c r="F71" s="106" t="s">
        <v>547</v>
      </c>
      <c r="G71" s="106" t="s">
        <v>75</v>
      </c>
      <c r="H71" s="106" t="s">
        <v>548</v>
      </c>
      <c r="I71" s="106" t="s">
        <v>127</v>
      </c>
      <c r="J71" s="106" t="s">
        <v>78</v>
      </c>
      <c r="K71" s="106" t="s">
        <v>79</v>
      </c>
      <c r="L71" s="106" t="s">
        <v>80</v>
      </c>
      <c r="M71" s="106" t="s">
        <v>543</v>
      </c>
      <c r="N71" s="106"/>
      <c r="O71" s="106" t="s">
        <v>544</v>
      </c>
      <c r="P71" s="106" t="s">
        <v>545</v>
      </c>
      <c r="Q71" s="106" t="s">
        <v>83</v>
      </c>
      <c r="R71" s="106" t="s">
        <v>498</v>
      </c>
      <c r="S71" s="106" t="s">
        <v>121</v>
      </c>
      <c r="T71" s="106" t="s">
        <v>546</v>
      </c>
      <c r="U71" s="106" t="s">
        <v>191</v>
      </c>
    </row>
    <row r="72" customFormat="false" ht="57.45" hidden="false" customHeight="false" outlineLevel="0" collapsed="false">
      <c r="A72" s="105" t="s">
        <v>32</v>
      </c>
      <c r="B72" s="106" t="s">
        <v>33</v>
      </c>
      <c r="C72" s="106" t="s">
        <v>549</v>
      </c>
      <c r="D72" s="106" t="s">
        <v>493</v>
      </c>
      <c r="E72" s="106" t="s">
        <v>494</v>
      </c>
      <c r="F72" s="106" t="s">
        <v>550</v>
      </c>
      <c r="G72" s="106" t="s">
        <v>75</v>
      </c>
      <c r="H72" s="106" t="s">
        <v>551</v>
      </c>
      <c r="I72" s="106" t="s">
        <v>186</v>
      </c>
      <c r="J72" s="106" t="s">
        <v>78</v>
      </c>
      <c r="K72" s="106" t="s">
        <v>79</v>
      </c>
      <c r="L72" s="106" t="s">
        <v>80</v>
      </c>
      <c r="M72" s="106" t="s">
        <v>552</v>
      </c>
      <c r="N72" s="106"/>
      <c r="O72" s="106" t="s">
        <v>82</v>
      </c>
      <c r="P72" s="106" t="s">
        <v>78</v>
      </c>
      <c r="Q72" s="106" t="s">
        <v>83</v>
      </c>
      <c r="R72" s="106" t="s">
        <v>498</v>
      </c>
      <c r="S72" s="106" t="s">
        <v>85</v>
      </c>
      <c r="T72" s="106" t="s">
        <v>553</v>
      </c>
      <c r="U72" s="106" t="s">
        <v>97</v>
      </c>
    </row>
    <row r="73" customFormat="false" ht="57.45" hidden="false" customHeight="false" outlineLevel="0" collapsed="false">
      <c r="A73" s="105" t="s">
        <v>32</v>
      </c>
      <c r="B73" s="106" t="s">
        <v>33</v>
      </c>
      <c r="C73" s="106" t="s">
        <v>554</v>
      </c>
      <c r="D73" s="106" t="s">
        <v>493</v>
      </c>
      <c r="E73" s="106" t="s">
        <v>494</v>
      </c>
      <c r="F73" s="106" t="s">
        <v>555</v>
      </c>
      <c r="G73" s="106" t="s">
        <v>75</v>
      </c>
      <c r="H73" s="106" t="s">
        <v>556</v>
      </c>
      <c r="I73" s="106" t="s">
        <v>186</v>
      </c>
      <c r="J73" s="106" t="s">
        <v>78</v>
      </c>
      <c r="K73" s="106" t="s">
        <v>79</v>
      </c>
      <c r="L73" s="106" t="s">
        <v>80</v>
      </c>
      <c r="M73" s="106" t="s">
        <v>557</v>
      </c>
      <c r="N73" s="106"/>
      <c r="O73" s="106" t="s">
        <v>82</v>
      </c>
      <c r="P73" s="106" t="s">
        <v>78</v>
      </c>
      <c r="Q73" s="106" t="s">
        <v>83</v>
      </c>
      <c r="R73" s="106" t="s">
        <v>498</v>
      </c>
      <c r="S73" s="106" t="s">
        <v>85</v>
      </c>
      <c r="T73" s="106" t="s">
        <v>558</v>
      </c>
      <c r="U73" s="106" t="s">
        <v>97</v>
      </c>
    </row>
    <row r="74" customFormat="false" ht="57.45" hidden="false" customHeight="false" outlineLevel="0" collapsed="false">
      <c r="A74" s="105" t="s">
        <v>32</v>
      </c>
      <c r="B74" s="106" t="s">
        <v>33</v>
      </c>
      <c r="C74" s="106" t="s">
        <v>554</v>
      </c>
      <c r="D74" s="106" t="s">
        <v>493</v>
      </c>
      <c r="E74" s="106" t="s">
        <v>494</v>
      </c>
      <c r="F74" s="106" t="s">
        <v>559</v>
      </c>
      <c r="G74" s="106" t="s">
        <v>75</v>
      </c>
      <c r="H74" s="106" t="s">
        <v>560</v>
      </c>
      <c r="I74" s="106" t="s">
        <v>186</v>
      </c>
      <c r="J74" s="106" t="s">
        <v>78</v>
      </c>
      <c r="K74" s="106" t="s">
        <v>79</v>
      </c>
      <c r="L74" s="106" t="s">
        <v>80</v>
      </c>
      <c r="M74" s="106" t="s">
        <v>557</v>
      </c>
      <c r="N74" s="106"/>
      <c r="O74" s="106" t="s">
        <v>82</v>
      </c>
      <c r="P74" s="106" t="s">
        <v>78</v>
      </c>
      <c r="Q74" s="106" t="s">
        <v>83</v>
      </c>
      <c r="R74" s="106" t="s">
        <v>498</v>
      </c>
      <c r="S74" s="106" t="s">
        <v>85</v>
      </c>
      <c r="T74" s="106" t="s">
        <v>561</v>
      </c>
      <c r="U74" s="106" t="s">
        <v>97</v>
      </c>
    </row>
    <row r="75" customFormat="false" ht="57.45" hidden="false" customHeight="false" outlineLevel="0" collapsed="false">
      <c r="A75" s="105" t="s">
        <v>32</v>
      </c>
      <c r="B75" s="106" t="s">
        <v>33</v>
      </c>
      <c r="C75" s="106" t="s">
        <v>562</v>
      </c>
      <c r="D75" s="106" t="s">
        <v>493</v>
      </c>
      <c r="E75" s="106" t="s">
        <v>494</v>
      </c>
      <c r="F75" s="106" t="s">
        <v>563</v>
      </c>
      <c r="G75" s="106" t="s">
        <v>75</v>
      </c>
      <c r="H75" s="106" t="s">
        <v>564</v>
      </c>
      <c r="I75" s="106" t="s">
        <v>395</v>
      </c>
      <c r="J75" s="106" t="s">
        <v>78</v>
      </c>
      <c r="K75" s="106" t="s">
        <v>79</v>
      </c>
      <c r="L75" s="106" t="s">
        <v>80</v>
      </c>
      <c r="M75" s="106" t="s">
        <v>565</v>
      </c>
      <c r="N75" s="106" t="s">
        <v>566</v>
      </c>
      <c r="O75" s="106" t="s">
        <v>567</v>
      </c>
      <c r="P75" s="106" t="s">
        <v>505</v>
      </c>
      <c r="Q75" s="106" t="s">
        <v>83</v>
      </c>
      <c r="R75" s="106" t="s">
        <v>498</v>
      </c>
      <c r="S75" s="106" t="s">
        <v>121</v>
      </c>
      <c r="T75" s="106" t="s">
        <v>568</v>
      </c>
      <c r="U75" s="106" t="s">
        <v>300</v>
      </c>
    </row>
    <row r="76" customFormat="false" ht="57.45" hidden="false" customHeight="false" outlineLevel="0" collapsed="false">
      <c r="A76" s="105" t="s">
        <v>32</v>
      </c>
      <c r="B76" s="106" t="s">
        <v>33</v>
      </c>
      <c r="C76" s="106" t="s">
        <v>569</v>
      </c>
      <c r="D76" s="106" t="s">
        <v>493</v>
      </c>
      <c r="E76" s="106" t="s">
        <v>494</v>
      </c>
      <c r="F76" s="106" t="s">
        <v>570</v>
      </c>
      <c r="G76" s="106" t="s">
        <v>75</v>
      </c>
      <c r="H76" s="106" t="s">
        <v>571</v>
      </c>
      <c r="I76" s="106" t="s">
        <v>395</v>
      </c>
      <c r="J76" s="106" t="s">
        <v>78</v>
      </c>
      <c r="K76" s="106" t="s">
        <v>79</v>
      </c>
      <c r="L76" s="106" t="s">
        <v>80</v>
      </c>
      <c r="M76" s="106" t="s">
        <v>572</v>
      </c>
      <c r="N76" s="106" t="s">
        <v>573</v>
      </c>
      <c r="O76" s="106" t="s">
        <v>574</v>
      </c>
      <c r="P76" s="106" t="s">
        <v>505</v>
      </c>
      <c r="Q76" s="106" t="s">
        <v>83</v>
      </c>
      <c r="R76" s="106" t="s">
        <v>498</v>
      </c>
      <c r="S76" s="106" t="s">
        <v>121</v>
      </c>
      <c r="T76" s="106" t="s">
        <v>575</v>
      </c>
      <c r="U76" s="106" t="s">
        <v>300</v>
      </c>
    </row>
    <row r="77" customFormat="false" ht="57.45" hidden="false" customHeight="false" outlineLevel="0" collapsed="false">
      <c r="A77" s="105" t="s">
        <v>32</v>
      </c>
      <c r="B77" s="106" t="s">
        <v>33</v>
      </c>
      <c r="C77" s="106" t="s">
        <v>576</v>
      </c>
      <c r="D77" s="106" t="s">
        <v>493</v>
      </c>
      <c r="E77" s="106" t="s">
        <v>494</v>
      </c>
      <c r="F77" s="106" t="s">
        <v>577</v>
      </c>
      <c r="G77" s="106" t="s">
        <v>75</v>
      </c>
      <c r="H77" s="106" t="s">
        <v>578</v>
      </c>
      <c r="I77" s="106" t="s">
        <v>458</v>
      </c>
      <c r="J77" s="106" t="s">
        <v>78</v>
      </c>
      <c r="K77" s="106" t="s">
        <v>79</v>
      </c>
      <c r="L77" s="106" t="s">
        <v>80</v>
      </c>
      <c r="M77" s="106" t="s">
        <v>579</v>
      </c>
      <c r="N77" s="106" t="s">
        <v>580</v>
      </c>
      <c r="O77" s="106" t="s">
        <v>581</v>
      </c>
      <c r="P77" s="106" t="s">
        <v>505</v>
      </c>
      <c r="Q77" s="106" t="s">
        <v>83</v>
      </c>
      <c r="R77" s="106" t="s">
        <v>498</v>
      </c>
      <c r="S77" s="106" t="s">
        <v>121</v>
      </c>
      <c r="T77" s="106" t="s">
        <v>582</v>
      </c>
      <c r="U77" s="106" t="s">
        <v>191</v>
      </c>
    </row>
    <row r="78" customFormat="false" ht="91" hidden="false" customHeight="false" outlineLevel="0" collapsed="false">
      <c r="A78" s="105" t="s">
        <v>32</v>
      </c>
      <c r="B78" s="106" t="s">
        <v>33</v>
      </c>
      <c r="C78" s="106" t="s">
        <v>583</v>
      </c>
      <c r="D78" s="106" t="s">
        <v>493</v>
      </c>
      <c r="E78" s="106" t="s">
        <v>494</v>
      </c>
      <c r="F78" s="106" t="s">
        <v>584</v>
      </c>
      <c r="G78" s="106" t="s">
        <v>75</v>
      </c>
      <c r="H78" s="106" t="s">
        <v>585</v>
      </c>
      <c r="I78" s="106" t="s">
        <v>395</v>
      </c>
      <c r="J78" s="106" t="s">
        <v>78</v>
      </c>
      <c r="K78" s="106" t="s">
        <v>79</v>
      </c>
      <c r="L78" s="106" t="s">
        <v>80</v>
      </c>
      <c r="M78" s="106" t="s">
        <v>586</v>
      </c>
      <c r="N78" s="106" t="s">
        <v>587</v>
      </c>
      <c r="O78" s="106" t="s">
        <v>588</v>
      </c>
      <c r="P78" s="106" t="s">
        <v>505</v>
      </c>
      <c r="Q78" s="106" t="s">
        <v>83</v>
      </c>
      <c r="R78" s="106" t="s">
        <v>498</v>
      </c>
      <c r="S78" s="106" t="s">
        <v>121</v>
      </c>
      <c r="T78" s="106" t="s">
        <v>589</v>
      </c>
      <c r="U78" s="106" t="s">
        <v>123</v>
      </c>
    </row>
    <row r="79" customFormat="false" ht="57.45" hidden="false" customHeight="false" outlineLevel="0" collapsed="false">
      <c r="A79" s="105" t="s">
        <v>32</v>
      </c>
      <c r="B79" s="106" t="s">
        <v>33</v>
      </c>
      <c r="C79" s="106" t="s">
        <v>590</v>
      </c>
      <c r="D79" s="106" t="s">
        <v>493</v>
      </c>
      <c r="E79" s="106" t="s">
        <v>494</v>
      </c>
      <c r="F79" s="106" t="s">
        <v>591</v>
      </c>
      <c r="G79" s="106" t="s">
        <v>75</v>
      </c>
      <c r="H79" s="106" t="s">
        <v>592</v>
      </c>
      <c r="I79" s="106" t="s">
        <v>77</v>
      </c>
      <c r="J79" s="106" t="s">
        <v>78</v>
      </c>
      <c r="K79" s="106" t="s">
        <v>79</v>
      </c>
      <c r="L79" s="106" t="s">
        <v>80</v>
      </c>
      <c r="M79" s="106" t="s">
        <v>593</v>
      </c>
      <c r="N79" s="106" t="s">
        <v>594</v>
      </c>
      <c r="O79" s="106" t="s">
        <v>595</v>
      </c>
      <c r="P79" s="106" t="s">
        <v>505</v>
      </c>
      <c r="Q79" s="106" t="s">
        <v>83</v>
      </c>
      <c r="R79" s="106" t="s">
        <v>498</v>
      </c>
      <c r="S79" s="106" t="s">
        <v>121</v>
      </c>
      <c r="T79" s="106" t="s">
        <v>596</v>
      </c>
      <c r="U79" s="106" t="s">
        <v>191</v>
      </c>
    </row>
    <row r="80" customFormat="false" ht="57.45" hidden="false" customHeight="false" outlineLevel="0" collapsed="false">
      <c r="A80" s="105" t="s">
        <v>32</v>
      </c>
      <c r="B80" s="106" t="s">
        <v>33</v>
      </c>
      <c r="C80" s="106" t="s">
        <v>590</v>
      </c>
      <c r="D80" s="106" t="s">
        <v>493</v>
      </c>
      <c r="E80" s="106" t="s">
        <v>494</v>
      </c>
      <c r="F80" s="106" t="s">
        <v>597</v>
      </c>
      <c r="G80" s="106" t="s">
        <v>75</v>
      </c>
      <c r="H80" s="106" t="s">
        <v>598</v>
      </c>
      <c r="I80" s="106" t="s">
        <v>148</v>
      </c>
      <c r="J80" s="106" t="s">
        <v>78</v>
      </c>
      <c r="K80" s="106" t="s">
        <v>79</v>
      </c>
      <c r="L80" s="106" t="s">
        <v>80</v>
      </c>
      <c r="M80" s="106" t="s">
        <v>593</v>
      </c>
      <c r="N80" s="106" t="s">
        <v>594</v>
      </c>
      <c r="O80" s="106" t="s">
        <v>595</v>
      </c>
      <c r="P80" s="106" t="s">
        <v>505</v>
      </c>
      <c r="Q80" s="106" t="s">
        <v>83</v>
      </c>
      <c r="R80" s="106" t="s">
        <v>498</v>
      </c>
      <c r="S80" s="106" t="s">
        <v>121</v>
      </c>
      <c r="T80" s="106" t="s">
        <v>596</v>
      </c>
      <c r="U80" s="106" t="s">
        <v>191</v>
      </c>
    </row>
    <row r="81" customFormat="false" ht="57.45" hidden="false" customHeight="false" outlineLevel="0" collapsed="false">
      <c r="A81" s="105" t="s">
        <v>32</v>
      </c>
      <c r="B81" s="106" t="s">
        <v>33</v>
      </c>
      <c r="C81" s="106" t="s">
        <v>590</v>
      </c>
      <c r="D81" s="106" t="s">
        <v>493</v>
      </c>
      <c r="E81" s="106" t="s">
        <v>494</v>
      </c>
      <c r="F81" s="106" t="s">
        <v>599</v>
      </c>
      <c r="G81" s="106" t="s">
        <v>75</v>
      </c>
      <c r="H81" s="106" t="s">
        <v>600</v>
      </c>
      <c r="I81" s="106" t="s">
        <v>91</v>
      </c>
      <c r="J81" s="106" t="s">
        <v>78</v>
      </c>
      <c r="K81" s="106" t="s">
        <v>79</v>
      </c>
      <c r="L81" s="106" t="s">
        <v>601</v>
      </c>
      <c r="M81" s="106" t="s">
        <v>593</v>
      </c>
      <c r="N81" s="106" t="s">
        <v>594</v>
      </c>
      <c r="O81" s="106" t="s">
        <v>595</v>
      </c>
      <c r="P81" s="106" t="s">
        <v>505</v>
      </c>
      <c r="Q81" s="106" t="s">
        <v>83</v>
      </c>
      <c r="R81" s="106" t="s">
        <v>498</v>
      </c>
      <c r="S81" s="106" t="s">
        <v>121</v>
      </c>
      <c r="T81" s="106" t="s">
        <v>596</v>
      </c>
      <c r="U81" s="106" t="s">
        <v>191</v>
      </c>
    </row>
    <row r="82" customFormat="false" ht="57.45" hidden="false" customHeight="false" outlineLevel="0" collapsed="false">
      <c r="A82" s="105" t="s">
        <v>32</v>
      </c>
      <c r="B82" s="106" t="s">
        <v>33</v>
      </c>
      <c r="C82" s="106" t="s">
        <v>602</v>
      </c>
      <c r="D82" s="106" t="s">
        <v>493</v>
      </c>
      <c r="E82" s="106" t="s">
        <v>494</v>
      </c>
      <c r="F82" s="106" t="s">
        <v>603</v>
      </c>
      <c r="G82" s="106" t="s">
        <v>75</v>
      </c>
      <c r="H82" s="106" t="s">
        <v>604</v>
      </c>
      <c r="I82" s="106" t="s">
        <v>77</v>
      </c>
      <c r="J82" s="106" t="s">
        <v>78</v>
      </c>
      <c r="K82" s="106" t="s">
        <v>79</v>
      </c>
      <c r="L82" s="106" t="s">
        <v>80</v>
      </c>
      <c r="M82" s="106" t="s">
        <v>605</v>
      </c>
      <c r="N82" s="106" t="s">
        <v>606</v>
      </c>
      <c r="O82" s="106" t="s">
        <v>607</v>
      </c>
      <c r="P82" s="106" t="s">
        <v>608</v>
      </c>
      <c r="Q82" s="106" t="s">
        <v>83</v>
      </c>
      <c r="R82" s="106" t="s">
        <v>498</v>
      </c>
      <c r="S82" s="106" t="s">
        <v>121</v>
      </c>
      <c r="T82" s="106" t="s">
        <v>609</v>
      </c>
      <c r="U82" s="106" t="s">
        <v>191</v>
      </c>
    </row>
    <row r="83" customFormat="false" ht="57.45" hidden="false" customHeight="false" outlineLevel="0" collapsed="false">
      <c r="A83" s="105" t="s">
        <v>32</v>
      </c>
      <c r="B83" s="106" t="s">
        <v>33</v>
      </c>
      <c r="C83" s="106" t="s">
        <v>602</v>
      </c>
      <c r="D83" s="106" t="s">
        <v>493</v>
      </c>
      <c r="E83" s="106" t="s">
        <v>494</v>
      </c>
      <c r="F83" s="106" t="s">
        <v>610</v>
      </c>
      <c r="G83" s="106" t="s">
        <v>75</v>
      </c>
      <c r="H83" s="106" t="s">
        <v>611</v>
      </c>
      <c r="I83" s="106" t="s">
        <v>186</v>
      </c>
      <c r="J83" s="106" t="s">
        <v>78</v>
      </c>
      <c r="K83" s="106" t="s">
        <v>79</v>
      </c>
      <c r="L83" s="106" t="s">
        <v>80</v>
      </c>
      <c r="M83" s="106" t="s">
        <v>605</v>
      </c>
      <c r="N83" s="106" t="s">
        <v>606</v>
      </c>
      <c r="O83" s="106" t="s">
        <v>607</v>
      </c>
      <c r="P83" s="106" t="s">
        <v>608</v>
      </c>
      <c r="Q83" s="106" t="s">
        <v>83</v>
      </c>
      <c r="R83" s="106" t="s">
        <v>498</v>
      </c>
      <c r="S83" s="106" t="s">
        <v>121</v>
      </c>
      <c r="T83" s="106" t="s">
        <v>612</v>
      </c>
      <c r="U83" s="106" t="s">
        <v>191</v>
      </c>
    </row>
    <row r="84" customFormat="false" ht="57.45" hidden="false" customHeight="false" outlineLevel="0" collapsed="false">
      <c r="A84" s="105" t="s">
        <v>32</v>
      </c>
      <c r="B84" s="106" t="s">
        <v>33</v>
      </c>
      <c r="C84" s="106" t="s">
        <v>613</v>
      </c>
      <c r="D84" s="106" t="s">
        <v>493</v>
      </c>
      <c r="E84" s="106" t="s">
        <v>494</v>
      </c>
      <c r="F84" s="106" t="s">
        <v>614</v>
      </c>
      <c r="G84" s="106" t="s">
        <v>75</v>
      </c>
      <c r="H84" s="106" t="s">
        <v>615</v>
      </c>
      <c r="I84" s="106" t="s">
        <v>91</v>
      </c>
      <c r="J84" s="106" t="s">
        <v>78</v>
      </c>
      <c r="K84" s="106" t="s">
        <v>79</v>
      </c>
      <c r="L84" s="106" t="s">
        <v>80</v>
      </c>
      <c r="M84" s="106" t="s">
        <v>616</v>
      </c>
      <c r="N84" s="106" t="s">
        <v>617</v>
      </c>
      <c r="O84" s="106" t="s">
        <v>618</v>
      </c>
      <c r="P84" s="106" t="s">
        <v>619</v>
      </c>
      <c r="Q84" s="106" t="s">
        <v>83</v>
      </c>
      <c r="R84" s="106" t="s">
        <v>498</v>
      </c>
      <c r="S84" s="106" t="s">
        <v>121</v>
      </c>
      <c r="T84" s="106" t="s">
        <v>620</v>
      </c>
      <c r="U84" s="106" t="s">
        <v>191</v>
      </c>
    </row>
    <row r="85" customFormat="false" ht="57.45" hidden="false" customHeight="false" outlineLevel="0" collapsed="false">
      <c r="A85" s="105" t="s">
        <v>32</v>
      </c>
      <c r="B85" s="106" t="s">
        <v>33</v>
      </c>
      <c r="C85" s="106" t="s">
        <v>613</v>
      </c>
      <c r="D85" s="106" t="s">
        <v>493</v>
      </c>
      <c r="E85" s="106" t="s">
        <v>494</v>
      </c>
      <c r="F85" s="106" t="s">
        <v>621</v>
      </c>
      <c r="G85" s="106" t="s">
        <v>75</v>
      </c>
      <c r="H85" s="106" t="s">
        <v>622</v>
      </c>
      <c r="I85" s="106" t="s">
        <v>91</v>
      </c>
      <c r="J85" s="106" t="s">
        <v>78</v>
      </c>
      <c r="K85" s="106" t="s">
        <v>79</v>
      </c>
      <c r="L85" s="106" t="s">
        <v>173</v>
      </c>
      <c r="M85" s="106" t="s">
        <v>616</v>
      </c>
      <c r="N85" s="106" t="s">
        <v>617</v>
      </c>
      <c r="O85" s="106" t="s">
        <v>618</v>
      </c>
      <c r="P85" s="106" t="s">
        <v>619</v>
      </c>
      <c r="Q85" s="106" t="s">
        <v>83</v>
      </c>
      <c r="R85" s="106" t="s">
        <v>498</v>
      </c>
      <c r="S85" s="106" t="s">
        <v>121</v>
      </c>
      <c r="T85" s="106" t="s">
        <v>620</v>
      </c>
      <c r="U85" s="106" t="s">
        <v>191</v>
      </c>
    </row>
    <row r="86" customFormat="false" ht="57.45" hidden="false" customHeight="false" outlineLevel="0" collapsed="false">
      <c r="A86" s="105" t="s">
        <v>32</v>
      </c>
      <c r="B86" s="106" t="s">
        <v>33</v>
      </c>
      <c r="C86" s="106" t="s">
        <v>623</v>
      </c>
      <c r="D86" s="106" t="s">
        <v>493</v>
      </c>
      <c r="E86" s="106" t="s">
        <v>494</v>
      </c>
      <c r="F86" s="106" t="s">
        <v>624</v>
      </c>
      <c r="G86" s="106" t="s">
        <v>75</v>
      </c>
      <c r="H86" s="106" t="s">
        <v>625</v>
      </c>
      <c r="I86" s="106" t="s">
        <v>91</v>
      </c>
      <c r="J86" s="106" t="s">
        <v>78</v>
      </c>
      <c r="K86" s="106" t="s">
        <v>79</v>
      </c>
      <c r="L86" s="106" t="s">
        <v>173</v>
      </c>
      <c r="M86" s="106" t="s">
        <v>626</v>
      </c>
      <c r="N86" s="106" t="s">
        <v>627</v>
      </c>
      <c r="O86" s="106" t="s">
        <v>628</v>
      </c>
      <c r="P86" s="106" t="s">
        <v>505</v>
      </c>
      <c r="Q86" s="106" t="s">
        <v>83</v>
      </c>
      <c r="R86" s="106" t="s">
        <v>498</v>
      </c>
      <c r="S86" s="106" t="s">
        <v>121</v>
      </c>
      <c r="T86" s="106" t="s">
        <v>629</v>
      </c>
      <c r="U86" s="106" t="s">
        <v>630</v>
      </c>
    </row>
    <row r="87" customFormat="false" ht="57.45" hidden="false" customHeight="false" outlineLevel="0" collapsed="false">
      <c r="A87" s="105" t="s">
        <v>32</v>
      </c>
      <c r="B87" s="106" t="s">
        <v>33</v>
      </c>
      <c r="C87" s="106" t="s">
        <v>623</v>
      </c>
      <c r="D87" s="106" t="s">
        <v>493</v>
      </c>
      <c r="E87" s="106" t="s">
        <v>494</v>
      </c>
      <c r="F87" s="106" t="s">
        <v>631</v>
      </c>
      <c r="G87" s="106" t="s">
        <v>75</v>
      </c>
      <c r="H87" s="106" t="s">
        <v>632</v>
      </c>
      <c r="I87" s="106" t="s">
        <v>77</v>
      </c>
      <c r="J87" s="106" t="s">
        <v>78</v>
      </c>
      <c r="K87" s="106" t="s">
        <v>79</v>
      </c>
      <c r="L87" s="106" t="s">
        <v>80</v>
      </c>
      <c r="M87" s="106" t="s">
        <v>626</v>
      </c>
      <c r="N87" s="106" t="s">
        <v>627</v>
      </c>
      <c r="O87" s="106" t="s">
        <v>628</v>
      </c>
      <c r="P87" s="106" t="s">
        <v>505</v>
      </c>
      <c r="Q87" s="106" t="s">
        <v>83</v>
      </c>
      <c r="R87" s="106" t="s">
        <v>498</v>
      </c>
      <c r="S87" s="106" t="s">
        <v>121</v>
      </c>
      <c r="T87" s="106" t="s">
        <v>629</v>
      </c>
      <c r="U87" s="106" t="s">
        <v>630</v>
      </c>
    </row>
    <row r="88" customFormat="false" ht="337.3" hidden="false" customHeight="false" outlineLevel="0" collapsed="false">
      <c r="A88" s="105" t="s">
        <v>32</v>
      </c>
      <c r="B88" s="106" t="s">
        <v>33</v>
      </c>
      <c r="C88" s="106" t="s">
        <v>633</v>
      </c>
      <c r="D88" s="106" t="s">
        <v>493</v>
      </c>
      <c r="E88" s="106" t="s">
        <v>494</v>
      </c>
      <c r="F88" s="106" t="s">
        <v>634</v>
      </c>
      <c r="G88" s="106" t="s">
        <v>75</v>
      </c>
      <c r="H88" s="106" t="s">
        <v>635</v>
      </c>
      <c r="I88" s="106" t="s">
        <v>78</v>
      </c>
      <c r="J88" s="106" t="s">
        <v>78</v>
      </c>
      <c r="K88" s="106" t="s">
        <v>78</v>
      </c>
      <c r="L88" s="106" t="s">
        <v>78</v>
      </c>
      <c r="M88" s="106" t="s">
        <v>636</v>
      </c>
      <c r="N88" s="106" t="s">
        <v>637</v>
      </c>
      <c r="O88" s="106" t="s">
        <v>638</v>
      </c>
      <c r="P88" s="106" t="s">
        <v>639</v>
      </c>
      <c r="Q88" s="106" t="s">
        <v>640</v>
      </c>
      <c r="R88" s="106" t="s">
        <v>641</v>
      </c>
      <c r="S88" s="106" t="s">
        <v>95</v>
      </c>
      <c r="T88" s="106" t="s">
        <v>642</v>
      </c>
      <c r="U88" s="106" t="s">
        <v>201</v>
      </c>
    </row>
    <row r="89" customFormat="false" ht="57.45" hidden="false" customHeight="false" outlineLevel="0" collapsed="false">
      <c r="A89" s="107" t="s">
        <v>34</v>
      </c>
      <c r="B89" s="108" t="s">
        <v>35</v>
      </c>
      <c r="C89" s="108" t="s">
        <v>643</v>
      </c>
      <c r="D89" s="108" t="s">
        <v>644</v>
      </c>
      <c r="E89" s="108" t="s">
        <v>645</v>
      </c>
      <c r="F89" s="108" t="s">
        <v>646</v>
      </c>
      <c r="G89" s="108" t="s">
        <v>75</v>
      </c>
      <c r="H89" s="108" t="s">
        <v>647</v>
      </c>
      <c r="I89" s="108" t="s">
        <v>367</v>
      </c>
      <c r="J89" s="108" t="s">
        <v>78</v>
      </c>
      <c r="K89" s="108" t="s">
        <v>79</v>
      </c>
      <c r="L89" s="108" t="s">
        <v>80</v>
      </c>
      <c r="M89" s="108"/>
      <c r="N89" s="108" t="s">
        <v>648</v>
      </c>
      <c r="O89" s="108" t="s">
        <v>82</v>
      </c>
      <c r="P89" s="108" t="s">
        <v>78</v>
      </c>
      <c r="Q89" s="108" t="s">
        <v>83</v>
      </c>
      <c r="R89" s="108" t="s">
        <v>84</v>
      </c>
      <c r="S89" s="108" t="s">
        <v>649</v>
      </c>
      <c r="T89" s="108" t="s">
        <v>650</v>
      </c>
      <c r="U89" s="108" t="s">
        <v>87</v>
      </c>
    </row>
    <row r="90" customFormat="false" ht="79.85" hidden="false" customHeight="false" outlineLevel="0" collapsed="false">
      <c r="A90" s="107" t="s">
        <v>34</v>
      </c>
      <c r="B90" s="108" t="s">
        <v>35</v>
      </c>
      <c r="C90" s="108" t="s">
        <v>651</v>
      </c>
      <c r="D90" s="108" t="s">
        <v>644</v>
      </c>
      <c r="E90" s="108" t="s">
        <v>645</v>
      </c>
      <c r="F90" s="108" t="s">
        <v>652</v>
      </c>
      <c r="G90" s="108" t="s">
        <v>75</v>
      </c>
      <c r="H90" s="108" t="s">
        <v>653</v>
      </c>
      <c r="I90" s="108" t="s">
        <v>181</v>
      </c>
      <c r="J90" s="108" t="s">
        <v>78</v>
      </c>
      <c r="K90" s="108" t="s">
        <v>79</v>
      </c>
      <c r="L90" s="108" t="s">
        <v>80</v>
      </c>
      <c r="M90" s="108"/>
      <c r="N90" s="108" t="s">
        <v>654</v>
      </c>
      <c r="O90" s="108" t="s">
        <v>655</v>
      </c>
      <c r="P90" s="108" t="s">
        <v>656</v>
      </c>
      <c r="Q90" s="108" t="s">
        <v>83</v>
      </c>
      <c r="R90" s="108" t="s">
        <v>84</v>
      </c>
      <c r="S90" s="108" t="s">
        <v>121</v>
      </c>
      <c r="T90" s="108" t="s">
        <v>657</v>
      </c>
      <c r="U90" s="108" t="s">
        <v>658</v>
      </c>
    </row>
    <row r="91" customFormat="false" ht="135.8" hidden="false" customHeight="false" outlineLevel="0" collapsed="false">
      <c r="A91" s="107" t="s">
        <v>34</v>
      </c>
      <c r="B91" s="108" t="s">
        <v>35</v>
      </c>
      <c r="C91" s="108" t="s">
        <v>643</v>
      </c>
      <c r="D91" s="108" t="s">
        <v>644</v>
      </c>
      <c r="E91" s="108" t="s">
        <v>645</v>
      </c>
      <c r="F91" s="108" t="s">
        <v>659</v>
      </c>
      <c r="G91" s="108" t="s">
        <v>75</v>
      </c>
      <c r="H91" s="108" t="s">
        <v>660</v>
      </c>
      <c r="I91" s="108" t="s">
        <v>661</v>
      </c>
      <c r="J91" s="108" t="s">
        <v>662</v>
      </c>
      <c r="K91" s="108" t="s">
        <v>79</v>
      </c>
      <c r="L91" s="108" t="s">
        <v>80</v>
      </c>
      <c r="M91" s="108"/>
      <c r="N91" s="108" t="s">
        <v>663</v>
      </c>
      <c r="O91" s="108" t="s">
        <v>82</v>
      </c>
      <c r="P91" s="108" t="s">
        <v>78</v>
      </c>
      <c r="Q91" s="108" t="s">
        <v>83</v>
      </c>
      <c r="R91" s="108" t="s">
        <v>408</v>
      </c>
      <c r="S91" s="108" t="s">
        <v>649</v>
      </c>
      <c r="T91" s="108" t="s">
        <v>664</v>
      </c>
      <c r="U91" s="108" t="s">
        <v>87</v>
      </c>
    </row>
    <row r="92" customFormat="false" ht="158.2" hidden="false" customHeight="false" outlineLevel="0" collapsed="false">
      <c r="A92" s="107" t="s">
        <v>34</v>
      </c>
      <c r="B92" s="108" t="s">
        <v>35</v>
      </c>
      <c r="C92" s="108" t="s">
        <v>643</v>
      </c>
      <c r="D92" s="108" t="s">
        <v>644</v>
      </c>
      <c r="E92" s="108" t="s">
        <v>645</v>
      </c>
      <c r="F92" s="108" t="s">
        <v>665</v>
      </c>
      <c r="G92" s="108" t="s">
        <v>75</v>
      </c>
      <c r="H92" s="108" t="s">
        <v>666</v>
      </c>
      <c r="I92" s="108" t="s">
        <v>661</v>
      </c>
      <c r="J92" s="108" t="s">
        <v>78</v>
      </c>
      <c r="K92" s="108" t="s">
        <v>79</v>
      </c>
      <c r="L92" s="108" t="s">
        <v>403</v>
      </c>
      <c r="M92" s="108"/>
      <c r="N92" s="108" t="s">
        <v>667</v>
      </c>
      <c r="O92" s="108" t="s">
        <v>82</v>
      </c>
      <c r="P92" s="108" t="s">
        <v>78</v>
      </c>
      <c r="Q92" s="108" t="s">
        <v>83</v>
      </c>
      <c r="R92" s="108" t="s">
        <v>408</v>
      </c>
      <c r="S92" s="108" t="s">
        <v>649</v>
      </c>
      <c r="T92" s="108" t="s">
        <v>668</v>
      </c>
      <c r="U92" s="108" t="s">
        <v>87</v>
      </c>
    </row>
    <row r="93" customFormat="false" ht="57.45" hidden="false" customHeight="false" outlineLevel="0" collapsed="false">
      <c r="A93" s="107" t="s">
        <v>34</v>
      </c>
      <c r="B93" s="108" t="s">
        <v>35</v>
      </c>
      <c r="C93" s="108" t="s">
        <v>643</v>
      </c>
      <c r="D93" s="108" t="s">
        <v>644</v>
      </c>
      <c r="E93" s="108" t="s">
        <v>645</v>
      </c>
      <c r="F93" s="108" t="s">
        <v>669</v>
      </c>
      <c r="G93" s="108" t="s">
        <v>75</v>
      </c>
      <c r="H93" s="108" t="s">
        <v>670</v>
      </c>
      <c r="I93" s="108" t="s">
        <v>181</v>
      </c>
      <c r="J93" s="108" t="s">
        <v>78</v>
      </c>
      <c r="K93" s="108" t="s">
        <v>79</v>
      </c>
      <c r="L93" s="108" t="s">
        <v>80</v>
      </c>
      <c r="M93" s="108"/>
      <c r="N93" s="108" t="s">
        <v>671</v>
      </c>
      <c r="O93" s="108" t="s">
        <v>82</v>
      </c>
      <c r="P93" s="108" t="s">
        <v>78</v>
      </c>
      <c r="Q93" s="108" t="s">
        <v>83</v>
      </c>
      <c r="R93" s="108" t="s">
        <v>84</v>
      </c>
      <c r="S93" s="108" t="s">
        <v>649</v>
      </c>
      <c r="T93" s="108" t="s">
        <v>672</v>
      </c>
      <c r="U93" s="108" t="s">
        <v>87</v>
      </c>
    </row>
    <row r="94" customFormat="false" ht="57.45" hidden="false" customHeight="false" outlineLevel="0" collapsed="false">
      <c r="A94" s="107" t="s">
        <v>34</v>
      </c>
      <c r="B94" s="108" t="s">
        <v>35</v>
      </c>
      <c r="C94" s="108" t="s">
        <v>673</v>
      </c>
      <c r="D94" s="108" t="s">
        <v>644</v>
      </c>
      <c r="E94" s="108" t="s">
        <v>645</v>
      </c>
      <c r="F94" s="108" t="s">
        <v>674</v>
      </c>
      <c r="G94" s="108" t="s">
        <v>75</v>
      </c>
      <c r="H94" s="108" t="s">
        <v>675</v>
      </c>
      <c r="I94" s="108" t="s">
        <v>186</v>
      </c>
      <c r="J94" s="108" t="s">
        <v>78</v>
      </c>
      <c r="K94" s="108" t="s">
        <v>79</v>
      </c>
      <c r="L94" s="108" t="s">
        <v>80</v>
      </c>
      <c r="M94" s="108" t="s">
        <v>676</v>
      </c>
      <c r="N94" s="108"/>
      <c r="O94" s="108" t="s">
        <v>82</v>
      </c>
      <c r="P94" s="108" t="s">
        <v>78</v>
      </c>
      <c r="Q94" s="108" t="s">
        <v>83</v>
      </c>
      <c r="R94" s="108" t="s">
        <v>84</v>
      </c>
      <c r="S94" s="108" t="s">
        <v>85</v>
      </c>
      <c r="T94" s="108" t="s">
        <v>677</v>
      </c>
      <c r="U94" s="108" t="s">
        <v>97</v>
      </c>
    </row>
    <row r="95" customFormat="false" ht="57.45" hidden="false" customHeight="false" outlineLevel="0" collapsed="false">
      <c r="A95" s="107" t="s">
        <v>34</v>
      </c>
      <c r="B95" s="108" t="s">
        <v>35</v>
      </c>
      <c r="C95" s="108" t="s">
        <v>678</v>
      </c>
      <c r="D95" s="108" t="s">
        <v>644</v>
      </c>
      <c r="E95" s="108" t="s">
        <v>645</v>
      </c>
      <c r="F95" s="108" t="s">
        <v>679</v>
      </c>
      <c r="G95" s="108" t="s">
        <v>75</v>
      </c>
      <c r="H95" s="108" t="s">
        <v>680</v>
      </c>
      <c r="I95" s="108" t="s">
        <v>186</v>
      </c>
      <c r="J95" s="108" t="s">
        <v>78</v>
      </c>
      <c r="K95" s="108" t="s">
        <v>79</v>
      </c>
      <c r="L95" s="108" t="s">
        <v>681</v>
      </c>
      <c r="M95" s="108" t="s">
        <v>682</v>
      </c>
      <c r="N95" s="108" t="s">
        <v>683</v>
      </c>
      <c r="O95" s="108" t="s">
        <v>684</v>
      </c>
      <c r="P95" s="108" t="s">
        <v>189</v>
      </c>
      <c r="Q95" s="108" t="s">
        <v>83</v>
      </c>
      <c r="R95" s="108" t="s">
        <v>84</v>
      </c>
      <c r="S95" s="108" t="s">
        <v>121</v>
      </c>
      <c r="T95" s="108" t="s">
        <v>685</v>
      </c>
      <c r="U95" s="108" t="s">
        <v>191</v>
      </c>
    </row>
    <row r="96" customFormat="false" ht="57.45" hidden="false" customHeight="false" outlineLevel="0" collapsed="false">
      <c r="A96" s="107" t="s">
        <v>34</v>
      </c>
      <c r="B96" s="108" t="s">
        <v>35</v>
      </c>
      <c r="C96" s="108" t="s">
        <v>686</v>
      </c>
      <c r="D96" s="108" t="s">
        <v>644</v>
      </c>
      <c r="E96" s="108" t="s">
        <v>645</v>
      </c>
      <c r="F96" s="108" t="s">
        <v>687</v>
      </c>
      <c r="G96" s="108" t="s">
        <v>75</v>
      </c>
      <c r="H96" s="108" t="s">
        <v>688</v>
      </c>
      <c r="I96" s="108" t="s">
        <v>689</v>
      </c>
      <c r="J96" s="108" t="s">
        <v>690</v>
      </c>
      <c r="K96" s="108" t="s">
        <v>79</v>
      </c>
      <c r="L96" s="108" t="s">
        <v>80</v>
      </c>
      <c r="M96" s="108" t="s">
        <v>691</v>
      </c>
      <c r="N96" s="108" t="s">
        <v>683</v>
      </c>
      <c r="O96" s="108" t="s">
        <v>684</v>
      </c>
      <c r="P96" s="108" t="s">
        <v>189</v>
      </c>
      <c r="Q96" s="108" t="s">
        <v>83</v>
      </c>
      <c r="R96" s="108" t="s">
        <v>84</v>
      </c>
      <c r="S96" s="108" t="s">
        <v>121</v>
      </c>
      <c r="T96" s="108" t="s">
        <v>692</v>
      </c>
      <c r="U96" s="108" t="s">
        <v>191</v>
      </c>
    </row>
    <row r="97" customFormat="false" ht="57.45" hidden="false" customHeight="false" outlineLevel="0" collapsed="false">
      <c r="A97" s="107" t="s">
        <v>34</v>
      </c>
      <c r="B97" s="108" t="s">
        <v>35</v>
      </c>
      <c r="C97" s="108" t="s">
        <v>693</v>
      </c>
      <c r="D97" s="108" t="s">
        <v>644</v>
      </c>
      <c r="E97" s="108" t="s">
        <v>645</v>
      </c>
      <c r="F97" s="108" t="s">
        <v>694</v>
      </c>
      <c r="G97" s="108" t="s">
        <v>75</v>
      </c>
      <c r="H97" s="108" t="s">
        <v>695</v>
      </c>
      <c r="I97" s="108" t="s">
        <v>373</v>
      </c>
      <c r="J97" s="108" t="s">
        <v>78</v>
      </c>
      <c r="K97" s="108" t="s">
        <v>79</v>
      </c>
      <c r="L97" s="108" t="s">
        <v>80</v>
      </c>
      <c r="M97" s="108" t="s">
        <v>696</v>
      </c>
      <c r="N97" s="108" t="s">
        <v>697</v>
      </c>
      <c r="O97" s="108" t="s">
        <v>698</v>
      </c>
      <c r="P97" s="108" t="s">
        <v>699</v>
      </c>
      <c r="Q97" s="108" t="s">
        <v>83</v>
      </c>
      <c r="R97" s="108" t="s">
        <v>84</v>
      </c>
      <c r="S97" s="108" t="s">
        <v>121</v>
      </c>
      <c r="T97" s="108" t="s">
        <v>700</v>
      </c>
      <c r="U97" s="108" t="s">
        <v>316</v>
      </c>
    </row>
    <row r="98" customFormat="false" ht="113.4" hidden="false" customHeight="false" outlineLevel="0" collapsed="false">
      <c r="A98" s="107" t="s">
        <v>34</v>
      </c>
      <c r="B98" s="108" t="s">
        <v>35</v>
      </c>
      <c r="C98" s="108" t="s">
        <v>701</v>
      </c>
      <c r="D98" s="108" t="s">
        <v>644</v>
      </c>
      <c r="E98" s="108" t="s">
        <v>645</v>
      </c>
      <c r="F98" s="108" t="s">
        <v>702</v>
      </c>
      <c r="G98" s="108" t="s">
        <v>75</v>
      </c>
      <c r="H98" s="108" t="s">
        <v>703</v>
      </c>
      <c r="I98" s="108" t="s">
        <v>186</v>
      </c>
      <c r="J98" s="108" t="s">
        <v>78</v>
      </c>
      <c r="K98" s="108" t="s">
        <v>79</v>
      </c>
      <c r="L98" s="108" t="s">
        <v>80</v>
      </c>
      <c r="M98" s="108" t="s">
        <v>704</v>
      </c>
      <c r="N98" s="108" t="s">
        <v>705</v>
      </c>
      <c r="O98" s="108" t="s">
        <v>706</v>
      </c>
      <c r="P98" s="108" t="s">
        <v>707</v>
      </c>
      <c r="Q98" s="108" t="s">
        <v>83</v>
      </c>
      <c r="R98" s="108" t="s">
        <v>84</v>
      </c>
      <c r="S98" s="108" t="s">
        <v>121</v>
      </c>
      <c r="T98" s="108" t="s">
        <v>708</v>
      </c>
      <c r="U98" s="108" t="s">
        <v>272</v>
      </c>
    </row>
    <row r="99" customFormat="false" ht="57.45" hidden="false" customHeight="false" outlineLevel="0" collapsed="false">
      <c r="A99" s="107" t="s">
        <v>34</v>
      </c>
      <c r="B99" s="108" t="s">
        <v>35</v>
      </c>
      <c r="C99" s="108" t="s">
        <v>709</v>
      </c>
      <c r="D99" s="108" t="s">
        <v>644</v>
      </c>
      <c r="E99" s="108" t="s">
        <v>645</v>
      </c>
      <c r="F99" s="108" t="s">
        <v>710</v>
      </c>
      <c r="G99" s="108" t="s">
        <v>75</v>
      </c>
      <c r="H99" s="108" t="s">
        <v>711</v>
      </c>
      <c r="I99" s="108" t="s">
        <v>661</v>
      </c>
      <c r="J99" s="108" t="s">
        <v>78</v>
      </c>
      <c r="K99" s="108" t="s">
        <v>79</v>
      </c>
      <c r="L99" s="108" t="s">
        <v>80</v>
      </c>
      <c r="M99" s="108" t="s">
        <v>712</v>
      </c>
      <c r="N99" s="108" t="s">
        <v>713</v>
      </c>
      <c r="O99" s="108" t="s">
        <v>714</v>
      </c>
      <c r="P99" s="108" t="s">
        <v>715</v>
      </c>
      <c r="Q99" s="108" t="s">
        <v>83</v>
      </c>
      <c r="R99" s="108" t="s">
        <v>84</v>
      </c>
      <c r="S99" s="108" t="s">
        <v>121</v>
      </c>
      <c r="T99" s="108" t="s">
        <v>716</v>
      </c>
      <c r="U99" s="108" t="s">
        <v>191</v>
      </c>
    </row>
    <row r="100" customFormat="false" ht="57.45" hidden="false" customHeight="false" outlineLevel="0" collapsed="false">
      <c r="A100" s="109" t="s">
        <v>36</v>
      </c>
      <c r="B100" s="110" t="s">
        <v>37</v>
      </c>
      <c r="C100" s="110" t="s">
        <v>717</v>
      </c>
      <c r="D100" s="110" t="s">
        <v>718</v>
      </c>
      <c r="E100" s="110" t="s">
        <v>719</v>
      </c>
      <c r="F100" s="110" t="s">
        <v>720</v>
      </c>
      <c r="G100" s="110" t="s">
        <v>75</v>
      </c>
      <c r="H100" s="110" t="s">
        <v>721</v>
      </c>
      <c r="I100" s="110" t="s">
        <v>320</v>
      </c>
      <c r="J100" s="110" t="s">
        <v>78</v>
      </c>
      <c r="K100" s="110" t="s">
        <v>79</v>
      </c>
      <c r="L100" s="110" t="s">
        <v>80</v>
      </c>
      <c r="M100" s="110" t="s">
        <v>722</v>
      </c>
      <c r="N100" s="110" t="s">
        <v>723</v>
      </c>
      <c r="O100" s="110" t="s">
        <v>724</v>
      </c>
      <c r="P100" s="110" t="s">
        <v>189</v>
      </c>
      <c r="Q100" s="110" t="s">
        <v>83</v>
      </c>
      <c r="R100" s="110" t="s">
        <v>84</v>
      </c>
      <c r="S100" s="110" t="s">
        <v>121</v>
      </c>
      <c r="T100" s="110" t="s">
        <v>725</v>
      </c>
      <c r="U100" s="110" t="s">
        <v>191</v>
      </c>
    </row>
    <row r="101" customFormat="false" ht="57.45" hidden="false" customHeight="false" outlineLevel="0" collapsed="false">
      <c r="A101" s="109" t="s">
        <v>36</v>
      </c>
      <c r="B101" s="110" t="s">
        <v>37</v>
      </c>
      <c r="C101" s="110" t="s">
        <v>726</v>
      </c>
      <c r="D101" s="110" t="s">
        <v>718</v>
      </c>
      <c r="E101" s="110" t="s">
        <v>719</v>
      </c>
      <c r="F101" s="110" t="s">
        <v>727</v>
      </c>
      <c r="G101" s="110" t="s">
        <v>75</v>
      </c>
      <c r="H101" s="110" t="s">
        <v>728</v>
      </c>
      <c r="I101" s="110" t="s">
        <v>77</v>
      </c>
      <c r="J101" s="110" t="s">
        <v>78</v>
      </c>
      <c r="K101" s="110" t="s">
        <v>79</v>
      </c>
      <c r="L101" s="110" t="s">
        <v>80</v>
      </c>
      <c r="M101" s="110" t="s">
        <v>729</v>
      </c>
      <c r="N101" s="110" t="s">
        <v>730</v>
      </c>
      <c r="O101" s="110" t="s">
        <v>731</v>
      </c>
      <c r="P101" s="110" t="s">
        <v>189</v>
      </c>
      <c r="Q101" s="110" t="s">
        <v>83</v>
      </c>
      <c r="R101" s="110" t="s">
        <v>84</v>
      </c>
      <c r="S101" s="110" t="s">
        <v>121</v>
      </c>
      <c r="T101" s="110" t="s">
        <v>732</v>
      </c>
      <c r="U101" s="110" t="s">
        <v>191</v>
      </c>
    </row>
    <row r="102" customFormat="false" ht="57.45" hidden="false" customHeight="false" outlineLevel="0" collapsed="false">
      <c r="A102" s="109" t="s">
        <v>36</v>
      </c>
      <c r="B102" s="110" t="s">
        <v>37</v>
      </c>
      <c r="C102" s="110" t="s">
        <v>726</v>
      </c>
      <c r="D102" s="110" t="s">
        <v>718</v>
      </c>
      <c r="E102" s="110" t="s">
        <v>719</v>
      </c>
      <c r="F102" s="110" t="s">
        <v>733</v>
      </c>
      <c r="G102" s="110" t="s">
        <v>75</v>
      </c>
      <c r="H102" s="110" t="s">
        <v>734</v>
      </c>
      <c r="I102" s="110" t="s">
        <v>735</v>
      </c>
      <c r="J102" s="110" t="s">
        <v>78</v>
      </c>
      <c r="K102" s="110" t="s">
        <v>79</v>
      </c>
      <c r="L102" s="110" t="s">
        <v>173</v>
      </c>
      <c r="M102" s="110" t="s">
        <v>729</v>
      </c>
      <c r="N102" s="110" t="s">
        <v>730</v>
      </c>
      <c r="O102" s="110" t="s">
        <v>731</v>
      </c>
      <c r="P102" s="110" t="s">
        <v>189</v>
      </c>
      <c r="Q102" s="110" t="s">
        <v>83</v>
      </c>
      <c r="R102" s="110" t="s">
        <v>84</v>
      </c>
      <c r="S102" s="110" t="s">
        <v>121</v>
      </c>
      <c r="T102" s="110" t="s">
        <v>736</v>
      </c>
      <c r="U102" s="110" t="s">
        <v>191</v>
      </c>
    </row>
    <row r="103" customFormat="false" ht="57.45" hidden="false" customHeight="false" outlineLevel="0" collapsed="false">
      <c r="A103" s="109" t="s">
        <v>36</v>
      </c>
      <c r="B103" s="110" t="s">
        <v>37</v>
      </c>
      <c r="C103" s="110" t="s">
        <v>737</v>
      </c>
      <c r="D103" s="110" t="s">
        <v>718</v>
      </c>
      <c r="E103" s="110" t="s">
        <v>719</v>
      </c>
      <c r="F103" s="110" t="s">
        <v>738</v>
      </c>
      <c r="G103" s="110" t="s">
        <v>75</v>
      </c>
      <c r="H103" s="110" t="s">
        <v>739</v>
      </c>
      <c r="I103" s="110" t="s">
        <v>740</v>
      </c>
      <c r="J103" s="110" t="s">
        <v>741</v>
      </c>
      <c r="K103" s="110" t="s">
        <v>79</v>
      </c>
      <c r="L103" s="110" t="s">
        <v>517</v>
      </c>
      <c r="M103" s="110" t="s">
        <v>742</v>
      </c>
      <c r="N103" s="110" t="s">
        <v>743</v>
      </c>
      <c r="O103" s="110" t="s">
        <v>744</v>
      </c>
      <c r="P103" s="110" t="s">
        <v>189</v>
      </c>
      <c r="Q103" s="110" t="s">
        <v>83</v>
      </c>
      <c r="R103" s="110" t="s">
        <v>84</v>
      </c>
      <c r="S103" s="110" t="s">
        <v>121</v>
      </c>
      <c r="T103" s="110" t="s">
        <v>745</v>
      </c>
      <c r="U103" s="110" t="s">
        <v>316</v>
      </c>
    </row>
    <row r="104" customFormat="false" ht="57.45" hidden="false" customHeight="false" outlineLevel="0" collapsed="false">
      <c r="A104" s="109" t="s">
        <v>36</v>
      </c>
      <c r="B104" s="110" t="s">
        <v>37</v>
      </c>
      <c r="C104" s="110" t="s">
        <v>737</v>
      </c>
      <c r="D104" s="110" t="s">
        <v>718</v>
      </c>
      <c r="E104" s="110" t="s">
        <v>719</v>
      </c>
      <c r="F104" s="110" t="s">
        <v>746</v>
      </c>
      <c r="G104" s="110" t="s">
        <v>75</v>
      </c>
      <c r="H104" s="110" t="s">
        <v>747</v>
      </c>
      <c r="I104" s="110" t="s">
        <v>661</v>
      </c>
      <c r="J104" s="110" t="s">
        <v>78</v>
      </c>
      <c r="K104" s="110" t="s">
        <v>79</v>
      </c>
      <c r="L104" s="110" t="s">
        <v>80</v>
      </c>
      <c r="M104" s="110" t="s">
        <v>742</v>
      </c>
      <c r="N104" s="110" t="s">
        <v>743</v>
      </c>
      <c r="O104" s="110" t="s">
        <v>744</v>
      </c>
      <c r="P104" s="110" t="s">
        <v>189</v>
      </c>
      <c r="Q104" s="110" t="s">
        <v>83</v>
      </c>
      <c r="R104" s="110" t="s">
        <v>84</v>
      </c>
      <c r="S104" s="110" t="s">
        <v>121</v>
      </c>
      <c r="T104" s="110" t="s">
        <v>748</v>
      </c>
      <c r="U104" s="110" t="s">
        <v>316</v>
      </c>
    </row>
    <row r="105" customFormat="false" ht="57.45" hidden="false" customHeight="false" outlineLevel="0" collapsed="false">
      <c r="A105" s="109" t="s">
        <v>36</v>
      </c>
      <c r="B105" s="110" t="s">
        <v>37</v>
      </c>
      <c r="C105" s="110" t="s">
        <v>749</v>
      </c>
      <c r="D105" s="110" t="s">
        <v>718</v>
      </c>
      <c r="E105" s="110" t="s">
        <v>719</v>
      </c>
      <c r="F105" s="110" t="s">
        <v>750</v>
      </c>
      <c r="G105" s="110" t="s">
        <v>75</v>
      </c>
      <c r="H105" s="110" t="s">
        <v>751</v>
      </c>
      <c r="I105" s="110" t="s">
        <v>752</v>
      </c>
      <c r="J105" s="110" t="s">
        <v>78</v>
      </c>
      <c r="K105" s="110" t="s">
        <v>79</v>
      </c>
      <c r="L105" s="110" t="s">
        <v>403</v>
      </c>
      <c r="M105" s="110" t="s">
        <v>753</v>
      </c>
      <c r="N105" s="110" t="s">
        <v>754</v>
      </c>
      <c r="O105" s="110" t="s">
        <v>755</v>
      </c>
      <c r="P105" s="110" t="s">
        <v>189</v>
      </c>
      <c r="Q105" s="110" t="s">
        <v>83</v>
      </c>
      <c r="R105" s="110" t="s">
        <v>84</v>
      </c>
      <c r="S105" s="110" t="s">
        <v>121</v>
      </c>
      <c r="T105" s="110" t="s">
        <v>756</v>
      </c>
      <c r="U105" s="110" t="s">
        <v>191</v>
      </c>
    </row>
    <row r="106" customFormat="false" ht="91" hidden="false" customHeight="false" outlineLevel="0" collapsed="false">
      <c r="A106" s="111" t="s">
        <v>38</v>
      </c>
      <c r="B106" s="112" t="s">
        <v>39</v>
      </c>
      <c r="C106" s="112" t="s">
        <v>757</v>
      </c>
      <c r="D106" s="112" t="s">
        <v>758</v>
      </c>
      <c r="E106" s="112" t="s">
        <v>759</v>
      </c>
      <c r="F106" s="112" t="s">
        <v>760</v>
      </c>
      <c r="G106" s="112" t="s">
        <v>75</v>
      </c>
      <c r="H106" s="112" t="s">
        <v>761</v>
      </c>
      <c r="I106" s="112" t="s">
        <v>367</v>
      </c>
      <c r="J106" s="112" t="s">
        <v>78</v>
      </c>
      <c r="K106" s="112" t="s">
        <v>79</v>
      </c>
      <c r="L106" s="112" t="s">
        <v>80</v>
      </c>
      <c r="M106" s="112"/>
      <c r="N106" s="112" t="s">
        <v>762</v>
      </c>
      <c r="O106" s="112" t="s">
        <v>763</v>
      </c>
      <c r="P106" s="112" t="s">
        <v>189</v>
      </c>
      <c r="Q106" s="112" t="s">
        <v>83</v>
      </c>
      <c r="R106" s="112" t="s">
        <v>84</v>
      </c>
      <c r="S106" s="112" t="s">
        <v>121</v>
      </c>
      <c r="T106" s="112" t="s">
        <v>764</v>
      </c>
      <c r="U106" s="112" t="s">
        <v>765</v>
      </c>
    </row>
    <row r="107" customFormat="false" ht="57.45" hidden="false" customHeight="false" outlineLevel="0" collapsed="false">
      <c r="A107" s="111" t="s">
        <v>38</v>
      </c>
      <c r="B107" s="112" t="s">
        <v>39</v>
      </c>
      <c r="C107" s="112" t="s">
        <v>766</v>
      </c>
      <c r="D107" s="112" t="s">
        <v>758</v>
      </c>
      <c r="E107" s="112" t="s">
        <v>759</v>
      </c>
      <c r="F107" s="112" t="s">
        <v>767</v>
      </c>
      <c r="G107" s="112" t="s">
        <v>75</v>
      </c>
      <c r="H107" s="112" t="s">
        <v>768</v>
      </c>
      <c r="I107" s="112" t="s">
        <v>181</v>
      </c>
      <c r="J107" s="112" t="s">
        <v>78</v>
      </c>
      <c r="K107" s="112" t="s">
        <v>79</v>
      </c>
      <c r="L107" s="112" t="s">
        <v>80</v>
      </c>
      <c r="M107" s="112"/>
      <c r="N107" s="112" t="s">
        <v>769</v>
      </c>
      <c r="O107" s="112" t="s">
        <v>770</v>
      </c>
      <c r="P107" s="112" t="s">
        <v>189</v>
      </c>
      <c r="Q107" s="112" t="s">
        <v>83</v>
      </c>
      <c r="R107" s="112" t="s">
        <v>84</v>
      </c>
      <c r="S107" s="112" t="s">
        <v>121</v>
      </c>
      <c r="T107" s="112" t="s">
        <v>771</v>
      </c>
      <c r="U107" s="112" t="s">
        <v>772</v>
      </c>
    </row>
    <row r="108" customFormat="false" ht="57.45" hidden="false" customHeight="false" outlineLevel="0" collapsed="false">
      <c r="A108" s="111" t="s">
        <v>38</v>
      </c>
      <c r="B108" s="112" t="s">
        <v>39</v>
      </c>
      <c r="C108" s="112" t="s">
        <v>773</v>
      </c>
      <c r="D108" s="112" t="s">
        <v>758</v>
      </c>
      <c r="E108" s="112" t="s">
        <v>759</v>
      </c>
      <c r="F108" s="112" t="s">
        <v>774</v>
      </c>
      <c r="G108" s="112" t="s">
        <v>75</v>
      </c>
      <c r="H108" s="112" t="s">
        <v>775</v>
      </c>
      <c r="I108" s="112" t="s">
        <v>367</v>
      </c>
      <c r="J108" s="112" t="s">
        <v>78</v>
      </c>
      <c r="K108" s="112" t="s">
        <v>79</v>
      </c>
      <c r="L108" s="112" t="s">
        <v>80</v>
      </c>
      <c r="M108" s="112"/>
      <c r="N108" s="112" t="s">
        <v>776</v>
      </c>
      <c r="O108" s="112" t="s">
        <v>777</v>
      </c>
      <c r="P108" s="112" t="s">
        <v>189</v>
      </c>
      <c r="Q108" s="112" t="s">
        <v>83</v>
      </c>
      <c r="R108" s="112" t="s">
        <v>84</v>
      </c>
      <c r="S108" s="112" t="s">
        <v>121</v>
      </c>
      <c r="T108" s="112" t="s">
        <v>778</v>
      </c>
      <c r="U108" s="112" t="s">
        <v>227</v>
      </c>
    </row>
    <row r="109" customFormat="false" ht="57.45" hidden="false" customHeight="false" outlineLevel="0" collapsed="false">
      <c r="A109" s="111" t="s">
        <v>38</v>
      </c>
      <c r="B109" s="112" t="s">
        <v>39</v>
      </c>
      <c r="C109" s="112" t="s">
        <v>773</v>
      </c>
      <c r="D109" s="112" t="s">
        <v>758</v>
      </c>
      <c r="E109" s="112" t="s">
        <v>759</v>
      </c>
      <c r="F109" s="112" t="s">
        <v>779</v>
      </c>
      <c r="G109" s="112" t="s">
        <v>75</v>
      </c>
      <c r="H109" s="112" t="s">
        <v>780</v>
      </c>
      <c r="I109" s="112" t="s">
        <v>367</v>
      </c>
      <c r="J109" s="112" t="s">
        <v>78</v>
      </c>
      <c r="K109" s="112" t="s">
        <v>79</v>
      </c>
      <c r="L109" s="112" t="s">
        <v>80</v>
      </c>
      <c r="M109" s="112"/>
      <c r="N109" s="112" t="s">
        <v>776</v>
      </c>
      <c r="O109" s="112" t="s">
        <v>777</v>
      </c>
      <c r="P109" s="112" t="s">
        <v>189</v>
      </c>
      <c r="Q109" s="112" t="s">
        <v>83</v>
      </c>
      <c r="R109" s="112" t="s">
        <v>84</v>
      </c>
      <c r="S109" s="112" t="s">
        <v>121</v>
      </c>
      <c r="T109" s="112" t="s">
        <v>781</v>
      </c>
      <c r="U109" s="112" t="s">
        <v>227</v>
      </c>
    </row>
    <row r="110" customFormat="false" ht="57.45" hidden="false" customHeight="false" outlineLevel="0" collapsed="false">
      <c r="A110" s="111" t="s">
        <v>38</v>
      </c>
      <c r="B110" s="112" t="s">
        <v>39</v>
      </c>
      <c r="C110" s="112" t="s">
        <v>782</v>
      </c>
      <c r="D110" s="112" t="s">
        <v>758</v>
      </c>
      <c r="E110" s="112" t="s">
        <v>759</v>
      </c>
      <c r="F110" s="112" t="s">
        <v>783</v>
      </c>
      <c r="G110" s="112" t="s">
        <v>75</v>
      </c>
      <c r="H110" s="112" t="s">
        <v>784</v>
      </c>
      <c r="I110" s="112" t="s">
        <v>181</v>
      </c>
      <c r="J110" s="112" t="s">
        <v>78</v>
      </c>
      <c r="K110" s="112" t="s">
        <v>79</v>
      </c>
      <c r="L110" s="112" t="s">
        <v>80</v>
      </c>
      <c r="M110" s="112"/>
      <c r="N110" s="112" t="s">
        <v>785</v>
      </c>
      <c r="O110" s="112" t="s">
        <v>786</v>
      </c>
      <c r="P110" s="112" t="s">
        <v>189</v>
      </c>
      <c r="Q110" s="112" t="s">
        <v>83</v>
      </c>
      <c r="R110" s="112" t="s">
        <v>84</v>
      </c>
      <c r="S110" s="112" t="s">
        <v>121</v>
      </c>
      <c r="T110" s="112" t="s">
        <v>787</v>
      </c>
      <c r="U110" s="112" t="s">
        <v>772</v>
      </c>
    </row>
    <row r="111" customFormat="false" ht="180.55" hidden="false" customHeight="false" outlineLevel="0" collapsed="false">
      <c r="A111" s="111" t="s">
        <v>38</v>
      </c>
      <c r="B111" s="112" t="s">
        <v>39</v>
      </c>
      <c r="C111" s="112" t="s">
        <v>788</v>
      </c>
      <c r="D111" s="112" t="s">
        <v>758</v>
      </c>
      <c r="E111" s="112" t="s">
        <v>759</v>
      </c>
      <c r="F111" s="112" t="s">
        <v>789</v>
      </c>
      <c r="G111" s="112" t="s">
        <v>75</v>
      </c>
      <c r="H111" s="112" t="s">
        <v>790</v>
      </c>
      <c r="I111" s="112" t="s">
        <v>91</v>
      </c>
      <c r="J111" s="112" t="s">
        <v>78</v>
      </c>
      <c r="K111" s="112" t="s">
        <v>79</v>
      </c>
      <c r="L111" s="112" t="s">
        <v>80</v>
      </c>
      <c r="M111" s="112" t="s">
        <v>791</v>
      </c>
      <c r="N111" s="112" t="s">
        <v>792</v>
      </c>
      <c r="O111" s="112" t="s">
        <v>793</v>
      </c>
      <c r="P111" s="112" t="s">
        <v>189</v>
      </c>
      <c r="Q111" s="112" t="s">
        <v>83</v>
      </c>
      <c r="R111" s="112" t="s">
        <v>84</v>
      </c>
      <c r="S111" s="112" t="s">
        <v>121</v>
      </c>
      <c r="T111" s="112" t="s">
        <v>794</v>
      </c>
      <c r="U111" s="112" t="s">
        <v>795</v>
      </c>
    </row>
    <row r="112" customFormat="false" ht="202.95" hidden="false" customHeight="false" outlineLevel="0" collapsed="false">
      <c r="A112" s="111" t="s">
        <v>38</v>
      </c>
      <c r="B112" s="112" t="s">
        <v>39</v>
      </c>
      <c r="C112" s="112" t="s">
        <v>796</v>
      </c>
      <c r="D112" s="112" t="s">
        <v>758</v>
      </c>
      <c r="E112" s="112" t="s">
        <v>759</v>
      </c>
      <c r="F112" s="112" t="s">
        <v>797</v>
      </c>
      <c r="G112" s="112" t="s">
        <v>75</v>
      </c>
      <c r="H112" s="112" t="s">
        <v>798</v>
      </c>
      <c r="I112" s="112" t="s">
        <v>799</v>
      </c>
      <c r="J112" s="112" t="s">
        <v>78</v>
      </c>
      <c r="K112" s="112" t="s">
        <v>79</v>
      </c>
      <c r="L112" s="112" t="s">
        <v>80</v>
      </c>
      <c r="M112" s="112" t="s">
        <v>800</v>
      </c>
      <c r="N112" s="112" t="s">
        <v>801</v>
      </c>
      <c r="O112" s="112" t="s">
        <v>802</v>
      </c>
      <c r="P112" s="112" t="s">
        <v>189</v>
      </c>
      <c r="Q112" s="112" t="s">
        <v>83</v>
      </c>
      <c r="R112" s="112" t="s">
        <v>84</v>
      </c>
      <c r="S112" s="112" t="s">
        <v>121</v>
      </c>
      <c r="T112" s="112" t="s">
        <v>803</v>
      </c>
      <c r="U112" s="112" t="s">
        <v>804</v>
      </c>
    </row>
    <row r="113" customFormat="false" ht="202.95" hidden="false" customHeight="false" outlineLevel="0" collapsed="false">
      <c r="A113" s="111" t="s">
        <v>38</v>
      </c>
      <c r="B113" s="112" t="s">
        <v>39</v>
      </c>
      <c r="C113" s="112" t="s">
        <v>796</v>
      </c>
      <c r="D113" s="112" t="s">
        <v>758</v>
      </c>
      <c r="E113" s="112" t="s">
        <v>759</v>
      </c>
      <c r="F113" s="112" t="s">
        <v>805</v>
      </c>
      <c r="G113" s="112" t="s">
        <v>75</v>
      </c>
      <c r="H113" s="112" t="s">
        <v>806</v>
      </c>
      <c r="I113" s="112" t="s">
        <v>186</v>
      </c>
      <c r="J113" s="112" t="s">
        <v>807</v>
      </c>
      <c r="K113" s="112" t="s">
        <v>79</v>
      </c>
      <c r="L113" s="112" t="s">
        <v>80</v>
      </c>
      <c r="M113" s="112" t="s">
        <v>800</v>
      </c>
      <c r="N113" s="112" t="s">
        <v>801</v>
      </c>
      <c r="O113" s="112" t="s">
        <v>802</v>
      </c>
      <c r="P113" s="112" t="s">
        <v>189</v>
      </c>
      <c r="Q113" s="112" t="s">
        <v>83</v>
      </c>
      <c r="R113" s="112" t="s">
        <v>84</v>
      </c>
      <c r="S113" s="112" t="s">
        <v>121</v>
      </c>
      <c r="T113" s="112" t="s">
        <v>808</v>
      </c>
      <c r="U113" s="112" t="s">
        <v>804</v>
      </c>
    </row>
    <row r="114" customFormat="false" ht="57.45" hidden="false" customHeight="false" outlineLevel="0" collapsed="false">
      <c r="A114" s="111" t="s">
        <v>38</v>
      </c>
      <c r="B114" s="112" t="s">
        <v>39</v>
      </c>
      <c r="C114" s="112" t="s">
        <v>809</v>
      </c>
      <c r="D114" s="112" t="s">
        <v>758</v>
      </c>
      <c r="E114" s="112" t="s">
        <v>759</v>
      </c>
      <c r="F114" s="112" t="s">
        <v>810</v>
      </c>
      <c r="G114" s="112" t="s">
        <v>75</v>
      </c>
      <c r="H114" s="112" t="s">
        <v>811</v>
      </c>
      <c r="I114" s="112" t="s">
        <v>139</v>
      </c>
      <c r="J114" s="112" t="s">
        <v>78</v>
      </c>
      <c r="K114" s="112" t="s">
        <v>79</v>
      </c>
      <c r="L114" s="112" t="s">
        <v>80</v>
      </c>
      <c r="M114" s="112" t="s">
        <v>812</v>
      </c>
      <c r="N114" s="112" t="s">
        <v>813</v>
      </c>
      <c r="O114" s="112" t="s">
        <v>814</v>
      </c>
      <c r="P114" s="112" t="s">
        <v>189</v>
      </c>
      <c r="Q114" s="112" t="s">
        <v>83</v>
      </c>
      <c r="R114" s="112" t="s">
        <v>84</v>
      </c>
      <c r="S114" s="112" t="s">
        <v>121</v>
      </c>
      <c r="T114" s="112" t="s">
        <v>815</v>
      </c>
      <c r="U114" s="112" t="s">
        <v>316</v>
      </c>
    </row>
    <row r="115" customFormat="false" ht="57.45" hidden="false" customHeight="false" outlineLevel="0" collapsed="false">
      <c r="A115" s="111" t="s">
        <v>38</v>
      </c>
      <c r="B115" s="112" t="s">
        <v>39</v>
      </c>
      <c r="C115" s="112" t="s">
        <v>816</v>
      </c>
      <c r="D115" s="112" t="s">
        <v>758</v>
      </c>
      <c r="E115" s="112" t="s">
        <v>759</v>
      </c>
      <c r="F115" s="112" t="s">
        <v>817</v>
      </c>
      <c r="G115" s="112" t="s">
        <v>75</v>
      </c>
      <c r="H115" s="112" t="s">
        <v>818</v>
      </c>
      <c r="I115" s="112" t="s">
        <v>819</v>
      </c>
      <c r="J115" s="112" t="s">
        <v>78</v>
      </c>
      <c r="K115" s="112" t="s">
        <v>79</v>
      </c>
      <c r="L115" s="112" t="s">
        <v>601</v>
      </c>
      <c r="M115" s="112" t="s">
        <v>820</v>
      </c>
      <c r="N115" s="112" t="s">
        <v>821</v>
      </c>
      <c r="O115" s="112" t="s">
        <v>822</v>
      </c>
      <c r="P115" s="112" t="s">
        <v>189</v>
      </c>
      <c r="Q115" s="112" t="s">
        <v>83</v>
      </c>
      <c r="R115" s="112" t="s">
        <v>84</v>
      </c>
      <c r="S115" s="112" t="s">
        <v>121</v>
      </c>
      <c r="T115" s="112" t="s">
        <v>823</v>
      </c>
      <c r="U115" s="112" t="s">
        <v>300</v>
      </c>
    </row>
    <row r="116" customFormat="false" ht="57.45" hidden="false" customHeight="false" outlineLevel="0" collapsed="false">
      <c r="A116" s="111" t="s">
        <v>38</v>
      </c>
      <c r="B116" s="112" t="s">
        <v>39</v>
      </c>
      <c r="C116" s="112" t="s">
        <v>816</v>
      </c>
      <c r="D116" s="112" t="s">
        <v>758</v>
      </c>
      <c r="E116" s="112" t="s">
        <v>759</v>
      </c>
      <c r="F116" s="112" t="s">
        <v>824</v>
      </c>
      <c r="G116" s="112" t="s">
        <v>75</v>
      </c>
      <c r="H116" s="112" t="s">
        <v>825</v>
      </c>
      <c r="I116" s="112" t="s">
        <v>826</v>
      </c>
      <c r="J116" s="112" t="s">
        <v>78</v>
      </c>
      <c r="K116" s="112" t="s">
        <v>79</v>
      </c>
      <c r="L116" s="112" t="s">
        <v>173</v>
      </c>
      <c r="M116" s="112" t="s">
        <v>820</v>
      </c>
      <c r="N116" s="112" t="s">
        <v>821</v>
      </c>
      <c r="O116" s="112" t="s">
        <v>822</v>
      </c>
      <c r="P116" s="112" t="s">
        <v>189</v>
      </c>
      <c r="Q116" s="112" t="s">
        <v>83</v>
      </c>
      <c r="R116" s="112" t="s">
        <v>84</v>
      </c>
      <c r="S116" s="112" t="s">
        <v>121</v>
      </c>
      <c r="T116" s="112" t="s">
        <v>827</v>
      </c>
      <c r="U116" s="112" t="s">
        <v>300</v>
      </c>
    </row>
    <row r="117" customFormat="false" ht="57.45" hidden="false" customHeight="false" outlineLevel="0" collapsed="false">
      <c r="A117" s="111" t="s">
        <v>38</v>
      </c>
      <c r="B117" s="112" t="s">
        <v>39</v>
      </c>
      <c r="C117" s="112" t="s">
        <v>816</v>
      </c>
      <c r="D117" s="112" t="s">
        <v>758</v>
      </c>
      <c r="E117" s="112" t="s">
        <v>759</v>
      </c>
      <c r="F117" s="112" t="s">
        <v>828</v>
      </c>
      <c r="G117" s="112" t="s">
        <v>75</v>
      </c>
      <c r="H117" s="112" t="s">
        <v>829</v>
      </c>
      <c r="I117" s="112" t="s">
        <v>127</v>
      </c>
      <c r="J117" s="112" t="s">
        <v>78</v>
      </c>
      <c r="K117" s="112" t="s">
        <v>79</v>
      </c>
      <c r="L117" s="112" t="s">
        <v>173</v>
      </c>
      <c r="M117" s="112" t="s">
        <v>820</v>
      </c>
      <c r="N117" s="112" t="s">
        <v>821</v>
      </c>
      <c r="O117" s="112" t="s">
        <v>822</v>
      </c>
      <c r="P117" s="112" t="s">
        <v>189</v>
      </c>
      <c r="Q117" s="112" t="s">
        <v>83</v>
      </c>
      <c r="R117" s="112" t="s">
        <v>84</v>
      </c>
      <c r="S117" s="112" t="s">
        <v>121</v>
      </c>
      <c r="T117" s="112" t="s">
        <v>830</v>
      </c>
      <c r="U117" s="112" t="s">
        <v>300</v>
      </c>
    </row>
    <row r="118" customFormat="false" ht="79.85" hidden="false" customHeight="false" outlineLevel="0" collapsed="false">
      <c r="A118" s="111" t="s">
        <v>38</v>
      </c>
      <c r="B118" s="112" t="s">
        <v>39</v>
      </c>
      <c r="C118" s="112" t="s">
        <v>831</v>
      </c>
      <c r="D118" s="112" t="s">
        <v>758</v>
      </c>
      <c r="E118" s="112" t="s">
        <v>759</v>
      </c>
      <c r="F118" s="112" t="s">
        <v>832</v>
      </c>
      <c r="G118" s="112" t="s">
        <v>75</v>
      </c>
      <c r="H118" s="112" t="s">
        <v>833</v>
      </c>
      <c r="I118" s="112" t="s">
        <v>186</v>
      </c>
      <c r="J118" s="112" t="s">
        <v>78</v>
      </c>
      <c r="K118" s="112" t="s">
        <v>79</v>
      </c>
      <c r="L118" s="112" t="s">
        <v>80</v>
      </c>
      <c r="M118" s="112" t="s">
        <v>834</v>
      </c>
      <c r="N118" s="112" t="s">
        <v>835</v>
      </c>
      <c r="O118" s="112" t="s">
        <v>836</v>
      </c>
      <c r="P118" s="112" t="s">
        <v>189</v>
      </c>
      <c r="Q118" s="112" t="s">
        <v>837</v>
      </c>
      <c r="R118" s="112" t="s">
        <v>84</v>
      </c>
      <c r="S118" s="112" t="s">
        <v>121</v>
      </c>
      <c r="T118" s="112" t="s">
        <v>838</v>
      </c>
      <c r="U118" s="112" t="s">
        <v>839</v>
      </c>
    </row>
    <row r="119" customFormat="false" ht="102.2" hidden="false" customHeight="false" outlineLevel="0" collapsed="false">
      <c r="A119" s="111" t="s">
        <v>38</v>
      </c>
      <c r="B119" s="112" t="s">
        <v>39</v>
      </c>
      <c r="C119" s="112" t="s">
        <v>840</v>
      </c>
      <c r="D119" s="112" t="s">
        <v>758</v>
      </c>
      <c r="E119" s="112" t="s">
        <v>759</v>
      </c>
      <c r="F119" s="112" t="s">
        <v>841</v>
      </c>
      <c r="G119" s="112" t="s">
        <v>75</v>
      </c>
      <c r="H119" s="112" t="s">
        <v>842</v>
      </c>
      <c r="I119" s="112" t="s">
        <v>78</v>
      </c>
      <c r="J119" s="112" t="s">
        <v>78</v>
      </c>
      <c r="K119" s="112" t="s">
        <v>78</v>
      </c>
      <c r="L119" s="112" t="s">
        <v>78</v>
      </c>
      <c r="M119" s="112" t="s">
        <v>843</v>
      </c>
      <c r="N119" s="112" t="s">
        <v>844</v>
      </c>
      <c r="O119" s="112" t="s">
        <v>845</v>
      </c>
      <c r="P119" s="112" t="s">
        <v>189</v>
      </c>
      <c r="Q119" s="112" t="s">
        <v>83</v>
      </c>
      <c r="R119" s="112" t="s">
        <v>84</v>
      </c>
      <c r="S119" s="112" t="s">
        <v>95</v>
      </c>
      <c r="T119" s="112" t="s">
        <v>200</v>
      </c>
      <c r="U119" s="112" t="s">
        <v>201</v>
      </c>
    </row>
    <row r="120" customFormat="false" ht="57.45" hidden="false" customHeight="false" outlineLevel="0" collapsed="false">
      <c r="A120" s="113" t="s">
        <v>40</v>
      </c>
      <c r="B120" s="114" t="s">
        <v>41</v>
      </c>
      <c r="C120" s="114" t="s">
        <v>846</v>
      </c>
      <c r="D120" s="114" t="s">
        <v>847</v>
      </c>
      <c r="E120" s="114" t="s">
        <v>848</v>
      </c>
      <c r="F120" s="114" t="s">
        <v>849</v>
      </c>
      <c r="G120" s="114" t="s">
        <v>75</v>
      </c>
      <c r="H120" s="114" t="s">
        <v>850</v>
      </c>
      <c r="I120" s="114" t="s">
        <v>851</v>
      </c>
      <c r="J120" s="114" t="s">
        <v>78</v>
      </c>
      <c r="K120" s="114" t="s">
        <v>79</v>
      </c>
      <c r="L120" s="114" t="s">
        <v>173</v>
      </c>
      <c r="M120" s="114" t="s">
        <v>852</v>
      </c>
      <c r="N120" s="114" t="s">
        <v>853</v>
      </c>
      <c r="O120" s="114" t="s">
        <v>854</v>
      </c>
      <c r="P120" s="114" t="s">
        <v>189</v>
      </c>
      <c r="Q120" s="114" t="s">
        <v>83</v>
      </c>
      <c r="R120" s="114" t="s">
        <v>408</v>
      </c>
      <c r="S120" s="114" t="s">
        <v>121</v>
      </c>
      <c r="T120" s="114" t="s">
        <v>855</v>
      </c>
      <c r="U120" s="114" t="s">
        <v>191</v>
      </c>
    </row>
    <row r="121" customFormat="false" ht="57.45" hidden="false" customHeight="false" outlineLevel="0" collapsed="false">
      <c r="A121" s="115" t="s">
        <v>42</v>
      </c>
      <c r="B121" s="116" t="s">
        <v>43</v>
      </c>
      <c r="C121" s="116" t="s">
        <v>856</v>
      </c>
      <c r="D121" s="116" t="s">
        <v>857</v>
      </c>
      <c r="E121" s="116" t="s">
        <v>858</v>
      </c>
      <c r="F121" s="116" t="s">
        <v>859</v>
      </c>
      <c r="G121" s="116" t="s">
        <v>75</v>
      </c>
      <c r="H121" s="116" t="s">
        <v>860</v>
      </c>
      <c r="I121" s="116" t="s">
        <v>395</v>
      </c>
      <c r="J121" s="116" t="s">
        <v>78</v>
      </c>
      <c r="K121" s="116" t="s">
        <v>79</v>
      </c>
      <c r="L121" s="116" t="s">
        <v>80</v>
      </c>
      <c r="M121" s="116" t="s">
        <v>861</v>
      </c>
      <c r="N121" s="116" t="s">
        <v>862</v>
      </c>
      <c r="O121" s="116" t="s">
        <v>863</v>
      </c>
      <c r="P121" s="116" t="s">
        <v>864</v>
      </c>
      <c r="Q121" s="116" t="s">
        <v>83</v>
      </c>
      <c r="R121" s="116" t="s">
        <v>408</v>
      </c>
      <c r="S121" s="116" t="s">
        <v>121</v>
      </c>
      <c r="T121" s="116" t="s">
        <v>865</v>
      </c>
      <c r="U121" s="116" t="s">
        <v>300</v>
      </c>
    </row>
    <row r="122" customFormat="false" ht="68.65" hidden="false" customHeight="false" outlineLevel="0" collapsed="false">
      <c r="A122" s="117" t="s">
        <v>44</v>
      </c>
      <c r="B122" s="118" t="s">
        <v>45</v>
      </c>
      <c r="C122" s="118" t="s">
        <v>866</v>
      </c>
      <c r="D122" s="118" t="s">
        <v>867</v>
      </c>
      <c r="E122" s="118" t="s">
        <v>868</v>
      </c>
      <c r="F122" s="118" t="s">
        <v>869</v>
      </c>
      <c r="G122" s="118" t="s">
        <v>75</v>
      </c>
      <c r="H122" s="118" t="s">
        <v>870</v>
      </c>
      <c r="I122" s="118" t="s">
        <v>181</v>
      </c>
      <c r="J122" s="118" t="s">
        <v>78</v>
      </c>
      <c r="K122" s="118" t="s">
        <v>79</v>
      </c>
      <c r="L122" s="118" t="s">
        <v>80</v>
      </c>
      <c r="M122" s="118"/>
      <c r="N122" s="118" t="s">
        <v>206</v>
      </c>
      <c r="O122" s="118" t="s">
        <v>871</v>
      </c>
      <c r="P122" s="118" t="s">
        <v>346</v>
      </c>
      <c r="Q122" s="118" t="s">
        <v>83</v>
      </c>
      <c r="R122" s="118" t="s">
        <v>408</v>
      </c>
      <c r="S122" s="118" t="s">
        <v>121</v>
      </c>
      <c r="T122" s="118" t="s">
        <v>872</v>
      </c>
      <c r="U122" s="118" t="s">
        <v>772</v>
      </c>
    </row>
    <row r="123" customFormat="false" ht="68.65" hidden="false" customHeight="false" outlineLevel="0" collapsed="false">
      <c r="A123" s="117" t="s">
        <v>44</v>
      </c>
      <c r="B123" s="118" t="s">
        <v>45</v>
      </c>
      <c r="C123" s="118" t="s">
        <v>873</v>
      </c>
      <c r="D123" s="118" t="s">
        <v>867</v>
      </c>
      <c r="E123" s="118" t="s">
        <v>868</v>
      </c>
      <c r="F123" s="118" t="s">
        <v>874</v>
      </c>
      <c r="G123" s="118" t="s">
        <v>75</v>
      </c>
      <c r="H123" s="118" t="s">
        <v>875</v>
      </c>
      <c r="I123" s="118" t="s">
        <v>402</v>
      </c>
      <c r="J123" s="118" t="s">
        <v>78</v>
      </c>
      <c r="K123" s="118" t="s">
        <v>79</v>
      </c>
      <c r="L123" s="118" t="s">
        <v>80</v>
      </c>
      <c r="M123" s="118" t="s">
        <v>876</v>
      </c>
      <c r="N123" s="118" t="s">
        <v>877</v>
      </c>
      <c r="O123" s="118" t="s">
        <v>878</v>
      </c>
      <c r="P123" s="118" t="s">
        <v>346</v>
      </c>
      <c r="Q123" s="118" t="s">
        <v>83</v>
      </c>
      <c r="R123" s="118" t="s">
        <v>408</v>
      </c>
      <c r="S123" s="118" t="s">
        <v>121</v>
      </c>
      <c r="T123" s="118" t="s">
        <v>879</v>
      </c>
      <c r="U123" s="118" t="s">
        <v>316</v>
      </c>
    </row>
    <row r="124" customFormat="false" ht="113.4" hidden="false" customHeight="false" outlineLevel="0" collapsed="false">
      <c r="A124" s="117" t="s">
        <v>44</v>
      </c>
      <c r="B124" s="118" t="s">
        <v>45</v>
      </c>
      <c r="C124" s="118" t="s">
        <v>880</v>
      </c>
      <c r="D124" s="118" t="s">
        <v>867</v>
      </c>
      <c r="E124" s="118" t="s">
        <v>868</v>
      </c>
      <c r="F124" s="118" t="s">
        <v>881</v>
      </c>
      <c r="G124" s="118" t="s">
        <v>75</v>
      </c>
      <c r="H124" s="118" t="s">
        <v>882</v>
      </c>
      <c r="I124" s="118" t="s">
        <v>851</v>
      </c>
      <c r="J124" s="118" t="s">
        <v>78</v>
      </c>
      <c r="K124" s="118" t="s">
        <v>79</v>
      </c>
      <c r="L124" s="118" t="s">
        <v>883</v>
      </c>
      <c r="M124" s="118" t="s">
        <v>884</v>
      </c>
      <c r="N124" s="118" t="s">
        <v>885</v>
      </c>
      <c r="O124" s="118" t="s">
        <v>886</v>
      </c>
      <c r="P124" s="118" t="s">
        <v>346</v>
      </c>
      <c r="Q124" s="118" t="s">
        <v>482</v>
      </c>
      <c r="R124" s="118" t="s">
        <v>408</v>
      </c>
      <c r="S124" s="118" t="s">
        <v>121</v>
      </c>
      <c r="T124" s="118" t="s">
        <v>887</v>
      </c>
      <c r="U124" s="118" t="s">
        <v>888</v>
      </c>
    </row>
    <row r="125" customFormat="false" ht="57.45" hidden="false" customHeight="false" outlineLevel="0" collapsed="false">
      <c r="A125" s="119" t="s">
        <v>46</v>
      </c>
      <c r="B125" s="120" t="s">
        <v>47</v>
      </c>
      <c r="C125" s="120" t="s">
        <v>889</v>
      </c>
      <c r="D125" s="120" t="s">
        <v>890</v>
      </c>
      <c r="E125" s="120" t="s">
        <v>891</v>
      </c>
      <c r="F125" s="120" t="s">
        <v>892</v>
      </c>
      <c r="G125" s="120" t="s">
        <v>75</v>
      </c>
      <c r="H125" s="120" t="s">
        <v>893</v>
      </c>
      <c r="I125" s="120" t="s">
        <v>186</v>
      </c>
      <c r="J125" s="120" t="s">
        <v>78</v>
      </c>
      <c r="K125" s="120" t="s">
        <v>79</v>
      </c>
      <c r="L125" s="120" t="s">
        <v>80</v>
      </c>
      <c r="M125" s="120" t="s">
        <v>894</v>
      </c>
      <c r="N125" s="120" t="s">
        <v>895</v>
      </c>
      <c r="O125" s="120" t="s">
        <v>896</v>
      </c>
      <c r="P125" s="120" t="s">
        <v>189</v>
      </c>
      <c r="Q125" s="120" t="s">
        <v>83</v>
      </c>
      <c r="R125" s="120" t="s">
        <v>408</v>
      </c>
      <c r="S125" s="120" t="s">
        <v>121</v>
      </c>
      <c r="T125" s="120" t="s">
        <v>897</v>
      </c>
      <c r="U125" s="120" t="s">
        <v>300</v>
      </c>
    </row>
    <row r="126" customFormat="false" ht="57.45" hidden="false" customHeight="false" outlineLevel="0" collapsed="false">
      <c r="A126" s="119" t="s">
        <v>46</v>
      </c>
      <c r="B126" s="120" t="s">
        <v>47</v>
      </c>
      <c r="C126" s="120" t="s">
        <v>889</v>
      </c>
      <c r="D126" s="120" t="s">
        <v>890</v>
      </c>
      <c r="E126" s="120" t="s">
        <v>891</v>
      </c>
      <c r="F126" s="120" t="s">
        <v>898</v>
      </c>
      <c r="G126" s="120" t="s">
        <v>75</v>
      </c>
      <c r="H126" s="120" t="s">
        <v>899</v>
      </c>
      <c r="I126" s="120" t="s">
        <v>186</v>
      </c>
      <c r="J126" s="120" t="s">
        <v>78</v>
      </c>
      <c r="K126" s="120" t="s">
        <v>79</v>
      </c>
      <c r="L126" s="120" t="s">
        <v>80</v>
      </c>
      <c r="M126" s="120" t="s">
        <v>894</v>
      </c>
      <c r="N126" s="120" t="s">
        <v>895</v>
      </c>
      <c r="O126" s="120" t="s">
        <v>896</v>
      </c>
      <c r="P126" s="120" t="s">
        <v>189</v>
      </c>
      <c r="Q126" s="120" t="s">
        <v>83</v>
      </c>
      <c r="R126" s="120" t="s">
        <v>408</v>
      </c>
      <c r="S126" s="120" t="s">
        <v>121</v>
      </c>
      <c r="T126" s="120" t="s">
        <v>900</v>
      </c>
      <c r="U126" s="120" t="s">
        <v>300</v>
      </c>
    </row>
    <row r="127" customFormat="false" ht="57.45" hidden="false" customHeight="false" outlineLevel="0" collapsed="false">
      <c r="A127" s="119" t="s">
        <v>46</v>
      </c>
      <c r="B127" s="120" t="s">
        <v>47</v>
      </c>
      <c r="C127" s="120" t="s">
        <v>889</v>
      </c>
      <c r="D127" s="120" t="s">
        <v>890</v>
      </c>
      <c r="E127" s="120" t="s">
        <v>891</v>
      </c>
      <c r="F127" s="120" t="s">
        <v>901</v>
      </c>
      <c r="G127" s="120" t="s">
        <v>75</v>
      </c>
      <c r="H127" s="120" t="s">
        <v>902</v>
      </c>
      <c r="I127" s="120" t="s">
        <v>91</v>
      </c>
      <c r="J127" s="120" t="s">
        <v>78</v>
      </c>
      <c r="K127" s="120" t="s">
        <v>79</v>
      </c>
      <c r="L127" s="120" t="s">
        <v>173</v>
      </c>
      <c r="M127" s="120" t="s">
        <v>894</v>
      </c>
      <c r="N127" s="120" t="s">
        <v>895</v>
      </c>
      <c r="O127" s="120" t="s">
        <v>896</v>
      </c>
      <c r="P127" s="120" t="s">
        <v>189</v>
      </c>
      <c r="Q127" s="120" t="s">
        <v>83</v>
      </c>
      <c r="R127" s="120" t="s">
        <v>408</v>
      </c>
      <c r="S127" s="120" t="s">
        <v>121</v>
      </c>
      <c r="T127" s="120" t="s">
        <v>903</v>
      </c>
      <c r="U127" s="120" t="s">
        <v>300</v>
      </c>
    </row>
    <row r="128" customFormat="false" ht="202.95" hidden="false" customHeight="false" outlineLevel="0" collapsed="false">
      <c r="A128" s="121" t="s">
        <v>48</v>
      </c>
      <c r="B128" s="122" t="s">
        <v>49</v>
      </c>
      <c r="C128" s="122" t="s">
        <v>904</v>
      </c>
      <c r="D128" s="122" t="s">
        <v>905</v>
      </c>
      <c r="E128" s="122" t="s">
        <v>906</v>
      </c>
      <c r="F128" s="122" t="s">
        <v>907</v>
      </c>
      <c r="G128" s="122" t="s">
        <v>75</v>
      </c>
      <c r="H128" s="122" t="s">
        <v>908</v>
      </c>
      <c r="I128" s="122" t="s">
        <v>367</v>
      </c>
      <c r="J128" s="122" t="s">
        <v>78</v>
      </c>
      <c r="K128" s="122" t="s">
        <v>79</v>
      </c>
      <c r="L128" s="122" t="s">
        <v>80</v>
      </c>
      <c r="M128" s="122"/>
      <c r="N128" s="122" t="s">
        <v>909</v>
      </c>
      <c r="O128" s="122" t="s">
        <v>910</v>
      </c>
      <c r="P128" s="122" t="s">
        <v>444</v>
      </c>
      <c r="Q128" s="122" t="s">
        <v>83</v>
      </c>
      <c r="R128" s="122" t="s">
        <v>408</v>
      </c>
      <c r="S128" s="122" t="s">
        <v>121</v>
      </c>
      <c r="T128" s="122" t="s">
        <v>911</v>
      </c>
      <c r="U128" s="122" t="s">
        <v>912</v>
      </c>
    </row>
    <row r="129" customFormat="false" ht="102.2" hidden="false" customHeight="false" outlineLevel="0" collapsed="false">
      <c r="A129" s="121" t="s">
        <v>48</v>
      </c>
      <c r="B129" s="122" t="s">
        <v>49</v>
      </c>
      <c r="C129" s="122" t="s">
        <v>913</v>
      </c>
      <c r="D129" s="122" t="s">
        <v>905</v>
      </c>
      <c r="E129" s="122" t="s">
        <v>906</v>
      </c>
      <c r="F129" s="122" t="s">
        <v>914</v>
      </c>
      <c r="G129" s="122" t="s">
        <v>75</v>
      </c>
      <c r="H129" s="122" t="s">
        <v>915</v>
      </c>
      <c r="I129" s="122" t="s">
        <v>367</v>
      </c>
      <c r="J129" s="122" t="s">
        <v>78</v>
      </c>
      <c r="K129" s="122" t="s">
        <v>79</v>
      </c>
      <c r="L129" s="122" t="s">
        <v>80</v>
      </c>
      <c r="M129" s="122"/>
      <c r="N129" s="122" t="s">
        <v>916</v>
      </c>
      <c r="O129" s="122" t="s">
        <v>917</v>
      </c>
      <c r="P129" s="122" t="s">
        <v>918</v>
      </c>
      <c r="Q129" s="122" t="s">
        <v>83</v>
      </c>
      <c r="R129" s="122" t="s">
        <v>408</v>
      </c>
      <c r="S129" s="122" t="s">
        <v>121</v>
      </c>
      <c r="T129" s="122" t="s">
        <v>919</v>
      </c>
      <c r="U129" s="122" t="s">
        <v>235</v>
      </c>
    </row>
    <row r="130" customFormat="false" ht="68.65" hidden="false" customHeight="false" outlineLevel="0" collapsed="false">
      <c r="A130" s="121" t="s">
        <v>48</v>
      </c>
      <c r="B130" s="122" t="s">
        <v>49</v>
      </c>
      <c r="C130" s="122" t="s">
        <v>913</v>
      </c>
      <c r="D130" s="122" t="s">
        <v>905</v>
      </c>
      <c r="E130" s="122" t="s">
        <v>906</v>
      </c>
      <c r="F130" s="122" t="s">
        <v>920</v>
      </c>
      <c r="G130" s="122" t="s">
        <v>75</v>
      </c>
      <c r="H130" s="122" t="s">
        <v>921</v>
      </c>
      <c r="I130" s="122" t="s">
        <v>450</v>
      </c>
      <c r="J130" s="122" t="s">
        <v>78</v>
      </c>
      <c r="K130" s="122" t="s">
        <v>79</v>
      </c>
      <c r="L130" s="122" t="s">
        <v>80</v>
      </c>
      <c r="M130" s="122"/>
      <c r="N130" s="122" t="s">
        <v>916</v>
      </c>
      <c r="O130" s="122" t="s">
        <v>917</v>
      </c>
      <c r="P130" s="122" t="s">
        <v>918</v>
      </c>
      <c r="Q130" s="122" t="s">
        <v>83</v>
      </c>
      <c r="R130" s="122" t="s">
        <v>408</v>
      </c>
      <c r="S130" s="122" t="s">
        <v>121</v>
      </c>
      <c r="T130" s="122" t="s">
        <v>922</v>
      </c>
      <c r="U130" s="122" t="s">
        <v>235</v>
      </c>
    </row>
    <row r="131" customFormat="false" ht="102.2" hidden="false" customHeight="false" outlineLevel="0" collapsed="false">
      <c r="A131" s="121" t="s">
        <v>48</v>
      </c>
      <c r="B131" s="122" t="s">
        <v>49</v>
      </c>
      <c r="C131" s="122" t="s">
        <v>923</v>
      </c>
      <c r="D131" s="122" t="s">
        <v>905</v>
      </c>
      <c r="E131" s="122" t="s">
        <v>906</v>
      </c>
      <c r="F131" s="122" t="s">
        <v>924</v>
      </c>
      <c r="G131" s="122" t="s">
        <v>75</v>
      </c>
      <c r="H131" s="122" t="s">
        <v>925</v>
      </c>
      <c r="I131" s="122" t="s">
        <v>367</v>
      </c>
      <c r="J131" s="122" t="s">
        <v>78</v>
      </c>
      <c r="K131" s="122" t="s">
        <v>79</v>
      </c>
      <c r="L131" s="122" t="s">
        <v>80</v>
      </c>
      <c r="M131" s="122"/>
      <c r="N131" s="122" t="s">
        <v>926</v>
      </c>
      <c r="O131" s="122" t="s">
        <v>927</v>
      </c>
      <c r="P131" s="122" t="s">
        <v>918</v>
      </c>
      <c r="Q131" s="122" t="s">
        <v>83</v>
      </c>
      <c r="R131" s="122" t="s">
        <v>408</v>
      </c>
      <c r="S131" s="122" t="s">
        <v>121</v>
      </c>
      <c r="T131" s="122" t="s">
        <v>928</v>
      </c>
      <c r="U131" s="122" t="s">
        <v>772</v>
      </c>
    </row>
    <row r="132" customFormat="false" ht="57.45" hidden="false" customHeight="false" outlineLevel="0" collapsed="false">
      <c r="A132" s="121" t="s">
        <v>48</v>
      </c>
      <c r="B132" s="122" t="s">
        <v>49</v>
      </c>
      <c r="C132" s="122" t="s">
        <v>929</v>
      </c>
      <c r="D132" s="122" t="s">
        <v>905</v>
      </c>
      <c r="E132" s="122" t="s">
        <v>906</v>
      </c>
      <c r="F132" s="122" t="s">
        <v>930</v>
      </c>
      <c r="G132" s="122" t="s">
        <v>75</v>
      </c>
      <c r="H132" s="122" t="s">
        <v>931</v>
      </c>
      <c r="I132" s="122" t="s">
        <v>186</v>
      </c>
      <c r="J132" s="122" t="s">
        <v>78</v>
      </c>
      <c r="K132" s="122" t="s">
        <v>79</v>
      </c>
      <c r="L132" s="122" t="s">
        <v>80</v>
      </c>
      <c r="M132" s="122"/>
      <c r="N132" s="122" t="s">
        <v>932</v>
      </c>
      <c r="O132" s="122" t="s">
        <v>933</v>
      </c>
      <c r="P132" s="122" t="s">
        <v>639</v>
      </c>
      <c r="Q132" s="122" t="s">
        <v>83</v>
      </c>
      <c r="R132" s="122" t="s">
        <v>498</v>
      </c>
      <c r="S132" s="122" t="s">
        <v>121</v>
      </c>
      <c r="T132" s="122" t="s">
        <v>934</v>
      </c>
      <c r="U132" s="122" t="s">
        <v>235</v>
      </c>
    </row>
    <row r="133" customFormat="false" ht="102.2" hidden="false" customHeight="false" outlineLevel="0" collapsed="false">
      <c r="A133" s="121" t="s">
        <v>48</v>
      </c>
      <c r="B133" s="122" t="s">
        <v>49</v>
      </c>
      <c r="C133" s="122" t="s">
        <v>935</v>
      </c>
      <c r="D133" s="122" t="s">
        <v>905</v>
      </c>
      <c r="E133" s="122" t="s">
        <v>906</v>
      </c>
      <c r="F133" s="122" t="s">
        <v>936</v>
      </c>
      <c r="G133" s="122" t="s">
        <v>75</v>
      </c>
      <c r="H133" s="122" t="s">
        <v>937</v>
      </c>
      <c r="I133" s="122" t="s">
        <v>186</v>
      </c>
      <c r="J133" s="122" t="s">
        <v>78</v>
      </c>
      <c r="K133" s="122" t="s">
        <v>79</v>
      </c>
      <c r="L133" s="122" t="s">
        <v>173</v>
      </c>
      <c r="M133" s="122" t="s">
        <v>938</v>
      </c>
      <c r="N133" s="122" t="s">
        <v>862</v>
      </c>
      <c r="O133" s="122" t="s">
        <v>939</v>
      </c>
      <c r="P133" s="122" t="s">
        <v>864</v>
      </c>
      <c r="Q133" s="122" t="s">
        <v>83</v>
      </c>
      <c r="R133" s="122" t="s">
        <v>408</v>
      </c>
      <c r="S133" s="122" t="s">
        <v>121</v>
      </c>
      <c r="T133" s="122" t="s">
        <v>940</v>
      </c>
      <c r="U133" s="122" t="s">
        <v>316</v>
      </c>
    </row>
    <row r="134" customFormat="false" ht="79.85" hidden="false" customHeight="false" outlineLevel="0" collapsed="false">
      <c r="A134" s="121" t="s">
        <v>48</v>
      </c>
      <c r="B134" s="122" t="s">
        <v>49</v>
      </c>
      <c r="C134" s="122" t="s">
        <v>941</v>
      </c>
      <c r="D134" s="122" t="s">
        <v>905</v>
      </c>
      <c r="E134" s="122" t="s">
        <v>906</v>
      </c>
      <c r="F134" s="122" t="s">
        <v>942</v>
      </c>
      <c r="G134" s="122" t="s">
        <v>75</v>
      </c>
      <c r="H134" s="122" t="s">
        <v>943</v>
      </c>
      <c r="I134" s="122" t="s">
        <v>181</v>
      </c>
      <c r="J134" s="122" t="s">
        <v>78</v>
      </c>
      <c r="K134" s="122" t="s">
        <v>79</v>
      </c>
      <c r="L134" s="122" t="s">
        <v>80</v>
      </c>
      <c r="M134" s="122" t="s">
        <v>944</v>
      </c>
      <c r="N134" s="122" t="s">
        <v>945</v>
      </c>
      <c r="O134" s="122" t="s">
        <v>946</v>
      </c>
      <c r="P134" s="122" t="s">
        <v>407</v>
      </c>
      <c r="Q134" s="122" t="s">
        <v>83</v>
      </c>
      <c r="R134" s="122" t="s">
        <v>408</v>
      </c>
      <c r="S134" s="122" t="s">
        <v>121</v>
      </c>
      <c r="T134" s="122" t="s">
        <v>947</v>
      </c>
      <c r="U134" s="122" t="s">
        <v>316</v>
      </c>
    </row>
    <row r="135" customFormat="false" ht="79.85" hidden="false" customHeight="false" outlineLevel="0" collapsed="false">
      <c r="A135" s="121" t="s">
        <v>48</v>
      </c>
      <c r="B135" s="122" t="s">
        <v>49</v>
      </c>
      <c r="C135" s="122" t="s">
        <v>941</v>
      </c>
      <c r="D135" s="122" t="s">
        <v>905</v>
      </c>
      <c r="E135" s="122" t="s">
        <v>906</v>
      </c>
      <c r="F135" s="122" t="s">
        <v>948</v>
      </c>
      <c r="G135" s="122" t="s">
        <v>75</v>
      </c>
      <c r="H135" s="122" t="s">
        <v>949</v>
      </c>
      <c r="I135" s="122" t="s">
        <v>950</v>
      </c>
      <c r="J135" s="122" t="s">
        <v>78</v>
      </c>
      <c r="K135" s="122" t="s">
        <v>79</v>
      </c>
      <c r="L135" s="122" t="s">
        <v>80</v>
      </c>
      <c r="M135" s="122" t="s">
        <v>944</v>
      </c>
      <c r="N135" s="122" t="s">
        <v>945</v>
      </c>
      <c r="O135" s="122" t="s">
        <v>946</v>
      </c>
      <c r="P135" s="122" t="s">
        <v>407</v>
      </c>
      <c r="Q135" s="122" t="s">
        <v>83</v>
      </c>
      <c r="R135" s="122" t="s">
        <v>408</v>
      </c>
      <c r="S135" s="122" t="s">
        <v>121</v>
      </c>
      <c r="T135" s="122" t="s">
        <v>951</v>
      </c>
      <c r="U135" s="122" t="s">
        <v>316</v>
      </c>
    </row>
    <row r="136" customFormat="false" ht="57.45" hidden="false" customHeight="false" outlineLevel="0" collapsed="false">
      <c r="A136" s="121" t="s">
        <v>48</v>
      </c>
      <c r="B136" s="122" t="s">
        <v>49</v>
      </c>
      <c r="C136" s="122" t="s">
        <v>952</v>
      </c>
      <c r="D136" s="122" t="s">
        <v>905</v>
      </c>
      <c r="E136" s="122" t="s">
        <v>906</v>
      </c>
      <c r="F136" s="122" t="s">
        <v>953</v>
      </c>
      <c r="G136" s="122" t="s">
        <v>75</v>
      </c>
      <c r="H136" s="122" t="s">
        <v>954</v>
      </c>
      <c r="I136" s="122" t="s">
        <v>851</v>
      </c>
      <c r="J136" s="122" t="s">
        <v>78</v>
      </c>
      <c r="K136" s="122" t="s">
        <v>79</v>
      </c>
      <c r="L136" s="122" t="s">
        <v>403</v>
      </c>
      <c r="M136" s="122" t="s">
        <v>955</v>
      </c>
      <c r="N136" s="122" t="s">
        <v>956</v>
      </c>
      <c r="O136" s="122" t="s">
        <v>957</v>
      </c>
      <c r="P136" s="122" t="s">
        <v>189</v>
      </c>
      <c r="Q136" s="122" t="s">
        <v>83</v>
      </c>
      <c r="R136" s="122" t="s">
        <v>408</v>
      </c>
      <c r="S136" s="122" t="s">
        <v>121</v>
      </c>
      <c r="T136" s="122" t="s">
        <v>958</v>
      </c>
      <c r="U136" s="122" t="s">
        <v>191</v>
      </c>
    </row>
    <row r="137" customFormat="false" ht="180.55" hidden="false" customHeight="false" outlineLevel="0" collapsed="false">
      <c r="A137" s="121" t="s">
        <v>48</v>
      </c>
      <c r="B137" s="122" t="s">
        <v>49</v>
      </c>
      <c r="C137" s="122" t="s">
        <v>959</v>
      </c>
      <c r="D137" s="122" t="s">
        <v>905</v>
      </c>
      <c r="E137" s="122" t="s">
        <v>906</v>
      </c>
      <c r="F137" s="122" t="s">
        <v>960</v>
      </c>
      <c r="G137" s="122" t="s">
        <v>75</v>
      </c>
      <c r="H137" s="122" t="s">
        <v>961</v>
      </c>
      <c r="I137" s="122" t="s">
        <v>77</v>
      </c>
      <c r="J137" s="122" t="s">
        <v>78</v>
      </c>
      <c r="K137" s="122" t="s">
        <v>79</v>
      </c>
      <c r="L137" s="122" t="s">
        <v>173</v>
      </c>
      <c r="M137" s="122" t="s">
        <v>962</v>
      </c>
      <c r="N137" s="122" t="s">
        <v>963</v>
      </c>
      <c r="O137" s="122" t="s">
        <v>964</v>
      </c>
      <c r="P137" s="122" t="s">
        <v>639</v>
      </c>
      <c r="Q137" s="122" t="s">
        <v>83</v>
      </c>
      <c r="R137" s="122" t="s">
        <v>408</v>
      </c>
      <c r="S137" s="122" t="s">
        <v>121</v>
      </c>
      <c r="T137" s="122" t="s">
        <v>965</v>
      </c>
      <c r="U137" s="122" t="s">
        <v>966</v>
      </c>
    </row>
    <row r="138" customFormat="false" ht="180.55" hidden="false" customHeight="false" outlineLevel="0" collapsed="false">
      <c r="A138" s="121" t="s">
        <v>48</v>
      </c>
      <c r="B138" s="122" t="s">
        <v>49</v>
      </c>
      <c r="C138" s="122" t="s">
        <v>959</v>
      </c>
      <c r="D138" s="122" t="s">
        <v>905</v>
      </c>
      <c r="E138" s="122" t="s">
        <v>906</v>
      </c>
      <c r="F138" s="122" t="s">
        <v>967</v>
      </c>
      <c r="G138" s="122" t="s">
        <v>75</v>
      </c>
      <c r="H138" s="122" t="s">
        <v>968</v>
      </c>
      <c r="I138" s="122" t="s">
        <v>77</v>
      </c>
      <c r="J138" s="122" t="s">
        <v>969</v>
      </c>
      <c r="K138" s="122" t="s">
        <v>79</v>
      </c>
      <c r="L138" s="122" t="s">
        <v>173</v>
      </c>
      <c r="M138" s="122" t="s">
        <v>962</v>
      </c>
      <c r="N138" s="122" t="s">
        <v>963</v>
      </c>
      <c r="O138" s="122" t="s">
        <v>964</v>
      </c>
      <c r="P138" s="122" t="s">
        <v>639</v>
      </c>
      <c r="Q138" s="122" t="s">
        <v>83</v>
      </c>
      <c r="R138" s="122" t="s">
        <v>408</v>
      </c>
      <c r="S138" s="122" t="s">
        <v>121</v>
      </c>
      <c r="T138" s="122" t="s">
        <v>970</v>
      </c>
      <c r="U138" s="122" t="s">
        <v>966</v>
      </c>
    </row>
    <row r="139" customFormat="false" ht="57.45" hidden="false" customHeight="false" outlineLevel="0" collapsed="false">
      <c r="A139" s="121" t="s">
        <v>48</v>
      </c>
      <c r="B139" s="122" t="s">
        <v>49</v>
      </c>
      <c r="C139" s="122" t="s">
        <v>971</v>
      </c>
      <c r="D139" s="122" t="s">
        <v>905</v>
      </c>
      <c r="E139" s="122" t="s">
        <v>906</v>
      </c>
      <c r="F139" s="122" t="s">
        <v>972</v>
      </c>
      <c r="G139" s="122" t="s">
        <v>75</v>
      </c>
      <c r="H139" s="122" t="s">
        <v>973</v>
      </c>
      <c r="I139" s="122" t="s">
        <v>77</v>
      </c>
      <c r="J139" s="122" t="s">
        <v>974</v>
      </c>
      <c r="K139" s="122" t="s">
        <v>79</v>
      </c>
      <c r="L139" s="122" t="s">
        <v>80</v>
      </c>
      <c r="M139" s="122" t="s">
        <v>975</v>
      </c>
      <c r="N139" s="122" t="s">
        <v>976</v>
      </c>
      <c r="O139" s="122" t="s">
        <v>977</v>
      </c>
      <c r="P139" s="122" t="s">
        <v>918</v>
      </c>
      <c r="Q139" s="122" t="s">
        <v>83</v>
      </c>
      <c r="R139" s="122" t="s">
        <v>408</v>
      </c>
      <c r="S139" s="122" t="s">
        <v>121</v>
      </c>
      <c r="T139" s="122" t="s">
        <v>978</v>
      </c>
      <c r="U139" s="122" t="s">
        <v>300</v>
      </c>
    </row>
    <row r="140" customFormat="false" ht="91" hidden="false" customHeight="false" outlineLevel="0" collapsed="false">
      <c r="A140" s="121" t="s">
        <v>48</v>
      </c>
      <c r="B140" s="122" t="s">
        <v>49</v>
      </c>
      <c r="C140" s="122" t="s">
        <v>971</v>
      </c>
      <c r="D140" s="122" t="s">
        <v>905</v>
      </c>
      <c r="E140" s="122" t="s">
        <v>906</v>
      </c>
      <c r="F140" s="122" t="s">
        <v>979</v>
      </c>
      <c r="G140" s="122" t="s">
        <v>75</v>
      </c>
      <c r="H140" s="122" t="s">
        <v>980</v>
      </c>
      <c r="I140" s="122" t="s">
        <v>77</v>
      </c>
      <c r="J140" s="122" t="s">
        <v>78</v>
      </c>
      <c r="K140" s="122" t="s">
        <v>79</v>
      </c>
      <c r="L140" s="122" t="s">
        <v>80</v>
      </c>
      <c r="M140" s="122" t="s">
        <v>975</v>
      </c>
      <c r="N140" s="122" t="s">
        <v>976</v>
      </c>
      <c r="O140" s="122" t="s">
        <v>977</v>
      </c>
      <c r="P140" s="122" t="s">
        <v>918</v>
      </c>
      <c r="Q140" s="122" t="s">
        <v>83</v>
      </c>
      <c r="R140" s="122" t="s">
        <v>408</v>
      </c>
      <c r="S140" s="122" t="s">
        <v>121</v>
      </c>
      <c r="T140" s="122" t="s">
        <v>981</v>
      </c>
      <c r="U140" s="122" t="s">
        <v>300</v>
      </c>
    </row>
    <row r="141" customFormat="false" ht="91" hidden="false" customHeight="false" outlineLevel="0" collapsed="false">
      <c r="A141" s="121" t="s">
        <v>48</v>
      </c>
      <c r="B141" s="122" t="s">
        <v>49</v>
      </c>
      <c r="C141" s="122" t="s">
        <v>971</v>
      </c>
      <c r="D141" s="122" t="s">
        <v>905</v>
      </c>
      <c r="E141" s="122" t="s">
        <v>906</v>
      </c>
      <c r="F141" s="122" t="s">
        <v>982</v>
      </c>
      <c r="G141" s="122" t="s">
        <v>75</v>
      </c>
      <c r="H141" s="122" t="s">
        <v>983</v>
      </c>
      <c r="I141" s="122" t="s">
        <v>77</v>
      </c>
      <c r="J141" s="122" t="s">
        <v>78</v>
      </c>
      <c r="K141" s="122" t="s">
        <v>79</v>
      </c>
      <c r="L141" s="122" t="s">
        <v>80</v>
      </c>
      <c r="M141" s="122" t="s">
        <v>975</v>
      </c>
      <c r="N141" s="122" t="s">
        <v>976</v>
      </c>
      <c r="O141" s="122" t="s">
        <v>977</v>
      </c>
      <c r="P141" s="122" t="s">
        <v>918</v>
      </c>
      <c r="Q141" s="122" t="s">
        <v>83</v>
      </c>
      <c r="R141" s="122" t="s">
        <v>408</v>
      </c>
      <c r="S141" s="122" t="s">
        <v>121</v>
      </c>
      <c r="T141" s="122" t="s">
        <v>984</v>
      </c>
      <c r="U141" s="122" t="s">
        <v>300</v>
      </c>
    </row>
    <row r="142" customFormat="false" ht="68.65" hidden="false" customHeight="false" outlineLevel="0" collapsed="false">
      <c r="A142" s="121" t="s">
        <v>48</v>
      </c>
      <c r="B142" s="122" t="s">
        <v>49</v>
      </c>
      <c r="C142" s="122" t="s">
        <v>971</v>
      </c>
      <c r="D142" s="122" t="s">
        <v>905</v>
      </c>
      <c r="E142" s="122" t="s">
        <v>906</v>
      </c>
      <c r="F142" s="122" t="s">
        <v>985</v>
      </c>
      <c r="G142" s="122" t="s">
        <v>75</v>
      </c>
      <c r="H142" s="122" t="s">
        <v>986</v>
      </c>
      <c r="I142" s="122" t="s">
        <v>77</v>
      </c>
      <c r="J142" s="122" t="s">
        <v>78</v>
      </c>
      <c r="K142" s="122" t="s">
        <v>79</v>
      </c>
      <c r="L142" s="122" t="s">
        <v>403</v>
      </c>
      <c r="M142" s="122" t="s">
        <v>975</v>
      </c>
      <c r="N142" s="122" t="s">
        <v>976</v>
      </c>
      <c r="O142" s="122" t="s">
        <v>977</v>
      </c>
      <c r="P142" s="122" t="s">
        <v>918</v>
      </c>
      <c r="Q142" s="122" t="s">
        <v>83</v>
      </c>
      <c r="R142" s="122" t="s">
        <v>408</v>
      </c>
      <c r="S142" s="122" t="s">
        <v>121</v>
      </c>
      <c r="T142" s="122" t="s">
        <v>987</v>
      </c>
      <c r="U142" s="122" t="s">
        <v>300</v>
      </c>
    </row>
    <row r="143" customFormat="false" ht="68.65" hidden="false" customHeight="false" outlineLevel="0" collapsed="false">
      <c r="A143" s="121" t="s">
        <v>48</v>
      </c>
      <c r="B143" s="122" t="s">
        <v>49</v>
      </c>
      <c r="C143" s="122" t="s">
        <v>971</v>
      </c>
      <c r="D143" s="122" t="s">
        <v>905</v>
      </c>
      <c r="E143" s="122" t="s">
        <v>906</v>
      </c>
      <c r="F143" s="122" t="s">
        <v>988</v>
      </c>
      <c r="G143" s="122" t="s">
        <v>75</v>
      </c>
      <c r="H143" s="122" t="s">
        <v>989</v>
      </c>
      <c r="I143" s="122" t="s">
        <v>990</v>
      </c>
      <c r="J143" s="122" t="s">
        <v>78</v>
      </c>
      <c r="K143" s="122" t="s">
        <v>79</v>
      </c>
      <c r="L143" s="122" t="s">
        <v>173</v>
      </c>
      <c r="M143" s="122" t="s">
        <v>975</v>
      </c>
      <c r="N143" s="122" t="s">
        <v>976</v>
      </c>
      <c r="O143" s="122" t="s">
        <v>977</v>
      </c>
      <c r="P143" s="122" t="s">
        <v>918</v>
      </c>
      <c r="Q143" s="122" t="s">
        <v>83</v>
      </c>
      <c r="R143" s="122" t="s">
        <v>408</v>
      </c>
      <c r="S143" s="122" t="s">
        <v>121</v>
      </c>
      <c r="T143" s="122" t="s">
        <v>991</v>
      </c>
      <c r="U143" s="122" t="s">
        <v>300</v>
      </c>
    </row>
    <row r="144" customFormat="false" ht="57.45" hidden="false" customHeight="false" outlineLevel="0" collapsed="false">
      <c r="A144" s="121" t="s">
        <v>48</v>
      </c>
      <c r="B144" s="122" t="s">
        <v>49</v>
      </c>
      <c r="C144" s="122" t="s">
        <v>992</v>
      </c>
      <c r="D144" s="122" t="s">
        <v>905</v>
      </c>
      <c r="E144" s="122" t="s">
        <v>906</v>
      </c>
      <c r="F144" s="122" t="s">
        <v>993</v>
      </c>
      <c r="G144" s="122" t="s">
        <v>75</v>
      </c>
      <c r="H144" s="122" t="s">
        <v>994</v>
      </c>
      <c r="I144" s="122" t="s">
        <v>995</v>
      </c>
      <c r="J144" s="122" t="s">
        <v>78</v>
      </c>
      <c r="K144" s="122" t="s">
        <v>79</v>
      </c>
      <c r="L144" s="122" t="s">
        <v>403</v>
      </c>
      <c r="M144" s="122" t="s">
        <v>996</v>
      </c>
      <c r="N144" s="122"/>
      <c r="O144" s="122" t="s">
        <v>997</v>
      </c>
      <c r="P144" s="122" t="s">
        <v>189</v>
      </c>
      <c r="Q144" s="122" t="s">
        <v>83</v>
      </c>
      <c r="R144" s="122" t="s">
        <v>408</v>
      </c>
      <c r="S144" s="122" t="s">
        <v>121</v>
      </c>
      <c r="T144" s="122" t="s">
        <v>998</v>
      </c>
      <c r="U144" s="122" t="s">
        <v>191</v>
      </c>
    </row>
    <row r="145" customFormat="false" ht="191.75" hidden="false" customHeight="false" outlineLevel="0" collapsed="false">
      <c r="A145" s="121" t="s">
        <v>48</v>
      </c>
      <c r="B145" s="122" t="s">
        <v>49</v>
      </c>
      <c r="C145" s="122" t="s">
        <v>999</v>
      </c>
      <c r="D145" s="122" t="s">
        <v>905</v>
      </c>
      <c r="E145" s="122" t="s">
        <v>906</v>
      </c>
      <c r="F145" s="122" t="s">
        <v>1000</v>
      </c>
      <c r="G145" s="122" t="s">
        <v>75</v>
      </c>
      <c r="H145" s="122" t="s">
        <v>1001</v>
      </c>
      <c r="I145" s="122" t="s">
        <v>1002</v>
      </c>
      <c r="J145" s="122" t="s">
        <v>78</v>
      </c>
      <c r="K145" s="122" t="s">
        <v>79</v>
      </c>
      <c r="L145" s="122" t="s">
        <v>80</v>
      </c>
      <c r="M145" s="122" t="s">
        <v>1003</v>
      </c>
      <c r="N145" s="122" t="s">
        <v>1004</v>
      </c>
      <c r="O145" s="122" t="s">
        <v>1005</v>
      </c>
      <c r="P145" s="122" t="s">
        <v>1006</v>
      </c>
      <c r="Q145" s="122" t="s">
        <v>83</v>
      </c>
      <c r="R145" s="122" t="s">
        <v>408</v>
      </c>
      <c r="S145" s="122" t="s">
        <v>121</v>
      </c>
      <c r="T145" s="122" t="s">
        <v>1007</v>
      </c>
      <c r="U145" s="122" t="s">
        <v>1008</v>
      </c>
    </row>
    <row r="146" customFormat="false" ht="46.25" hidden="false" customHeight="false" outlineLevel="0" collapsed="false">
      <c r="A146" s="121" t="s">
        <v>48</v>
      </c>
      <c r="B146" s="122" t="s">
        <v>49</v>
      </c>
      <c r="C146" s="122" t="s">
        <v>1009</v>
      </c>
      <c r="D146" s="122" t="s">
        <v>905</v>
      </c>
      <c r="E146" s="122" t="s">
        <v>906</v>
      </c>
      <c r="F146" s="122" t="s">
        <v>1010</v>
      </c>
      <c r="G146" s="122" t="s">
        <v>75</v>
      </c>
      <c r="H146" s="122" t="s">
        <v>1011</v>
      </c>
      <c r="I146" s="122" t="s">
        <v>78</v>
      </c>
      <c r="J146" s="122" t="s">
        <v>78</v>
      </c>
      <c r="K146" s="122" t="s">
        <v>78</v>
      </c>
      <c r="L146" s="122" t="s">
        <v>78</v>
      </c>
      <c r="M146" s="122" t="s">
        <v>1012</v>
      </c>
      <c r="N146" s="122" t="s">
        <v>862</v>
      </c>
      <c r="O146" s="122" t="s">
        <v>1013</v>
      </c>
      <c r="P146" s="122" t="s">
        <v>864</v>
      </c>
      <c r="Q146" s="122" t="s">
        <v>83</v>
      </c>
      <c r="R146" s="122" t="s">
        <v>408</v>
      </c>
      <c r="S146" s="122" t="s">
        <v>95</v>
      </c>
      <c r="T146" s="122" t="s">
        <v>200</v>
      </c>
      <c r="U146" s="122" t="s">
        <v>201</v>
      </c>
    </row>
  </sheetData>
  <autoFilter ref="A1:U14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4"/>
    <col collapsed="false" customWidth="true" hidden="false" outlineLevel="0" max="6" min="6" style="0" width="16"/>
    <col collapsed="false" customWidth="true" hidden="false" outlineLevel="0" max="7" min="7" style="0" width="11"/>
    <col collapsed="false" customWidth="true" hidden="false" outlineLevel="0" max="8" min="8" style="0" width="60"/>
    <col collapsed="false" customWidth="true" hidden="false" outlineLevel="0" max="9" min="9" style="0" width="22"/>
    <col collapsed="false" customWidth="true" hidden="false" outlineLevel="0" max="11" min="10" style="0" width="24"/>
    <col collapsed="false" customWidth="true" hidden="false" outlineLevel="0" max="12" min="12" style="0" width="26"/>
    <col collapsed="false" customWidth="true" hidden="false" outlineLevel="0" max="13" min="13" style="0" width="11"/>
    <col collapsed="false" customWidth="true" hidden="false" outlineLevel="0" max="14" min="14" style="0" width="20"/>
    <col collapsed="false" customWidth="true" hidden="false" outlineLevel="0" max="15" min="15" style="0" width="30"/>
    <col collapsed="false" customWidth="true" hidden="false" outlineLevel="0" max="16" min="16" style="0" width="16"/>
    <col collapsed="false" customWidth="true" hidden="false" outlineLevel="0" max="18" min="17" style="0" width="18"/>
    <col collapsed="false" customWidth="true" hidden="false" outlineLevel="0" max="19" min="19" style="0" width="12"/>
    <col collapsed="false" customWidth="true" hidden="false" outlineLevel="0" max="20" min="20" style="0" width="40"/>
    <col collapsed="false" customWidth="true" hidden="false" outlineLevel="0" max="21" min="21" style="0" width="45"/>
  </cols>
  <sheetData>
    <row r="1" customFormat="false" ht="68.65" hidden="false" customHeight="false" outlineLevel="0" collapsed="false">
      <c r="A1" s="82" t="s">
        <v>0</v>
      </c>
      <c r="B1" s="82" t="s">
        <v>51</v>
      </c>
      <c r="C1" s="82" t="s">
        <v>52</v>
      </c>
      <c r="D1" s="82" t="s">
        <v>53</v>
      </c>
      <c r="E1" s="82" t="s">
        <v>54</v>
      </c>
      <c r="F1" s="82" t="s">
        <v>55</v>
      </c>
      <c r="G1" s="82" t="s">
        <v>56</v>
      </c>
      <c r="H1" s="82" t="s">
        <v>57</v>
      </c>
      <c r="I1" s="82" t="s">
        <v>58</v>
      </c>
      <c r="J1" s="82" t="s">
        <v>59</v>
      </c>
      <c r="K1" s="82" t="s">
        <v>60</v>
      </c>
      <c r="L1" s="82" t="s">
        <v>61</v>
      </c>
      <c r="M1" s="82" t="s">
        <v>62</v>
      </c>
      <c r="N1" s="82" t="s">
        <v>63</v>
      </c>
      <c r="O1" s="82" t="s">
        <v>64</v>
      </c>
      <c r="P1" s="82" t="s">
        <v>65</v>
      </c>
      <c r="Q1" s="82" t="s">
        <v>66</v>
      </c>
      <c r="R1" s="82" t="s">
        <v>67</v>
      </c>
      <c r="S1" s="82" t="s">
        <v>68</v>
      </c>
      <c r="T1" s="82" t="s">
        <v>69</v>
      </c>
      <c r="U1" s="82" t="s">
        <v>70</v>
      </c>
    </row>
    <row r="2" customFormat="false" ht="147" hidden="false" customHeight="false" outlineLevel="0" collapsed="false">
      <c r="A2" s="83" t="s">
        <v>9</v>
      </c>
      <c r="B2" s="84" t="s">
        <v>10</v>
      </c>
      <c r="C2" s="84" t="s">
        <v>113</v>
      </c>
      <c r="D2" s="84" t="s">
        <v>1014</v>
      </c>
      <c r="E2" s="84" t="s">
        <v>1015</v>
      </c>
      <c r="F2" s="84" t="s">
        <v>1016</v>
      </c>
      <c r="G2" s="84" t="s">
        <v>1017</v>
      </c>
      <c r="H2" s="84" t="s">
        <v>1018</v>
      </c>
      <c r="I2" s="84" t="s">
        <v>1019</v>
      </c>
      <c r="J2" s="84" t="s">
        <v>78</v>
      </c>
      <c r="K2" s="84" t="s">
        <v>1020</v>
      </c>
      <c r="L2" s="84" t="s">
        <v>1021</v>
      </c>
      <c r="M2" s="84" t="s">
        <v>117</v>
      </c>
      <c r="N2" s="84" t="s">
        <v>118</v>
      </c>
      <c r="O2" s="84" t="s">
        <v>1022</v>
      </c>
      <c r="P2" s="84" t="s">
        <v>1023</v>
      </c>
      <c r="Q2" s="84" t="s">
        <v>83</v>
      </c>
      <c r="R2" s="84" t="s">
        <v>94</v>
      </c>
      <c r="S2" s="84" t="s">
        <v>121</v>
      </c>
      <c r="T2" s="84" t="s">
        <v>1024</v>
      </c>
      <c r="U2" s="84" t="s">
        <v>1025</v>
      </c>
    </row>
    <row r="3" customFormat="false" ht="147" hidden="false" customHeight="false" outlineLevel="0" collapsed="false">
      <c r="A3" s="83" t="s">
        <v>9</v>
      </c>
      <c r="B3" s="84" t="s">
        <v>10</v>
      </c>
      <c r="C3" s="84" t="s">
        <v>113</v>
      </c>
      <c r="D3" s="84" t="s">
        <v>1014</v>
      </c>
      <c r="E3" s="84" t="s">
        <v>1015</v>
      </c>
      <c r="F3" s="84" t="s">
        <v>1026</v>
      </c>
      <c r="G3" s="84" t="s">
        <v>1027</v>
      </c>
      <c r="H3" s="84" t="s">
        <v>1028</v>
      </c>
      <c r="I3" s="84" t="s">
        <v>1019</v>
      </c>
      <c r="J3" s="84" t="s">
        <v>78</v>
      </c>
      <c r="K3" s="84" t="s">
        <v>78</v>
      </c>
      <c r="L3" s="84" t="s">
        <v>78</v>
      </c>
      <c r="M3" s="84" t="s">
        <v>117</v>
      </c>
      <c r="N3" s="84" t="s">
        <v>118</v>
      </c>
      <c r="O3" s="84" t="s">
        <v>1022</v>
      </c>
      <c r="P3" s="84" t="s">
        <v>1023</v>
      </c>
      <c r="Q3" s="84" t="s">
        <v>83</v>
      </c>
      <c r="R3" s="84" t="s">
        <v>94</v>
      </c>
      <c r="S3" s="84" t="s">
        <v>121</v>
      </c>
      <c r="T3" s="84" t="s">
        <v>1029</v>
      </c>
      <c r="U3" s="84" t="s">
        <v>1025</v>
      </c>
    </row>
    <row r="4" customFormat="false" ht="225.35" hidden="false" customHeight="false" outlineLevel="0" collapsed="false">
      <c r="A4" s="83" t="s">
        <v>9</v>
      </c>
      <c r="B4" s="84" t="s">
        <v>10</v>
      </c>
      <c r="C4" s="84" t="s">
        <v>124</v>
      </c>
      <c r="D4" s="84" t="s">
        <v>1014</v>
      </c>
      <c r="E4" s="84" t="s">
        <v>1015</v>
      </c>
      <c r="F4" s="84" t="s">
        <v>1030</v>
      </c>
      <c r="G4" s="84" t="s">
        <v>1027</v>
      </c>
      <c r="H4" s="84" t="s">
        <v>143</v>
      </c>
      <c r="I4" s="84" t="s">
        <v>1019</v>
      </c>
      <c r="J4" s="84" t="s">
        <v>78</v>
      </c>
      <c r="K4" s="84" t="s">
        <v>78</v>
      </c>
      <c r="L4" s="84" t="s">
        <v>1031</v>
      </c>
      <c r="M4" s="84" t="s">
        <v>128</v>
      </c>
      <c r="N4" s="84"/>
      <c r="O4" s="84" t="s">
        <v>1032</v>
      </c>
      <c r="P4" s="84" t="s">
        <v>130</v>
      </c>
      <c r="Q4" s="84" t="s">
        <v>83</v>
      </c>
      <c r="R4" s="84" t="s">
        <v>94</v>
      </c>
      <c r="S4" s="84" t="s">
        <v>121</v>
      </c>
      <c r="T4" s="84" t="s">
        <v>145</v>
      </c>
      <c r="U4" s="84" t="s">
        <v>1033</v>
      </c>
    </row>
    <row r="5" customFormat="false" ht="225.35" hidden="false" customHeight="false" outlineLevel="0" collapsed="false">
      <c r="A5" s="83" t="s">
        <v>9</v>
      </c>
      <c r="B5" s="84" t="s">
        <v>10</v>
      </c>
      <c r="C5" s="84" t="s">
        <v>192</v>
      </c>
      <c r="D5" s="84" t="s">
        <v>1014</v>
      </c>
      <c r="E5" s="84" t="s">
        <v>1015</v>
      </c>
      <c r="F5" s="84" t="s">
        <v>1034</v>
      </c>
      <c r="G5" s="84" t="s">
        <v>1027</v>
      </c>
      <c r="H5" s="84" t="s">
        <v>1035</v>
      </c>
      <c r="I5" s="84" t="s">
        <v>1019</v>
      </c>
      <c r="J5" s="84" t="s">
        <v>1036</v>
      </c>
      <c r="K5" s="84" t="s">
        <v>78</v>
      </c>
      <c r="L5" s="84" t="s">
        <v>1037</v>
      </c>
      <c r="M5" s="84" t="s">
        <v>195</v>
      </c>
      <c r="N5" s="84" t="s">
        <v>196</v>
      </c>
      <c r="O5" s="84" t="s">
        <v>1038</v>
      </c>
      <c r="P5" s="84" t="s">
        <v>1039</v>
      </c>
      <c r="Q5" s="84" t="s">
        <v>83</v>
      </c>
      <c r="R5" s="84" t="s">
        <v>94</v>
      </c>
      <c r="S5" s="84" t="s">
        <v>121</v>
      </c>
      <c r="T5" s="84" t="s">
        <v>1040</v>
      </c>
      <c r="U5" s="84" t="s">
        <v>1041</v>
      </c>
    </row>
    <row r="6" customFormat="false" ht="225.35" hidden="false" customHeight="false" outlineLevel="0" collapsed="false">
      <c r="A6" s="83" t="s">
        <v>9</v>
      </c>
      <c r="B6" s="84" t="s">
        <v>10</v>
      </c>
      <c r="C6" s="84" t="s">
        <v>192</v>
      </c>
      <c r="D6" s="84" t="s">
        <v>1014</v>
      </c>
      <c r="E6" s="84" t="s">
        <v>1042</v>
      </c>
      <c r="F6" s="84" t="s">
        <v>1043</v>
      </c>
      <c r="G6" s="84" t="s">
        <v>1027</v>
      </c>
      <c r="H6" s="84" t="s">
        <v>1044</v>
      </c>
      <c r="I6" s="84" t="s">
        <v>1045</v>
      </c>
      <c r="J6" s="84" t="s">
        <v>78</v>
      </c>
      <c r="K6" s="84" t="s">
        <v>78</v>
      </c>
      <c r="L6" s="84" t="s">
        <v>1031</v>
      </c>
      <c r="M6" s="84" t="s">
        <v>195</v>
      </c>
      <c r="N6" s="84" t="s">
        <v>196</v>
      </c>
      <c r="O6" s="84" t="s">
        <v>1038</v>
      </c>
      <c r="P6" s="84" t="s">
        <v>1039</v>
      </c>
      <c r="Q6" s="84" t="s">
        <v>83</v>
      </c>
      <c r="R6" s="84" t="s">
        <v>94</v>
      </c>
      <c r="S6" s="84" t="s">
        <v>121</v>
      </c>
      <c r="T6" s="84" t="s">
        <v>1046</v>
      </c>
      <c r="U6" s="84" t="s">
        <v>1041</v>
      </c>
    </row>
    <row r="7" customFormat="false" ht="225.35" hidden="false" customHeight="false" outlineLevel="0" collapsed="false">
      <c r="A7" s="83" t="s">
        <v>9</v>
      </c>
      <c r="B7" s="84" t="s">
        <v>10</v>
      </c>
      <c r="C7" s="84" t="s">
        <v>192</v>
      </c>
      <c r="D7" s="84" t="s">
        <v>1014</v>
      </c>
      <c r="E7" s="84" t="s">
        <v>1047</v>
      </c>
      <c r="F7" s="84" t="s">
        <v>1048</v>
      </c>
      <c r="G7" s="84" t="s">
        <v>1027</v>
      </c>
      <c r="H7" s="84" t="s">
        <v>1049</v>
      </c>
      <c r="I7" s="84" t="s">
        <v>1050</v>
      </c>
      <c r="J7" s="84" t="s">
        <v>1051</v>
      </c>
      <c r="K7" s="84" t="s">
        <v>1052</v>
      </c>
      <c r="L7" s="84" t="s">
        <v>1053</v>
      </c>
      <c r="M7" s="84" t="s">
        <v>195</v>
      </c>
      <c r="N7" s="84" t="s">
        <v>196</v>
      </c>
      <c r="O7" s="84" t="s">
        <v>1038</v>
      </c>
      <c r="P7" s="84" t="s">
        <v>1039</v>
      </c>
      <c r="Q7" s="84" t="s">
        <v>83</v>
      </c>
      <c r="R7" s="84" t="s">
        <v>94</v>
      </c>
      <c r="S7" s="84" t="s">
        <v>121</v>
      </c>
      <c r="T7" s="84" t="s">
        <v>1054</v>
      </c>
      <c r="U7" s="84" t="s">
        <v>1041</v>
      </c>
    </row>
    <row r="8" customFormat="false" ht="124.6" hidden="false" customHeight="false" outlineLevel="0" collapsed="false">
      <c r="A8" s="83" t="s">
        <v>9</v>
      </c>
      <c r="B8" s="84" t="s">
        <v>10</v>
      </c>
      <c r="C8" s="84" t="s">
        <v>202</v>
      </c>
      <c r="D8" s="84" t="s">
        <v>1014</v>
      </c>
      <c r="E8" s="84" t="s">
        <v>1047</v>
      </c>
      <c r="F8" s="84" t="s">
        <v>1055</v>
      </c>
      <c r="G8" s="84" t="s">
        <v>1027</v>
      </c>
      <c r="H8" s="84" t="s">
        <v>1056</v>
      </c>
      <c r="I8" s="84" t="s">
        <v>1057</v>
      </c>
      <c r="J8" s="84" t="s">
        <v>78</v>
      </c>
      <c r="K8" s="84" t="s">
        <v>78</v>
      </c>
      <c r="L8" s="84" t="s">
        <v>1058</v>
      </c>
      <c r="M8" s="84" t="s">
        <v>205</v>
      </c>
      <c r="N8" s="84" t="s">
        <v>206</v>
      </c>
      <c r="O8" s="84" t="s">
        <v>1059</v>
      </c>
      <c r="P8" s="84" t="s">
        <v>189</v>
      </c>
      <c r="Q8" s="84" t="s">
        <v>83</v>
      </c>
      <c r="R8" s="84" t="s">
        <v>94</v>
      </c>
      <c r="S8" s="84" t="s">
        <v>121</v>
      </c>
      <c r="T8" s="84" t="s">
        <v>1060</v>
      </c>
      <c r="U8" s="84" t="s">
        <v>258</v>
      </c>
    </row>
    <row r="9" customFormat="false" ht="57.45" hidden="false" customHeight="false" outlineLevel="0" collapsed="false">
      <c r="A9" s="83" t="s">
        <v>9</v>
      </c>
      <c r="B9" s="84" t="s">
        <v>10</v>
      </c>
      <c r="C9" s="84" t="s">
        <v>1061</v>
      </c>
      <c r="D9" s="84" t="s">
        <v>1014</v>
      </c>
      <c r="E9" s="84" t="s">
        <v>1015</v>
      </c>
      <c r="F9" s="84" t="s">
        <v>1062</v>
      </c>
      <c r="G9" s="84" t="s">
        <v>1017</v>
      </c>
      <c r="H9" s="84" t="s">
        <v>1063</v>
      </c>
      <c r="I9" s="84" t="s">
        <v>1019</v>
      </c>
      <c r="J9" s="84" t="s">
        <v>78</v>
      </c>
      <c r="K9" s="84" t="s">
        <v>78</v>
      </c>
      <c r="L9" s="84" t="s">
        <v>1064</v>
      </c>
      <c r="M9" s="84" t="s">
        <v>1065</v>
      </c>
      <c r="N9" s="84"/>
      <c r="O9" s="84" t="s">
        <v>82</v>
      </c>
      <c r="P9" s="84" t="s">
        <v>78</v>
      </c>
      <c r="Q9" s="84" t="s">
        <v>83</v>
      </c>
      <c r="R9" s="84" t="s">
        <v>94</v>
      </c>
      <c r="S9" s="84" t="s">
        <v>85</v>
      </c>
      <c r="T9" s="84" t="s">
        <v>1066</v>
      </c>
      <c r="U9" s="84" t="s">
        <v>97</v>
      </c>
    </row>
    <row r="10" customFormat="false" ht="247.75" hidden="false" customHeight="false" outlineLevel="0" collapsed="false">
      <c r="A10" s="83" t="s">
        <v>9</v>
      </c>
      <c r="B10" s="84" t="s">
        <v>10</v>
      </c>
      <c r="C10" s="84" t="s">
        <v>151</v>
      </c>
      <c r="D10" s="84" t="s">
        <v>1014</v>
      </c>
      <c r="E10" s="84" t="s">
        <v>1015</v>
      </c>
      <c r="F10" s="84" t="s">
        <v>1067</v>
      </c>
      <c r="G10" s="84" t="s">
        <v>1027</v>
      </c>
      <c r="H10" s="84" t="s">
        <v>153</v>
      </c>
      <c r="I10" s="84" t="s">
        <v>1068</v>
      </c>
      <c r="J10" s="84" t="s">
        <v>78</v>
      </c>
      <c r="K10" s="84" t="s">
        <v>78</v>
      </c>
      <c r="L10" s="84" t="s">
        <v>1031</v>
      </c>
      <c r="M10" s="84" t="s">
        <v>155</v>
      </c>
      <c r="N10" s="84" t="s">
        <v>118</v>
      </c>
      <c r="O10" s="84" t="s">
        <v>156</v>
      </c>
      <c r="P10" s="84" t="s">
        <v>130</v>
      </c>
      <c r="Q10" s="84" t="s">
        <v>83</v>
      </c>
      <c r="R10" s="84" t="s">
        <v>94</v>
      </c>
      <c r="S10" s="84" t="s">
        <v>121</v>
      </c>
      <c r="T10" s="84" t="s">
        <v>157</v>
      </c>
      <c r="U10" s="84" t="s">
        <v>132</v>
      </c>
    </row>
    <row r="11" customFormat="false" ht="247.75" hidden="false" customHeight="false" outlineLevel="0" collapsed="false">
      <c r="A11" s="83" t="s">
        <v>9</v>
      </c>
      <c r="B11" s="84" t="s">
        <v>10</v>
      </c>
      <c r="C11" s="84" t="s">
        <v>151</v>
      </c>
      <c r="D11" s="84" t="s">
        <v>1014</v>
      </c>
      <c r="E11" s="84" t="s">
        <v>1015</v>
      </c>
      <c r="F11" s="84" t="s">
        <v>1069</v>
      </c>
      <c r="G11" s="84" t="s">
        <v>1027</v>
      </c>
      <c r="H11" s="84" t="s">
        <v>166</v>
      </c>
      <c r="I11" s="84" t="s">
        <v>1068</v>
      </c>
      <c r="J11" s="84" t="s">
        <v>167</v>
      </c>
      <c r="K11" s="84" t="s">
        <v>78</v>
      </c>
      <c r="L11" s="84" t="s">
        <v>1070</v>
      </c>
      <c r="M11" s="84" t="s">
        <v>155</v>
      </c>
      <c r="N11" s="84" t="s">
        <v>118</v>
      </c>
      <c r="O11" s="84" t="s">
        <v>156</v>
      </c>
      <c r="P11" s="84" t="s">
        <v>130</v>
      </c>
      <c r="Q11" s="84" t="s">
        <v>83</v>
      </c>
      <c r="R11" s="84" t="s">
        <v>94</v>
      </c>
      <c r="S11" s="84" t="s">
        <v>121</v>
      </c>
      <c r="T11" s="84" t="s">
        <v>169</v>
      </c>
      <c r="U11" s="84" t="s">
        <v>132</v>
      </c>
    </row>
    <row r="12" customFormat="false" ht="147" hidden="false" customHeight="false" outlineLevel="0" collapsed="false">
      <c r="A12" s="83" t="s">
        <v>9</v>
      </c>
      <c r="B12" s="84" t="s">
        <v>10</v>
      </c>
      <c r="C12" s="84" t="s">
        <v>170</v>
      </c>
      <c r="D12" s="84" t="s">
        <v>1014</v>
      </c>
      <c r="E12" s="84" t="s">
        <v>1015</v>
      </c>
      <c r="F12" s="84" t="s">
        <v>1071</v>
      </c>
      <c r="G12" s="84" t="s">
        <v>1072</v>
      </c>
      <c r="H12" s="84" t="s">
        <v>172</v>
      </c>
      <c r="I12" s="84" t="s">
        <v>1073</v>
      </c>
      <c r="J12" s="84" t="s">
        <v>78</v>
      </c>
      <c r="K12" s="84" t="s">
        <v>78</v>
      </c>
      <c r="L12" s="84" t="s">
        <v>1074</v>
      </c>
      <c r="M12" s="84" t="s">
        <v>174</v>
      </c>
      <c r="N12" s="84"/>
      <c r="O12" s="84" t="s">
        <v>1075</v>
      </c>
      <c r="P12" s="84" t="s">
        <v>176</v>
      </c>
      <c r="Q12" s="84" t="s">
        <v>83</v>
      </c>
      <c r="R12" s="84" t="s">
        <v>94</v>
      </c>
      <c r="S12" s="84" t="s">
        <v>121</v>
      </c>
      <c r="T12" s="84" t="s">
        <v>177</v>
      </c>
      <c r="U12" s="84" t="s">
        <v>1025</v>
      </c>
    </row>
    <row r="13" customFormat="false" ht="124.6" hidden="false" customHeight="false" outlineLevel="0" collapsed="false">
      <c r="A13" s="85" t="s">
        <v>11</v>
      </c>
      <c r="B13" s="86" t="s">
        <v>12</v>
      </c>
      <c r="C13" s="86" t="s">
        <v>1076</v>
      </c>
      <c r="D13" s="86" t="s">
        <v>1077</v>
      </c>
      <c r="E13" s="86" t="s">
        <v>1078</v>
      </c>
      <c r="F13" s="86" t="s">
        <v>1079</v>
      </c>
      <c r="G13" s="86" t="s">
        <v>1017</v>
      </c>
      <c r="H13" s="86" t="s">
        <v>1080</v>
      </c>
      <c r="I13" s="86" t="s">
        <v>1081</v>
      </c>
      <c r="J13" s="86" t="s">
        <v>78</v>
      </c>
      <c r="K13" s="86" t="s">
        <v>78</v>
      </c>
      <c r="L13" s="86" t="s">
        <v>1082</v>
      </c>
      <c r="M13" s="86"/>
      <c r="N13" s="86" t="s">
        <v>215</v>
      </c>
      <c r="O13" s="86" t="s">
        <v>1083</v>
      </c>
      <c r="P13" s="86" t="s">
        <v>189</v>
      </c>
      <c r="Q13" s="86" t="s">
        <v>83</v>
      </c>
      <c r="R13" s="86" t="s">
        <v>218</v>
      </c>
      <c r="S13" s="86" t="s">
        <v>121</v>
      </c>
      <c r="T13" s="86" t="s">
        <v>1084</v>
      </c>
      <c r="U13" s="86" t="s">
        <v>446</v>
      </c>
    </row>
    <row r="14" customFormat="false" ht="57.45" hidden="false" customHeight="false" outlineLevel="0" collapsed="false">
      <c r="A14" s="85" t="s">
        <v>11</v>
      </c>
      <c r="B14" s="86" t="s">
        <v>12</v>
      </c>
      <c r="C14" s="86" t="s">
        <v>1085</v>
      </c>
      <c r="D14" s="86" t="s">
        <v>1077</v>
      </c>
      <c r="E14" s="86" t="s">
        <v>1078</v>
      </c>
      <c r="F14" s="86" t="s">
        <v>1086</v>
      </c>
      <c r="G14" s="86" t="s">
        <v>1017</v>
      </c>
      <c r="H14" s="86" t="s">
        <v>1087</v>
      </c>
      <c r="I14" s="86" t="s">
        <v>1081</v>
      </c>
      <c r="J14" s="86" t="s">
        <v>78</v>
      </c>
      <c r="K14" s="86" t="s">
        <v>78</v>
      </c>
      <c r="L14" s="86" t="s">
        <v>1082</v>
      </c>
      <c r="M14" s="86"/>
      <c r="N14" s="86" t="s">
        <v>231</v>
      </c>
      <c r="O14" s="86" t="s">
        <v>1088</v>
      </c>
      <c r="P14" s="86" t="s">
        <v>189</v>
      </c>
      <c r="Q14" s="86" t="s">
        <v>233</v>
      </c>
      <c r="R14" s="86" t="s">
        <v>218</v>
      </c>
      <c r="S14" s="86" t="s">
        <v>121</v>
      </c>
      <c r="T14" s="86" t="s">
        <v>1089</v>
      </c>
      <c r="U14" s="86" t="s">
        <v>772</v>
      </c>
    </row>
    <row r="15" customFormat="false" ht="124.6" hidden="false" customHeight="false" outlineLevel="0" collapsed="false">
      <c r="A15" s="85" t="s">
        <v>11</v>
      </c>
      <c r="B15" s="86" t="s">
        <v>12</v>
      </c>
      <c r="C15" s="86" t="s">
        <v>250</v>
      </c>
      <c r="D15" s="86" t="s">
        <v>1077</v>
      </c>
      <c r="E15" s="86" t="s">
        <v>1078</v>
      </c>
      <c r="F15" s="86" t="s">
        <v>1090</v>
      </c>
      <c r="G15" s="86" t="s">
        <v>1027</v>
      </c>
      <c r="H15" s="86" t="s">
        <v>1091</v>
      </c>
      <c r="I15" s="86" t="s">
        <v>1092</v>
      </c>
      <c r="J15" s="86" t="s">
        <v>78</v>
      </c>
      <c r="K15" s="86" t="s">
        <v>78</v>
      </c>
      <c r="L15" s="86" t="s">
        <v>1093</v>
      </c>
      <c r="M15" s="86" t="s">
        <v>254</v>
      </c>
      <c r="N15" s="86" t="s">
        <v>255</v>
      </c>
      <c r="O15" s="86" t="s">
        <v>256</v>
      </c>
      <c r="P15" s="86" t="s">
        <v>189</v>
      </c>
      <c r="Q15" s="86" t="s">
        <v>83</v>
      </c>
      <c r="R15" s="86" t="s">
        <v>218</v>
      </c>
      <c r="S15" s="86" t="s">
        <v>121</v>
      </c>
      <c r="T15" s="86" t="s">
        <v>1094</v>
      </c>
      <c r="U15" s="86" t="s">
        <v>258</v>
      </c>
    </row>
    <row r="16" customFormat="false" ht="57.45" hidden="false" customHeight="false" outlineLevel="0" collapsed="false">
      <c r="A16" s="85" t="s">
        <v>11</v>
      </c>
      <c r="B16" s="86" t="s">
        <v>12</v>
      </c>
      <c r="C16" s="86" t="s">
        <v>264</v>
      </c>
      <c r="D16" s="86" t="s">
        <v>1077</v>
      </c>
      <c r="E16" s="86" t="s">
        <v>1078</v>
      </c>
      <c r="F16" s="86" t="s">
        <v>1095</v>
      </c>
      <c r="G16" s="86" t="s">
        <v>1017</v>
      </c>
      <c r="H16" s="86" t="s">
        <v>266</v>
      </c>
      <c r="I16" s="86" t="s">
        <v>1019</v>
      </c>
      <c r="J16" s="86" t="s">
        <v>268</v>
      </c>
      <c r="K16" s="86" t="s">
        <v>78</v>
      </c>
      <c r="L16" s="86" t="s">
        <v>1096</v>
      </c>
      <c r="M16" s="86" t="s">
        <v>269</v>
      </c>
      <c r="N16" s="86"/>
      <c r="O16" s="86" t="s">
        <v>82</v>
      </c>
      <c r="P16" s="86" t="s">
        <v>78</v>
      </c>
      <c r="Q16" s="86" t="s">
        <v>83</v>
      </c>
      <c r="R16" s="86" t="s">
        <v>218</v>
      </c>
      <c r="S16" s="86" t="s">
        <v>95</v>
      </c>
      <c r="T16" s="86" t="s">
        <v>271</v>
      </c>
      <c r="U16" s="86" t="s">
        <v>97</v>
      </c>
    </row>
    <row r="17" customFormat="false" ht="46.25" hidden="false" customHeight="false" outlineLevel="0" collapsed="false">
      <c r="A17" s="87" t="s">
        <v>13</v>
      </c>
      <c r="B17" s="88" t="s">
        <v>14</v>
      </c>
      <c r="C17" s="88" t="s">
        <v>284</v>
      </c>
      <c r="D17" s="88" t="s">
        <v>1097</v>
      </c>
      <c r="E17" s="88" t="s">
        <v>1098</v>
      </c>
      <c r="F17" s="88" t="s">
        <v>1099</v>
      </c>
      <c r="G17" s="88" t="s">
        <v>1027</v>
      </c>
      <c r="H17" s="88" t="s">
        <v>1100</v>
      </c>
      <c r="I17" s="88" t="s">
        <v>78</v>
      </c>
      <c r="J17" s="88" t="s">
        <v>78</v>
      </c>
      <c r="K17" s="88" t="s">
        <v>78</v>
      </c>
      <c r="L17" s="88" t="s">
        <v>78</v>
      </c>
      <c r="M17" s="88" t="s">
        <v>288</v>
      </c>
      <c r="N17" s="88" t="s">
        <v>289</v>
      </c>
      <c r="O17" s="88" t="s">
        <v>290</v>
      </c>
      <c r="P17" s="88" t="s">
        <v>189</v>
      </c>
      <c r="Q17" s="88" t="s">
        <v>83</v>
      </c>
      <c r="R17" s="88" t="s">
        <v>218</v>
      </c>
      <c r="S17" s="88" t="s">
        <v>95</v>
      </c>
      <c r="T17" s="88" t="s">
        <v>200</v>
      </c>
      <c r="U17" s="88" t="s">
        <v>201</v>
      </c>
    </row>
    <row r="18" customFormat="false" ht="46.25" hidden="false" customHeight="false" outlineLevel="0" collapsed="false">
      <c r="A18" s="91" t="s">
        <v>18</v>
      </c>
      <c r="B18" s="92" t="s">
        <v>19</v>
      </c>
      <c r="C18" s="92" t="s">
        <v>326</v>
      </c>
      <c r="D18" s="92" t="s">
        <v>17</v>
      </c>
      <c r="E18" s="92"/>
      <c r="F18" s="92" t="s">
        <v>1101</v>
      </c>
      <c r="G18" s="92" t="s">
        <v>1027</v>
      </c>
      <c r="H18" s="92" t="s">
        <v>1102</v>
      </c>
      <c r="I18" s="92" t="s">
        <v>78</v>
      </c>
      <c r="J18" s="92" t="s">
        <v>78</v>
      </c>
      <c r="K18" s="92" t="s">
        <v>78</v>
      </c>
      <c r="L18" s="92" t="s">
        <v>78</v>
      </c>
      <c r="M18" s="92" t="s">
        <v>330</v>
      </c>
      <c r="N18" s="92" t="s">
        <v>118</v>
      </c>
      <c r="O18" s="92" t="s">
        <v>331</v>
      </c>
      <c r="P18" s="92" t="s">
        <v>189</v>
      </c>
      <c r="Q18" s="92" t="s">
        <v>83</v>
      </c>
      <c r="R18" s="92" t="s">
        <v>1103</v>
      </c>
      <c r="S18" s="92" t="s">
        <v>95</v>
      </c>
      <c r="T18" s="92" t="s">
        <v>200</v>
      </c>
      <c r="U18" s="92" t="s">
        <v>201</v>
      </c>
    </row>
    <row r="19" customFormat="false" ht="46.25" hidden="false" customHeight="false" outlineLevel="0" collapsed="false">
      <c r="A19" s="93" t="s">
        <v>20</v>
      </c>
      <c r="B19" s="94" t="s">
        <v>21</v>
      </c>
      <c r="C19" s="94" t="s">
        <v>357</v>
      </c>
      <c r="D19" s="94" t="s">
        <v>1104</v>
      </c>
      <c r="E19" s="94" t="s">
        <v>1105</v>
      </c>
      <c r="F19" s="94" t="s">
        <v>1106</v>
      </c>
      <c r="G19" s="94" t="s">
        <v>1027</v>
      </c>
      <c r="H19" s="94" t="s">
        <v>359</v>
      </c>
      <c r="I19" s="94" t="s">
        <v>78</v>
      </c>
      <c r="J19" s="94" t="s">
        <v>78</v>
      </c>
      <c r="K19" s="94" t="s">
        <v>78</v>
      </c>
      <c r="L19" s="94" t="s">
        <v>78</v>
      </c>
      <c r="M19" s="94" t="s">
        <v>360</v>
      </c>
      <c r="N19" s="94" t="s">
        <v>353</v>
      </c>
      <c r="O19" s="94" t="s">
        <v>361</v>
      </c>
      <c r="P19" s="94" t="s">
        <v>189</v>
      </c>
      <c r="Q19" s="94" t="s">
        <v>83</v>
      </c>
      <c r="R19" s="94" t="s">
        <v>218</v>
      </c>
      <c r="S19" s="94" t="s">
        <v>95</v>
      </c>
      <c r="T19" s="94" t="s">
        <v>200</v>
      </c>
      <c r="U19" s="94" t="s">
        <v>201</v>
      </c>
    </row>
    <row r="20" customFormat="false" ht="46.25" hidden="false" customHeight="false" outlineLevel="0" collapsed="false">
      <c r="A20" s="93" t="s">
        <v>20</v>
      </c>
      <c r="B20" s="94" t="s">
        <v>21</v>
      </c>
      <c r="C20" s="94" t="s">
        <v>349</v>
      </c>
      <c r="D20" s="94" t="s">
        <v>1104</v>
      </c>
      <c r="E20" s="94" t="s">
        <v>1105</v>
      </c>
      <c r="F20" s="94" t="s">
        <v>1107</v>
      </c>
      <c r="G20" s="94" t="s">
        <v>1027</v>
      </c>
      <c r="H20" s="94" t="s">
        <v>1108</v>
      </c>
      <c r="I20" s="94" t="s">
        <v>78</v>
      </c>
      <c r="J20" s="94" t="s">
        <v>78</v>
      </c>
      <c r="K20" s="94" t="s">
        <v>78</v>
      </c>
      <c r="L20" s="94" t="s">
        <v>78</v>
      </c>
      <c r="M20" s="94" t="s">
        <v>352</v>
      </c>
      <c r="N20" s="94" t="s">
        <v>353</v>
      </c>
      <c r="O20" s="94" t="s">
        <v>361</v>
      </c>
      <c r="P20" s="94" t="s">
        <v>189</v>
      </c>
      <c r="Q20" s="94" t="s">
        <v>83</v>
      </c>
      <c r="R20" s="94" t="s">
        <v>218</v>
      </c>
      <c r="S20" s="94" t="s">
        <v>95</v>
      </c>
      <c r="T20" s="94" t="s">
        <v>1109</v>
      </c>
      <c r="U20" s="94" t="s">
        <v>201</v>
      </c>
    </row>
    <row r="21" customFormat="false" ht="57.45" hidden="false" customHeight="false" outlineLevel="0" collapsed="false">
      <c r="A21" s="95" t="s">
        <v>22</v>
      </c>
      <c r="B21" s="96" t="s">
        <v>23</v>
      </c>
      <c r="C21" s="96" t="s">
        <v>380</v>
      </c>
      <c r="D21" s="96" t="s">
        <v>1110</v>
      </c>
      <c r="E21" s="96" t="s">
        <v>1111</v>
      </c>
      <c r="F21" s="96" t="s">
        <v>1112</v>
      </c>
      <c r="G21" s="96" t="s">
        <v>1027</v>
      </c>
      <c r="H21" s="96" t="s">
        <v>1113</v>
      </c>
      <c r="I21" s="96" t="s">
        <v>1019</v>
      </c>
      <c r="J21" s="96" t="s">
        <v>78</v>
      </c>
      <c r="K21" s="96" t="s">
        <v>1114</v>
      </c>
      <c r="L21" s="96" t="s">
        <v>1115</v>
      </c>
      <c r="M21" s="96" t="s">
        <v>384</v>
      </c>
      <c r="N21" s="96"/>
      <c r="O21" s="96" t="s">
        <v>385</v>
      </c>
      <c r="P21" s="96" t="s">
        <v>189</v>
      </c>
      <c r="Q21" s="96" t="s">
        <v>83</v>
      </c>
      <c r="R21" s="96" t="s">
        <v>218</v>
      </c>
      <c r="S21" s="96" t="s">
        <v>121</v>
      </c>
      <c r="T21" s="96" t="s">
        <v>1116</v>
      </c>
      <c r="U21" s="96" t="s">
        <v>191</v>
      </c>
    </row>
    <row r="22" customFormat="false" ht="46.25" hidden="false" customHeight="false" outlineLevel="0" collapsed="false">
      <c r="A22" s="95" t="s">
        <v>22</v>
      </c>
      <c r="B22" s="96" t="s">
        <v>23</v>
      </c>
      <c r="C22" s="96" t="s">
        <v>362</v>
      </c>
      <c r="D22" s="96" t="s">
        <v>1110</v>
      </c>
      <c r="E22" s="96" t="s">
        <v>1111</v>
      </c>
      <c r="F22" s="96" t="s">
        <v>1117</v>
      </c>
      <c r="G22" s="96" t="s">
        <v>1027</v>
      </c>
      <c r="H22" s="96" t="s">
        <v>1118</v>
      </c>
      <c r="I22" s="96" t="s">
        <v>78</v>
      </c>
      <c r="J22" s="96" t="s">
        <v>78</v>
      </c>
      <c r="K22" s="96" t="s">
        <v>78</v>
      </c>
      <c r="L22" s="96" t="s">
        <v>78</v>
      </c>
      <c r="M22" s="96" t="s">
        <v>368</v>
      </c>
      <c r="N22" s="96" t="s">
        <v>118</v>
      </c>
      <c r="O22" s="96" t="s">
        <v>331</v>
      </c>
      <c r="P22" s="96" t="s">
        <v>189</v>
      </c>
      <c r="Q22" s="96" t="s">
        <v>83</v>
      </c>
      <c r="R22" s="96" t="s">
        <v>1103</v>
      </c>
      <c r="S22" s="96" t="s">
        <v>95</v>
      </c>
      <c r="T22" s="96" t="s">
        <v>200</v>
      </c>
      <c r="U22" s="96" t="s">
        <v>201</v>
      </c>
    </row>
    <row r="23" customFormat="false" ht="57.45" hidden="false" customHeight="false" outlineLevel="0" collapsed="false">
      <c r="A23" s="95" t="s">
        <v>22</v>
      </c>
      <c r="B23" s="96" t="s">
        <v>23</v>
      </c>
      <c r="C23" s="96" t="s">
        <v>370</v>
      </c>
      <c r="D23" s="96" t="s">
        <v>1110</v>
      </c>
      <c r="E23" s="96" t="s">
        <v>1111</v>
      </c>
      <c r="F23" s="96" t="s">
        <v>1119</v>
      </c>
      <c r="G23" s="96" t="s">
        <v>1027</v>
      </c>
      <c r="H23" s="96" t="s">
        <v>1120</v>
      </c>
      <c r="I23" s="96" t="s">
        <v>78</v>
      </c>
      <c r="J23" s="96" t="s">
        <v>78</v>
      </c>
      <c r="K23" s="96" t="s">
        <v>78</v>
      </c>
      <c r="L23" s="96" t="s">
        <v>78</v>
      </c>
      <c r="M23" s="96" t="s">
        <v>376</v>
      </c>
      <c r="N23" s="96" t="s">
        <v>118</v>
      </c>
      <c r="O23" s="96" t="s">
        <v>377</v>
      </c>
      <c r="P23" s="96" t="s">
        <v>189</v>
      </c>
      <c r="Q23" s="96" t="s">
        <v>378</v>
      </c>
      <c r="R23" s="96" t="s">
        <v>1121</v>
      </c>
      <c r="S23" s="96" t="s">
        <v>95</v>
      </c>
      <c r="T23" s="96" t="s">
        <v>200</v>
      </c>
      <c r="U23" s="96" t="s">
        <v>201</v>
      </c>
    </row>
    <row r="24" customFormat="false" ht="57.45" hidden="false" customHeight="false" outlineLevel="0" collapsed="false">
      <c r="A24" s="97" t="s">
        <v>24</v>
      </c>
      <c r="B24" s="98" t="s">
        <v>25</v>
      </c>
      <c r="C24" s="98" t="s">
        <v>390</v>
      </c>
      <c r="D24" s="98" t="s">
        <v>1122</v>
      </c>
      <c r="E24" s="98" t="s">
        <v>1123</v>
      </c>
      <c r="F24" s="98" t="s">
        <v>1124</v>
      </c>
      <c r="G24" s="98" t="s">
        <v>1017</v>
      </c>
      <c r="H24" s="98" t="s">
        <v>1125</v>
      </c>
      <c r="I24" s="98" t="s">
        <v>1019</v>
      </c>
      <c r="J24" s="98" t="s">
        <v>78</v>
      </c>
      <c r="K24" s="98" t="s">
        <v>78</v>
      </c>
      <c r="L24" s="98" t="s">
        <v>78</v>
      </c>
      <c r="M24" s="98" t="s">
        <v>396</v>
      </c>
      <c r="N24" s="98" t="s">
        <v>344</v>
      </c>
      <c r="O24" s="98" t="s">
        <v>397</v>
      </c>
      <c r="P24" s="98" t="s">
        <v>189</v>
      </c>
      <c r="Q24" s="98" t="s">
        <v>83</v>
      </c>
      <c r="R24" s="98" t="s">
        <v>218</v>
      </c>
      <c r="S24" s="98" t="s">
        <v>121</v>
      </c>
      <c r="T24" s="98" t="s">
        <v>1126</v>
      </c>
      <c r="U24" s="98" t="s">
        <v>191</v>
      </c>
    </row>
    <row r="25" customFormat="false" ht="79.85" hidden="false" customHeight="false" outlineLevel="0" collapsed="false">
      <c r="A25" s="97" t="s">
        <v>24</v>
      </c>
      <c r="B25" s="98" t="s">
        <v>25</v>
      </c>
      <c r="C25" s="98" t="s">
        <v>399</v>
      </c>
      <c r="D25" s="98" t="s">
        <v>1122</v>
      </c>
      <c r="E25" s="98" t="s">
        <v>1123</v>
      </c>
      <c r="F25" s="98" t="s">
        <v>1127</v>
      </c>
      <c r="G25" s="98" t="s">
        <v>1017</v>
      </c>
      <c r="H25" s="98" t="s">
        <v>1128</v>
      </c>
      <c r="I25" s="98" t="s">
        <v>1019</v>
      </c>
      <c r="J25" s="98" t="s">
        <v>78</v>
      </c>
      <c r="K25" s="98" t="s">
        <v>78</v>
      </c>
      <c r="L25" s="98" t="s">
        <v>1031</v>
      </c>
      <c r="M25" s="98" t="s">
        <v>404</v>
      </c>
      <c r="N25" s="98" t="s">
        <v>405</v>
      </c>
      <c r="O25" s="98" t="s">
        <v>406</v>
      </c>
      <c r="P25" s="98" t="s">
        <v>407</v>
      </c>
      <c r="Q25" s="98" t="s">
        <v>83</v>
      </c>
      <c r="R25" s="98" t="s">
        <v>408</v>
      </c>
      <c r="S25" s="98" t="s">
        <v>121</v>
      </c>
      <c r="T25" s="98" t="s">
        <v>1129</v>
      </c>
      <c r="U25" s="98" t="s">
        <v>191</v>
      </c>
    </row>
    <row r="26" customFormat="false" ht="68.65" hidden="false" customHeight="false" outlineLevel="0" collapsed="false">
      <c r="A26" s="97" t="s">
        <v>24</v>
      </c>
      <c r="B26" s="98" t="s">
        <v>25</v>
      </c>
      <c r="C26" s="98" t="s">
        <v>399</v>
      </c>
      <c r="D26" s="98" t="s">
        <v>1122</v>
      </c>
      <c r="E26" s="98" t="s">
        <v>1123</v>
      </c>
      <c r="F26" s="98" t="s">
        <v>1130</v>
      </c>
      <c r="G26" s="98" t="s">
        <v>1027</v>
      </c>
      <c r="H26" s="98" t="s">
        <v>401</v>
      </c>
      <c r="I26" s="98" t="s">
        <v>1073</v>
      </c>
      <c r="J26" s="98" t="s">
        <v>78</v>
      </c>
      <c r="K26" s="98" t="s">
        <v>78</v>
      </c>
      <c r="L26" s="98" t="s">
        <v>1064</v>
      </c>
      <c r="M26" s="98" t="s">
        <v>404</v>
      </c>
      <c r="N26" s="98" t="s">
        <v>405</v>
      </c>
      <c r="O26" s="98" t="s">
        <v>406</v>
      </c>
      <c r="P26" s="98" t="s">
        <v>407</v>
      </c>
      <c r="Q26" s="98" t="s">
        <v>83</v>
      </c>
      <c r="R26" s="98" t="s">
        <v>408</v>
      </c>
      <c r="S26" s="98" t="s">
        <v>121</v>
      </c>
      <c r="T26" s="98" t="s">
        <v>409</v>
      </c>
      <c r="U26" s="98" t="s">
        <v>191</v>
      </c>
    </row>
    <row r="27" customFormat="false" ht="46.25" hidden="false" customHeight="false" outlineLevel="0" collapsed="false">
      <c r="A27" s="99" t="s">
        <v>26</v>
      </c>
      <c r="B27" s="100" t="s">
        <v>27</v>
      </c>
      <c r="C27" s="100" t="s">
        <v>413</v>
      </c>
      <c r="D27" s="100" t="s">
        <v>1131</v>
      </c>
      <c r="E27" s="100" t="s">
        <v>1132</v>
      </c>
      <c r="F27" s="100" t="s">
        <v>1133</v>
      </c>
      <c r="G27" s="100" t="s">
        <v>1027</v>
      </c>
      <c r="H27" s="100" t="s">
        <v>1134</v>
      </c>
      <c r="I27" s="100" t="s">
        <v>78</v>
      </c>
      <c r="J27" s="100" t="s">
        <v>78</v>
      </c>
      <c r="K27" s="100" t="s">
        <v>78</v>
      </c>
      <c r="L27" s="100" t="s">
        <v>78</v>
      </c>
      <c r="M27" s="100" t="s">
        <v>418</v>
      </c>
      <c r="N27" s="100" t="s">
        <v>118</v>
      </c>
      <c r="O27" s="100" t="s">
        <v>331</v>
      </c>
      <c r="P27" s="100" t="s">
        <v>189</v>
      </c>
      <c r="Q27" s="100" t="s">
        <v>419</v>
      </c>
      <c r="R27" s="100" t="s">
        <v>1103</v>
      </c>
      <c r="S27" s="100" t="s">
        <v>95</v>
      </c>
      <c r="T27" s="100" t="s">
        <v>200</v>
      </c>
      <c r="U27" s="100" t="s">
        <v>201</v>
      </c>
    </row>
    <row r="28" customFormat="false" ht="57.45" hidden="false" customHeight="false" outlineLevel="0" collapsed="false">
      <c r="A28" s="101" t="s">
        <v>28</v>
      </c>
      <c r="B28" s="102" t="s">
        <v>29</v>
      </c>
      <c r="C28" s="102" t="s">
        <v>462</v>
      </c>
      <c r="D28" s="102" t="s">
        <v>1135</v>
      </c>
      <c r="E28" s="102" t="s">
        <v>1136</v>
      </c>
      <c r="F28" s="102" t="s">
        <v>1137</v>
      </c>
      <c r="G28" s="102" t="s">
        <v>1027</v>
      </c>
      <c r="H28" s="102" t="s">
        <v>1138</v>
      </c>
      <c r="I28" s="102" t="s">
        <v>1019</v>
      </c>
      <c r="J28" s="102" t="s">
        <v>78</v>
      </c>
      <c r="K28" s="102" t="s">
        <v>78</v>
      </c>
      <c r="L28" s="102" t="s">
        <v>1064</v>
      </c>
      <c r="M28" s="102" t="s">
        <v>467</v>
      </c>
      <c r="N28" s="102" t="s">
        <v>1139</v>
      </c>
      <c r="O28" s="102" t="s">
        <v>1140</v>
      </c>
      <c r="P28" s="102" t="s">
        <v>453</v>
      </c>
      <c r="Q28" s="102" t="s">
        <v>83</v>
      </c>
      <c r="R28" s="102" t="s">
        <v>408</v>
      </c>
      <c r="S28" s="102" t="s">
        <v>121</v>
      </c>
      <c r="T28" s="102" t="s">
        <v>1141</v>
      </c>
      <c r="U28" s="102" t="s">
        <v>300</v>
      </c>
    </row>
    <row r="29" customFormat="false" ht="79.85" hidden="false" customHeight="false" outlineLevel="0" collapsed="false">
      <c r="A29" s="101" t="s">
        <v>28</v>
      </c>
      <c r="B29" s="102" t="s">
        <v>29</v>
      </c>
      <c r="C29" s="102" t="s">
        <v>462</v>
      </c>
      <c r="D29" s="102" t="s">
        <v>1135</v>
      </c>
      <c r="E29" s="102" t="s">
        <v>1142</v>
      </c>
      <c r="F29" s="102" t="s">
        <v>1143</v>
      </c>
      <c r="G29" s="102" t="s">
        <v>1027</v>
      </c>
      <c r="H29" s="102" t="s">
        <v>464</v>
      </c>
      <c r="I29" s="102" t="s">
        <v>1144</v>
      </c>
      <c r="J29" s="102" t="s">
        <v>466</v>
      </c>
      <c r="K29" s="102" t="s">
        <v>78</v>
      </c>
      <c r="L29" s="102" t="s">
        <v>1074</v>
      </c>
      <c r="M29" s="102" t="s">
        <v>467</v>
      </c>
      <c r="N29" s="102" t="s">
        <v>1139</v>
      </c>
      <c r="O29" s="102" t="s">
        <v>1140</v>
      </c>
      <c r="P29" s="102" t="s">
        <v>453</v>
      </c>
      <c r="Q29" s="102" t="s">
        <v>83</v>
      </c>
      <c r="R29" s="102" t="s">
        <v>408</v>
      </c>
      <c r="S29" s="102" t="s">
        <v>121</v>
      </c>
      <c r="T29" s="102" t="s">
        <v>470</v>
      </c>
      <c r="U29" s="102" t="s">
        <v>300</v>
      </c>
    </row>
    <row r="30" customFormat="false" ht="158.2" hidden="false" customHeight="false" outlineLevel="0" collapsed="false">
      <c r="A30" s="101" t="s">
        <v>28</v>
      </c>
      <c r="B30" s="102" t="s">
        <v>29</v>
      </c>
      <c r="C30" s="102" t="s">
        <v>475</v>
      </c>
      <c r="D30" s="102" t="s">
        <v>1135</v>
      </c>
      <c r="E30" s="102" t="s">
        <v>1142</v>
      </c>
      <c r="F30" s="102" t="s">
        <v>1145</v>
      </c>
      <c r="G30" s="102" t="s">
        <v>1027</v>
      </c>
      <c r="H30" s="102" t="s">
        <v>477</v>
      </c>
      <c r="I30" s="102" t="s">
        <v>1073</v>
      </c>
      <c r="J30" s="102" t="s">
        <v>78</v>
      </c>
      <c r="K30" s="102" t="s">
        <v>78</v>
      </c>
      <c r="L30" s="102" t="s">
        <v>1074</v>
      </c>
      <c r="M30" s="102" t="s">
        <v>479</v>
      </c>
      <c r="N30" s="102" t="s">
        <v>480</v>
      </c>
      <c r="O30" s="102" t="s">
        <v>1146</v>
      </c>
      <c r="P30" s="102" t="s">
        <v>346</v>
      </c>
      <c r="Q30" s="102" t="s">
        <v>482</v>
      </c>
      <c r="R30" s="102" t="s">
        <v>408</v>
      </c>
      <c r="S30" s="102" t="s">
        <v>121</v>
      </c>
      <c r="T30" s="102" t="s">
        <v>483</v>
      </c>
      <c r="U30" s="102" t="s">
        <v>300</v>
      </c>
    </row>
    <row r="31" customFormat="false" ht="68.65" hidden="false" customHeight="false" outlineLevel="0" collapsed="false">
      <c r="A31" s="105" t="s">
        <v>32</v>
      </c>
      <c r="B31" s="106" t="s">
        <v>33</v>
      </c>
      <c r="C31" s="106" t="s">
        <v>1147</v>
      </c>
      <c r="D31" s="106" t="s">
        <v>1148</v>
      </c>
      <c r="E31" s="106" t="s">
        <v>1149</v>
      </c>
      <c r="F31" s="106" t="s">
        <v>1150</v>
      </c>
      <c r="G31" s="106" t="s">
        <v>1017</v>
      </c>
      <c r="H31" s="106" t="s">
        <v>1151</v>
      </c>
      <c r="I31" s="106" t="s">
        <v>1081</v>
      </c>
      <c r="J31" s="106" t="s">
        <v>1152</v>
      </c>
      <c r="K31" s="106" t="s">
        <v>78</v>
      </c>
      <c r="L31" s="106" t="s">
        <v>1153</v>
      </c>
      <c r="M31" s="106"/>
      <c r="N31" s="106" t="s">
        <v>1154</v>
      </c>
      <c r="O31" s="106" t="s">
        <v>1155</v>
      </c>
      <c r="P31" s="106" t="s">
        <v>545</v>
      </c>
      <c r="Q31" s="106" t="s">
        <v>83</v>
      </c>
      <c r="R31" s="106" t="s">
        <v>84</v>
      </c>
      <c r="S31" s="106" t="s">
        <v>121</v>
      </c>
      <c r="T31" s="106" t="s">
        <v>1156</v>
      </c>
      <c r="U31" s="106" t="s">
        <v>1157</v>
      </c>
    </row>
    <row r="32" customFormat="false" ht="57.45" hidden="false" customHeight="false" outlineLevel="0" collapsed="false">
      <c r="A32" s="105" t="s">
        <v>32</v>
      </c>
      <c r="B32" s="106" t="s">
        <v>33</v>
      </c>
      <c r="C32" s="106" t="s">
        <v>1147</v>
      </c>
      <c r="D32" s="106" t="s">
        <v>1148</v>
      </c>
      <c r="E32" s="106" t="s">
        <v>1149</v>
      </c>
      <c r="F32" s="106" t="s">
        <v>1158</v>
      </c>
      <c r="G32" s="106" t="s">
        <v>1027</v>
      </c>
      <c r="H32" s="106" t="s">
        <v>1159</v>
      </c>
      <c r="I32" s="106" t="s">
        <v>1160</v>
      </c>
      <c r="J32" s="106" t="s">
        <v>78</v>
      </c>
      <c r="K32" s="106" t="s">
        <v>78</v>
      </c>
      <c r="L32" s="106" t="s">
        <v>1058</v>
      </c>
      <c r="M32" s="106"/>
      <c r="N32" s="106" t="s">
        <v>1161</v>
      </c>
      <c r="O32" s="106" t="s">
        <v>1162</v>
      </c>
      <c r="P32" s="106" t="s">
        <v>505</v>
      </c>
      <c r="Q32" s="106" t="s">
        <v>83</v>
      </c>
      <c r="R32" s="106" t="s">
        <v>498</v>
      </c>
      <c r="S32" s="106" t="s">
        <v>121</v>
      </c>
      <c r="T32" s="106" t="s">
        <v>1163</v>
      </c>
      <c r="U32" s="106" t="s">
        <v>1157</v>
      </c>
    </row>
    <row r="33" customFormat="false" ht="57.45" hidden="false" customHeight="false" outlineLevel="0" collapsed="false">
      <c r="A33" s="105" t="s">
        <v>32</v>
      </c>
      <c r="B33" s="106" t="s">
        <v>33</v>
      </c>
      <c r="C33" s="106" t="s">
        <v>492</v>
      </c>
      <c r="D33" s="106" t="s">
        <v>1148</v>
      </c>
      <c r="E33" s="106" t="s">
        <v>1149</v>
      </c>
      <c r="F33" s="106" t="s">
        <v>1164</v>
      </c>
      <c r="G33" s="106" t="s">
        <v>1027</v>
      </c>
      <c r="H33" s="106" t="s">
        <v>1165</v>
      </c>
      <c r="I33" s="106" t="s">
        <v>1160</v>
      </c>
      <c r="J33" s="106" t="s">
        <v>78</v>
      </c>
      <c r="K33" s="106" t="s">
        <v>78</v>
      </c>
      <c r="L33" s="106" t="s">
        <v>1058</v>
      </c>
      <c r="M33" s="106"/>
      <c r="N33" s="106" t="s">
        <v>1166</v>
      </c>
      <c r="O33" s="106" t="s">
        <v>82</v>
      </c>
      <c r="P33" s="106" t="s">
        <v>78</v>
      </c>
      <c r="Q33" s="106" t="s">
        <v>83</v>
      </c>
      <c r="R33" s="106" t="s">
        <v>498</v>
      </c>
      <c r="S33" s="106" t="s">
        <v>85</v>
      </c>
      <c r="T33" s="106" t="s">
        <v>1167</v>
      </c>
      <c r="U33" s="106" t="s">
        <v>87</v>
      </c>
    </row>
    <row r="34" customFormat="false" ht="202.95" hidden="false" customHeight="false" outlineLevel="0" collapsed="false">
      <c r="A34" s="105" t="s">
        <v>32</v>
      </c>
      <c r="B34" s="106" t="s">
        <v>33</v>
      </c>
      <c r="C34" s="106" t="s">
        <v>1168</v>
      </c>
      <c r="D34" s="106" t="s">
        <v>1148</v>
      </c>
      <c r="E34" s="106" t="s">
        <v>1149</v>
      </c>
      <c r="F34" s="106" t="s">
        <v>1169</v>
      </c>
      <c r="G34" s="106" t="s">
        <v>1027</v>
      </c>
      <c r="H34" s="106" t="s">
        <v>1170</v>
      </c>
      <c r="I34" s="106" t="s">
        <v>1171</v>
      </c>
      <c r="J34" s="106" t="s">
        <v>78</v>
      </c>
      <c r="K34" s="106" t="s">
        <v>78</v>
      </c>
      <c r="L34" s="106" t="s">
        <v>1031</v>
      </c>
      <c r="M34" s="106"/>
      <c r="N34" s="106" t="s">
        <v>503</v>
      </c>
      <c r="O34" s="106" t="s">
        <v>1172</v>
      </c>
      <c r="P34" s="106" t="s">
        <v>505</v>
      </c>
      <c r="Q34" s="106" t="s">
        <v>83</v>
      </c>
      <c r="R34" s="106" t="s">
        <v>498</v>
      </c>
      <c r="S34" s="106" t="s">
        <v>121</v>
      </c>
      <c r="T34" s="106" t="s">
        <v>506</v>
      </c>
      <c r="U34" s="106" t="s">
        <v>1173</v>
      </c>
    </row>
    <row r="35" customFormat="false" ht="91" hidden="false" customHeight="false" outlineLevel="0" collapsed="false">
      <c r="A35" s="105" t="s">
        <v>32</v>
      </c>
      <c r="B35" s="106" t="s">
        <v>33</v>
      </c>
      <c r="C35" s="106" t="s">
        <v>1174</v>
      </c>
      <c r="D35" s="106" t="s">
        <v>1148</v>
      </c>
      <c r="E35" s="106" t="s">
        <v>1149</v>
      </c>
      <c r="F35" s="106" t="s">
        <v>1175</v>
      </c>
      <c r="G35" s="106" t="s">
        <v>1027</v>
      </c>
      <c r="H35" s="106" t="s">
        <v>1176</v>
      </c>
      <c r="I35" s="106" t="s">
        <v>1160</v>
      </c>
      <c r="J35" s="106" t="s">
        <v>78</v>
      </c>
      <c r="K35" s="106" t="s">
        <v>78</v>
      </c>
      <c r="L35" s="106" t="s">
        <v>1058</v>
      </c>
      <c r="M35" s="106"/>
      <c r="N35" s="106" t="s">
        <v>1177</v>
      </c>
      <c r="O35" s="106" t="s">
        <v>1178</v>
      </c>
      <c r="P35" s="106" t="s">
        <v>505</v>
      </c>
      <c r="Q35" s="106" t="s">
        <v>83</v>
      </c>
      <c r="R35" s="106" t="s">
        <v>498</v>
      </c>
      <c r="S35" s="106" t="s">
        <v>121</v>
      </c>
      <c r="T35" s="106" t="s">
        <v>1179</v>
      </c>
      <c r="U35" s="106" t="s">
        <v>658</v>
      </c>
    </row>
    <row r="36" customFormat="false" ht="124.6" hidden="false" customHeight="false" outlineLevel="0" collapsed="false">
      <c r="A36" s="105" t="s">
        <v>32</v>
      </c>
      <c r="B36" s="106" t="s">
        <v>33</v>
      </c>
      <c r="C36" s="106" t="s">
        <v>1180</v>
      </c>
      <c r="D36" s="106" t="s">
        <v>1148</v>
      </c>
      <c r="E36" s="106" t="s">
        <v>1149</v>
      </c>
      <c r="F36" s="106" t="s">
        <v>1181</v>
      </c>
      <c r="G36" s="106" t="s">
        <v>1027</v>
      </c>
      <c r="H36" s="106" t="s">
        <v>1182</v>
      </c>
      <c r="I36" s="106" t="s">
        <v>1019</v>
      </c>
      <c r="J36" s="106" t="s">
        <v>78</v>
      </c>
      <c r="K36" s="106" t="s">
        <v>78</v>
      </c>
      <c r="L36" s="106" t="s">
        <v>78</v>
      </c>
      <c r="M36" s="106"/>
      <c r="N36" s="106" t="s">
        <v>1183</v>
      </c>
      <c r="O36" s="106" t="s">
        <v>1184</v>
      </c>
      <c r="P36" s="106" t="s">
        <v>505</v>
      </c>
      <c r="Q36" s="106" t="s">
        <v>83</v>
      </c>
      <c r="R36" s="106" t="s">
        <v>498</v>
      </c>
      <c r="S36" s="106" t="s">
        <v>121</v>
      </c>
      <c r="T36" s="106" t="s">
        <v>1185</v>
      </c>
      <c r="U36" s="106" t="s">
        <v>912</v>
      </c>
    </row>
    <row r="37" customFormat="false" ht="68.65" hidden="false" customHeight="false" outlineLevel="0" collapsed="false">
      <c r="A37" s="105" t="s">
        <v>32</v>
      </c>
      <c r="B37" s="106" t="s">
        <v>33</v>
      </c>
      <c r="C37" s="106" t="s">
        <v>1174</v>
      </c>
      <c r="D37" s="106" t="s">
        <v>1148</v>
      </c>
      <c r="E37" s="106" t="s">
        <v>1149</v>
      </c>
      <c r="F37" s="106" t="s">
        <v>1186</v>
      </c>
      <c r="G37" s="106" t="s">
        <v>1027</v>
      </c>
      <c r="H37" s="106" t="s">
        <v>1187</v>
      </c>
      <c r="I37" s="106" t="s">
        <v>1019</v>
      </c>
      <c r="J37" s="106" t="s">
        <v>78</v>
      </c>
      <c r="K37" s="106" t="s">
        <v>78</v>
      </c>
      <c r="L37" s="106" t="s">
        <v>78</v>
      </c>
      <c r="M37" s="106"/>
      <c r="N37" s="106" t="s">
        <v>1188</v>
      </c>
      <c r="O37" s="106" t="s">
        <v>1189</v>
      </c>
      <c r="P37" s="106" t="s">
        <v>505</v>
      </c>
      <c r="Q37" s="106" t="s">
        <v>83</v>
      </c>
      <c r="R37" s="106" t="s">
        <v>498</v>
      </c>
      <c r="S37" s="106" t="s">
        <v>121</v>
      </c>
      <c r="T37" s="106" t="s">
        <v>1190</v>
      </c>
      <c r="U37" s="106" t="s">
        <v>658</v>
      </c>
    </row>
    <row r="38" customFormat="false" ht="68.65" hidden="false" customHeight="false" outlineLevel="0" collapsed="false">
      <c r="A38" s="105" t="s">
        <v>32</v>
      </c>
      <c r="B38" s="106" t="s">
        <v>33</v>
      </c>
      <c r="C38" s="106" t="s">
        <v>529</v>
      </c>
      <c r="D38" s="106" t="s">
        <v>1148</v>
      </c>
      <c r="E38" s="106" t="s">
        <v>1149</v>
      </c>
      <c r="F38" s="106" t="s">
        <v>1191</v>
      </c>
      <c r="G38" s="106" t="s">
        <v>1027</v>
      </c>
      <c r="H38" s="106" t="s">
        <v>1192</v>
      </c>
      <c r="I38" s="106" t="s">
        <v>1019</v>
      </c>
      <c r="J38" s="106" t="s">
        <v>78</v>
      </c>
      <c r="K38" s="106" t="s">
        <v>78</v>
      </c>
      <c r="L38" s="106" t="s">
        <v>78</v>
      </c>
      <c r="M38" s="106"/>
      <c r="N38" s="106" t="s">
        <v>537</v>
      </c>
      <c r="O38" s="106" t="s">
        <v>538</v>
      </c>
      <c r="P38" s="106" t="s">
        <v>505</v>
      </c>
      <c r="Q38" s="106" t="s">
        <v>83</v>
      </c>
      <c r="R38" s="106" t="s">
        <v>498</v>
      </c>
      <c r="S38" s="106" t="s">
        <v>121</v>
      </c>
      <c r="T38" s="106" t="s">
        <v>1193</v>
      </c>
      <c r="U38" s="106" t="s">
        <v>227</v>
      </c>
    </row>
    <row r="39" customFormat="false" ht="68.65" hidden="false" customHeight="false" outlineLevel="0" collapsed="false">
      <c r="A39" s="105" t="s">
        <v>32</v>
      </c>
      <c r="B39" s="106" t="s">
        <v>33</v>
      </c>
      <c r="C39" s="106" t="s">
        <v>540</v>
      </c>
      <c r="D39" s="106" t="s">
        <v>1148</v>
      </c>
      <c r="E39" s="106" t="s">
        <v>1149</v>
      </c>
      <c r="F39" s="106" t="s">
        <v>1194</v>
      </c>
      <c r="G39" s="106" t="s">
        <v>1027</v>
      </c>
      <c r="H39" s="106" t="s">
        <v>548</v>
      </c>
      <c r="I39" s="106" t="s">
        <v>1073</v>
      </c>
      <c r="J39" s="106" t="s">
        <v>78</v>
      </c>
      <c r="K39" s="106" t="s">
        <v>78</v>
      </c>
      <c r="L39" s="106" t="s">
        <v>1058</v>
      </c>
      <c r="M39" s="106" t="s">
        <v>543</v>
      </c>
      <c r="N39" s="106" t="s">
        <v>1195</v>
      </c>
      <c r="O39" s="106" t="s">
        <v>1196</v>
      </c>
      <c r="P39" s="106" t="s">
        <v>619</v>
      </c>
      <c r="Q39" s="106" t="s">
        <v>83</v>
      </c>
      <c r="R39" s="106" t="s">
        <v>498</v>
      </c>
      <c r="S39" s="106" t="s">
        <v>121</v>
      </c>
      <c r="T39" s="106" t="s">
        <v>546</v>
      </c>
      <c r="U39" s="106" t="s">
        <v>316</v>
      </c>
    </row>
    <row r="40" customFormat="false" ht="68.65" hidden="false" customHeight="false" outlineLevel="0" collapsed="false">
      <c r="A40" s="105" t="s">
        <v>32</v>
      </c>
      <c r="B40" s="106" t="s">
        <v>33</v>
      </c>
      <c r="C40" s="106" t="s">
        <v>549</v>
      </c>
      <c r="D40" s="106" t="s">
        <v>1148</v>
      </c>
      <c r="E40" s="106" t="s">
        <v>1149</v>
      </c>
      <c r="F40" s="106" t="s">
        <v>1197</v>
      </c>
      <c r="G40" s="106" t="s">
        <v>1027</v>
      </c>
      <c r="H40" s="106" t="s">
        <v>1198</v>
      </c>
      <c r="I40" s="106" t="s">
        <v>1199</v>
      </c>
      <c r="J40" s="106" t="s">
        <v>78</v>
      </c>
      <c r="K40" s="106" t="s">
        <v>78</v>
      </c>
      <c r="L40" s="106" t="s">
        <v>1200</v>
      </c>
      <c r="M40" s="106" t="s">
        <v>552</v>
      </c>
      <c r="N40" s="106" t="s">
        <v>1201</v>
      </c>
      <c r="O40" s="106" t="s">
        <v>1202</v>
      </c>
      <c r="P40" s="106" t="s">
        <v>505</v>
      </c>
      <c r="Q40" s="106" t="s">
        <v>83</v>
      </c>
      <c r="R40" s="106" t="s">
        <v>498</v>
      </c>
      <c r="S40" s="106" t="s">
        <v>121</v>
      </c>
      <c r="T40" s="106" t="s">
        <v>553</v>
      </c>
      <c r="U40" s="106" t="s">
        <v>300</v>
      </c>
    </row>
    <row r="41" customFormat="false" ht="57.45" hidden="false" customHeight="false" outlineLevel="0" collapsed="false">
      <c r="A41" s="105" t="s">
        <v>32</v>
      </c>
      <c r="B41" s="106" t="s">
        <v>33</v>
      </c>
      <c r="C41" s="106" t="s">
        <v>1203</v>
      </c>
      <c r="D41" s="106" t="s">
        <v>1148</v>
      </c>
      <c r="E41" s="106" t="s">
        <v>1149</v>
      </c>
      <c r="F41" s="106" t="s">
        <v>1204</v>
      </c>
      <c r="G41" s="106" t="s">
        <v>1027</v>
      </c>
      <c r="H41" s="106" t="s">
        <v>1205</v>
      </c>
      <c r="I41" s="106" t="s">
        <v>1199</v>
      </c>
      <c r="J41" s="106" t="s">
        <v>78</v>
      </c>
      <c r="K41" s="106" t="s">
        <v>78</v>
      </c>
      <c r="L41" s="106" t="s">
        <v>1058</v>
      </c>
      <c r="M41" s="106" t="s">
        <v>1206</v>
      </c>
      <c r="N41" s="106" t="s">
        <v>1207</v>
      </c>
      <c r="O41" s="106" t="s">
        <v>1208</v>
      </c>
      <c r="P41" s="106" t="s">
        <v>505</v>
      </c>
      <c r="Q41" s="106" t="s">
        <v>83</v>
      </c>
      <c r="R41" s="106" t="s">
        <v>498</v>
      </c>
      <c r="S41" s="106" t="s">
        <v>121</v>
      </c>
      <c r="T41" s="106" t="s">
        <v>1209</v>
      </c>
      <c r="U41" s="106" t="s">
        <v>316</v>
      </c>
    </row>
    <row r="42" customFormat="false" ht="57.45" hidden="false" customHeight="false" outlineLevel="0" collapsed="false">
      <c r="A42" s="105" t="s">
        <v>32</v>
      </c>
      <c r="B42" s="106" t="s">
        <v>33</v>
      </c>
      <c r="C42" s="106" t="s">
        <v>554</v>
      </c>
      <c r="D42" s="106" t="s">
        <v>1148</v>
      </c>
      <c r="E42" s="106" t="s">
        <v>1149</v>
      </c>
      <c r="F42" s="106" t="s">
        <v>1210</v>
      </c>
      <c r="G42" s="106" t="s">
        <v>1027</v>
      </c>
      <c r="H42" s="106" t="s">
        <v>560</v>
      </c>
      <c r="I42" s="106" t="s">
        <v>1019</v>
      </c>
      <c r="J42" s="106" t="s">
        <v>78</v>
      </c>
      <c r="K42" s="106" t="s">
        <v>78</v>
      </c>
      <c r="L42" s="106" t="s">
        <v>78</v>
      </c>
      <c r="M42" s="106" t="s">
        <v>557</v>
      </c>
      <c r="N42" s="106" t="s">
        <v>1201</v>
      </c>
      <c r="O42" s="106" t="s">
        <v>1202</v>
      </c>
      <c r="P42" s="106" t="s">
        <v>505</v>
      </c>
      <c r="Q42" s="106" t="s">
        <v>83</v>
      </c>
      <c r="R42" s="106" t="s">
        <v>498</v>
      </c>
      <c r="S42" s="106" t="s">
        <v>121</v>
      </c>
      <c r="T42" s="106" t="s">
        <v>561</v>
      </c>
      <c r="U42" s="106" t="s">
        <v>300</v>
      </c>
    </row>
    <row r="43" customFormat="false" ht="57.45" hidden="false" customHeight="false" outlineLevel="0" collapsed="false">
      <c r="A43" s="105" t="s">
        <v>32</v>
      </c>
      <c r="B43" s="106" t="s">
        <v>33</v>
      </c>
      <c r="C43" s="106" t="s">
        <v>569</v>
      </c>
      <c r="D43" s="106" t="s">
        <v>1148</v>
      </c>
      <c r="E43" s="106" t="s">
        <v>1149</v>
      </c>
      <c r="F43" s="106" t="s">
        <v>1211</v>
      </c>
      <c r="G43" s="106" t="s">
        <v>1017</v>
      </c>
      <c r="H43" s="106" t="s">
        <v>1212</v>
      </c>
      <c r="I43" s="106" t="s">
        <v>1019</v>
      </c>
      <c r="J43" s="106" t="s">
        <v>1213</v>
      </c>
      <c r="K43" s="106" t="s">
        <v>1214</v>
      </c>
      <c r="L43" s="106" t="s">
        <v>78</v>
      </c>
      <c r="M43" s="106" t="s">
        <v>572</v>
      </c>
      <c r="N43" s="106" t="s">
        <v>573</v>
      </c>
      <c r="O43" s="106" t="s">
        <v>574</v>
      </c>
      <c r="P43" s="106" t="s">
        <v>505</v>
      </c>
      <c r="Q43" s="106" t="s">
        <v>83</v>
      </c>
      <c r="R43" s="106" t="s">
        <v>498</v>
      </c>
      <c r="S43" s="106" t="s">
        <v>121</v>
      </c>
      <c r="T43" s="106" t="s">
        <v>575</v>
      </c>
      <c r="U43" s="106" t="s">
        <v>300</v>
      </c>
    </row>
    <row r="44" customFormat="false" ht="57.45" hidden="false" customHeight="false" outlineLevel="0" collapsed="false">
      <c r="A44" s="105" t="s">
        <v>32</v>
      </c>
      <c r="B44" s="106" t="s">
        <v>33</v>
      </c>
      <c r="C44" s="106" t="s">
        <v>576</v>
      </c>
      <c r="D44" s="106" t="s">
        <v>1148</v>
      </c>
      <c r="E44" s="106" t="s">
        <v>1149</v>
      </c>
      <c r="F44" s="106" t="s">
        <v>1215</v>
      </c>
      <c r="G44" s="106" t="s">
        <v>1027</v>
      </c>
      <c r="H44" s="106" t="s">
        <v>1216</v>
      </c>
      <c r="I44" s="106" t="s">
        <v>1171</v>
      </c>
      <c r="J44" s="106" t="s">
        <v>78</v>
      </c>
      <c r="K44" s="106" t="s">
        <v>1217</v>
      </c>
      <c r="L44" s="106" t="s">
        <v>1031</v>
      </c>
      <c r="M44" s="106" t="s">
        <v>579</v>
      </c>
      <c r="N44" s="106" t="s">
        <v>580</v>
      </c>
      <c r="O44" s="106" t="s">
        <v>581</v>
      </c>
      <c r="P44" s="106" t="s">
        <v>505</v>
      </c>
      <c r="Q44" s="106" t="s">
        <v>83</v>
      </c>
      <c r="R44" s="106" t="s">
        <v>498</v>
      </c>
      <c r="S44" s="106" t="s">
        <v>121</v>
      </c>
      <c r="T44" s="106" t="s">
        <v>582</v>
      </c>
      <c r="U44" s="106" t="s">
        <v>191</v>
      </c>
    </row>
    <row r="45" customFormat="false" ht="57.45" hidden="false" customHeight="false" outlineLevel="0" collapsed="false">
      <c r="A45" s="105" t="s">
        <v>32</v>
      </c>
      <c r="B45" s="106" t="s">
        <v>33</v>
      </c>
      <c r="C45" s="106" t="s">
        <v>1218</v>
      </c>
      <c r="D45" s="106" t="s">
        <v>1148</v>
      </c>
      <c r="E45" s="106" t="s">
        <v>1149</v>
      </c>
      <c r="F45" s="106" t="s">
        <v>1219</v>
      </c>
      <c r="G45" s="106" t="s">
        <v>1027</v>
      </c>
      <c r="H45" s="106" t="s">
        <v>1220</v>
      </c>
      <c r="I45" s="106" t="s">
        <v>1019</v>
      </c>
      <c r="J45" s="106" t="s">
        <v>78</v>
      </c>
      <c r="K45" s="106" t="s">
        <v>78</v>
      </c>
      <c r="L45" s="106" t="s">
        <v>78</v>
      </c>
      <c r="M45" s="106" t="s">
        <v>1221</v>
      </c>
      <c r="N45" s="106" t="s">
        <v>1222</v>
      </c>
      <c r="O45" s="106" t="s">
        <v>1223</v>
      </c>
      <c r="P45" s="106" t="s">
        <v>505</v>
      </c>
      <c r="Q45" s="106" t="s">
        <v>83</v>
      </c>
      <c r="R45" s="106" t="s">
        <v>498</v>
      </c>
      <c r="S45" s="106" t="s">
        <v>121</v>
      </c>
      <c r="T45" s="106" t="s">
        <v>1224</v>
      </c>
      <c r="U45" s="106" t="s">
        <v>316</v>
      </c>
    </row>
    <row r="46" customFormat="false" ht="57.45" hidden="false" customHeight="false" outlineLevel="0" collapsed="false">
      <c r="A46" s="105" t="s">
        <v>32</v>
      </c>
      <c r="B46" s="106" t="s">
        <v>33</v>
      </c>
      <c r="C46" s="106" t="s">
        <v>590</v>
      </c>
      <c r="D46" s="106" t="s">
        <v>1148</v>
      </c>
      <c r="E46" s="106" t="s">
        <v>1149</v>
      </c>
      <c r="F46" s="106" t="s">
        <v>1225</v>
      </c>
      <c r="G46" s="106" t="s">
        <v>1027</v>
      </c>
      <c r="H46" s="106" t="s">
        <v>600</v>
      </c>
      <c r="I46" s="106" t="s">
        <v>1144</v>
      </c>
      <c r="J46" s="106" t="s">
        <v>78</v>
      </c>
      <c r="K46" s="106" t="s">
        <v>1226</v>
      </c>
      <c r="L46" s="106" t="s">
        <v>1200</v>
      </c>
      <c r="M46" s="106" t="s">
        <v>593</v>
      </c>
      <c r="N46" s="106" t="s">
        <v>594</v>
      </c>
      <c r="O46" s="106" t="s">
        <v>595</v>
      </c>
      <c r="P46" s="106" t="s">
        <v>505</v>
      </c>
      <c r="Q46" s="106" t="s">
        <v>83</v>
      </c>
      <c r="R46" s="106" t="s">
        <v>498</v>
      </c>
      <c r="S46" s="106" t="s">
        <v>121</v>
      </c>
      <c r="T46" s="106" t="s">
        <v>596</v>
      </c>
      <c r="U46" s="106" t="s">
        <v>191</v>
      </c>
    </row>
    <row r="47" customFormat="false" ht="57.45" hidden="false" customHeight="false" outlineLevel="0" collapsed="false">
      <c r="A47" s="105" t="s">
        <v>32</v>
      </c>
      <c r="B47" s="106" t="s">
        <v>33</v>
      </c>
      <c r="C47" s="106" t="s">
        <v>602</v>
      </c>
      <c r="D47" s="106" t="s">
        <v>1148</v>
      </c>
      <c r="E47" s="106" t="s">
        <v>1227</v>
      </c>
      <c r="F47" s="106" t="s">
        <v>1228</v>
      </c>
      <c r="G47" s="106" t="s">
        <v>1072</v>
      </c>
      <c r="H47" s="106" t="s">
        <v>1229</v>
      </c>
      <c r="I47" s="106" t="s">
        <v>1073</v>
      </c>
      <c r="J47" s="106" t="s">
        <v>78</v>
      </c>
      <c r="K47" s="106" t="s">
        <v>1230</v>
      </c>
      <c r="L47" s="106" t="s">
        <v>1058</v>
      </c>
      <c r="M47" s="106" t="s">
        <v>605</v>
      </c>
      <c r="N47" s="106" t="s">
        <v>606</v>
      </c>
      <c r="O47" s="106" t="s">
        <v>607</v>
      </c>
      <c r="P47" s="106" t="s">
        <v>608</v>
      </c>
      <c r="Q47" s="106" t="s">
        <v>83</v>
      </c>
      <c r="R47" s="106" t="s">
        <v>498</v>
      </c>
      <c r="S47" s="106" t="s">
        <v>121</v>
      </c>
      <c r="T47" s="106" t="s">
        <v>609</v>
      </c>
      <c r="U47" s="106" t="s">
        <v>191</v>
      </c>
    </row>
    <row r="48" customFormat="false" ht="57.45" hidden="false" customHeight="false" outlineLevel="0" collapsed="false">
      <c r="A48" s="105" t="s">
        <v>32</v>
      </c>
      <c r="B48" s="106" t="s">
        <v>33</v>
      </c>
      <c r="C48" s="106" t="s">
        <v>613</v>
      </c>
      <c r="D48" s="106" t="s">
        <v>1148</v>
      </c>
      <c r="E48" s="106" t="s">
        <v>1149</v>
      </c>
      <c r="F48" s="106" t="s">
        <v>1231</v>
      </c>
      <c r="G48" s="106" t="s">
        <v>1027</v>
      </c>
      <c r="H48" s="106" t="s">
        <v>1232</v>
      </c>
      <c r="I48" s="106" t="s">
        <v>1019</v>
      </c>
      <c r="J48" s="106" t="s">
        <v>78</v>
      </c>
      <c r="K48" s="106" t="s">
        <v>78</v>
      </c>
      <c r="L48" s="106" t="s">
        <v>78</v>
      </c>
      <c r="M48" s="106" t="s">
        <v>616</v>
      </c>
      <c r="N48" s="106" t="s">
        <v>617</v>
      </c>
      <c r="O48" s="106" t="s">
        <v>618</v>
      </c>
      <c r="P48" s="106" t="s">
        <v>619</v>
      </c>
      <c r="Q48" s="106" t="s">
        <v>83</v>
      </c>
      <c r="R48" s="106" t="s">
        <v>498</v>
      </c>
      <c r="S48" s="106" t="s">
        <v>121</v>
      </c>
      <c r="T48" s="106" t="s">
        <v>1233</v>
      </c>
      <c r="U48" s="106" t="s">
        <v>191</v>
      </c>
    </row>
    <row r="49" customFormat="false" ht="57.45" hidden="false" customHeight="false" outlineLevel="0" collapsed="false">
      <c r="A49" s="105" t="s">
        <v>32</v>
      </c>
      <c r="B49" s="106" t="s">
        <v>33</v>
      </c>
      <c r="C49" s="106" t="s">
        <v>613</v>
      </c>
      <c r="D49" s="106" t="s">
        <v>1148</v>
      </c>
      <c r="E49" s="106" t="s">
        <v>1149</v>
      </c>
      <c r="F49" s="106" t="s">
        <v>1234</v>
      </c>
      <c r="G49" s="106" t="s">
        <v>1027</v>
      </c>
      <c r="H49" s="106" t="s">
        <v>622</v>
      </c>
      <c r="I49" s="106" t="s">
        <v>1171</v>
      </c>
      <c r="J49" s="106" t="s">
        <v>78</v>
      </c>
      <c r="K49" s="106" t="s">
        <v>78</v>
      </c>
      <c r="L49" s="106" t="s">
        <v>1074</v>
      </c>
      <c r="M49" s="106" t="s">
        <v>616</v>
      </c>
      <c r="N49" s="106" t="s">
        <v>617</v>
      </c>
      <c r="O49" s="106" t="s">
        <v>618</v>
      </c>
      <c r="P49" s="106" t="s">
        <v>619</v>
      </c>
      <c r="Q49" s="106" t="s">
        <v>83</v>
      </c>
      <c r="R49" s="106" t="s">
        <v>498</v>
      </c>
      <c r="S49" s="106" t="s">
        <v>121</v>
      </c>
      <c r="T49" s="106" t="s">
        <v>620</v>
      </c>
      <c r="U49" s="106" t="s">
        <v>191</v>
      </c>
    </row>
    <row r="50" customFormat="false" ht="57.45" hidden="false" customHeight="false" outlineLevel="0" collapsed="false">
      <c r="A50" s="105" t="s">
        <v>32</v>
      </c>
      <c r="B50" s="106" t="s">
        <v>33</v>
      </c>
      <c r="C50" s="106" t="s">
        <v>623</v>
      </c>
      <c r="D50" s="106" t="s">
        <v>1148</v>
      </c>
      <c r="E50" s="106" t="s">
        <v>1149</v>
      </c>
      <c r="F50" s="106" t="s">
        <v>1235</v>
      </c>
      <c r="G50" s="106" t="s">
        <v>1027</v>
      </c>
      <c r="H50" s="106" t="s">
        <v>1236</v>
      </c>
      <c r="I50" s="106" t="s">
        <v>1019</v>
      </c>
      <c r="J50" s="106" t="s">
        <v>78</v>
      </c>
      <c r="K50" s="106" t="s">
        <v>78</v>
      </c>
      <c r="L50" s="106" t="s">
        <v>78</v>
      </c>
      <c r="M50" s="106" t="s">
        <v>626</v>
      </c>
      <c r="N50" s="106" t="s">
        <v>627</v>
      </c>
      <c r="O50" s="106" t="s">
        <v>628</v>
      </c>
      <c r="P50" s="106" t="s">
        <v>505</v>
      </c>
      <c r="Q50" s="106" t="s">
        <v>83</v>
      </c>
      <c r="R50" s="106" t="s">
        <v>498</v>
      </c>
      <c r="S50" s="106" t="s">
        <v>121</v>
      </c>
      <c r="T50" s="106" t="s">
        <v>629</v>
      </c>
      <c r="U50" s="106" t="s">
        <v>630</v>
      </c>
    </row>
    <row r="51" customFormat="false" ht="337.3" hidden="false" customHeight="false" outlineLevel="0" collapsed="false">
      <c r="A51" s="105" t="s">
        <v>32</v>
      </c>
      <c r="B51" s="106" t="s">
        <v>33</v>
      </c>
      <c r="C51" s="106" t="s">
        <v>633</v>
      </c>
      <c r="D51" s="106" t="s">
        <v>1148</v>
      </c>
      <c r="E51" s="106" t="s">
        <v>1149</v>
      </c>
      <c r="F51" s="106" t="s">
        <v>1237</v>
      </c>
      <c r="G51" s="106" t="s">
        <v>1072</v>
      </c>
      <c r="H51" s="106" t="s">
        <v>1238</v>
      </c>
      <c r="I51" s="106" t="s">
        <v>1068</v>
      </c>
      <c r="J51" s="106" t="s">
        <v>78</v>
      </c>
      <c r="K51" s="106" t="s">
        <v>78</v>
      </c>
      <c r="L51" s="106" t="s">
        <v>1064</v>
      </c>
      <c r="M51" s="106" t="s">
        <v>636</v>
      </c>
      <c r="N51" s="106" t="s">
        <v>637</v>
      </c>
      <c r="O51" s="106" t="s">
        <v>638</v>
      </c>
      <c r="P51" s="106" t="s">
        <v>639</v>
      </c>
      <c r="Q51" s="106" t="s">
        <v>640</v>
      </c>
      <c r="R51" s="106" t="s">
        <v>498</v>
      </c>
      <c r="S51" s="106" t="s">
        <v>121</v>
      </c>
      <c r="T51" s="106" t="s">
        <v>1239</v>
      </c>
      <c r="U51" s="106" t="s">
        <v>1240</v>
      </c>
    </row>
    <row r="52" customFormat="false" ht="337.3" hidden="false" customHeight="false" outlineLevel="0" collapsed="false">
      <c r="A52" s="105" t="s">
        <v>32</v>
      </c>
      <c r="B52" s="106" t="s">
        <v>33</v>
      </c>
      <c r="C52" s="106" t="s">
        <v>633</v>
      </c>
      <c r="D52" s="106" t="s">
        <v>1148</v>
      </c>
      <c r="E52" s="106" t="s">
        <v>1149</v>
      </c>
      <c r="F52" s="106" t="s">
        <v>1241</v>
      </c>
      <c r="G52" s="106" t="s">
        <v>1027</v>
      </c>
      <c r="H52" s="106" t="s">
        <v>1242</v>
      </c>
      <c r="I52" s="106" t="s">
        <v>1243</v>
      </c>
      <c r="J52" s="106" t="s">
        <v>78</v>
      </c>
      <c r="K52" s="106" t="s">
        <v>78</v>
      </c>
      <c r="L52" s="106" t="s">
        <v>1096</v>
      </c>
      <c r="M52" s="106" t="s">
        <v>636</v>
      </c>
      <c r="N52" s="106" t="s">
        <v>637</v>
      </c>
      <c r="O52" s="106" t="s">
        <v>638</v>
      </c>
      <c r="P52" s="106" t="s">
        <v>639</v>
      </c>
      <c r="Q52" s="106" t="s">
        <v>640</v>
      </c>
      <c r="R52" s="106" t="s">
        <v>498</v>
      </c>
      <c r="S52" s="106" t="s">
        <v>121</v>
      </c>
      <c r="T52" s="106" t="s">
        <v>1244</v>
      </c>
      <c r="U52" s="106" t="s">
        <v>1240</v>
      </c>
    </row>
    <row r="53" customFormat="false" ht="68.65" hidden="false" customHeight="false" outlineLevel="0" collapsed="false">
      <c r="A53" s="105" t="s">
        <v>32</v>
      </c>
      <c r="B53" s="106" t="s">
        <v>33</v>
      </c>
      <c r="C53" s="106" t="s">
        <v>529</v>
      </c>
      <c r="D53" s="106" t="s">
        <v>1148</v>
      </c>
      <c r="E53" s="106" t="s">
        <v>1149</v>
      </c>
      <c r="F53" s="106" t="s">
        <v>1245</v>
      </c>
      <c r="G53" s="106" t="s">
        <v>1027</v>
      </c>
      <c r="H53" s="106" t="s">
        <v>1246</v>
      </c>
      <c r="I53" s="106" t="s">
        <v>1199</v>
      </c>
      <c r="J53" s="106" t="s">
        <v>78</v>
      </c>
      <c r="K53" s="106" t="s">
        <v>1247</v>
      </c>
      <c r="L53" s="106" t="s">
        <v>1058</v>
      </c>
      <c r="M53" s="106" t="s">
        <v>1248</v>
      </c>
      <c r="N53" s="106" t="s">
        <v>617</v>
      </c>
      <c r="O53" s="106" t="s">
        <v>1249</v>
      </c>
      <c r="P53" s="106" t="s">
        <v>619</v>
      </c>
      <c r="Q53" s="106" t="s">
        <v>1250</v>
      </c>
      <c r="R53" s="106" t="s">
        <v>498</v>
      </c>
      <c r="S53" s="106" t="s">
        <v>121</v>
      </c>
      <c r="T53" s="106" t="s">
        <v>1251</v>
      </c>
      <c r="U53" s="106" t="s">
        <v>316</v>
      </c>
    </row>
    <row r="54" customFormat="false" ht="57.45" hidden="false" customHeight="false" outlineLevel="0" collapsed="false">
      <c r="A54" s="107" t="s">
        <v>34</v>
      </c>
      <c r="B54" s="108" t="s">
        <v>35</v>
      </c>
      <c r="C54" s="108" t="s">
        <v>643</v>
      </c>
      <c r="D54" s="108" t="s">
        <v>1252</v>
      </c>
      <c r="E54" s="108" t="s">
        <v>1253</v>
      </c>
      <c r="F54" s="108" t="s">
        <v>1254</v>
      </c>
      <c r="G54" s="108" t="s">
        <v>1017</v>
      </c>
      <c r="H54" s="108" t="s">
        <v>1255</v>
      </c>
      <c r="I54" s="108" t="s">
        <v>1019</v>
      </c>
      <c r="J54" s="108" t="s">
        <v>78</v>
      </c>
      <c r="K54" s="108" t="s">
        <v>1256</v>
      </c>
      <c r="L54" s="108" t="s">
        <v>78</v>
      </c>
      <c r="M54" s="108"/>
      <c r="N54" s="108" t="s">
        <v>1257</v>
      </c>
      <c r="O54" s="108" t="s">
        <v>82</v>
      </c>
      <c r="P54" s="108" t="s">
        <v>78</v>
      </c>
      <c r="Q54" s="108" t="s">
        <v>83</v>
      </c>
      <c r="R54" s="108" t="s">
        <v>84</v>
      </c>
      <c r="S54" s="108" t="s">
        <v>85</v>
      </c>
      <c r="T54" s="108" t="s">
        <v>1258</v>
      </c>
      <c r="U54" s="108" t="s">
        <v>87</v>
      </c>
    </row>
    <row r="55" customFormat="false" ht="68.65" hidden="false" customHeight="false" outlineLevel="0" collapsed="false">
      <c r="A55" s="107" t="s">
        <v>34</v>
      </c>
      <c r="B55" s="108" t="s">
        <v>35</v>
      </c>
      <c r="C55" s="108" t="s">
        <v>643</v>
      </c>
      <c r="D55" s="108" t="s">
        <v>1252</v>
      </c>
      <c r="E55" s="108" t="s">
        <v>1253</v>
      </c>
      <c r="F55" s="108" t="s">
        <v>1259</v>
      </c>
      <c r="G55" s="108" t="s">
        <v>1027</v>
      </c>
      <c r="H55" s="108" t="s">
        <v>1260</v>
      </c>
      <c r="I55" s="108" t="s">
        <v>1019</v>
      </c>
      <c r="J55" s="108" t="s">
        <v>78</v>
      </c>
      <c r="K55" s="108" t="s">
        <v>78</v>
      </c>
      <c r="L55" s="108" t="s">
        <v>78</v>
      </c>
      <c r="M55" s="108"/>
      <c r="N55" s="108" t="s">
        <v>663</v>
      </c>
      <c r="O55" s="108" t="s">
        <v>82</v>
      </c>
      <c r="P55" s="108" t="s">
        <v>78</v>
      </c>
      <c r="Q55" s="108" t="s">
        <v>83</v>
      </c>
      <c r="R55" s="108" t="s">
        <v>408</v>
      </c>
      <c r="S55" s="108" t="s">
        <v>649</v>
      </c>
      <c r="T55" s="108" t="s">
        <v>1261</v>
      </c>
      <c r="U55" s="108" t="s">
        <v>87</v>
      </c>
    </row>
    <row r="56" customFormat="false" ht="57.45" hidden="false" customHeight="false" outlineLevel="0" collapsed="false">
      <c r="A56" s="107" t="s">
        <v>34</v>
      </c>
      <c r="B56" s="108" t="s">
        <v>35</v>
      </c>
      <c r="C56" s="108" t="s">
        <v>673</v>
      </c>
      <c r="D56" s="108" t="s">
        <v>1252</v>
      </c>
      <c r="E56" s="108" t="s">
        <v>1253</v>
      </c>
      <c r="F56" s="108" t="s">
        <v>1262</v>
      </c>
      <c r="G56" s="108" t="s">
        <v>1027</v>
      </c>
      <c r="H56" s="108" t="s">
        <v>675</v>
      </c>
      <c r="I56" s="108" t="s">
        <v>1019</v>
      </c>
      <c r="J56" s="108" t="s">
        <v>78</v>
      </c>
      <c r="K56" s="108" t="s">
        <v>78</v>
      </c>
      <c r="L56" s="108" t="s">
        <v>78</v>
      </c>
      <c r="M56" s="108" t="s">
        <v>676</v>
      </c>
      <c r="N56" s="108"/>
      <c r="O56" s="108" t="s">
        <v>82</v>
      </c>
      <c r="P56" s="108" t="s">
        <v>78</v>
      </c>
      <c r="Q56" s="108" t="s">
        <v>83</v>
      </c>
      <c r="R56" s="108" t="s">
        <v>84</v>
      </c>
      <c r="S56" s="108" t="s">
        <v>85</v>
      </c>
      <c r="T56" s="108" t="s">
        <v>677</v>
      </c>
      <c r="U56" s="108" t="s">
        <v>97</v>
      </c>
    </row>
    <row r="57" customFormat="false" ht="57.45" hidden="false" customHeight="false" outlineLevel="0" collapsed="false">
      <c r="A57" s="107" t="s">
        <v>34</v>
      </c>
      <c r="B57" s="108" t="s">
        <v>35</v>
      </c>
      <c r="C57" s="108" t="s">
        <v>678</v>
      </c>
      <c r="D57" s="108" t="s">
        <v>1252</v>
      </c>
      <c r="E57" s="108" t="s">
        <v>1253</v>
      </c>
      <c r="F57" s="108" t="s">
        <v>1263</v>
      </c>
      <c r="G57" s="108" t="s">
        <v>1027</v>
      </c>
      <c r="H57" s="108" t="s">
        <v>680</v>
      </c>
      <c r="I57" s="108" t="s">
        <v>1264</v>
      </c>
      <c r="J57" s="108" t="s">
        <v>78</v>
      </c>
      <c r="K57" s="108" t="s">
        <v>78</v>
      </c>
      <c r="L57" s="108" t="s">
        <v>1265</v>
      </c>
      <c r="M57" s="108" t="s">
        <v>682</v>
      </c>
      <c r="N57" s="108" t="s">
        <v>683</v>
      </c>
      <c r="O57" s="108" t="s">
        <v>684</v>
      </c>
      <c r="P57" s="108" t="s">
        <v>189</v>
      </c>
      <c r="Q57" s="108" t="s">
        <v>83</v>
      </c>
      <c r="R57" s="108" t="s">
        <v>84</v>
      </c>
      <c r="S57" s="108" t="s">
        <v>121</v>
      </c>
      <c r="T57" s="108" t="s">
        <v>685</v>
      </c>
      <c r="U57" s="108" t="s">
        <v>191</v>
      </c>
    </row>
    <row r="58" customFormat="false" ht="57.45" hidden="false" customHeight="false" outlineLevel="0" collapsed="false">
      <c r="A58" s="107" t="s">
        <v>34</v>
      </c>
      <c r="B58" s="108" t="s">
        <v>35</v>
      </c>
      <c r="C58" s="108" t="s">
        <v>678</v>
      </c>
      <c r="D58" s="108" t="s">
        <v>1252</v>
      </c>
      <c r="E58" s="108" t="s">
        <v>1253</v>
      </c>
      <c r="F58" s="108" t="s">
        <v>1266</v>
      </c>
      <c r="G58" s="108" t="s">
        <v>1027</v>
      </c>
      <c r="H58" s="108" t="s">
        <v>1267</v>
      </c>
      <c r="I58" s="108" t="s">
        <v>1019</v>
      </c>
      <c r="J58" s="108" t="s">
        <v>78</v>
      </c>
      <c r="K58" s="108" t="s">
        <v>1268</v>
      </c>
      <c r="L58" s="108" t="s">
        <v>1115</v>
      </c>
      <c r="M58" s="108" t="s">
        <v>682</v>
      </c>
      <c r="N58" s="108" t="s">
        <v>683</v>
      </c>
      <c r="O58" s="108" t="s">
        <v>684</v>
      </c>
      <c r="P58" s="108" t="s">
        <v>189</v>
      </c>
      <c r="Q58" s="108" t="s">
        <v>83</v>
      </c>
      <c r="R58" s="108" t="s">
        <v>84</v>
      </c>
      <c r="S58" s="108" t="s">
        <v>121</v>
      </c>
      <c r="T58" s="108" t="s">
        <v>1269</v>
      </c>
      <c r="U58" s="108" t="s">
        <v>191</v>
      </c>
    </row>
    <row r="59" customFormat="false" ht="57.45" hidden="false" customHeight="false" outlineLevel="0" collapsed="false">
      <c r="A59" s="107" t="s">
        <v>34</v>
      </c>
      <c r="B59" s="108" t="s">
        <v>35</v>
      </c>
      <c r="C59" s="108" t="s">
        <v>686</v>
      </c>
      <c r="D59" s="108" t="s">
        <v>1252</v>
      </c>
      <c r="E59" s="108" t="s">
        <v>1253</v>
      </c>
      <c r="F59" s="108" t="s">
        <v>1270</v>
      </c>
      <c r="G59" s="108" t="s">
        <v>1027</v>
      </c>
      <c r="H59" s="108" t="s">
        <v>1271</v>
      </c>
      <c r="I59" s="108" t="s">
        <v>1019</v>
      </c>
      <c r="J59" s="108" t="s">
        <v>1152</v>
      </c>
      <c r="K59" s="108" t="s">
        <v>78</v>
      </c>
      <c r="L59" s="108" t="s">
        <v>78</v>
      </c>
      <c r="M59" s="108" t="s">
        <v>691</v>
      </c>
      <c r="N59" s="108" t="s">
        <v>683</v>
      </c>
      <c r="O59" s="108" t="s">
        <v>684</v>
      </c>
      <c r="P59" s="108" t="s">
        <v>189</v>
      </c>
      <c r="Q59" s="108" t="s">
        <v>83</v>
      </c>
      <c r="R59" s="108" t="s">
        <v>84</v>
      </c>
      <c r="S59" s="108" t="s">
        <v>121</v>
      </c>
      <c r="T59" s="108" t="s">
        <v>1272</v>
      </c>
      <c r="U59" s="108" t="s">
        <v>191</v>
      </c>
    </row>
    <row r="60" customFormat="false" ht="57.45" hidden="false" customHeight="false" outlineLevel="0" collapsed="false">
      <c r="A60" s="107" t="s">
        <v>34</v>
      </c>
      <c r="B60" s="108" t="s">
        <v>35</v>
      </c>
      <c r="C60" s="108" t="s">
        <v>693</v>
      </c>
      <c r="D60" s="108" t="s">
        <v>1252</v>
      </c>
      <c r="E60" s="108" t="s">
        <v>1253</v>
      </c>
      <c r="F60" s="108" t="s">
        <v>1273</v>
      </c>
      <c r="G60" s="108" t="s">
        <v>1027</v>
      </c>
      <c r="H60" s="108" t="s">
        <v>695</v>
      </c>
      <c r="I60" s="108" t="s">
        <v>1264</v>
      </c>
      <c r="J60" s="108" t="s">
        <v>78</v>
      </c>
      <c r="K60" s="108" t="s">
        <v>78</v>
      </c>
      <c r="L60" s="108" t="s">
        <v>1274</v>
      </c>
      <c r="M60" s="108" t="s">
        <v>696</v>
      </c>
      <c r="N60" s="108"/>
      <c r="O60" s="108" t="s">
        <v>82</v>
      </c>
      <c r="P60" s="108" t="s">
        <v>78</v>
      </c>
      <c r="Q60" s="108" t="s">
        <v>83</v>
      </c>
      <c r="R60" s="108" t="s">
        <v>84</v>
      </c>
      <c r="S60" s="108" t="s">
        <v>85</v>
      </c>
      <c r="T60" s="108" t="s">
        <v>700</v>
      </c>
      <c r="U60" s="108" t="s">
        <v>97</v>
      </c>
    </row>
    <row r="61" customFormat="false" ht="57.45" hidden="false" customHeight="false" outlineLevel="0" collapsed="false">
      <c r="A61" s="107" t="s">
        <v>34</v>
      </c>
      <c r="B61" s="108" t="s">
        <v>35</v>
      </c>
      <c r="C61" s="108" t="s">
        <v>693</v>
      </c>
      <c r="D61" s="108" t="s">
        <v>1252</v>
      </c>
      <c r="E61" s="108" t="s">
        <v>1253</v>
      </c>
      <c r="F61" s="108" t="s">
        <v>1275</v>
      </c>
      <c r="G61" s="108" t="s">
        <v>1027</v>
      </c>
      <c r="H61" s="108" t="s">
        <v>1276</v>
      </c>
      <c r="I61" s="108" t="s">
        <v>1019</v>
      </c>
      <c r="J61" s="108" t="s">
        <v>1277</v>
      </c>
      <c r="K61" s="108" t="s">
        <v>1278</v>
      </c>
      <c r="L61" s="108" t="s">
        <v>78</v>
      </c>
      <c r="M61" s="108" t="s">
        <v>696</v>
      </c>
      <c r="N61" s="108"/>
      <c r="O61" s="108" t="s">
        <v>82</v>
      </c>
      <c r="P61" s="108" t="s">
        <v>78</v>
      </c>
      <c r="Q61" s="108" t="s">
        <v>83</v>
      </c>
      <c r="R61" s="108" t="s">
        <v>84</v>
      </c>
      <c r="S61" s="108" t="s">
        <v>85</v>
      </c>
      <c r="T61" s="108" t="s">
        <v>1279</v>
      </c>
      <c r="U61" s="108" t="s">
        <v>97</v>
      </c>
    </row>
    <row r="62" customFormat="false" ht="57.45" hidden="false" customHeight="false" outlineLevel="0" collapsed="false">
      <c r="A62" s="107" t="s">
        <v>34</v>
      </c>
      <c r="B62" s="108" t="s">
        <v>35</v>
      </c>
      <c r="C62" s="108" t="s">
        <v>701</v>
      </c>
      <c r="D62" s="108" t="s">
        <v>1252</v>
      </c>
      <c r="E62" s="108" t="s">
        <v>1253</v>
      </c>
      <c r="F62" s="108" t="s">
        <v>1280</v>
      </c>
      <c r="G62" s="108" t="s">
        <v>1017</v>
      </c>
      <c r="H62" s="108" t="s">
        <v>1281</v>
      </c>
      <c r="I62" s="108" t="s">
        <v>1019</v>
      </c>
      <c r="J62" s="108" t="s">
        <v>78</v>
      </c>
      <c r="K62" s="108" t="s">
        <v>78</v>
      </c>
      <c r="L62" s="108" t="s">
        <v>1021</v>
      </c>
      <c r="M62" s="108" t="s">
        <v>704</v>
      </c>
      <c r="N62" s="108"/>
      <c r="O62" s="108" t="s">
        <v>82</v>
      </c>
      <c r="P62" s="108" t="s">
        <v>78</v>
      </c>
      <c r="Q62" s="108" t="s">
        <v>83</v>
      </c>
      <c r="R62" s="108" t="s">
        <v>84</v>
      </c>
      <c r="S62" s="108" t="s">
        <v>85</v>
      </c>
      <c r="T62" s="108" t="s">
        <v>1282</v>
      </c>
      <c r="U62" s="108" t="s">
        <v>97</v>
      </c>
    </row>
    <row r="63" customFormat="false" ht="57.45" hidden="false" customHeight="false" outlineLevel="0" collapsed="false">
      <c r="A63" s="109" t="s">
        <v>36</v>
      </c>
      <c r="B63" s="110" t="s">
        <v>37</v>
      </c>
      <c r="C63" s="110" t="s">
        <v>737</v>
      </c>
      <c r="D63" s="110" t="s">
        <v>1283</v>
      </c>
      <c r="E63" s="110" t="s">
        <v>1284</v>
      </c>
      <c r="F63" s="110" t="s">
        <v>1285</v>
      </c>
      <c r="G63" s="110" t="s">
        <v>1027</v>
      </c>
      <c r="H63" s="110" t="s">
        <v>1286</v>
      </c>
      <c r="I63" s="110" t="s">
        <v>1264</v>
      </c>
      <c r="J63" s="110" t="s">
        <v>78</v>
      </c>
      <c r="K63" s="110" t="s">
        <v>78</v>
      </c>
      <c r="L63" s="110" t="s">
        <v>1031</v>
      </c>
      <c r="M63" s="110" t="s">
        <v>742</v>
      </c>
      <c r="N63" s="110" t="s">
        <v>743</v>
      </c>
      <c r="O63" s="110" t="s">
        <v>744</v>
      </c>
      <c r="P63" s="110" t="s">
        <v>189</v>
      </c>
      <c r="Q63" s="110" t="s">
        <v>83</v>
      </c>
      <c r="R63" s="110" t="s">
        <v>84</v>
      </c>
      <c r="S63" s="110" t="s">
        <v>121</v>
      </c>
      <c r="T63" s="110" t="s">
        <v>1287</v>
      </c>
      <c r="U63" s="110" t="s">
        <v>316</v>
      </c>
    </row>
    <row r="64" customFormat="false" ht="57.45" hidden="false" customHeight="false" outlineLevel="0" collapsed="false">
      <c r="A64" s="109" t="s">
        <v>36</v>
      </c>
      <c r="B64" s="110" t="s">
        <v>37</v>
      </c>
      <c r="C64" s="110" t="s">
        <v>749</v>
      </c>
      <c r="D64" s="110" t="s">
        <v>1283</v>
      </c>
      <c r="E64" s="110" t="s">
        <v>1284</v>
      </c>
      <c r="F64" s="110" t="s">
        <v>1288</v>
      </c>
      <c r="G64" s="110" t="s">
        <v>1027</v>
      </c>
      <c r="H64" s="110" t="s">
        <v>1289</v>
      </c>
      <c r="I64" s="110" t="s">
        <v>1019</v>
      </c>
      <c r="J64" s="110" t="s">
        <v>1290</v>
      </c>
      <c r="K64" s="110" t="s">
        <v>78</v>
      </c>
      <c r="L64" s="110" t="s">
        <v>1021</v>
      </c>
      <c r="M64" s="110" t="s">
        <v>753</v>
      </c>
      <c r="N64" s="110" t="s">
        <v>754</v>
      </c>
      <c r="O64" s="110" t="s">
        <v>755</v>
      </c>
      <c r="P64" s="110" t="s">
        <v>189</v>
      </c>
      <c r="Q64" s="110" t="s">
        <v>83</v>
      </c>
      <c r="R64" s="110" t="s">
        <v>84</v>
      </c>
      <c r="S64" s="110" t="s">
        <v>121</v>
      </c>
      <c r="T64" s="110" t="s">
        <v>1291</v>
      </c>
      <c r="U64" s="110" t="s">
        <v>191</v>
      </c>
    </row>
    <row r="65" customFormat="false" ht="57.45" hidden="false" customHeight="false" outlineLevel="0" collapsed="false">
      <c r="A65" s="111" t="s">
        <v>38</v>
      </c>
      <c r="B65" s="112" t="s">
        <v>39</v>
      </c>
      <c r="C65" s="112" t="s">
        <v>1292</v>
      </c>
      <c r="D65" s="112" t="s">
        <v>1293</v>
      </c>
      <c r="E65" s="112" t="s">
        <v>1294</v>
      </c>
      <c r="F65" s="112" t="s">
        <v>1295</v>
      </c>
      <c r="G65" s="112" t="s">
        <v>1027</v>
      </c>
      <c r="H65" s="112" t="s">
        <v>1296</v>
      </c>
      <c r="I65" s="112" t="s">
        <v>1019</v>
      </c>
      <c r="J65" s="112" t="s">
        <v>78</v>
      </c>
      <c r="K65" s="112" t="s">
        <v>78</v>
      </c>
      <c r="L65" s="112" t="s">
        <v>78</v>
      </c>
      <c r="M65" s="112"/>
      <c r="N65" s="112" t="s">
        <v>1297</v>
      </c>
      <c r="O65" s="112" t="s">
        <v>1298</v>
      </c>
      <c r="P65" s="112" t="s">
        <v>189</v>
      </c>
      <c r="Q65" s="112" t="s">
        <v>1299</v>
      </c>
      <c r="R65" s="112" t="s">
        <v>84</v>
      </c>
      <c r="S65" s="112" t="s">
        <v>121</v>
      </c>
      <c r="T65" s="112" t="s">
        <v>1300</v>
      </c>
      <c r="U65" s="112" t="s">
        <v>235</v>
      </c>
    </row>
    <row r="66" customFormat="false" ht="57.45" hidden="false" customHeight="false" outlineLevel="0" collapsed="false">
      <c r="A66" s="111" t="s">
        <v>38</v>
      </c>
      <c r="B66" s="112" t="s">
        <v>39</v>
      </c>
      <c r="C66" s="112" t="s">
        <v>1292</v>
      </c>
      <c r="D66" s="112" t="s">
        <v>1293</v>
      </c>
      <c r="E66" s="112" t="s">
        <v>1294</v>
      </c>
      <c r="F66" s="112" t="s">
        <v>1301</v>
      </c>
      <c r="G66" s="112" t="s">
        <v>1027</v>
      </c>
      <c r="H66" s="112" t="s">
        <v>1302</v>
      </c>
      <c r="I66" s="112" t="s">
        <v>1019</v>
      </c>
      <c r="J66" s="112" t="s">
        <v>78</v>
      </c>
      <c r="K66" s="112" t="s">
        <v>78</v>
      </c>
      <c r="L66" s="112" t="s">
        <v>1021</v>
      </c>
      <c r="M66" s="112"/>
      <c r="N66" s="112" t="s">
        <v>1297</v>
      </c>
      <c r="O66" s="112" t="s">
        <v>1298</v>
      </c>
      <c r="P66" s="112" t="s">
        <v>189</v>
      </c>
      <c r="Q66" s="112" t="s">
        <v>1299</v>
      </c>
      <c r="R66" s="112" t="s">
        <v>84</v>
      </c>
      <c r="S66" s="112" t="s">
        <v>121</v>
      </c>
      <c r="T66" s="112" t="s">
        <v>1303</v>
      </c>
      <c r="U66" s="112" t="s">
        <v>235</v>
      </c>
    </row>
    <row r="67" customFormat="false" ht="91" hidden="false" customHeight="false" outlineLevel="0" collapsed="false">
      <c r="A67" s="111" t="s">
        <v>38</v>
      </c>
      <c r="B67" s="112" t="s">
        <v>39</v>
      </c>
      <c r="C67" s="112" t="s">
        <v>1304</v>
      </c>
      <c r="D67" s="112" t="s">
        <v>1293</v>
      </c>
      <c r="E67" s="112" t="s">
        <v>1294</v>
      </c>
      <c r="F67" s="112" t="s">
        <v>1305</v>
      </c>
      <c r="G67" s="112" t="s">
        <v>1027</v>
      </c>
      <c r="H67" s="112" t="s">
        <v>1306</v>
      </c>
      <c r="I67" s="112" t="s">
        <v>1160</v>
      </c>
      <c r="J67" s="112" t="s">
        <v>78</v>
      </c>
      <c r="K67" s="112" t="s">
        <v>78</v>
      </c>
      <c r="L67" s="112" t="s">
        <v>1058</v>
      </c>
      <c r="M67" s="112"/>
      <c r="N67" s="112" t="s">
        <v>1307</v>
      </c>
      <c r="O67" s="112" t="s">
        <v>1308</v>
      </c>
      <c r="P67" s="112" t="s">
        <v>189</v>
      </c>
      <c r="Q67" s="112" t="s">
        <v>1309</v>
      </c>
      <c r="R67" s="112" t="s">
        <v>84</v>
      </c>
      <c r="S67" s="112" t="s">
        <v>121</v>
      </c>
      <c r="T67" s="112" t="s">
        <v>1310</v>
      </c>
      <c r="U67" s="112" t="s">
        <v>1311</v>
      </c>
    </row>
    <row r="68" customFormat="false" ht="91" hidden="false" customHeight="false" outlineLevel="0" collapsed="false">
      <c r="A68" s="111" t="s">
        <v>38</v>
      </c>
      <c r="B68" s="112" t="s">
        <v>39</v>
      </c>
      <c r="C68" s="112" t="s">
        <v>757</v>
      </c>
      <c r="D68" s="112" t="s">
        <v>1293</v>
      </c>
      <c r="E68" s="112" t="s">
        <v>1294</v>
      </c>
      <c r="F68" s="112" t="s">
        <v>1312</v>
      </c>
      <c r="G68" s="112" t="s">
        <v>1027</v>
      </c>
      <c r="H68" s="112" t="s">
        <v>761</v>
      </c>
      <c r="I68" s="112" t="s">
        <v>1160</v>
      </c>
      <c r="J68" s="112" t="s">
        <v>78</v>
      </c>
      <c r="K68" s="112" t="s">
        <v>78</v>
      </c>
      <c r="L68" s="112" t="s">
        <v>1058</v>
      </c>
      <c r="M68" s="112"/>
      <c r="N68" s="112" t="s">
        <v>762</v>
      </c>
      <c r="O68" s="112" t="s">
        <v>763</v>
      </c>
      <c r="P68" s="112" t="s">
        <v>189</v>
      </c>
      <c r="Q68" s="112" t="s">
        <v>83</v>
      </c>
      <c r="R68" s="112" t="s">
        <v>84</v>
      </c>
      <c r="S68" s="112" t="s">
        <v>121</v>
      </c>
      <c r="T68" s="112" t="s">
        <v>764</v>
      </c>
      <c r="U68" s="112" t="s">
        <v>765</v>
      </c>
    </row>
    <row r="69" customFormat="false" ht="57.45" hidden="false" customHeight="false" outlineLevel="0" collapsed="false">
      <c r="A69" s="111" t="s">
        <v>38</v>
      </c>
      <c r="B69" s="112" t="s">
        <v>39</v>
      </c>
      <c r="C69" s="112" t="s">
        <v>773</v>
      </c>
      <c r="D69" s="112" t="s">
        <v>1293</v>
      </c>
      <c r="E69" s="112" t="s">
        <v>1294</v>
      </c>
      <c r="F69" s="112" t="s">
        <v>1313</v>
      </c>
      <c r="G69" s="112" t="s">
        <v>1027</v>
      </c>
      <c r="H69" s="112" t="s">
        <v>1314</v>
      </c>
      <c r="I69" s="112" t="s">
        <v>1019</v>
      </c>
      <c r="J69" s="112" t="s">
        <v>78</v>
      </c>
      <c r="K69" s="112" t="s">
        <v>78</v>
      </c>
      <c r="L69" s="112" t="s">
        <v>1315</v>
      </c>
      <c r="M69" s="112"/>
      <c r="N69" s="112" t="s">
        <v>769</v>
      </c>
      <c r="O69" s="112" t="s">
        <v>1316</v>
      </c>
      <c r="P69" s="112" t="s">
        <v>189</v>
      </c>
      <c r="Q69" s="112" t="s">
        <v>83</v>
      </c>
      <c r="R69" s="112" t="s">
        <v>84</v>
      </c>
      <c r="S69" s="112" t="s">
        <v>121</v>
      </c>
      <c r="T69" s="112" t="s">
        <v>1317</v>
      </c>
      <c r="U69" s="112" t="s">
        <v>227</v>
      </c>
    </row>
    <row r="70" customFormat="false" ht="102.2" hidden="false" customHeight="false" outlineLevel="0" collapsed="false">
      <c r="A70" s="111" t="s">
        <v>38</v>
      </c>
      <c r="B70" s="112" t="s">
        <v>39</v>
      </c>
      <c r="C70" s="112" t="s">
        <v>1318</v>
      </c>
      <c r="D70" s="112" t="s">
        <v>1293</v>
      </c>
      <c r="E70" s="112" t="s">
        <v>1294</v>
      </c>
      <c r="F70" s="112" t="s">
        <v>1319</v>
      </c>
      <c r="G70" s="112" t="s">
        <v>1027</v>
      </c>
      <c r="H70" s="112" t="s">
        <v>1320</v>
      </c>
      <c r="I70" s="112" t="s">
        <v>1160</v>
      </c>
      <c r="J70" s="112" t="s">
        <v>78</v>
      </c>
      <c r="K70" s="112" t="s">
        <v>78</v>
      </c>
      <c r="L70" s="112" t="s">
        <v>1115</v>
      </c>
      <c r="M70" s="112"/>
      <c r="N70" s="112" t="s">
        <v>1321</v>
      </c>
      <c r="O70" s="112" t="s">
        <v>1322</v>
      </c>
      <c r="P70" s="112" t="s">
        <v>189</v>
      </c>
      <c r="Q70" s="112" t="s">
        <v>83</v>
      </c>
      <c r="R70" s="112" t="s">
        <v>84</v>
      </c>
      <c r="S70" s="112" t="s">
        <v>121</v>
      </c>
      <c r="T70" s="112" t="s">
        <v>1323</v>
      </c>
      <c r="U70" s="112" t="s">
        <v>522</v>
      </c>
    </row>
    <row r="71" customFormat="false" ht="79.85" hidden="false" customHeight="false" outlineLevel="0" collapsed="false">
      <c r="A71" s="111" t="s">
        <v>38</v>
      </c>
      <c r="B71" s="112" t="s">
        <v>39</v>
      </c>
      <c r="C71" s="112" t="s">
        <v>1324</v>
      </c>
      <c r="D71" s="112" t="s">
        <v>1293</v>
      </c>
      <c r="E71" s="112" t="s">
        <v>1294</v>
      </c>
      <c r="F71" s="112" t="s">
        <v>1325</v>
      </c>
      <c r="G71" s="112" t="s">
        <v>1027</v>
      </c>
      <c r="H71" s="112" t="s">
        <v>1326</v>
      </c>
      <c r="I71" s="112" t="s">
        <v>1160</v>
      </c>
      <c r="J71" s="112" t="s">
        <v>1327</v>
      </c>
      <c r="K71" s="112" t="s">
        <v>78</v>
      </c>
      <c r="L71" s="112" t="s">
        <v>1058</v>
      </c>
      <c r="M71" s="112"/>
      <c r="N71" s="112" t="s">
        <v>1328</v>
      </c>
      <c r="O71" s="112" t="s">
        <v>1329</v>
      </c>
      <c r="P71" s="112" t="s">
        <v>189</v>
      </c>
      <c r="Q71" s="112" t="s">
        <v>1330</v>
      </c>
      <c r="R71" s="112" t="s">
        <v>84</v>
      </c>
      <c r="S71" s="112" t="s">
        <v>121</v>
      </c>
      <c r="T71" s="112" t="s">
        <v>1331</v>
      </c>
      <c r="U71" s="112" t="s">
        <v>446</v>
      </c>
    </row>
    <row r="72" customFormat="false" ht="202.95" hidden="false" customHeight="false" outlineLevel="0" collapsed="false">
      <c r="A72" s="111" t="s">
        <v>38</v>
      </c>
      <c r="B72" s="112" t="s">
        <v>39</v>
      </c>
      <c r="C72" s="112" t="s">
        <v>796</v>
      </c>
      <c r="D72" s="112" t="s">
        <v>1293</v>
      </c>
      <c r="E72" s="112" t="s">
        <v>1332</v>
      </c>
      <c r="F72" s="112" t="s">
        <v>1333</v>
      </c>
      <c r="G72" s="112" t="s">
        <v>1027</v>
      </c>
      <c r="H72" s="112" t="s">
        <v>1334</v>
      </c>
      <c r="I72" s="112" t="s">
        <v>1057</v>
      </c>
      <c r="J72" s="112" t="s">
        <v>1335</v>
      </c>
      <c r="K72" s="112" t="s">
        <v>1336</v>
      </c>
      <c r="L72" s="112" t="s">
        <v>1058</v>
      </c>
      <c r="M72" s="112" t="s">
        <v>800</v>
      </c>
      <c r="N72" s="112" t="s">
        <v>1337</v>
      </c>
      <c r="O72" s="112" t="s">
        <v>1338</v>
      </c>
      <c r="P72" s="112" t="s">
        <v>189</v>
      </c>
      <c r="Q72" s="112" t="s">
        <v>83</v>
      </c>
      <c r="R72" s="112" t="s">
        <v>84</v>
      </c>
      <c r="S72" s="112" t="s">
        <v>121</v>
      </c>
      <c r="T72" s="112" t="s">
        <v>1339</v>
      </c>
      <c r="U72" s="112" t="s">
        <v>1340</v>
      </c>
    </row>
    <row r="73" customFormat="false" ht="202.95" hidden="false" customHeight="false" outlineLevel="0" collapsed="false">
      <c r="A73" s="111" t="s">
        <v>38</v>
      </c>
      <c r="B73" s="112" t="s">
        <v>39</v>
      </c>
      <c r="C73" s="112" t="s">
        <v>796</v>
      </c>
      <c r="D73" s="112" t="s">
        <v>1293</v>
      </c>
      <c r="E73" s="112" t="s">
        <v>1332</v>
      </c>
      <c r="F73" s="112" t="s">
        <v>1341</v>
      </c>
      <c r="G73" s="112" t="s">
        <v>1027</v>
      </c>
      <c r="H73" s="112" t="s">
        <v>1342</v>
      </c>
      <c r="I73" s="112" t="s">
        <v>1045</v>
      </c>
      <c r="J73" s="112" t="s">
        <v>78</v>
      </c>
      <c r="K73" s="112" t="s">
        <v>1343</v>
      </c>
      <c r="L73" s="112" t="s">
        <v>1344</v>
      </c>
      <c r="M73" s="112" t="s">
        <v>800</v>
      </c>
      <c r="N73" s="112" t="s">
        <v>1337</v>
      </c>
      <c r="O73" s="112" t="s">
        <v>1338</v>
      </c>
      <c r="P73" s="112" t="s">
        <v>189</v>
      </c>
      <c r="Q73" s="112" t="s">
        <v>83</v>
      </c>
      <c r="R73" s="112" t="s">
        <v>84</v>
      </c>
      <c r="S73" s="112" t="s">
        <v>95</v>
      </c>
      <c r="T73" s="112" t="s">
        <v>1345</v>
      </c>
      <c r="U73" s="112" t="s">
        <v>1340</v>
      </c>
    </row>
    <row r="74" customFormat="false" ht="113.4" hidden="false" customHeight="false" outlineLevel="0" collapsed="false">
      <c r="A74" s="111" t="s">
        <v>38</v>
      </c>
      <c r="B74" s="112" t="s">
        <v>39</v>
      </c>
      <c r="C74" s="112" t="s">
        <v>840</v>
      </c>
      <c r="D74" s="112" t="s">
        <v>1293</v>
      </c>
      <c r="E74" s="112" t="s">
        <v>1294</v>
      </c>
      <c r="F74" s="112" t="s">
        <v>1346</v>
      </c>
      <c r="G74" s="112" t="s">
        <v>1027</v>
      </c>
      <c r="H74" s="112" t="s">
        <v>1347</v>
      </c>
      <c r="I74" s="112" t="s">
        <v>1019</v>
      </c>
      <c r="J74" s="112" t="s">
        <v>78</v>
      </c>
      <c r="K74" s="112" t="s">
        <v>78</v>
      </c>
      <c r="L74" s="112" t="s">
        <v>78</v>
      </c>
      <c r="M74" s="112" t="s">
        <v>843</v>
      </c>
      <c r="N74" s="112" t="s">
        <v>1348</v>
      </c>
      <c r="O74" s="112" t="s">
        <v>1349</v>
      </c>
      <c r="P74" s="112" t="s">
        <v>189</v>
      </c>
      <c r="Q74" s="112" t="s">
        <v>83</v>
      </c>
      <c r="R74" s="112" t="s">
        <v>84</v>
      </c>
      <c r="S74" s="112" t="s">
        <v>121</v>
      </c>
      <c r="T74" s="112" t="s">
        <v>1350</v>
      </c>
      <c r="U74" s="112" t="s">
        <v>1351</v>
      </c>
    </row>
    <row r="75" customFormat="false" ht="57.45" hidden="false" customHeight="false" outlineLevel="0" collapsed="false">
      <c r="A75" s="111" t="s">
        <v>38</v>
      </c>
      <c r="B75" s="112" t="s">
        <v>39</v>
      </c>
      <c r="C75" s="112" t="s">
        <v>809</v>
      </c>
      <c r="D75" s="112" t="s">
        <v>1293</v>
      </c>
      <c r="E75" s="112" t="s">
        <v>1332</v>
      </c>
      <c r="F75" s="112" t="s">
        <v>1352</v>
      </c>
      <c r="G75" s="112" t="s">
        <v>1027</v>
      </c>
      <c r="H75" s="112" t="s">
        <v>1353</v>
      </c>
      <c r="I75" s="112" t="s">
        <v>1354</v>
      </c>
      <c r="J75" s="112" t="s">
        <v>78</v>
      </c>
      <c r="K75" s="112" t="s">
        <v>78</v>
      </c>
      <c r="L75" s="112" t="s">
        <v>1058</v>
      </c>
      <c r="M75" s="112" t="s">
        <v>812</v>
      </c>
      <c r="N75" s="112" t="s">
        <v>813</v>
      </c>
      <c r="O75" s="112" t="s">
        <v>814</v>
      </c>
      <c r="P75" s="112" t="s">
        <v>189</v>
      </c>
      <c r="Q75" s="112" t="s">
        <v>83</v>
      </c>
      <c r="R75" s="112" t="s">
        <v>84</v>
      </c>
      <c r="S75" s="112" t="s">
        <v>121</v>
      </c>
      <c r="T75" s="112" t="s">
        <v>1355</v>
      </c>
      <c r="U75" s="112" t="s">
        <v>316</v>
      </c>
    </row>
    <row r="76" customFormat="false" ht="57.45" hidden="false" customHeight="false" outlineLevel="0" collapsed="false">
      <c r="A76" s="111" t="s">
        <v>38</v>
      </c>
      <c r="B76" s="112" t="s">
        <v>39</v>
      </c>
      <c r="C76" s="112" t="s">
        <v>809</v>
      </c>
      <c r="D76" s="112" t="s">
        <v>1293</v>
      </c>
      <c r="E76" s="112" t="s">
        <v>1294</v>
      </c>
      <c r="F76" s="112" t="s">
        <v>1356</v>
      </c>
      <c r="G76" s="112" t="s">
        <v>1027</v>
      </c>
      <c r="H76" s="112" t="s">
        <v>1357</v>
      </c>
      <c r="I76" s="112" t="s">
        <v>1057</v>
      </c>
      <c r="J76" s="112" t="s">
        <v>78</v>
      </c>
      <c r="K76" s="112" t="s">
        <v>1358</v>
      </c>
      <c r="L76" s="112" t="s">
        <v>1058</v>
      </c>
      <c r="M76" s="112" t="s">
        <v>812</v>
      </c>
      <c r="N76" s="112" t="s">
        <v>813</v>
      </c>
      <c r="O76" s="112" t="s">
        <v>814</v>
      </c>
      <c r="P76" s="112" t="s">
        <v>189</v>
      </c>
      <c r="Q76" s="112" t="s">
        <v>83</v>
      </c>
      <c r="R76" s="112" t="s">
        <v>84</v>
      </c>
      <c r="S76" s="112" t="s">
        <v>121</v>
      </c>
      <c r="T76" s="112" t="s">
        <v>1359</v>
      </c>
      <c r="U76" s="112" t="s">
        <v>316</v>
      </c>
    </row>
    <row r="77" customFormat="false" ht="57.45" hidden="false" customHeight="false" outlineLevel="0" collapsed="false">
      <c r="A77" s="111" t="s">
        <v>38</v>
      </c>
      <c r="B77" s="112" t="s">
        <v>39</v>
      </c>
      <c r="C77" s="112" t="s">
        <v>809</v>
      </c>
      <c r="D77" s="112" t="s">
        <v>1293</v>
      </c>
      <c r="E77" s="112" t="s">
        <v>1294</v>
      </c>
      <c r="F77" s="112" t="s">
        <v>1360</v>
      </c>
      <c r="G77" s="112" t="s">
        <v>1027</v>
      </c>
      <c r="H77" s="112" t="s">
        <v>1361</v>
      </c>
      <c r="I77" s="112" t="s">
        <v>1160</v>
      </c>
      <c r="J77" s="112" t="s">
        <v>78</v>
      </c>
      <c r="K77" s="112" t="s">
        <v>78</v>
      </c>
      <c r="L77" s="112" t="s">
        <v>1058</v>
      </c>
      <c r="M77" s="112" t="s">
        <v>812</v>
      </c>
      <c r="N77" s="112" t="s">
        <v>813</v>
      </c>
      <c r="O77" s="112" t="s">
        <v>814</v>
      </c>
      <c r="P77" s="112" t="s">
        <v>189</v>
      </c>
      <c r="Q77" s="112" t="s">
        <v>83</v>
      </c>
      <c r="R77" s="112" t="s">
        <v>84</v>
      </c>
      <c r="S77" s="112" t="s">
        <v>121</v>
      </c>
      <c r="T77" s="112" t="s">
        <v>1362</v>
      </c>
      <c r="U77" s="112" t="s">
        <v>316</v>
      </c>
    </row>
    <row r="78" customFormat="false" ht="57.45" hidden="false" customHeight="false" outlineLevel="0" collapsed="false">
      <c r="A78" s="111" t="s">
        <v>38</v>
      </c>
      <c r="B78" s="112" t="s">
        <v>39</v>
      </c>
      <c r="C78" s="112" t="s">
        <v>816</v>
      </c>
      <c r="D78" s="112" t="s">
        <v>1293</v>
      </c>
      <c r="E78" s="112" t="s">
        <v>1294</v>
      </c>
      <c r="F78" s="112" t="s">
        <v>1363</v>
      </c>
      <c r="G78" s="112" t="s">
        <v>1027</v>
      </c>
      <c r="H78" s="112" t="s">
        <v>829</v>
      </c>
      <c r="I78" s="112" t="s">
        <v>1019</v>
      </c>
      <c r="J78" s="112" t="s">
        <v>78</v>
      </c>
      <c r="K78" s="112" t="s">
        <v>1364</v>
      </c>
      <c r="L78" s="112" t="s">
        <v>1074</v>
      </c>
      <c r="M78" s="112" t="s">
        <v>820</v>
      </c>
      <c r="N78" s="112" t="s">
        <v>821</v>
      </c>
      <c r="O78" s="112" t="s">
        <v>822</v>
      </c>
      <c r="P78" s="112" t="s">
        <v>189</v>
      </c>
      <c r="Q78" s="112" t="s">
        <v>83</v>
      </c>
      <c r="R78" s="112" t="s">
        <v>84</v>
      </c>
      <c r="S78" s="112" t="s">
        <v>121</v>
      </c>
      <c r="T78" s="112" t="s">
        <v>830</v>
      </c>
      <c r="U78" s="112" t="s">
        <v>300</v>
      </c>
    </row>
    <row r="79" customFormat="false" ht="57.45" hidden="false" customHeight="false" outlineLevel="0" collapsed="false">
      <c r="A79" s="111" t="s">
        <v>38</v>
      </c>
      <c r="B79" s="112" t="s">
        <v>39</v>
      </c>
      <c r="C79" s="112" t="s">
        <v>816</v>
      </c>
      <c r="D79" s="112" t="s">
        <v>1293</v>
      </c>
      <c r="E79" s="112" t="s">
        <v>1332</v>
      </c>
      <c r="F79" s="112" t="s">
        <v>1365</v>
      </c>
      <c r="G79" s="112" t="s">
        <v>1027</v>
      </c>
      <c r="H79" s="112" t="s">
        <v>1366</v>
      </c>
      <c r="I79" s="112" t="s">
        <v>1057</v>
      </c>
      <c r="J79" s="112" t="s">
        <v>78</v>
      </c>
      <c r="K79" s="112" t="s">
        <v>78</v>
      </c>
      <c r="L79" s="112" t="s">
        <v>1058</v>
      </c>
      <c r="M79" s="112" t="s">
        <v>820</v>
      </c>
      <c r="N79" s="112" t="s">
        <v>821</v>
      </c>
      <c r="O79" s="112" t="s">
        <v>822</v>
      </c>
      <c r="P79" s="112" t="s">
        <v>189</v>
      </c>
      <c r="Q79" s="112" t="s">
        <v>83</v>
      </c>
      <c r="R79" s="112" t="s">
        <v>84</v>
      </c>
      <c r="S79" s="112" t="s">
        <v>121</v>
      </c>
      <c r="T79" s="112" t="s">
        <v>1367</v>
      </c>
      <c r="U79" s="112" t="s">
        <v>300</v>
      </c>
    </row>
    <row r="80" customFormat="false" ht="68.65" hidden="false" customHeight="false" outlineLevel="0" collapsed="false">
      <c r="A80" s="111" t="s">
        <v>38</v>
      </c>
      <c r="B80" s="112" t="s">
        <v>39</v>
      </c>
      <c r="C80" s="112" t="s">
        <v>831</v>
      </c>
      <c r="D80" s="112" t="s">
        <v>1293</v>
      </c>
      <c r="E80" s="112" t="s">
        <v>1294</v>
      </c>
      <c r="F80" s="112" t="s">
        <v>1368</v>
      </c>
      <c r="G80" s="112" t="s">
        <v>1017</v>
      </c>
      <c r="H80" s="112" t="s">
        <v>1369</v>
      </c>
      <c r="I80" s="112" t="s">
        <v>1019</v>
      </c>
      <c r="J80" s="112" t="s">
        <v>78</v>
      </c>
      <c r="K80" s="112" t="s">
        <v>1256</v>
      </c>
      <c r="L80" s="112" t="s">
        <v>78</v>
      </c>
      <c r="M80" s="112" t="s">
        <v>834</v>
      </c>
      <c r="N80" s="112" t="s">
        <v>1370</v>
      </c>
      <c r="O80" s="112" t="s">
        <v>1371</v>
      </c>
      <c r="P80" s="112" t="s">
        <v>189</v>
      </c>
      <c r="Q80" s="112" t="s">
        <v>837</v>
      </c>
      <c r="R80" s="112" t="s">
        <v>84</v>
      </c>
      <c r="S80" s="112" t="s">
        <v>121</v>
      </c>
      <c r="T80" s="112" t="s">
        <v>1372</v>
      </c>
      <c r="U80" s="112" t="s">
        <v>123</v>
      </c>
    </row>
    <row r="81" customFormat="false" ht="57.45" hidden="false" customHeight="false" outlineLevel="0" collapsed="false">
      <c r="A81" s="111" t="s">
        <v>38</v>
      </c>
      <c r="B81" s="112" t="s">
        <v>39</v>
      </c>
      <c r="C81" s="112" t="s">
        <v>1373</v>
      </c>
      <c r="D81" s="112" t="s">
        <v>1293</v>
      </c>
      <c r="E81" s="112" t="s">
        <v>1294</v>
      </c>
      <c r="F81" s="112" t="s">
        <v>1374</v>
      </c>
      <c r="G81" s="112" t="s">
        <v>1072</v>
      </c>
      <c r="H81" s="112" t="s">
        <v>1375</v>
      </c>
      <c r="I81" s="112" t="s">
        <v>1068</v>
      </c>
      <c r="J81" s="112" t="s">
        <v>78</v>
      </c>
      <c r="K81" s="112" t="s">
        <v>78</v>
      </c>
      <c r="L81" s="112" t="s">
        <v>1058</v>
      </c>
      <c r="M81" s="112" t="s">
        <v>1376</v>
      </c>
      <c r="N81" s="112" t="s">
        <v>1377</v>
      </c>
      <c r="O81" s="112" t="s">
        <v>1378</v>
      </c>
      <c r="P81" s="112" t="s">
        <v>189</v>
      </c>
      <c r="Q81" s="112" t="s">
        <v>83</v>
      </c>
      <c r="R81" s="112" t="s">
        <v>84</v>
      </c>
      <c r="S81" s="112" t="s">
        <v>121</v>
      </c>
      <c r="T81" s="112" t="s">
        <v>1379</v>
      </c>
      <c r="U81" s="112" t="s">
        <v>191</v>
      </c>
    </row>
    <row r="82" customFormat="false" ht="57.45" hidden="false" customHeight="false" outlineLevel="0" collapsed="false">
      <c r="A82" s="111" t="s">
        <v>38</v>
      </c>
      <c r="B82" s="112" t="s">
        <v>39</v>
      </c>
      <c r="C82" s="112" t="s">
        <v>1373</v>
      </c>
      <c r="D82" s="112" t="s">
        <v>1293</v>
      </c>
      <c r="E82" s="112" t="s">
        <v>1294</v>
      </c>
      <c r="F82" s="112" t="s">
        <v>1380</v>
      </c>
      <c r="G82" s="112" t="s">
        <v>1027</v>
      </c>
      <c r="H82" s="112" t="s">
        <v>1381</v>
      </c>
      <c r="I82" s="112" t="s">
        <v>1160</v>
      </c>
      <c r="J82" s="112" t="s">
        <v>78</v>
      </c>
      <c r="K82" s="112" t="s">
        <v>78</v>
      </c>
      <c r="L82" s="112" t="s">
        <v>1058</v>
      </c>
      <c r="M82" s="112" t="s">
        <v>1376</v>
      </c>
      <c r="N82" s="112" t="s">
        <v>1377</v>
      </c>
      <c r="O82" s="112" t="s">
        <v>1378</v>
      </c>
      <c r="P82" s="112" t="s">
        <v>189</v>
      </c>
      <c r="Q82" s="112" t="s">
        <v>83</v>
      </c>
      <c r="R82" s="112" t="s">
        <v>84</v>
      </c>
      <c r="S82" s="112" t="s">
        <v>121</v>
      </c>
      <c r="T82" s="112" t="s">
        <v>1382</v>
      </c>
      <c r="U82" s="112" t="s">
        <v>191</v>
      </c>
    </row>
    <row r="83" customFormat="false" ht="68.65" hidden="false" customHeight="false" outlineLevel="0" collapsed="false">
      <c r="A83" s="111" t="s">
        <v>38</v>
      </c>
      <c r="B83" s="112" t="s">
        <v>39</v>
      </c>
      <c r="C83" s="112" t="s">
        <v>1373</v>
      </c>
      <c r="D83" s="112" t="s">
        <v>1293</v>
      </c>
      <c r="E83" s="112" t="s">
        <v>1294</v>
      </c>
      <c r="F83" s="112" t="s">
        <v>1383</v>
      </c>
      <c r="G83" s="112" t="s">
        <v>1072</v>
      </c>
      <c r="H83" s="112" t="s">
        <v>1384</v>
      </c>
      <c r="I83" s="112" t="s">
        <v>1385</v>
      </c>
      <c r="J83" s="112" t="s">
        <v>78</v>
      </c>
      <c r="K83" s="112" t="s">
        <v>78</v>
      </c>
      <c r="L83" s="112" t="s">
        <v>1031</v>
      </c>
      <c r="M83" s="112" t="s">
        <v>1376</v>
      </c>
      <c r="N83" s="112" t="s">
        <v>1377</v>
      </c>
      <c r="O83" s="112" t="s">
        <v>1378</v>
      </c>
      <c r="P83" s="112" t="s">
        <v>189</v>
      </c>
      <c r="Q83" s="112" t="s">
        <v>83</v>
      </c>
      <c r="R83" s="112" t="s">
        <v>84</v>
      </c>
      <c r="S83" s="112" t="s">
        <v>121</v>
      </c>
      <c r="T83" s="112" t="s">
        <v>1386</v>
      </c>
      <c r="U83" s="112" t="s">
        <v>191</v>
      </c>
    </row>
    <row r="84" customFormat="false" ht="57.45" hidden="false" customHeight="false" outlineLevel="0" collapsed="false">
      <c r="A84" s="111" t="s">
        <v>38</v>
      </c>
      <c r="B84" s="112" t="s">
        <v>39</v>
      </c>
      <c r="C84" s="112" t="s">
        <v>1373</v>
      </c>
      <c r="D84" s="112" t="s">
        <v>1293</v>
      </c>
      <c r="E84" s="112" t="s">
        <v>1387</v>
      </c>
      <c r="F84" s="112" t="s">
        <v>1388</v>
      </c>
      <c r="G84" s="112" t="s">
        <v>1027</v>
      </c>
      <c r="H84" s="112" t="s">
        <v>1389</v>
      </c>
      <c r="I84" s="112" t="s">
        <v>1354</v>
      </c>
      <c r="J84" s="112" t="s">
        <v>1390</v>
      </c>
      <c r="K84" s="112" t="s">
        <v>78</v>
      </c>
      <c r="L84" s="112" t="s">
        <v>1115</v>
      </c>
      <c r="M84" s="112" t="s">
        <v>1376</v>
      </c>
      <c r="N84" s="112" t="s">
        <v>1377</v>
      </c>
      <c r="O84" s="112" t="s">
        <v>1378</v>
      </c>
      <c r="P84" s="112" t="s">
        <v>189</v>
      </c>
      <c r="Q84" s="112" t="s">
        <v>83</v>
      </c>
      <c r="R84" s="112" t="s">
        <v>84</v>
      </c>
      <c r="S84" s="112" t="s">
        <v>121</v>
      </c>
      <c r="T84" s="112" t="s">
        <v>1391</v>
      </c>
      <c r="U84" s="112" t="s">
        <v>191</v>
      </c>
    </row>
    <row r="85" customFormat="false" ht="180.55" hidden="false" customHeight="false" outlineLevel="0" collapsed="false">
      <c r="A85" s="111" t="s">
        <v>38</v>
      </c>
      <c r="B85" s="112" t="s">
        <v>39</v>
      </c>
      <c r="C85" s="112" t="s">
        <v>788</v>
      </c>
      <c r="D85" s="112" t="s">
        <v>1293</v>
      </c>
      <c r="E85" s="112" t="s">
        <v>1294</v>
      </c>
      <c r="F85" s="112" t="s">
        <v>1392</v>
      </c>
      <c r="G85" s="112" t="s">
        <v>1027</v>
      </c>
      <c r="H85" s="112" t="s">
        <v>1393</v>
      </c>
      <c r="I85" s="112" t="s">
        <v>78</v>
      </c>
      <c r="J85" s="112" t="s">
        <v>78</v>
      </c>
      <c r="K85" s="112" t="s">
        <v>78</v>
      </c>
      <c r="L85" s="112" t="s">
        <v>78</v>
      </c>
      <c r="M85" s="112" t="s">
        <v>791</v>
      </c>
      <c r="N85" s="112" t="s">
        <v>792</v>
      </c>
      <c r="O85" s="112" t="s">
        <v>793</v>
      </c>
      <c r="P85" s="112" t="s">
        <v>189</v>
      </c>
      <c r="Q85" s="112" t="s">
        <v>83</v>
      </c>
      <c r="R85" s="112" t="s">
        <v>84</v>
      </c>
      <c r="S85" s="112" t="s">
        <v>95</v>
      </c>
      <c r="T85" s="112" t="s">
        <v>200</v>
      </c>
      <c r="U85" s="112" t="s">
        <v>201</v>
      </c>
    </row>
    <row r="86" customFormat="false" ht="46.25" hidden="false" customHeight="false" outlineLevel="0" collapsed="false">
      <c r="A86" s="115" t="s">
        <v>42</v>
      </c>
      <c r="B86" s="116" t="s">
        <v>43</v>
      </c>
      <c r="C86" s="116" t="s">
        <v>856</v>
      </c>
      <c r="D86" s="116" t="s">
        <v>1394</v>
      </c>
      <c r="E86" s="116" t="s">
        <v>1395</v>
      </c>
      <c r="F86" s="116" t="s">
        <v>1396</v>
      </c>
      <c r="G86" s="116" t="s">
        <v>1027</v>
      </c>
      <c r="H86" s="116" t="s">
        <v>1397</v>
      </c>
      <c r="I86" s="116" t="s">
        <v>78</v>
      </c>
      <c r="J86" s="116" t="s">
        <v>78</v>
      </c>
      <c r="K86" s="116" t="s">
        <v>78</v>
      </c>
      <c r="L86" s="116" t="s">
        <v>78</v>
      </c>
      <c r="M86" s="116" t="s">
        <v>861</v>
      </c>
      <c r="N86" s="116" t="s">
        <v>862</v>
      </c>
      <c r="O86" s="116" t="s">
        <v>863</v>
      </c>
      <c r="P86" s="116" t="s">
        <v>864</v>
      </c>
      <c r="Q86" s="116" t="s">
        <v>83</v>
      </c>
      <c r="R86" s="116" t="s">
        <v>408</v>
      </c>
      <c r="S86" s="116" t="s">
        <v>95</v>
      </c>
      <c r="T86" s="116" t="s">
        <v>200</v>
      </c>
      <c r="U86" s="116" t="s">
        <v>201</v>
      </c>
    </row>
    <row r="87" customFormat="false" ht="147" hidden="false" customHeight="false" outlineLevel="0" collapsed="false">
      <c r="A87" s="117" t="s">
        <v>44</v>
      </c>
      <c r="B87" s="118" t="s">
        <v>45</v>
      </c>
      <c r="C87" s="118" t="s">
        <v>1398</v>
      </c>
      <c r="D87" s="118" t="s">
        <v>1399</v>
      </c>
      <c r="E87" s="118" t="s">
        <v>1400</v>
      </c>
      <c r="F87" s="118" t="s">
        <v>1401</v>
      </c>
      <c r="G87" s="118" t="s">
        <v>1027</v>
      </c>
      <c r="H87" s="118" t="s">
        <v>1402</v>
      </c>
      <c r="I87" s="118" t="s">
        <v>1057</v>
      </c>
      <c r="J87" s="118" t="s">
        <v>78</v>
      </c>
      <c r="K87" s="118" t="s">
        <v>1403</v>
      </c>
      <c r="L87" s="118" t="s">
        <v>1031</v>
      </c>
      <c r="M87" s="118"/>
      <c r="N87" s="118" t="s">
        <v>1404</v>
      </c>
      <c r="O87" s="118" t="s">
        <v>1405</v>
      </c>
      <c r="P87" s="118" t="s">
        <v>189</v>
      </c>
      <c r="Q87" s="118" t="s">
        <v>83</v>
      </c>
      <c r="R87" s="118" t="s">
        <v>408</v>
      </c>
      <c r="S87" s="118" t="s">
        <v>121</v>
      </c>
      <c r="T87" s="118" t="s">
        <v>1406</v>
      </c>
      <c r="U87" s="118" t="s">
        <v>1157</v>
      </c>
    </row>
    <row r="88" customFormat="false" ht="68.65" hidden="false" customHeight="false" outlineLevel="0" collapsed="false">
      <c r="A88" s="117" t="s">
        <v>44</v>
      </c>
      <c r="B88" s="118" t="s">
        <v>45</v>
      </c>
      <c r="C88" s="118" t="s">
        <v>873</v>
      </c>
      <c r="D88" s="118" t="s">
        <v>1399</v>
      </c>
      <c r="E88" s="118" t="s">
        <v>1407</v>
      </c>
      <c r="F88" s="118" t="s">
        <v>1408</v>
      </c>
      <c r="G88" s="118" t="s">
        <v>1027</v>
      </c>
      <c r="H88" s="118" t="s">
        <v>875</v>
      </c>
      <c r="I88" s="118" t="s">
        <v>1171</v>
      </c>
      <c r="J88" s="118" t="s">
        <v>78</v>
      </c>
      <c r="K88" s="118" t="s">
        <v>1409</v>
      </c>
      <c r="L88" s="118" t="s">
        <v>1058</v>
      </c>
      <c r="M88" s="118" t="s">
        <v>876</v>
      </c>
      <c r="N88" s="118" t="s">
        <v>877</v>
      </c>
      <c r="O88" s="118" t="s">
        <v>878</v>
      </c>
      <c r="P88" s="118" t="s">
        <v>346</v>
      </c>
      <c r="Q88" s="118" t="s">
        <v>83</v>
      </c>
      <c r="R88" s="118" t="s">
        <v>408</v>
      </c>
      <c r="S88" s="118" t="s">
        <v>121</v>
      </c>
      <c r="T88" s="118" t="s">
        <v>879</v>
      </c>
      <c r="U88" s="118" t="s">
        <v>316</v>
      </c>
    </row>
    <row r="89" customFormat="false" ht="68.65" hidden="false" customHeight="false" outlineLevel="0" collapsed="false">
      <c r="A89" s="117" t="s">
        <v>44</v>
      </c>
      <c r="B89" s="118" t="s">
        <v>45</v>
      </c>
      <c r="C89" s="118" t="s">
        <v>880</v>
      </c>
      <c r="D89" s="118" t="s">
        <v>1399</v>
      </c>
      <c r="E89" s="118" t="s">
        <v>1407</v>
      </c>
      <c r="F89" s="118" t="s">
        <v>1410</v>
      </c>
      <c r="G89" s="118" t="s">
        <v>1027</v>
      </c>
      <c r="H89" s="118" t="s">
        <v>1411</v>
      </c>
      <c r="I89" s="118" t="s">
        <v>78</v>
      </c>
      <c r="J89" s="118" t="s">
        <v>78</v>
      </c>
      <c r="K89" s="118" t="s">
        <v>78</v>
      </c>
      <c r="L89" s="118" t="s">
        <v>78</v>
      </c>
      <c r="M89" s="118" t="s">
        <v>884</v>
      </c>
      <c r="N89" s="118" t="s">
        <v>1412</v>
      </c>
      <c r="O89" s="118" t="s">
        <v>1413</v>
      </c>
      <c r="P89" s="118" t="s">
        <v>346</v>
      </c>
      <c r="Q89" s="118" t="s">
        <v>482</v>
      </c>
      <c r="R89" s="118" t="s">
        <v>1414</v>
      </c>
      <c r="S89" s="118" t="s">
        <v>95</v>
      </c>
      <c r="T89" s="118" t="s">
        <v>200</v>
      </c>
      <c r="U89" s="118" t="s">
        <v>201</v>
      </c>
    </row>
    <row r="90" customFormat="false" ht="147" hidden="false" customHeight="false" outlineLevel="0" collapsed="false">
      <c r="A90" s="119" t="s">
        <v>46</v>
      </c>
      <c r="B90" s="120" t="s">
        <v>47</v>
      </c>
      <c r="C90" s="120" t="s">
        <v>889</v>
      </c>
      <c r="D90" s="120" t="s">
        <v>1415</v>
      </c>
      <c r="E90" s="120" t="s">
        <v>1416</v>
      </c>
      <c r="F90" s="120" t="s">
        <v>1417</v>
      </c>
      <c r="G90" s="120" t="s">
        <v>1027</v>
      </c>
      <c r="H90" s="120" t="s">
        <v>1418</v>
      </c>
      <c r="I90" s="120" t="s">
        <v>1019</v>
      </c>
      <c r="J90" s="120" t="s">
        <v>78</v>
      </c>
      <c r="K90" s="120" t="s">
        <v>78</v>
      </c>
      <c r="L90" s="120" t="s">
        <v>78</v>
      </c>
      <c r="M90" s="120" t="s">
        <v>894</v>
      </c>
      <c r="N90" s="120" t="s">
        <v>895</v>
      </c>
      <c r="O90" s="120" t="s">
        <v>896</v>
      </c>
      <c r="P90" s="120" t="s">
        <v>189</v>
      </c>
      <c r="Q90" s="120" t="s">
        <v>83</v>
      </c>
      <c r="R90" s="120" t="s">
        <v>408</v>
      </c>
      <c r="S90" s="120" t="s">
        <v>121</v>
      </c>
      <c r="T90" s="120" t="s">
        <v>1419</v>
      </c>
      <c r="U90" s="120" t="s">
        <v>300</v>
      </c>
    </row>
    <row r="91" customFormat="false" ht="57.45" hidden="false" customHeight="false" outlineLevel="0" collapsed="false">
      <c r="A91" s="119" t="s">
        <v>46</v>
      </c>
      <c r="B91" s="120" t="s">
        <v>47</v>
      </c>
      <c r="C91" s="120" t="s">
        <v>889</v>
      </c>
      <c r="D91" s="120" t="s">
        <v>1415</v>
      </c>
      <c r="E91" s="120" t="s">
        <v>1416</v>
      </c>
      <c r="F91" s="120" t="s">
        <v>1420</v>
      </c>
      <c r="G91" s="120" t="s">
        <v>1027</v>
      </c>
      <c r="H91" s="120" t="s">
        <v>902</v>
      </c>
      <c r="I91" s="120" t="s">
        <v>1019</v>
      </c>
      <c r="J91" s="120" t="s">
        <v>78</v>
      </c>
      <c r="K91" s="120" t="s">
        <v>78</v>
      </c>
      <c r="L91" s="120" t="s">
        <v>1074</v>
      </c>
      <c r="M91" s="120" t="s">
        <v>894</v>
      </c>
      <c r="N91" s="120" t="s">
        <v>895</v>
      </c>
      <c r="O91" s="120" t="s">
        <v>896</v>
      </c>
      <c r="P91" s="120" t="s">
        <v>189</v>
      </c>
      <c r="Q91" s="120" t="s">
        <v>83</v>
      </c>
      <c r="R91" s="120" t="s">
        <v>408</v>
      </c>
      <c r="S91" s="120" t="s">
        <v>121</v>
      </c>
      <c r="T91" s="120" t="s">
        <v>903</v>
      </c>
      <c r="U91" s="120" t="s">
        <v>300</v>
      </c>
    </row>
    <row r="92" customFormat="false" ht="158.2" hidden="false" customHeight="false" outlineLevel="0" collapsed="false">
      <c r="A92" s="121" t="s">
        <v>48</v>
      </c>
      <c r="B92" s="122" t="s">
        <v>49</v>
      </c>
      <c r="C92" s="122" t="s">
        <v>1421</v>
      </c>
      <c r="D92" s="122" t="s">
        <v>1422</v>
      </c>
      <c r="E92" s="122" t="s">
        <v>1423</v>
      </c>
      <c r="F92" s="122" t="s">
        <v>1424</v>
      </c>
      <c r="G92" s="122" t="s">
        <v>1027</v>
      </c>
      <c r="H92" s="122" t="s">
        <v>441</v>
      </c>
      <c r="I92" s="122" t="s">
        <v>1160</v>
      </c>
      <c r="J92" s="122" t="s">
        <v>78</v>
      </c>
      <c r="K92" s="122" t="s">
        <v>78</v>
      </c>
      <c r="L92" s="122" t="s">
        <v>1058</v>
      </c>
      <c r="M92" s="122"/>
      <c r="N92" s="122" t="s">
        <v>442</v>
      </c>
      <c r="O92" s="122" t="s">
        <v>1425</v>
      </c>
      <c r="P92" s="122" t="s">
        <v>444</v>
      </c>
      <c r="Q92" s="122" t="s">
        <v>83</v>
      </c>
      <c r="R92" s="122" t="s">
        <v>408</v>
      </c>
      <c r="S92" s="122" t="s">
        <v>121</v>
      </c>
      <c r="T92" s="122" t="s">
        <v>445</v>
      </c>
      <c r="U92" s="122" t="s">
        <v>658</v>
      </c>
    </row>
    <row r="93" customFormat="false" ht="214.15" hidden="false" customHeight="false" outlineLevel="0" collapsed="false">
      <c r="A93" s="121" t="s">
        <v>48</v>
      </c>
      <c r="B93" s="122" t="s">
        <v>49</v>
      </c>
      <c r="C93" s="122" t="s">
        <v>1426</v>
      </c>
      <c r="D93" s="122" t="s">
        <v>1422</v>
      </c>
      <c r="E93" s="122" t="s">
        <v>1427</v>
      </c>
      <c r="F93" s="122" t="s">
        <v>1428</v>
      </c>
      <c r="G93" s="122" t="s">
        <v>1072</v>
      </c>
      <c r="H93" s="122" t="s">
        <v>1429</v>
      </c>
      <c r="I93" s="122" t="s">
        <v>1068</v>
      </c>
      <c r="J93" s="122" t="s">
        <v>78</v>
      </c>
      <c r="K93" s="122" t="s">
        <v>78</v>
      </c>
      <c r="L93" s="122" t="s">
        <v>1058</v>
      </c>
      <c r="M93" s="122"/>
      <c r="N93" s="122" t="s">
        <v>1430</v>
      </c>
      <c r="O93" s="122" t="s">
        <v>1431</v>
      </c>
      <c r="P93" s="122" t="s">
        <v>1432</v>
      </c>
      <c r="Q93" s="122" t="s">
        <v>83</v>
      </c>
      <c r="R93" s="122" t="s">
        <v>408</v>
      </c>
      <c r="S93" s="122" t="s">
        <v>121</v>
      </c>
      <c r="T93" s="122" t="s">
        <v>1433</v>
      </c>
      <c r="U93" s="122" t="s">
        <v>522</v>
      </c>
    </row>
    <row r="94" customFormat="false" ht="102.2" hidden="false" customHeight="false" outlineLevel="0" collapsed="false">
      <c r="A94" s="121" t="s">
        <v>48</v>
      </c>
      <c r="B94" s="122" t="s">
        <v>49</v>
      </c>
      <c r="C94" s="122" t="s">
        <v>1434</v>
      </c>
      <c r="D94" s="122" t="s">
        <v>1422</v>
      </c>
      <c r="E94" s="122" t="s">
        <v>1423</v>
      </c>
      <c r="F94" s="122" t="s">
        <v>1435</v>
      </c>
      <c r="G94" s="122" t="s">
        <v>1027</v>
      </c>
      <c r="H94" s="122" t="s">
        <v>915</v>
      </c>
      <c r="I94" s="122" t="s">
        <v>1160</v>
      </c>
      <c r="J94" s="122" t="s">
        <v>78</v>
      </c>
      <c r="K94" s="122" t="s">
        <v>1436</v>
      </c>
      <c r="L94" s="122" t="s">
        <v>1058</v>
      </c>
      <c r="M94" s="122"/>
      <c r="N94" s="122" t="s">
        <v>916</v>
      </c>
      <c r="O94" s="122" t="s">
        <v>1437</v>
      </c>
      <c r="P94" s="122" t="s">
        <v>918</v>
      </c>
      <c r="Q94" s="122" t="s">
        <v>83</v>
      </c>
      <c r="R94" s="122" t="s">
        <v>408</v>
      </c>
      <c r="S94" s="122" t="s">
        <v>121</v>
      </c>
      <c r="T94" s="122" t="s">
        <v>919</v>
      </c>
      <c r="U94" s="122" t="s">
        <v>227</v>
      </c>
    </row>
    <row r="95" customFormat="false" ht="147" hidden="false" customHeight="false" outlineLevel="0" collapsed="false">
      <c r="A95" s="121" t="s">
        <v>48</v>
      </c>
      <c r="B95" s="122" t="s">
        <v>49</v>
      </c>
      <c r="C95" s="122" t="s">
        <v>1434</v>
      </c>
      <c r="D95" s="122" t="s">
        <v>1422</v>
      </c>
      <c r="E95" s="122" t="s">
        <v>1423</v>
      </c>
      <c r="F95" s="122" t="s">
        <v>1438</v>
      </c>
      <c r="G95" s="122" t="s">
        <v>1027</v>
      </c>
      <c r="H95" s="122" t="s">
        <v>1439</v>
      </c>
      <c r="I95" s="122" t="s">
        <v>1160</v>
      </c>
      <c r="J95" s="122" t="s">
        <v>1440</v>
      </c>
      <c r="K95" s="122" t="s">
        <v>78</v>
      </c>
      <c r="L95" s="122" t="s">
        <v>1058</v>
      </c>
      <c r="M95" s="122"/>
      <c r="N95" s="122" t="s">
        <v>1441</v>
      </c>
      <c r="O95" s="122" t="s">
        <v>1437</v>
      </c>
      <c r="P95" s="122" t="s">
        <v>918</v>
      </c>
      <c r="Q95" s="122" t="s">
        <v>83</v>
      </c>
      <c r="R95" s="122" t="s">
        <v>408</v>
      </c>
      <c r="S95" s="122" t="s">
        <v>121</v>
      </c>
      <c r="T95" s="122" t="s">
        <v>1442</v>
      </c>
      <c r="U95" s="122" t="s">
        <v>227</v>
      </c>
    </row>
    <row r="96" customFormat="false" ht="79.85" hidden="false" customHeight="false" outlineLevel="0" collapsed="false">
      <c r="A96" s="121" t="s">
        <v>48</v>
      </c>
      <c r="B96" s="122" t="s">
        <v>49</v>
      </c>
      <c r="C96" s="122" t="s">
        <v>941</v>
      </c>
      <c r="D96" s="122" t="s">
        <v>1422</v>
      </c>
      <c r="E96" s="122" t="s">
        <v>1443</v>
      </c>
      <c r="F96" s="122" t="s">
        <v>1444</v>
      </c>
      <c r="G96" s="122" t="s">
        <v>1027</v>
      </c>
      <c r="H96" s="122" t="s">
        <v>949</v>
      </c>
      <c r="I96" s="122" t="s">
        <v>1445</v>
      </c>
      <c r="J96" s="122" t="s">
        <v>78</v>
      </c>
      <c r="K96" s="122" t="s">
        <v>78</v>
      </c>
      <c r="L96" s="122" t="s">
        <v>1031</v>
      </c>
      <c r="M96" s="122" t="s">
        <v>944</v>
      </c>
      <c r="N96" s="122" t="s">
        <v>945</v>
      </c>
      <c r="O96" s="122" t="s">
        <v>1446</v>
      </c>
      <c r="P96" s="122" t="s">
        <v>407</v>
      </c>
      <c r="Q96" s="122" t="s">
        <v>83</v>
      </c>
      <c r="R96" s="122" t="s">
        <v>408</v>
      </c>
      <c r="S96" s="122" t="s">
        <v>121</v>
      </c>
      <c r="T96" s="122" t="s">
        <v>951</v>
      </c>
      <c r="U96" s="122" t="s">
        <v>191</v>
      </c>
    </row>
    <row r="97" customFormat="false" ht="158.2" hidden="false" customHeight="false" outlineLevel="0" collapsed="false">
      <c r="A97" s="121" t="s">
        <v>48</v>
      </c>
      <c r="B97" s="122" t="s">
        <v>49</v>
      </c>
      <c r="C97" s="122" t="s">
        <v>959</v>
      </c>
      <c r="D97" s="122" t="s">
        <v>1422</v>
      </c>
      <c r="E97" s="122" t="s">
        <v>1447</v>
      </c>
      <c r="F97" s="122" t="s">
        <v>1448</v>
      </c>
      <c r="G97" s="122" t="s">
        <v>1027</v>
      </c>
      <c r="H97" s="122" t="s">
        <v>1449</v>
      </c>
      <c r="I97" s="122" t="s">
        <v>1354</v>
      </c>
      <c r="J97" s="122" t="s">
        <v>78</v>
      </c>
      <c r="K97" s="122" t="s">
        <v>1450</v>
      </c>
      <c r="L97" s="122" t="s">
        <v>1074</v>
      </c>
      <c r="M97" s="122" t="s">
        <v>962</v>
      </c>
      <c r="N97" s="122" t="s">
        <v>1451</v>
      </c>
      <c r="O97" s="122" t="s">
        <v>1452</v>
      </c>
      <c r="P97" s="122" t="s">
        <v>639</v>
      </c>
      <c r="Q97" s="122" t="s">
        <v>83</v>
      </c>
      <c r="R97" s="122" t="s">
        <v>408</v>
      </c>
      <c r="S97" s="122" t="s">
        <v>121</v>
      </c>
      <c r="T97" s="122" t="s">
        <v>1453</v>
      </c>
      <c r="U97" s="122" t="s">
        <v>1025</v>
      </c>
    </row>
    <row r="98" customFormat="false" ht="57.45" hidden="false" customHeight="false" outlineLevel="0" collapsed="false">
      <c r="A98" s="121" t="s">
        <v>48</v>
      </c>
      <c r="B98" s="122" t="s">
        <v>49</v>
      </c>
      <c r="C98" s="122" t="s">
        <v>971</v>
      </c>
      <c r="D98" s="122" t="s">
        <v>1422</v>
      </c>
      <c r="E98" s="122" t="s">
        <v>1454</v>
      </c>
      <c r="F98" s="122" t="s">
        <v>1455</v>
      </c>
      <c r="G98" s="122" t="s">
        <v>1027</v>
      </c>
      <c r="H98" s="122" t="s">
        <v>973</v>
      </c>
      <c r="I98" s="122" t="s">
        <v>1045</v>
      </c>
      <c r="J98" s="122" t="s">
        <v>974</v>
      </c>
      <c r="K98" s="122" t="s">
        <v>1456</v>
      </c>
      <c r="L98" s="122" t="s">
        <v>1058</v>
      </c>
      <c r="M98" s="122" t="s">
        <v>975</v>
      </c>
      <c r="N98" s="122" t="s">
        <v>976</v>
      </c>
      <c r="O98" s="122" t="s">
        <v>977</v>
      </c>
      <c r="P98" s="122" t="s">
        <v>918</v>
      </c>
      <c r="Q98" s="122" t="s">
        <v>83</v>
      </c>
      <c r="R98" s="122" t="s">
        <v>408</v>
      </c>
      <c r="S98" s="122" t="s">
        <v>121</v>
      </c>
      <c r="T98" s="122" t="s">
        <v>978</v>
      </c>
      <c r="U98" s="122" t="s">
        <v>300</v>
      </c>
    </row>
    <row r="99" customFormat="false" ht="68.65" hidden="false" customHeight="false" outlineLevel="0" collapsed="false">
      <c r="A99" s="121" t="s">
        <v>48</v>
      </c>
      <c r="B99" s="122" t="s">
        <v>49</v>
      </c>
      <c r="C99" s="122" t="s">
        <v>971</v>
      </c>
      <c r="D99" s="122" t="s">
        <v>1422</v>
      </c>
      <c r="E99" s="122" t="s">
        <v>1427</v>
      </c>
      <c r="F99" s="122" t="s">
        <v>1457</v>
      </c>
      <c r="G99" s="122" t="s">
        <v>1027</v>
      </c>
      <c r="H99" s="122" t="s">
        <v>989</v>
      </c>
      <c r="I99" s="122" t="s">
        <v>1073</v>
      </c>
      <c r="J99" s="122" t="s">
        <v>78</v>
      </c>
      <c r="K99" s="122" t="s">
        <v>78</v>
      </c>
      <c r="L99" s="122" t="s">
        <v>1074</v>
      </c>
      <c r="M99" s="122" t="s">
        <v>975</v>
      </c>
      <c r="N99" s="122" t="s">
        <v>976</v>
      </c>
      <c r="O99" s="122" t="s">
        <v>977</v>
      </c>
      <c r="P99" s="122" t="s">
        <v>918</v>
      </c>
      <c r="Q99" s="122" t="s">
        <v>83</v>
      </c>
      <c r="R99" s="122" t="s">
        <v>408</v>
      </c>
      <c r="S99" s="122" t="s">
        <v>121</v>
      </c>
      <c r="T99" s="122" t="s">
        <v>991</v>
      </c>
      <c r="U99" s="122" t="s">
        <v>300</v>
      </c>
    </row>
    <row r="100" customFormat="false" ht="57.45" hidden="false" customHeight="false" outlineLevel="0" collapsed="false">
      <c r="A100" s="121" t="s">
        <v>48</v>
      </c>
      <c r="B100" s="122" t="s">
        <v>49</v>
      </c>
      <c r="C100" s="122" t="s">
        <v>992</v>
      </c>
      <c r="D100" s="122" t="s">
        <v>1422</v>
      </c>
      <c r="E100" s="122" t="s">
        <v>1427</v>
      </c>
      <c r="F100" s="122" t="s">
        <v>1458</v>
      </c>
      <c r="G100" s="122" t="s">
        <v>1027</v>
      </c>
      <c r="H100" s="122" t="s">
        <v>994</v>
      </c>
      <c r="I100" s="122" t="s">
        <v>1073</v>
      </c>
      <c r="J100" s="122" t="s">
        <v>78</v>
      </c>
      <c r="K100" s="122" t="s">
        <v>78</v>
      </c>
      <c r="L100" s="122" t="s">
        <v>1064</v>
      </c>
      <c r="M100" s="122" t="s">
        <v>996</v>
      </c>
      <c r="N100" s="122"/>
      <c r="O100" s="122" t="s">
        <v>997</v>
      </c>
      <c r="P100" s="122" t="s">
        <v>189</v>
      </c>
      <c r="Q100" s="122" t="s">
        <v>83</v>
      </c>
      <c r="R100" s="122" t="s">
        <v>408</v>
      </c>
      <c r="S100" s="122" t="s">
        <v>121</v>
      </c>
      <c r="T100" s="122" t="s">
        <v>998</v>
      </c>
      <c r="U100" s="122" t="s">
        <v>191</v>
      </c>
    </row>
    <row r="101" customFormat="false" ht="113.4" hidden="false" customHeight="false" outlineLevel="0" collapsed="false">
      <c r="A101" s="121" t="s">
        <v>48</v>
      </c>
      <c r="B101" s="122" t="s">
        <v>49</v>
      </c>
      <c r="C101" s="122" t="s">
        <v>999</v>
      </c>
      <c r="D101" s="122" t="s">
        <v>1422</v>
      </c>
      <c r="E101" s="122" t="s">
        <v>1423</v>
      </c>
      <c r="F101" s="122" t="s">
        <v>1459</v>
      </c>
      <c r="G101" s="122" t="s">
        <v>1027</v>
      </c>
      <c r="H101" s="122" t="s">
        <v>1460</v>
      </c>
      <c r="I101" s="122" t="s">
        <v>1171</v>
      </c>
      <c r="J101" s="122" t="s">
        <v>78</v>
      </c>
      <c r="K101" s="122" t="s">
        <v>78</v>
      </c>
      <c r="L101" s="122" t="s">
        <v>1115</v>
      </c>
      <c r="M101" s="122" t="s">
        <v>1003</v>
      </c>
      <c r="N101" s="122" t="s">
        <v>1461</v>
      </c>
      <c r="O101" s="122" t="s">
        <v>1462</v>
      </c>
      <c r="P101" s="122" t="s">
        <v>1006</v>
      </c>
      <c r="Q101" s="122" t="s">
        <v>83</v>
      </c>
      <c r="R101" s="122" t="s">
        <v>408</v>
      </c>
      <c r="S101" s="122" t="s">
        <v>121</v>
      </c>
      <c r="T101" s="122" t="s">
        <v>1463</v>
      </c>
      <c r="U101" s="122" t="s">
        <v>272</v>
      </c>
    </row>
    <row r="102" customFormat="false" ht="113.4" hidden="false" customHeight="false" outlineLevel="0" collapsed="false">
      <c r="A102" s="121" t="s">
        <v>48</v>
      </c>
      <c r="B102" s="122" t="s">
        <v>49</v>
      </c>
      <c r="C102" s="122" t="s">
        <v>999</v>
      </c>
      <c r="D102" s="122" t="s">
        <v>1422</v>
      </c>
      <c r="E102" s="122" t="s">
        <v>1423</v>
      </c>
      <c r="F102" s="122" t="s">
        <v>1464</v>
      </c>
      <c r="G102" s="122" t="s">
        <v>1027</v>
      </c>
      <c r="H102" s="122" t="s">
        <v>1465</v>
      </c>
      <c r="I102" s="122" t="s">
        <v>1171</v>
      </c>
      <c r="J102" s="122" t="s">
        <v>78</v>
      </c>
      <c r="K102" s="122" t="s">
        <v>1466</v>
      </c>
      <c r="L102" s="122" t="s">
        <v>1058</v>
      </c>
      <c r="M102" s="122" t="s">
        <v>1003</v>
      </c>
      <c r="N102" s="122" t="s">
        <v>1461</v>
      </c>
      <c r="O102" s="122" t="s">
        <v>1462</v>
      </c>
      <c r="P102" s="122" t="s">
        <v>1006</v>
      </c>
      <c r="Q102" s="122" t="s">
        <v>83</v>
      </c>
      <c r="R102" s="122" t="s">
        <v>408</v>
      </c>
      <c r="S102" s="122" t="s">
        <v>121</v>
      </c>
      <c r="T102" s="122" t="s">
        <v>1467</v>
      </c>
      <c r="U102" s="122" t="s">
        <v>272</v>
      </c>
    </row>
    <row r="103" customFormat="false" ht="113.4" hidden="false" customHeight="false" outlineLevel="0" collapsed="false">
      <c r="A103" s="121" t="s">
        <v>48</v>
      </c>
      <c r="B103" s="122" t="s">
        <v>49</v>
      </c>
      <c r="C103" s="122" t="s">
        <v>999</v>
      </c>
      <c r="D103" s="122" t="s">
        <v>1422</v>
      </c>
      <c r="E103" s="122" t="s">
        <v>1427</v>
      </c>
      <c r="F103" s="122" t="s">
        <v>1468</v>
      </c>
      <c r="G103" s="122" t="s">
        <v>1027</v>
      </c>
      <c r="H103" s="122" t="s">
        <v>1001</v>
      </c>
      <c r="I103" s="122" t="s">
        <v>1073</v>
      </c>
      <c r="J103" s="122" t="s">
        <v>78</v>
      </c>
      <c r="K103" s="122" t="s">
        <v>78</v>
      </c>
      <c r="L103" s="122" t="s">
        <v>1058</v>
      </c>
      <c r="M103" s="122" t="s">
        <v>1003</v>
      </c>
      <c r="N103" s="122" t="s">
        <v>1461</v>
      </c>
      <c r="O103" s="122" t="s">
        <v>1462</v>
      </c>
      <c r="P103" s="122" t="s">
        <v>1006</v>
      </c>
      <c r="Q103" s="122" t="s">
        <v>83</v>
      </c>
      <c r="R103" s="122" t="s">
        <v>408</v>
      </c>
      <c r="S103" s="122" t="s">
        <v>121</v>
      </c>
      <c r="T103" s="122" t="s">
        <v>1007</v>
      </c>
      <c r="U103" s="122" t="s">
        <v>272</v>
      </c>
    </row>
    <row r="104" customFormat="false" ht="46.25" hidden="false" customHeight="false" outlineLevel="0" collapsed="false">
      <c r="A104" s="121" t="s">
        <v>48</v>
      </c>
      <c r="B104" s="122" t="s">
        <v>49</v>
      </c>
      <c r="C104" s="122" t="s">
        <v>1009</v>
      </c>
      <c r="D104" s="122" t="s">
        <v>1422</v>
      </c>
      <c r="E104" s="122" t="s">
        <v>1423</v>
      </c>
      <c r="F104" s="122" t="s">
        <v>1469</v>
      </c>
      <c r="G104" s="122" t="s">
        <v>1027</v>
      </c>
      <c r="H104" s="122" t="s">
        <v>1011</v>
      </c>
      <c r="I104" s="122" t="s">
        <v>78</v>
      </c>
      <c r="J104" s="122" t="s">
        <v>78</v>
      </c>
      <c r="K104" s="122" t="s">
        <v>78</v>
      </c>
      <c r="L104" s="122" t="s">
        <v>78</v>
      </c>
      <c r="M104" s="122" t="s">
        <v>1012</v>
      </c>
      <c r="N104" s="122" t="s">
        <v>862</v>
      </c>
      <c r="O104" s="122" t="s">
        <v>1013</v>
      </c>
      <c r="P104" s="122" t="s">
        <v>864</v>
      </c>
      <c r="Q104" s="122" t="s">
        <v>83</v>
      </c>
      <c r="R104" s="122" t="s">
        <v>408</v>
      </c>
      <c r="S104" s="122" t="s">
        <v>95</v>
      </c>
      <c r="T104" s="122" t="s">
        <v>200</v>
      </c>
      <c r="U104" s="122" t="s">
        <v>201</v>
      </c>
    </row>
  </sheetData>
  <autoFilter ref="A1:U10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95959"/>
    <pageSetUpPr fitToPage="false"/>
  </sheetPr>
  <dimension ref="A1:U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4"/>
    <col collapsed="false" customWidth="true" hidden="false" outlineLevel="0" max="6" min="6" style="0" width="16"/>
    <col collapsed="false" customWidth="true" hidden="false" outlineLevel="0" max="7" min="7" style="0" width="11"/>
    <col collapsed="false" customWidth="true" hidden="false" outlineLevel="0" max="8" min="8" style="0" width="60"/>
    <col collapsed="false" customWidth="true" hidden="false" outlineLevel="0" max="9" min="9" style="0" width="22"/>
    <col collapsed="false" customWidth="true" hidden="false" outlineLevel="0" max="11" min="10" style="0" width="24"/>
    <col collapsed="false" customWidth="true" hidden="false" outlineLevel="0" max="12" min="12" style="0" width="26"/>
    <col collapsed="false" customWidth="true" hidden="false" outlineLevel="0" max="13" min="13" style="0" width="11"/>
    <col collapsed="false" customWidth="true" hidden="false" outlineLevel="0" max="14" min="14" style="0" width="20"/>
    <col collapsed="false" customWidth="true" hidden="false" outlineLevel="0" max="15" min="15" style="0" width="30"/>
    <col collapsed="false" customWidth="true" hidden="false" outlineLevel="0" max="16" min="16" style="0" width="16"/>
    <col collapsed="false" customWidth="true" hidden="false" outlineLevel="0" max="18" min="17" style="0" width="18"/>
    <col collapsed="false" customWidth="true" hidden="false" outlineLevel="0" max="19" min="19" style="0" width="12"/>
    <col collapsed="false" customWidth="true" hidden="false" outlineLevel="0" max="20" min="20" style="0" width="40"/>
    <col collapsed="false" customWidth="true" hidden="false" outlineLevel="0" max="21" min="21" style="0" width="45"/>
  </cols>
  <sheetData>
    <row r="1" customFormat="false" ht="68.65" hidden="false" customHeight="false" outlineLevel="0" collapsed="false">
      <c r="A1" s="123" t="s">
        <v>0</v>
      </c>
      <c r="B1" s="123" t="s">
        <v>51</v>
      </c>
      <c r="C1" s="123" t="s">
        <v>52</v>
      </c>
      <c r="D1" s="123" t="s">
        <v>53</v>
      </c>
      <c r="E1" s="123" t="s">
        <v>54</v>
      </c>
      <c r="F1" s="123" t="s">
        <v>55</v>
      </c>
      <c r="G1" s="123" t="s">
        <v>56</v>
      </c>
      <c r="H1" s="123" t="s">
        <v>57</v>
      </c>
      <c r="I1" s="123" t="s">
        <v>58</v>
      </c>
      <c r="J1" s="123" t="s">
        <v>59</v>
      </c>
      <c r="K1" s="123" t="s">
        <v>60</v>
      </c>
      <c r="L1" s="123" t="s">
        <v>61</v>
      </c>
      <c r="M1" s="123" t="s">
        <v>62</v>
      </c>
      <c r="N1" s="123" t="s">
        <v>63</v>
      </c>
      <c r="O1" s="123" t="s">
        <v>64</v>
      </c>
      <c r="P1" s="123" t="s">
        <v>65</v>
      </c>
      <c r="Q1" s="123" t="s">
        <v>66</v>
      </c>
      <c r="R1" s="123" t="s">
        <v>67</v>
      </c>
      <c r="S1" s="123" t="s">
        <v>68</v>
      </c>
      <c r="T1" s="123" t="s">
        <v>69</v>
      </c>
      <c r="U1" s="123" t="s">
        <v>70</v>
      </c>
    </row>
    <row r="2" customFormat="false" ht="57.45" hidden="false" customHeight="false" outlineLevel="0" collapsed="false">
      <c r="A2" s="83" t="s">
        <v>9</v>
      </c>
      <c r="B2" s="84" t="s">
        <v>10</v>
      </c>
      <c r="C2" s="84" t="s">
        <v>71</v>
      </c>
      <c r="D2" s="84" t="s">
        <v>72</v>
      </c>
      <c r="E2" s="84" t="s">
        <v>73</v>
      </c>
      <c r="F2" s="84" t="s">
        <v>74</v>
      </c>
      <c r="G2" s="84" t="s">
        <v>75</v>
      </c>
      <c r="H2" s="84" t="s">
        <v>76</v>
      </c>
      <c r="I2" s="84" t="s">
        <v>77</v>
      </c>
      <c r="J2" s="84" t="s">
        <v>78</v>
      </c>
      <c r="K2" s="84" t="s">
        <v>79</v>
      </c>
      <c r="L2" s="84" t="s">
        <v>80</v>
      </c>
      <c r="M2" s="84"/>
      <c r="N2" s="84" t="s">
        <v>81</v>
      </c>
      <c r="O2" s="84" t="s">
        <v>82</v>
      </c>
      <c r="P2" s="84" t="s">
        <v>78</v>
      </c>
      <c r="Q2" s="84" t="s">
        <v>83</v>
      </c>
      <c r="R2" s="84" t="s">
        <v>84</v>
      </c>
      <c r="S2" s="84" t="s">
        <v>85</v>
      </c>
      <c r="T2" s="84" t="s">
        <v>86</v>
      </c>
      <c r="U2" s="84" t="s">
        <v>87</v>
      </c>
    </row>
    <row r="3" customFormat="false" ht="57.45" hidden="false" customHeight="false" outlineLevel="0" collapsed="false">
      <c r="A3" s="83" t="s">
        <v>9</v>
      </c>
      <c r="B3" s="84" t="s">
        <v>10</v>
      </c>
      <c r="C3" s="84" t="s">
        <v>88</v>
      </c>
      <c r="D3" s="84" t="s">
        <v>72</v>
      </c>
      <c r="E3" s="84" t="s">
        <v>73</v>
      </c>
      <c r="F3" s="84" t="s">
        <v>89</v>
      </c>
      <c r="G3" s="84" t="s">
        <v>75</v>
      </c>
      <c r="H3" s="84" t="s">
        <v>90</v>
      </c>
      <c r="I3" s="84" t="s">
        <v>91</v>
      </c>
      <c r="J3" s="84" t="s">
        <v>92</v>
      </c>
      <c r="K3" s="84" t="s">
        <v>79</v>
      </c>
      <c r="L3" s="84" t="s">
        <v>80</v>
      </c>
      <c r="M3" s="84" t="s">
        <v>93</v>
      </c>
      <c r="N3" s="84"/>
      <c r="O3" s="84" t="s">
        <v>82</v>
      </c>
      <c r="P3" s="84" t="s">
        <v>78</v>
      </c>
      <c r="Q3" s="84" t="s">
        <v>83</v>
      </c>
      <c r="R3" s="84" t="s">
        <v>94</v>
      </c>
      <c r="S3" s="84" t="s">
        <v>95</v>
      </c>
      <c r="T3" s="84" t="s">
        <v>96</v>
      </c>
      <c r="U3" s="84" t="s">
        <v>97</v>
      </c>
    </row>
    <row r="4" customFormat="false" ht="68.65" hidden="false" customHeight="false" outlineLevel="0" collapsed="false">
      <c r="A4" s="83" t="s">
        <v>9</v>
      </c>
      <c r="B4" s="84" t="s">
        <v>10</v>
      </c>
      <c r="C4" s="84" t="s">
        <v>98</v>
      </c>
      <c r="D4" s="84" t="s">
        <v>72</v>
      </c>
      <c r="E4" s="84" t="s">
        <v>73</v>
      </c>
      <c r="F4" s="84" t="s">
        <v>99</v>
      </c>
      <c r="G4" s="84" t="s">
        <v>75</v>
      </c>
      <c r="H4" s="84" t="s">
        <v>100</v>
      </c>
      <c r="I4" s="84" t="s">
        <v>91</v>
      </c>
      <c r="J4" s="84" t="s">
        <v>101</v>
      </c>
      <c r="K4" s="84" t="s">
        <v>79</v>
      </c>
      <c r="L4" s="84" t="s">
        <v>80</v>
      </c>
      <c r="M4" s="84" t="s">
        <v>102</v>
      </c>
      <c r="N4" s="84"/>
      <c r="O4" s="84" t="s">
        <v>82</v>
      </c>
      <c r="P4" s="84" t="s">
        <v>78</v>
      </c>
      <c r="Q4" s="84" t="s">
        <v>83</v>
      </c>
      <c r="R4" s="84" t="s">
        <v>94</v>
      </c>
      <c r="S4" s="84" t="s">
        <v>85</v>
      </c>
      <c r="T4" s="84" t="s">
        <v>103</v>
      </c>
      <c r="U4" s="84" t="s">
        <v>97</v>
      </c>
    </row>
    <row r="5" customFormat="false" ht="57.45" hidden="false" customHeight="false" outlineLevel="0" collapsed="false">
      <c r="A5" s="83" t="s">
        <v>9</v>
      </c>
      <c r="B5" s="84" t="s">
        <v>10</v>
      </c>
      <c r="C5" s="84" t="s">
        <v>98</v>
      </c>
      <c r="D5" s="84" t="s">
        <v>72</v>
      </c>
      <c r="E5" s="84" t="s">
        <v>73</v>
      </c>
      <c r="F5" s="84" t="s">
        <v>104</v>
      </c>
      <c r="G5" s="84" t="s">
        <v>75</v>
      </c>
      <c r="H5" s="84" t="s">
        <v>105</v>
      </c>
      <c r="I5" s="84" t="s">
        <v>91</v>
      </c>
      <c r="J5" s="84" t="s">
        <v>78</v>
      </c>
      <c r="K5" s="84" t="s">
        <v>79</v>
      </c>
      <c r="L5" s="84" t="s">
        <v>80</v>
      </c>
      <c r="M5" s="84" t="s">
        <v>102</v>
      </c>
      <c r="N5" s="84"/>
      <c r="O5" s="84" t="s">
        <v>82</v>
      </c>
      <c r="P5" s="84" t="s">
        <v>78</v>
      </c>
      <c r="Q5" s="84" t="s">
        <v>83</v>
      </c>
      <c r="R5" s="84" t="s">
        <v>94</v>
      </c>
      <c r="S5" s="84" t="s">
        <v>85</v>
      </c>
      <c r="T5" s="84" t="s">
        <v>106</v>
      </c>
      <c r="U5" s="84" t="s">
        <v>97</v>
      </c>
    </row>
    <row r="6" customFormat="false" ht="57.45" hidden="false" customHeight="false" outlineLevel="0" collapsed="false">
      <c r="A6" s="83" t="s">
        <v>9</v>
      </c>
      <c r="B6" s="84" t="s">
        <v>10</v>
      </c>
      <c r="C6" s="84" t="s">
        <v>107</v>
      </c>
      <c r="D6" s="84" t="s">
        <v>72</v>
      </c>
      <c r="E6" s="84" t="s">
        <v>73</v>
      </c>
      <c r="F6" s="84" t="s">
        <v>108</v>
      </c>
      <c r="G6" s="84" t="s">
        <v>75</v>
      </c>
      <c r="H6" s="84" t="s">
        <v>109</v>
      </c>
      <c r="I6" s="84" t="s">
        <v>91</v>
      </c>
      <c r="J6" s="84" t="s">
        <v>110</v>
      </c>
      <c r="K6" s="84" t="s">
        <v>79</v>
      </c>
      <c r="L6" s="84" t="s">
        <v>80</v>
      </c>
      <c r="M6" s="84" t="s">
        <v>111</v>
      </c>
      <c r="N6" s="84"/>
      <c r="O6" s="84" t="s">
        <v>82</v>
      </c>
      <c r="P6" s="84" t="s">
        <v>78</v>
      </c>
      <c r="Q6" s="84" t="s">
        <v>83</v>
      </c>
      <c r="R6" s="84" t="s">
        <v>94</v>
      </c>
      <c r="S6" s="84" t="s">
        <v>85</v>
      </c>
      <c r="T6" s="84" t="s">
        <v>112</v>
      </c>
      <c r="U6" s="84" t="s">
        <v>97</v>
      </c>
    </row>
    <row r="7" customFormat="false" ht="79.85" hidden="false" customHeight="false" outlineLevel="0" collapsed="false">
      <c r="A7" s="83" t="s">
        <v>9</v>
      </c>
      <c r="B7" s="84" t="s">
        <v>10</v>
      </c>
      <c r="C7" s="84" t="s">
        <v>113</v>
      </c>
      <c r="D7" s="84" t="s">
        <v>72</v>
      </c>
      <c r="E7" s="84" t="s">
        <v>73</v>
      </c>
      <c r="F7" s="84" t="s">
        <v>114</v>
      </c>
      <c r="G7" s="84" t="s">
        <v>75</v>
      </c>
      <c r="H7" s="84" t="s">
        <v>115</v>
      </c>
      <c r="I7" s="84" t="s">
        <v>77</v>
      </c>
      <c r="J7" s="84" t="s">
        <v>78</v>
      </c>
      <c r="K7" s="84" t="s">
        <v>79</v>
      </c>
      <c r="L7" s="84" t="s">
        <v>116</v>
      </c>
      <c r="M7" s="84" t="s">
        <v>117</v>
      </c>
      <c r="N7" s="84" t="s">
        <v>118</v>
      </c>
      <c r="O7" s="84" t="s">
        <v>119</v>
      </c>
      <c r="P7" s="84" t="s">
        <v>120</v>
      </c>
      <c r="Q7" s="84" t="s">
        <v>83</v>
      </c>
      <c r="R7" s="84" t="s">
        <v>94</v>
      </c>
      <c r="S7" s="84" t="s">
        <v>121</v>
      </c>
      <c r="T7" s="84" t="s">
        <v>122</v>
      </c>
      <c r="U7" s="84" t="s">
        <v>123</v>
      </c>
    </row>
    <row r="8" customFormat="false" ht="247.75" hidden="false" customHeight="false" outlineLevel="0" collapsed="false">
      <c r="A8" s="83" t="s">
        <v>9</v>
      </c>
      <c r="B8" s="84" t="s">
        <v>10</v>
      </c>
      <c r="C8" s="84" t="s">
        <v>124</v>
      </c>
      <c r="D8" s="84" t="s">
        <v>72</v>
      </c>
      <c r="E8" s="84" t="s">
        <v>73</v>
      </c>
      <c r="F8" s="84" t="s">
        <v>125</v>
      </c>
      <c r="G8" s="84" t="s">
        <v>75</v>
      </c>
      <c r="H8" s="84" t="s">
        <v>126</v>
      </c>
      <c r="I8" s="84" t="s">
        <v>127</v>
      </c>
      <c r="J8" s="84" t="s">
        <v>78</v>
      </c>
      <c r="K8" s="84" t="s">
        <v>79</v>
      </c>
      <c r="L8" s="84" t="s">
        <v>80</v>
      </c>
      <c r="M8" s="84" t="s">
        <v>128</v>
      </c>
      <c r="N8" s="84"/>
      <c r="O8" s="84" t="s">
        <v>129</v>
      </c>
      <c r="P8" s="84" t="s">
        <v>130</v>
      </c>
      <c r="Q8" s="84" t="s">
        <v>83</v>
      </c>
      <c r="R8" s="84" t="s">
        <v>94</v>
      </c>
      <c r="S8" s="84" t="s">
        <v>121</v>
      </c>
      <c r="T8" s="84" t="s">
        <v>131</v>
      </c>
      <c r="U8" s="84" t="s">
        <v>132</v>
      </c>
    </row>
    <row r="9" customFormat="false" ht="247.75" hidden="false" customHeight="false" outlineLevel="0" collapsed="false">
      <c r="A9" s="83" t="s">
        <v>9</v>
      </c>
      <c r="B9" s="84" t="s">
        <v>10</v>
      </c>
      <c r="C9" s="84" t="s">
        <v>124</v>
      </c>
      <c r="D9" s="84" t="s">
        <v>72</v>
      </c>
      <c r="E9" s="84" t="s">
        <v>73</v>
      </c>
      <c r="F9" s="84" t="s">
        <v>133</v>
      </c>
      <c r="G9" s="84" t="s">
        <v>75</v>
      </c>
      <c r="H9" s="84" t="s">
        <v>134</v>
      </c>
      <c r="I9" s="84" t="s">
        <v>135</v>
      </c>
      <c r="J9" s="84" t="s">
        <v>78</v>
      </c>
      <c r="K9" s="84" t="s">
        <v>79</v>
      </c>
      <c r="L9" s="84" t="s">
        <v>80</v>
      </c>
      <c r="M9" s="84" t="s">
        <v>128</v>
      </c>
      <c r="N9" s="84"/>
      <c r="O9" s="84" t="s">
        <v>129</v>
      </c>
      <c r="P9" s="84" t="s">
        <v>130</v>
      </c>
      <c r="Q9" s="84" t="s">
        <v>83</v>
      </c>
      <c r="R9" s="84" t="s">
        <v>94</v>
      </c>
      <c r="S9" s="84" t="s">
        <v>121</v>
      </c>
      <c r="T9" s="84" t="s">
        <v>136</v>
      </c>
      <c r="U9" s="84" t="s">
        <v>132</v>
      </c>
    </row>
    <row r="10" customFormat="false" ht="247.75" hidden="false" customHeight="false" outlineLevel="0" collapsed="false">
      <c r="A10" s="83" t="s">
        <v>9</v>
      </c>
      <c r="B10" s="84" t="s">
        <v>10</v>
      </c>
      <c r="C10" s="84" t="s">
        <v>124</v>
      </c>
      <c r="D10" s="84" t="s">
        <v>72</v>
      </c>
      <c r="E10" s="84" t="s">
        <v>73</v>
      </c>
      <c r="F10" s="84" t="s">
        <v>137</v>
      </c>
      <c r="G10" s="84" t="s">
        <v>75</v>
      </c>
      <c r="H10" s="84" t="s">
        <v>138</v>
      </c>
      <c r="I10" s="84" t="s">
        <v>139</v>
      </c>
      <c r="J10" s="84" t="s">
        <v>140</v>
      </c>
      <c r="K10" s="84" t="s">
        <v>79</v>
      </c>
      <c r="L10" s="84" t="s">
        <v>80</v>
      </c>
      <c r="M10" s="84" t="s">
        <v>128</v>
      </c>
      <c r="N10" s="84"/>
      <c r="O10" s="84" t="s">
        <v>129</v>
      </c>
      <c r="P10" s="84" t="s">
        <v>130</v>
      </c>
      <c r="Q10" s="84" t="s">
        <v>83</v>
      </c>
      <c r="R10" s="84" t="s">
        <v>94</v>
      </c>
      <c r="S10" s="84" t="s">
        <v>121</v>
      </c>
      <c r="T10" s="84" t="s">
        <v>141</v>
      </c>
      <c r="U10" s="84" t="s">
        <v>132</v>
      </c>
    </row>
    <row r="11" customFormat="false" ht="247.75" hidden="false" customHeight="false" outlineLevel="0" collapsed="false">
      <c r="A11" s="83" t="s">
        <v>9</v>
      </c>
      <c r="B11" s="84" t="s">
        <v>10</v>
      </c>
      <c r="C11" s="84" t="s">
        <v>124</v>
      </c>
      <c r="D11" s="84" t="s">
        <v>72</v>
      </c>
      <c r="E11" s="84" t="s">
        <v>73</v>
      </c>
      <c r="F11" s="84" t="s">
        <v>142</v>
      </c>
      <c r="G11" s="84" t="s">
        <v>75</v>
      </c>
      <c r="H11" s="84" t="s">
        <v>143</v>
      </c>
      <c r="I11" s="84" t="s">
        <v>144</v>
      </c>
      <c r="J11" s="84" t="s">
        <v>78</v>
      </c>
      <c r="K11" s="84" t="s">
        <v>79</v>
      </c>
      <c r="L11" s="84" t="s">
        <v>80</v>
      </c>
      <c r="M11" s="84" t="s">
        <v>128</v>
      </c>
      <c r="N11" s="84"/>
      <c r="O11" s="84" t="s">
        <v>129</v>
      </c>
      <c r="P11" s="84" t="s">
        <v>130</v>
      </c>
      <c r="Q11" s="84" t="s">
        <v>83</v>
      </c>
      <c r="R11" s="84" t="s">
        <v>94</v>
      </c>
      <c r="S11" s="84" t="s">
        <v>121</v>
      </c>
      <c r="T11" s="84" t="s">
        <v>145</v>
      </c>
      <c r="U11" s="84" t="s">
        <v>132</v>
      </c>
    </row>
    <row r="12" customFormat="false" ht="247.75" hidden="false" customHeight="false" outlineLevel="0" collapsed="false">
      <c r="A12" s="83" t="s">
        <v>9</v>
      </c>
      <c r="B12" s="84" t="s">
        <v>10</v>
      </c>
      <c r="C12" s="84" t="s">
        <v>124</v>
      </c>
      <c r="D12" s="84" t="s">
        <v>72</v>
      </c>
      <c r="E12" s="84" t="s">
        <v>73</v>
      </c>
      <c r="F12" s="84" t="s">
        <v>146</v>
      </c>
      <c r="G12" s="84" t="s">
        <v>75</v>
      </c>
      <c r="H12" s="84" t="s">
        <v>147</v>
      </c>
      <c r="I12" s="84" t="s">
        <v>148</v>
      </c>
      <c r="J12" s="84" t="s">
        <v>149</v>
      </c>
      <c r="K12" s="84" t="s">
        <v>79</v>
      </c>
      <c r="L12" s="84" t="s">
        <v>80</v>
      </c>
      <c r="M12" s="84" t="s">
        <v>128</v>
      </c>
      <c r="N12" s="84"/>
      <c r="O12" s="84" t="s">
        <v>129</v>
      </c>
      <c r="P12" s="84" t="s">
        <v>130</v>
      </c>
      <c r="Q12" s="84" t="s">
        <v>83</v>
      </c>
      <c r="R12" s="84" t="s">
        <v>94</v>
      </c>
      <c r="S12" s="84" t="s">
        <v>121</v>
      </c>
      <c r="T12" s="84" t="s">
        <v>150</v>
      </c>
      <c r="U12" s="84" t="s">
        <v>132</v>
      </c>
    </row>
    <row r="13" customFormat="false" ht="247.75" hidden="false" customHeight="false" outlineLevel="0" collapsed="false">
      <c r="A13" s="83" t="s">
        <v>9</v>
      </c>
      <c r="B13" s="84" t="s">
        <v>10</v>
      </c>
      <c r="C13" s="84" t="s">
        <v>151</v>
      </c>
      <c r="D13" s="84" t="s">
        <v>72</v>
      </c>
      <c r="E13" s="84" t="s">
        <v>73</v>
      </c>
      <c r="F13" s="84" t="s">
        <v>152</v>
      </c>
      <c r="G13" s="84" t="s">
        <v>75</v>
      </c>
      <c r="H13" s="84" t="s">
        <v>153</v>
      </c>
      <c r="I13" s="84" t="s">
        <v>154</v>
      </c>
      <c r="J13" s="84" t="s">
        <v>78</v>
      </c>
      <c r="K13" s="84" t="s">
        <v>79</v>
      </c>
      <c r="L13" s="84" t="s">
        <v>80</v>
      </c>
      <c r="M13" s="84" t="s">
        <v>155</v>
      </c>
      <c r="N13" s="84" t="s">
        <v>118</v>
      </c>
      <c r="O13" s="84" t="s">
        <v>156</v>
      </c>
      <c r="P13" s="84" t="s">
        <v>130</v>
      </c>
      <c r="Q13" s="84" t="s">
        <v>83</v>
      </c>
      <c r="R13" s="84" t="s">
        <v>94</v>
      </c>
      <c r="S13" s="84" t="s">
        <v>121</v>
      </c>
      <c r="T13" s="84" t="s">
        <v>157</v>
      </c>
      <c r="U13" s="84" t="s">
        <v>132</v>
      </c>
    </row>
    <row r="14" customFormat="false" ht="247.75" hidden="false" customHeight="false" outlineLevel="0" collapsed="false">
      <c r="A14" s="83" t="s">
        <v>9</v>
      </c>
      <c r="B14" s="84" t="s">
        <v>10</v>
      </c>
      <c r="C14" s="84" t="s">
        <v>151</v>
      </c>
      <c r="D14" s="84" t="s">
        <v>72</v>
      </c>
      <c r="E14" s="84" t="s">
        <v>73</v>
      </c>
      <c r="F14" s="84" t="s">
        <v>158</v>
      </c>
      <c r="G14" s="84" t="s">
        <v>75</v>
      </c>
      <c r="H14" s="84" t="s">
        <v>159</v>
      </c>
      <c r="I14" s="84" t="s">
        <v>160</v>
      </c>
      <c r="J14" s="84" t="s">
        <v>78</v>
      </c>
      <c r="K14" s="84" t="s">
        <v>79</v>
      </c>
      <c r="L14" s="84" t="s">
        <v>80</v>
      </c>
      <c r="M14" s="84" t="s">
        <v>155</v>
      </c>
      <c r="N14" s="84" t="s">
        <v>118</v>
      </c>
      <c r="O14" s="84" t="s">
        <v>156</v>
      </c>
      <c r="P14" s="84" t="s">
        <v>130</v>
      </c>
      <c r="Q14" s="84" t="s">
        <v>83</v>
      </c>
      <c r="R14" s="84" t="s">
        <v>94</v>
      </c>
      <c r="S14" s="84" t="s">
        <v>121</v>
      </c>
      <c r="T14" s="84" t="s">
        <v>161</v>
      </c>
      <c r="U14" s="84" t="s">
        <v>132</v>
      </c>
    </row>
    <row r="15" customFormat="false" ht="247.75" hidden="false" customHeight="false" outlineLevel="0" collapsed="false">
      <c r="A15" s="83" t="s">
        <v>9</v>
      </c>
      <c r="B15" s="84" t="s">
        <v>10</v>
      </c>
      <c r="C15" s="84" t="s">
        <v>151</v>
      </c>
      <c r="D15" s="84" t="s">
        <v>72</v>
      </c>
      <c r="E15" s="84" t="s">
        <v>73</v>
      </c>
      <c r="F15" s="84" t="s">
        <v>162</v>
      </c>
      <c r="G15" s="84" t="s">
        <v>75</v>
      </c>
      <c r="H15" s="84" t="s">
        <v>163</v>
      </c>
      <c r="I15" s="84" t="s">
        <v>91</v>
      </c>
      <c r="J15" s="84" t="s">
        <v>78</v>
      </c>
      <c r="K15" s="84" t="s">
        <v>79</v>
      </c>
      <c r="L15" s="84" t="s">
        <v>80</v>
      </c>
      <c r="M15" s="84" t="s">
        <v>155</v>
      </c>
      <c r="N15" s="84" t="s">
        <v>118</v>
      </c>
      <c r="O15" s="84" t="s">
        <v>156</v>
      </c>
      <c r="P15" s="84" t="s">
        <v>130</v>
      </c>
      <c r="Q15" s="84" t="s">
        <v>83</v>
      </c>
      <c r="R15" s="84" t="s">
        <v>94</v>
      </c>
      <c r="S15" s="84" t="s">
        <v>121</v>
      </c>
      <c r="T15" s="84" t="s">
        <v>164</v>
      </c>
      <c r="U15" s="84" t="s">
        <v>132</v>
      </c>
    </row>
    <row r="16" customFormat="false" ht="247.75" hidden="false" customHeight="false" outlineLevel="0" collapsed="false">
      <c r="A16" s="83" t="s">
        <v>9</v>
      </c>
      <c r="B16" s="84" t="s">
        <v>10</v>
      </c>
      <c r="C16" s="84" t="s">
        <v>151</v>
      </c>
      <c r="D16" s="84" t="s">
        <v>72</v>
      </c>
      <c r="E16" s="84" t="s">
        <v>73</v>
      </c>
      <c r="F16" s="84" t="s">
        <v>165</v>
      </c>
      <c r="G16" s="84" t="s">
        <v>75</v>
      </c>
      <c r="H16" s="84" t="s">
        <v>166</v>
      </c>
      <c r="I16" s="84" t="s">
        <v>139</v>
      </c>
      <c r="J16" s="84" t="s">
        <v>167</v>
      </c>
      <c r="K16" s="84" t="s">
        <v>79</v>
      </c>
      <c r="L16" s="84" t="s">
        <v>168</v>
      </c>
      <c r="M16" s="84" t="s">
        <v>155</v>
      </c>
      <c r="N16" s="84" t="s">
        <v>118</v>
      </c>
      <c r="O16" s="84" t="s">
        <v>156</v>
      </c>
      <c r="P16" s="84" t="s">
        <v>130</v>
      </c>
      <c r="Q16" s="84" t="s">
        <v>83</v>
      </c>
      <c r="R16" s="84" t="s">
        <v>94</v>
      </c>
      <c r="S16" s="84" t="s">
        <v>121</v>
      </c>
      <c r="T16" s="84" t="s">
        <v>169</v>
      </c>
      <c r="U16" s="84" t="s">
        <v>132</v>
      </c>
    </row>
    <row r="17" customFormat="false" ht="135.8" hidden="false" customHeight="false" outlineLevel="0" collapsed="false">
      <c r="A17" s="83" t="s">
        <v>9</v>
      </c>
      <c r="B17" s="84" t="s">
        <v>10</v>
      </c>
      <c r="C17" s="84" t="s">
        <v>170</v>
      </c>
      <c r="D17" s="84" t="s">
        <v>72</v>
      </c>
      <c r="E17" s="84" t="s">
        <v>73</v>
      </c>
      <c r="F17" s="84" t="s">
        <v>171</v>
      </c>
      <c r="G17" s="84" t="s">
        <v>75</v>
      </c>
      <c r="H17" s="84" t="s">
        <v>172</v>
      </c>
      <c r="I17" s="84" t="s">
        <v>154</v>
      </c>
      <c r="J17" s="84" t="s">
        <v>78</v>
      </c>
      <c r="K17" s="84" t="s">
        <v>79</v>
      </c>
      <c r="L17" s="84" t="s">
        <v>173</v>
      </c>
      <c r="M17" s="84" t="s">
        <v>174</v>
      </c>
      <c r="N17" s="84"/>
      <c r="O17" s="84" t="s">
        <v>175</v>
      </c>
      <c r="P17" s="84" t="s">
        <v>176</v>
      </c>
      <c r="Q17" s="84" t="s">
        <v>83</v>
      </c>
      <c r="R17" s="84" t="s">
        <v>94</v>
      </c>
      <c r="S17" s="84" t="s">
        <v>121</v>
      </c>
      <c r="T17" s="84" t="s">
        <v>177</v>
      </c>
      <c r="U17" s="84" t="s">
        <v>178</v>
      </c>
    </row>
    <row r="18" customFormat="false" ht="135.8" hidden="false" customHeight="false" outlineLevel="0" collapsed="false">
      <c r="A18" s="83" t="s">
        <v>9</v>
      </c>
      <c r="B18" s="84" t="s">
        <v>10</v>
      </c>
      <c r="C18" s="84" t="s">
        <v>170</v>
      </c>
      <c r="D18" s="84" t="s">
        <v>72</v>
      </c>
      <c r="E18" s="84" t="s">
        <v>73</v>
      </c>
      <c r="F18" s="84" t="s">
        <v>179</v>
      </c>
      <c r="G18" s="84" t="s">
        <v>75</v>
      </c>
      <c r="H18" s="84" t="s">
        <v>180</v>
      </c>
      <c r="I18" s="84" t="s">
        <v>181</v>
      </c>
      <c r="J18" s="84" t="s">
        <v>78</v>
      </c>
      <c r="K18" s="84" t="s">
        <v>79</v>
      </c>
      <c r="L18" s="84" t="s">
        <v>173</v>
      </c>
      <c r="M18" s="84" t="s">
        <v>174</v>
      </c>
      <c r="N18" s="84"/>
      <c r="O18" s="84" t="s">
        <v>175</v>
      </c>
      <c r="P18" s="84" t="s">
        <v>176</v>
      </c>
      <c r="Q18" s="84" t="s">
        <v>83</v>
      </c>
      <c r="R18" s="84" t="s">
        <v>94</v>
      </c>
      <c r="S18" s="84" t="s">
        <v>121</v>
      </c>
      <c r="T18" s="84" t="s">
        <v>182</v>
      </c>
      <c r="U18" s="84" t="s">
        <v>178</v>
      </c>
    </row>
    <row r="19" customFormat="false" ht="57.45" hidden="false" customHeight="false" outlineLevel="0" collapsed="false">
      <c r="A19" s="83" t="s">
        <v>9</v>
      </c>
      <c r="B19" s="84" t="s">
        <v>10</v>
      </c>
      <c r="C19" s="84" t="s">
        <v>183</v>
      </c>
      <c r="D19" s="84" t="s">
        <v>72</v>
      </c>
      <c r="E19" s="84" t="s">
        <v>73</v>
      </c>
      <c r="F19" s="84" t="s">
        <v>184</v>
      </c>
      <c r="G19" s="84" t="s">
        <v>75</v>
      </c>
      <c r="H19" s="84" t="s">
        <v>185</v>
      </c>
      <c r="I19" s="84" t="s">
        <v>186</v>
      </c>
      <c r="J19" s="84" t="s">
        <v>78</v>
      </c>
      <c r="K19" s="84" t="s">
        <v>79</v>
      </c>
      <c r="L19" s="84" t="s">
        <v>80</v>
      </c>
      <c r="M19" s="84" t="s">
        <v>187</v>
      </c>
      <c r="N19" s="84"/>
      <c r="O19" s="84" t="s">
        <v>188</v>
      </c>
      <c r="P19" s="84" t="s">
        <v>189</v>
      </c>
      <c r="Q19" s="84" t="s">
        <v>83</v>
      </c>
      <c r="R19" s="84" t="s">
        <v>84</v>
      </c>
      <c r="S19" s="84" t="s">
        <v>121</v>
      </c>
      <c r="T19" s="84" t="s">
        <v>190</v>
      </c>
      <c r="U19" s="84" t="s">
        <v>191</v>
      </c>
    </row>
    <row r="20" customFormat="false" ht="102.2" hidden="false" customHeight="false" outlineLevel="0" collapsed="false">
      <c r="A20" s="83" t="s">
        <v>9</v>
      </c>
      <c r="B20" s="84" t="s">
        <v>10</v>
      </c>
      <c r="C20" s="84" t="s">
        <v>192</v>
      </c>
      <c r="D20" s="84" t="s">
        <v>72</v>
      </c>
      <c r="E20" s="84" t="s">
        <v>73</v>
      </c>
      <c r="F20" s="84" t="s">
        <v>193</v>
      </c>
      <c r="G20" s="84" t="s">
        <v>75</v>
      </c>
      <c r="H20" s="84" t="s">
        <v>194</v>
      </c>
      <c r="I20" s="84" t="s">
        <v>78</v>
      </c>
      <c r="J20" s="84" t="s">
        <v>78</v>
      </c>
      <c r="K20" s="84" t="s">
        <v>78</v>
      </c>
      <c r="L20" s="84" t="s">
        <v>78</v>
      </c>
      <c r="M20" s="84" t="s">
        <v>195</v>
      </c>
      <c r="N20" s="84" t="s">
        <v>196</v>
      </c>
      <c r="O20" s="84" t="s">
        <v>197</v>
      </c>
      <c r="P20" s="84" t="s">
        <v>198</v>
      </c>
      <c r="Q20" s="84" t="s">
        <v>83</v>
      </c>
      <c r="R20" s="84" t="s">
        <v>199</v>
      </c>
      <c r="S20" s="84" t="s">
        <v>95</v>
      </c>
      <c r="T20" s="84" t="s">
        <v>200</v>
      </c>
      <c r="U20" s="84" t="s">
        <v>201</v>
      </c>
    </row>
    <row r="21" customFormat="false" ht="57.45" hidden="false" customHeight="false" outlineLevel="0" collapsed="false">
      <c r="A21" s="83" t="s">
        <v>9</v>
      </c>
      <c r="B21" s="84" t="s">
        <v>10</v>
      </c>
      <c r="C21" s="84" t="s">
        <v>202</v>
      </c>
      <c r="D21" s="84" t="s">
        <v>72</v>
      </c>
      <c r="E21" s="84" t="s">
        <v>73</v>
      </c>
      <c r="F21" s="84" t="s">
        <v>203</v>
      </c>
      <c r="G21" s="84" t="s">
        <v>75</v>
      </c>
      <c r="H21" s="84" t="s">
        <v>204</v>
      </c>
      <c r="I21" s="84" t="s">
        <v>78</v>
      </c>
      <c r="J21" s="84" t="s">
        <v>78</v>
      </c>
      <c r="K21" s="84" t="s">
        <v>78</v>
      </c>
      <c r="L21" s="84" t="s">
        <v>78</v>
      </c>
      <c r="M21" s="84" t="s">
        <v>205</v>
      </c>
      <c r="N21" s="84" t="s">
        <v>206</v>
      </c>
      <c r="O21" s="84" t="s">
        <v>207</v>
      </c>
      <c r="P21" s="84" t="s">
        <v>189</v>
      </c>
      <c r="Q21" s="84" t="s">
        <v>83</v>
      </c>
      <c r="R21" s="84" t="s">
        <v>208</v>
      </c>
      <c r="S21" s="84" t="s">
        <v>95</v>
      </c>
      <c r="T21" s="84" t="s">
        <v>200</v>
      </c>
      <c r="U21" s="84" t="s">
        <v>201</v>
      </c>
    </row>
    <row r="22" customFormat="false" ht="147" hidden="false" customHeight="false" outlineLevel="0" collapsed="false">
      <c r="A22" s="83" t="s">
        <v>9</v>
      </c>
      <c r="B22" s="84" t="s">
        <v>10</v>
      </c>
      <c r="C22" s="84" t="s">
        <v>113</v>
      </c>
      <c r="D22" s="84" t="s">
        <v>1014</v>
      </c>
      <c r="E22" s="84" t="s">
        <v>1015</v>
      </c>
      <c r="F22" s="84" t="s">
        <v>1016</v>
      </c>
      <c r="G22" s="84" t="s">
        <v>1017</v>
      </c>
      <c r="H22" s="84" t="s">
        <v>1018</v>
      </c>
      <c r="I22" s="84" t="s">
        <v>1019</v>
      </c>
      <c r="J22" s="84" t="s">
        <v>78</v>
      </c>
      <c r="K22" s="84" t="s">
        <v>1020</v>
      </c>
      <c r="L22" s="84" t="s">
        <v>1021</v>
      </c>
      <c r="M22" s="84" t="s">
        <v>117</v>
      </c>
      <c r="N22" s="84" t="s">
        <v>118</v>
      </c>
      <c r="O22" s="84" t="s">
        <v>1022</v>
      </c>
      <c r="P22" s="84" t="s">
        <v>1023</v>
      </c>
      <c r="Q22" s="84" t="s">
        <v>83</v>
      </c>
      <c r="R22" s="84" t="s">
        <v>94</v>
      </c>
      <c r="S22" s="84" t="s">
        <v>121</v>
      </c>
      <c r="T22" s="84" t="s">
        <v>1024</v>
      </c>
      <c r="U22" s="84" t="s">
        <v>1025</v>
      </c>
    </row>
    <row r="23" customFormat="false" ht="147" hidden="false" customHeight="false" outlineLevel="0" collapsed="false">
      <c r="A23" s="83" t="s">
        <v>9</v>
      </c>
      <c r="B23" s="84" t="s">
        <v>10</v>
      </c>
      <c r="C23" s="84" t="s">
        <v>113</v>
      </c>
      <c r="D23" s="84" t="s">
        <v>1014</v>
      </c>
      <c r="E23" s="84" t="s">
        <v>1015</v>
      </c>
      <c r="F23" s="84" t="s">
        <v>1026</v>
      </c>
      <c r="G23" s="84" t="s">
        <v>1027</v>
      </c>
      <c r="H23" s="84" t="s">
        <v>1028</v>
      </c>
      <c r="I23" s="84" t="s">
        <v>1019</v>
      </c>
      <c r="J23" s="84" t="s">
        <v>78</v>
      </c>
      <c r="K23" s="84" t="s">
        <v>78</v>
      </c>
      <c r="L23" s="84" t="s">
        <v>78</v>
      </c>
      <c r="M23" s="84" t="s">
        <v>117</v>
      </c>
      <c r="N23" s="84" t="s">
        <v>118</v>
      </c>
      <c r="O23" s="84" t="s">
        <v>1022</v>
      </c>
      <c r="P23" s="84" t="s">
        <v>1023</v>
      </c>
      <c r="Q23" s="84" t="s">
        <v>83</v>
      </c>
      <c r="R23" s="84" t="s">
        <v>94</v>
      </c>
      <c r="S23" s="84" t="s">
        <v>121</v>
      </c>
      <c r="T23" s="84" t="s">
        <v>1029</v>
      </c>
      <c r="U23" s="84" t="s">
        <v>1025</v>
      </c>
    </row>
    <row r="24" customFormat="false" ht="225.35" hidden="false" customHeight="false" outlineLevel="0" collapsed="false">
      <c r="A24" s="83" t="s">
        <v>9</v>
      </c>
      <c r="B24" s="84" t="s">
        <v>10</v>
      </c>
      <c r="C24" s="84" t="s">
        <v>124</v>
      </c>
      <c r="D24" s="84" t="s">
        <v>1014</v>
      </c>
      <c r="E24" s="84" t="s">
        <v>1015</v>
      </c>
      <c r="F24" s="84" t="s">
        <v>1030</v>
      </c>
      <c r="G24" s="84" t="s">
        <v>1027</v>
      </c>
      <c r="H24" s="84" t="s">
        <v>143</v>
      </c>
      <c r="I24" s="84" t="s">
        <v>1019</v>
      </c>
      <c r="J24" s="84" t="s">
        <v>78</v>
      </c>
      <c r="K24" s="84" t="s">
        <v>78</v>
      </c>
      <c r="L24" s="84" t="s">
        <v>1031</v>
      </c>
      <c r="M24" s="84" t="s">
        <v>128</v>
      </c>
      <c r="N24" s="84"/>
      <c r="O24" s="84" t="s">
        <v>1032</v>
      </c>
      <c r="P24" s="84" t="s">
        <v>130</v>
      </c>
      <c r="Q24" s="84" t="s">
        <v>83</v>
      </c>
      <c r="R24" s="84" t="s">
        <v>94</v>
      </c>
      <c r="S24" s="84" t="s">
        <v>121</v>
      </c>
      <c r="T24" s="84" t="s">
        <v>145</v>
      </c>
      <c r="U24" s="84" t="s">
        <v>1033</v>
      </c>
    </row>
    <row r="25" customFormat="false" ht="225.35" hidden="false" customHeight="false" outlineLevel="0" collapsed="false">
      <c r="A25" s="83" t="s">
        <v>9</v>
      </c>
      <c r="B25" s="84" t="s">
        <v>10</v>
      </c>
      <c r="C25" s="84" t="s">
        <v>192</v>
      </c>
      <c r="D25" s="84" t="s">
        <v>1014</v>
      </c>
      <c r="E25" s="84" t="s">
        <v>1015</v>
      </c>
      <c r="F25" s="84" t="s">
        <v>1034</v>
      </c>
      <c r="G25" s="84" t="s">
        <v>1027</v>
      </c>
      <c r="H25" s="84" t="s">
        <v>1035</v>
      </c>
      <c r="I25" s="84" t="s">
        <v>1019</v>
      </c>
      <c r="J25" s="84" t="s">
        <v>1036</v>
      </c>
      <c r="K25" s="84" t="s">
        <v>78</v>
      </c>
      <c r="L25" s="84" t="s">
        <v>1037</v>
      </c>
      <c r="M25" s="84" t="s">
        <v>195</v>
      </c>
      <c r="N25" s="84" t="s">
        <v>196</v>
      </c>
      <c r="O25" s="84" t="s">
        <v>1038</v>
      </c>
      <c r="P25" s="84" t="s">
        <v>1039</v>
      </c>
      <c r="Q25" s="84" t="s">
        <v>83</v>
      </c>
      <c r="R25" s="84" t="s">
        <v>94</v>
      </c>
      <c r="S25" s="84" t="s">
        <v>121</v>
      </c>
      <c r="T25" s="84" t="s">
        <v>1040</v>
      </c>
      <c r="U25" s="84" t="s">
        <v>1041</v>
      </c>
    </row>
    <row r="26" customFormat="false" ht="225.35" hidden="false" customHeight="false" outlineLevel="0" collapsed="false">
      <c r="A26" s="83" t="s">
        <v>9</v>
      </c>
      <c r="B26" s="84" t="s">
        <v>10</v>
      </c>
      <c r="C26" s="84" t="s">
        <v>192</v>
      </c>
      <c r="D26" s="84" t="s">
        <v>1014</v>
      </c>
      <c r="E26" s="84" t="s">
        <v>1042</v>
      </c>
      <c r="F26" s="84" t="s">
        <v>1043</v>
      </c>
      <c r="G26" s="84" t="s">
        <v>1027</v>
      </c>
      <c r="H26" s="84" t="s">
        <v>1044</v>
      </c>
      <c r="I26" s="84" t="s">
        <v>1045</v>
      </c>
      <c r="J26" s="84" t="s">
        <v>78</v>
      </c>
      <c r="K26" s="84" t="s">
        <v>78</v>
      </c>
      <c r="L26" s="84" t="s">
        <v>1031</v>
      </c>
      <c r="M26" s="84" t="s">
        <v>195</v>
      </c>
      <c r="N26" s="84" t="s">
        <v>196</v>
      </c>
      <c r="O26" s="84" t="s">
        <v>1038</v>
      </c>
      <c r="P26" s="84" t="s">
        <v>1039</v>
      </c>
      <c r="Q26" s="84" t="s">
        <v>83</v>
      </c>
      <c r="R26" s="84" t="s">
        <v>94</v>
      </c>
      <c r="S26" s="84" t="s">
        <v>121</v>
      </c>
      <c r="T26" s="84" t="s">
        <v>1046</v>
      </c>
      <c r="U26" s="84" t="s">
        <v>1041</v>
      </c>
    </row>
    <row r="27" customFormat="false" ht="225.35" hidden="false" customHeight="false" outlineLevel="0" collapsed="false">
      <c r="A27" s="83" t="s">
        <v>9</v>
      </c>
      <c r="B27" s="84" t="s">
        <v>10</v>
      </c>
      <c r="C27" s="84" t="s">
        <v>192</v>
      </c>
      <c r="D27" s="84" t="s">
        <v>1014</v>
      </c>
      <c r="E27" s="84" t="s">
        <v>1047</v>
      </c>
      <c r="F27" s="84" t="s">
        <v>1048</v>
      </c>
      <c r="G27" s="84" t="s">
        <v>1027</v>
      </c>
      <c r="H27" s="84" t="s">
        <v>1049</v>
      </c>
      <c r="I27" s="84" t="s">
        <v>1050</v>
      </c>
      <c r="J27" s="84" t="s">
        <v>1051</v>
      </c>
      <c r="K27" s="84" t="s">
        <v>1052</v>
      </c>
      <c r="L27" s="84" t="s">
        <v>1053</v>
      </c>
      <c r="M27" s="84" t="s">
        <v>195</v>
      </c>
      <c r="N27" s="84" t="s">
        <v>196</v>
      </c>
      <c r="O27" s="84" t="s">
        <v>1038</v>
      </c>
      <c r="P27" s="84" t="s">
        <v>1039</v>
      </c>
      <c r="Q27" s="84" t="s">
        <v>83</v>
      </c>
      <c r="R27" s="84" t="s">
        <v>94</v>
      </c>
      <c r="S27" s="84" t="s">
        <v>121</v>
      </c>
      <c r="T27" s="84" t="s">
        <v>1054</v>
      </c>
      <c r="U27" s="84" t="s">
        <v>1041</v>
      </c>
    </row>
    <row r="28" customFormat="false" ht="124.6" hidden="false" customHeight="false" outlineLevel="0" collapsed="false">
      <c r="A28" s="83" t="s">
        <v>9</v>
      </c>
      <c r="B28" s="84" t="s">
        <v>10</v>
      </c>
      <c r="C28" s="84" t="s">
        <v>202</v>
      </c>
      <c r="D28" s="84" t="s">
        <v>1014</v>
      </c>
      <c r="E28" s="84" t="s">
        <v>1047</v>
      </c>
      <c r="F28" s="84" t="s">
        <v>1055</v>
      </c>
      <c r="G28" s="84" t="s">
        <v>1027</v>
      </c>
      <c r="H28" s="84" t="s">
        <v>1056</v>
      </c>
      <c r="I28" s="84" t="s">
        <v>1057</v>
      </c>
      <c r="J28" s="84" t="s">
        <v>78</v>
      </c>
      <c r="K28" s="84" t="s">
        <v>78</v>
      </c>
      <c r="L28" s="84" t="s">
        <v>1058</v>
      </c>
      <c r="M28" s="84" t="s">
        <v>205</v>
      </c>
      <c r="N28" s="84" t="s">
        <v>206</v>
      </c>
      <c r="O28" s="84" t="s">
        <v>1059</v>
      </c>
      <c r="P28" s="84" t="s">
        <v>189</v>
      </c>
      <c r="Q28" s="84" t="s">
        <v>83</v>
      </c>
      <c r="R28" s="84" t="s">
        <v>94</v>
      </c>
      <c r="S28" s="84" t="s">
        <v>121</v>
      </c>
      <c r="T28" s="84" t="s">
        <v>1060</v>
      </c>
      <c r="U28" s="84" t="s">
        <v>258</v>
      </c>
    </row>
    <row r="29" customFormat="false" ht="57.45" hidden="false" customHeight="false" outlineLevel="0" collapsed="false">
      <c r="A29" s="83" t="s">
        <v>9</v>
      </c>
      <c r="B29" s="84" t="s">
        <v>10</v>
      </c>
      <c r="C29" s="84" t="s">
        <v>1061</v>
      </c>
      <c r="D29" s="84" t="s">
        <v>1014</v>
      </c>
      <c r="E29" s="84" t="s">
        <v>1015</v>
      </c>
      <c r="F29" s="84" t="s">
        <v>1062</v>
      </c>
      <c r="G29" s="84" t="s">
        <v>1017</v>
      </c>
      <c r="H29" s="84" t="s">
        <v>1063</v>
      </c>
      <c r="I29" s="84" t="s">
        <v>1019</v>
      </c>
      <c r="J29" s="84" t="s">
        <v>78</v>
      </c>
      <c r="K29" s="84" t="s">
        <v>78</v>
      </c>
      <c r="L29" s="84" t="s">
        <v>1064</v>
      </c>
      <c r="M29" s="84" t="s">
        <v>1065</v>
      </c>
      <c r="N29" s="84"/>
      <c r="O29" s="84" t="s">
        <v>82</v>
      </c>
      <c r="P29" s="84" t="s">
        <v>78</v>
      </c>
      <c r="Q29" s="84" t="s">
        <v>83</v>
      </c>
      <c r="R29" s="84" t="s">
        <v>94</v>
      </c>
      <c r="S29" s="84" t="s">
        <v>85</v>
      </c>
      <c r="T29" s="84" t="s">
        <v>1066</v>
      </c>
      <c r="U29" s="84" t="s">
        <v>97</v>
      </c>
    </row>
    <row r="30" customFormat="false" ht="247.75" hidden="false" customHeight="false" outlineLevel="0" collapsed="false">
      <c r="A30" s="83" t="s">
        <v>9</v>
      </c>
      <c r="B30" s="84" t="s">
        <v>10</v>
      </c>
      <c r="C30" s="84" t="s">
        <v>151</v>
      </c>
      <c r="D30" s="84" t="s">
        <v>1014</v>
      </c>
      <c r="E30" s="84" t="s">
        <v>1015</v>
      </c>
      <c r="F30" s="84" t="s">
        <v>1067</v>
      </c>
      <c r="G30" s="84" t="s">
        <v>1027</v>
      </c>
      <c r="H30" s="84" t="s">
        <v>153</v>
      </c>
      <c r="I30" s="84" t="s">
        <v>1068</v>
      </c>
      <c r="J30" s="84" t="s">
        <v>78</v>
      </c>
      <c r="K30" s="84" t="s">
        <v>78</v>
      </c>
      <c r="L30" s="84" t="s">
        <v>1031</v>
      </c>
      <c r="M30" s="84" t="s">
        <v>155</v>
      </c>
      <c r="N30" s="84" t="s">
        <v>118</v>
      </c>
      <c r="O30" s="84" t="s">
        <v>156</v>
      </c>
      <c r="P30" s="84" t="s">
        <v>130</v>
      </c>
      <c r="Q30" s="84" t="s">
        <v>83</v>
      </c>
      <c r="R30" s="84" t="s">
        <v>94</v>
      </c>
      <c r="S30" s="84" t="s">
        <v>121</v>
      </c>
      <c r="T30" s="84" t="s">
        <v>157</v>
      </c>
      <c r="U30" s="84" t="s">
        <v>132</v>
      </c>
    </row>
    <row r="31" customFormat="false" ht="247.75" hidden="false" customHeight="false" outlineLevel="0" collapsed="false">
      <c r="A31" s="83" t="s">
        <v>9</v>
      </c>
      <c r="B31" s="84" t="s">
        <v>10</v>
      </c>
      <c r="C31" s="84" t="s">
        <v>151</v>
      </c>
      <c r="D31" s="84" t="s">
        <v>1014</v>
      </c>
      <c r="E31" s="84" t="s">
        <v>1015</v>
      </c>
      <c r="F31" s="84" t="s">
        <v>1069</v>
      </c>
      <c r="G31" s="84" t="s">
        <v>1027</v>
      </c>
      <c r="H31" s="84" t="s">
        <v>166</v>
      </c>
      <c r="I31" s="84" t="s">
        <v>1068</v>
      </c>
      <c r="J31" s="84" t="s">
        <v>167</v>
      </c>
      <c r="K31" s="84" t="s">
        <v>78</v>
      </c>
      <c r="L31" s="84" t="s">
        <v>1070</v>
      </c>
      <c r="M31" s="84" t="s">
        <v>155</v>
      </c>
      <c r="N31" s="84" t="s">
        <v>118</v>
      </c>
      <c r="O31" s="84" t="s">
        <v>156</v>
      </c>
      <c r="P31" s="84" t="s">
        <v>130</v>
      </c>
      <c r="Q31" s="84" t="s">
        <v>83</v>
      </c>
      <c r="R31" s="84" t="s">
        <v>94</v>
      </c>
      <c r="S31" s="84" t="s">
        <v>121</v>
      </c>
      <c r="T31" s="84" t="s">
        <v>169</v>
      </c>
      <c r="U31" s="84" t="s">
        <v>132</v>
      </c>
    </row>
    <row r="32" customFormat="false" ht="147" hidden="false" customHeight="false" outlineLevel="0" collapsed="false">
      <c r="A32" s="83" t="s">
        <v>9</v>
      </c>
      <c r="B32" s="84" t="s">
        <v>10</v>
      </c>
      <c r="C32" s="84" t="s">
        <v>170</v>
      </c>
      <c r="D32" s="84" t="s">
        <v>1014</v>
      </c>
      <c r="E32" s="84" t="s">
        <v>1015</v>
      </c>
      <c r="F32" s="84" t="s">
        <v>1071</v>
      </c>
      <c r="G32" s="84" t="s">
        <v>1072</v>
      </c>
      <c r="H32" s="84" t="s">
        <v>172</v>
      </c>
      <c r="I32" s="84" t="s">
        <v>1073</v>
      </c>
      <c r="J32" s="84" t="s">
        <v>78</v>
      </c>
      <c r="K32" s="84" t="s">
        <v>78</v>
      </c>
      <c r="L32" s="84" t="s">
        <v>1074</v>
      </c>
      <c r="M32" s="84" t="s">
        <v>174</v>
      </c>
      <c r="N32" s="84"/>
      <c r="O32" s="84" t="s">
        <v>1075</v>
      </c>
      <c r="P32" s="84" t="s">
        <v>176</v>
      </c>
      <c r="Q32" s="84" t="s">
        <v>83</v>
      </c>
      <c r="R32" s="84" t="s">
        <v>94</v>
      </c>
      <c r="S32" s="84" t="s">
        <v>121</v>
      </c>
      <c r="T32" s="84" t="s">
        <v>177</v>
      </c>
      <c r="U32" s="84" t="s">
        <v>1025</v>
      </c>
    </row>
  </sheetData>
  <autoFilter ref="A1:U3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C7B6B"/>
    <pageSetUpPr fitToPage="false"/>
  </sheetPr>
  <dimension ref="A1:U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4"/>
    <col collapsed="false" customWidth="true" hidden="false" outlineLevel="0" max="6" min="6" style="0" width="16"/>
    <col collapsed="false" customWidth="true" hidden="false" outlineLevel="0" max="7" min="7" style="0" width="11"/>
    <col collapsed="false" customWidth="true" hidden="false" outlineLevel="0" max="8" min="8" style="0" width="60"/>
    <col collapsed="false" customWidth="true" hidden="false" outlineLevel="0" max="9" min="9" style="0" width="22"/>
    <col collapsed="false" customWidth="true" hidden="false" outlineLevel="0" max="11" min="10" style="0" width="24"/>
    <col collapsed="false" customWidth="true" hidden="false" outlineLevel="0" max="12" min="12" style="0" width="26"/>
    <col collapsed="false" customWidth="true" hidden="false" outlineLevel="0" max="13" min="13" style="0" width="11"/>
    <col collapsed="false" customWidth="true" hidden="false" outlineLevel="0" max="14" min="14" style="0" width="20"/>
    <col collapsed="false" customWidth="true" hidden="false" outlineLevel="0" max="15" min="15" style="0" width="30"/>
    <col collapsed="false" customWidth="true" hidden="false" outlineLevel="0" max="16" min="16" style="0" width="16"/>
    <col collapsed="false" customWidth="true" hidden="false" outlineLevel="0" max="18" min="17" style="0" width="18"/>
    <col collapsed="false" customWidth="true" hidden="false" outlineLevel="0" max="19" min="19" style="0" width="12"/>
    <col collapsed="false" customWidth="true" hidden="false" outlineLevel="0" max="20" min="20" style="0" width="40"/>
    <col collapsed="false" customWidth="true" hidden="false" outlineLevel="0" max="21" min="21" style="0" width="45"/>
  </cols>
  <sheetData>
    <row r="1" customFormat="false" ht="68.65" hidden="false" customHeight="false" outlineLevel="0" collapsed="false">
      <c r="A1" s="124" t="s">
        <v>0</v>
      </c>
      <c r="B1" s="124" t="s">
        <v>51</v>
      </c>
      <c r="C1" s="124" t="s">
        <v>52</v>
      </c>
      <c r="D1" s="124" t="s">
        <v>53</v>
      </c>
      <c r="E1" s="124" t="s">
        <v>54</v>
      </c>
      <c r="F1" s="124" t="s">
        <v>55</v>
      </c>
      <c r="G1" s="124" t="s">
        <v>56</v>
      </c>
      <c r="H1" s="124" t="s">
        <v>57</v>
      </c>
      <c r="I1" s="124" t="s">
        <v>58</v>
      </c>
      <c r="J1" s="124" t="s">
        <v>59</v>
      </c>
      <c r="K1" s="124" t="s">
        <v>60</v>
      </c>
      <c r="L1" s="124" t="s">
        <v>61</v>
      </c>
      <c r="M1" s="124" t="s">
        <v>62</v>
      </c>
      <c r="N1" s="124" t="s">
        <v>63</v>
      </c>
      <c r="O1" s="124" t="s">
        <v>64</v>
      </c>
      <c r="P1" s="124" t="s">
        <v>65</v>
      </c>
      <c r="Q1" s="124" t="s">
        <v>66</v>
      </c>
      <c r="R1" s="124" t="s">
        <v>67</v>
      </c>
      <c r="S1" s="124" t="s">
        <v>68</v>
      </c>
      <c r="T1" s="124" t="s">
        <v>69</v>
      </c>
      <c r="U1" s="124" t="s">
        <v>70</v>
      </c>
    </row>
    <row r="2" customFormat="false" ht="135.8" hidden="false" customHeight="false" outlineLevel="0" collapsed="false">
      <c r="A2" s="85" t="s">
        <v>11</v>
      </c>
      <c r="B2" s="86" t="s">
        <v>12</v>
      </c>
      <c r="C2" s="86" t="s">
        <v>209</v>
      </c>
      <c r="D2" s="86" t="s">
        <v>210</v>
      </c>
      <c r="E2" s="86" t="s">
        <v>211</v>
      </c>
      <c r="F2" s="86" t="s">
        <v>212</v>
      </c>
      <c r="G2" s="86" t="s">
        <v>75</v>
      </c>
      <c r="H2" s="86" t="s">
        <v>213</v>
      </c>
      <c r="I2" s="86" t="s">
        <v>214</v>
      </c>
      <c r="J2" s="86" t="s">
        <v>78</v>
      </c>
      <c r="K2" s="86" t="s">
        <v>79</v>
      </c>
      <c r="L2" s="86" t="s">
        <v>80</v>
      </c>
      <c r="M2" s="86"/>
      <c r="N2" s="86" t="s">
        <v>215</v>
      </c>
      <c r="O2" s="86" t="s">
        <v>216</v>
      </c>
      <c r="P2" s="86" t="s">
        <v>217</v>
      </c>
      <c r="Q2" s="86" t="s">
        <v>83</v>
      </c>
      <c r="R2" s="86" t="s">
        <v>218</v>
      </c>
      <c r="S2" s="86" t="s">
        <v>121</v>
      </c>
      <c r="T2" s="86" t="s">
        <v>219</v>
      </c>
      <c r="U2" s="86" t="s">
        <v>220</v>
      </c>
    </row>
    <row r="3" customFormat="false" ht="57.45" hidden="false" customHeight="false" outlineLevel="0" collapsed="false">
      <c r="A3" s="85" t="s">
        <v>11</v>
      </c>
      <c r="B3" s="86" t="s">
        <v>12</v>
      </c>
      <c r="C3" s="86" t="s">
        <v>221</v>
      </c>
      <c r="D3" s="86" t="s">
        <v>210</v>
      </c>
      <c r="E3" s="86" t="s">
        <v>211</v>
      </c>
      <c r="F3" s="86" t="s">
        <v>222</v>
      </c>
      <c r="G3" s="86" t="s">
        <v>75</v>
      </c>
      <c r="H3" s="86" t="s">
        <v>223</v>
      </c>
      <c r="I3" s="86" t="s">
        <v>91</v>
      </c>
      <c r="J3" s="86" t="s">
        <v>78</v>
      </c>
      <c r="K3" s="86" t="s">
        <v>79</v>
      </c>
      <c r="L3" s="86" t="s">
        <v>80</v>
      </c>
      <c r="M3" s="86"/>
      <c r="N3" s="86" t="s">
        <v>224</v>
      </c>
      <c r="O3" s="86" t="s">
        <v>225</v>
      </c>
      <c r="P3" s="86" t="s">
        <v>217</v>
      </c>
      <c r="Q3" s="86" t="s">
        <v>83</v>
      </c>
      <c r="R3" s="86" t="s">
        <v>218</v>
      </c>
      <c r="S3" s="86" t="s">
        <v>121</v>
      </c>
      <c r="T3" s="86" t="s">
        <v>226</v>
      </c>
      <c r="U3" s="86" t="s">
        <v>227</v>
      </c>
    </row>
    <row r="4" customFormat="false" ht="68.65" hidden="false" customHeight="false" outlineLevel="0" collapsed="false">
      <c r="A4" s="85" t="s">
        <v>11</v>
      </c>
      <c r="B4" s="86" t="s">
        <v>12</v>
      </c>
      <c r="C4" s="86" t="s">
        <v>228</v>
      </c>
      <c r="D4" s="86" t="s">
        <v>210</v>
      </c>
      <c r="E4" s="86" t="s">
        <v>211</v>
      </c>
      <c r="F4" s="86" t="s">
        <v>229</v>
      </c>
      <c r="G4" s="86" t="s">
        <v>75</v>
      </c>
      <c r="H4" s="86" t="s">
        <v>230</v>
      </c>
      <c r="I4" s="86" t="s">
        <v>127</v>
      </c>
      <c r="J4" s="86" t="s">
        <v>78</v>
      </c>
      <c r="K4" s="86" t="s">
        <v>79</v>
      </c>
      <c r="L4" s="86" t="s">
        <v>80</v>
      </c>
      <c r="M4" s="86"/>
      <c r="N4" s="86" t="s">
        <v>231</v>
      </c>
      <c r="O4" s="86" t="s">
        <v>232</v>
      </c>
      <c r="P4" s="86" t="s">
        <v>189</v>
      </c>
      <c r="Q4" s="86" t="s">
        <v>233</v>
      </c>
      <c r="R4" s="86" t="s">
        <v>218</v>
      </c>
      <c r="S4" s="86" t="s">
        <v>121</v>
      </c>
      <c r="T4" s="86" t="s">
        <v>234</v>
      </c>
      <c r="U4" s="86" t="s">
        <v>235</v>
      </c>
    </row>
    <row r="5" customFormat="false" ht="57.45" hidden="false" customHeight="false" outlineLevel="0" collapsed="false">
      <c r="A5" s="85" t="s">
        <v>11</v>
      </c>
      <c r="B5" s="86" t="s">
        <v>12</v>
      </c>
      <c r="C5" s="86" t="s">
        <v>236</v>
      </c>
      <c r="D5" s="86" t="s">
        <v>210</v>
      </c>
      <c r="E5" s="86" t="s">
        <v>211</v>
      </c>
      <c r="F5" s="86" t="s">
        <v>237</v>
      </c>
      <c r="G5" s="86" t="s">
        <v>75</v>
      </c>
      <c r="H5" s="86" t="s">
        <v>238</v>
      </c>
      <c r="I5" s="86" t="s">
        <v>181</v>
      </c>
      <c r="J5" s="86" t="s">
        <v>78</v>
      </c>
      <c r="K5" s="86" t="s">
        <v>79</v>
      </c>
      <c r="L5" s="86" t="s">
        <v>173</v>
      </c>
      <c r="M5" s="86"/>
      <c r="N5" s="86" t="s">
        <v>239</v>
      </c>
      <c r="O5" s="86" t="s">
        <v>240</v>
      </c>
      <c r="P5" s="86" t="s">
        <v>189</v>
      </c>
      <c r="Q5" s="86" t="s">
        <v>83</v>
      </c>
      <c r="R5" s="86" t="s">
        <v>218</v>
      </c>
      <c r="S5" s="86" t="s">
        <v>121</v>
      </c>
      <c r="T5" s="86" t="s">
        <v>241</v>
      </c>
      <c r="U5" s="86" t="s">
        <v>235</v>
      </c>
    </row>
    <row r="6" customFormat="false" ht="91" hidden="false" customHeight="false" outlineLevel="0" collapsed="false">
      <c r="A6" s="85" t="s">
        <v>11</v>
      </c>
      <c r="B6" s="86" t="s">
        <v>12</v>
      </c>
      <c r="C6" s="86" t="s">
        <v>242</v>
      </c>
      <c r="D6" s="86" t="s">
        <v>210</v>
      </c>
      <c r="E6" s="86" t="s">
        <v>211</v>
      </c>
      <c r="F6" s="86" t="s">
        <v>243</v>
      </c>
      <c r="G6" s="86" t="s">
        <v>75</v>
      </c>
      <c r="H6" s="86" t="s">
        <v>244</v>
      </c>
      <c r="I6" s="86" t="s">
        <v>186</v>
      </c>
      <c r="J6" s="86" t="s">
        <v>78</v>
      </c>
      <c r="K6" s="86" t="s">
        <v>79</v>
      </c>
      <c r="L6" s="86" t="s">
        <v>80</v>
      </c>
      <c r="M6" s="86"/>
      <c r="N6" s="86" t="s">
        <v>245</v>
      </c>
      <c r="O6" s="86" t="s">
        <v>246</v>
      </c>
      <c r="P6" s="86" t="s">
        <v>189</v>
      </c>
      <c r="Q6" s="86" t="s">
        <v>247</v>
      </c>
      <c r="R6" s="86" t="s">
        <v>218</v>
      </c>
      <c r="S6" s="86" t="s">
        <v>121</v>
      </c>
      <c r="T6" s="86" t="s">
        <v>248</v>
      </c>
      <c r="U6" s="86" t="s">
        <v>249</v>
      </c>
    </row>
    <row r="7" customFormat="false" ht="124.6" hidden="false" customHeight="false" outlineLevel="0" collapsed="false">
      <c r="A7" s="85" t="s">
        <v>11</v>
      </c>
      <c r="B7" s="86" t="s">
        <v>12</v>
      </c>
      <c r="C7" s="86" t="s">
        <v>250</v>
      </c>
      <c r="D7" s="86" t="s">
        <v>210</v>
      </c>
      <c r="E7" s="86" t="s">
        <v>211</v>
      </c>
      <c r="F7" s="86" t="s">
        <v>251</v>
      </c>
      <c r="G7" s="86" t="s">
        <v>75</v>
      </c>
      <c r="H7" s="86" t="s">
        <v>252</v>
      </c>
      <c r="I7" s="86" t="s">
        <v>253</v>
      </c>
      <c r="J7" s="86" t="s">
        <v>78</v>
      </c>
      <c r="K7" s="86" t="s">
        <v>79</v>
      </c>
      <c r="L7" s="86" t="s">
        <v>80</v>
      </c>
      <c r="M7" s="86" t="s">
        <v>254</v>
      </c>
      <c r="N7" s="86" t="s">
        <v>255</v>
      </c>
      <c r="O7" s="86" t="s">
        <v>256</v>
      </c>
      <c r="P7" s="86" t="s">
        <v>189</v>
      </c>
      <c r="Q7" s="86" t="s">
        <v>83</v>
      </c>
      <c r="R7" s="86" t="s">
        <v>218</v>
      </c>
      <c r="S7" s="86" t="s">
        <v>95</v>
      </c>
      <c r="T7" s="86" t="s">
        <v>257</v>
      </c>
      <c r="U7" s="86" t="s">
        <v>258</v>
      </c>
    </row>
    <row r="8" customFormat="false" ht="124.6" hidden="false" customHeight="false" outlineLevel="0" collapsed="false">
      <c r="A8" s="85" t="s">
        <v>11</v>
      </c>
      <c r="B8" s="86" t="s">
        <v>12</v>
      </c>
      <c r="C8" s="86" t="s">
        <v>250</v>
      </c>
      <c r="D8" s="86" t="s">
        <v>210</v>
      </c>
      <c r="E8" s="86" t="s">
        <v>211</v>
      </c>
      <c r="F8" s="86" t="s">
        <v>259</v>
      </c>
      <c r="G8" s="86" t="s">
        <v>75</v>
      </c>
      <c r="H8" s="86" t="s">
        <v>260</v>
      </c>
      <c r="I8" s="86" t="s">
        <v>261</v>
      </c>
      <c r="J8" s="86" t="s">
        <v>262</v>
      </c>
      <c r="K8" s="86" t="s">
        <v>79</v>
      </c>
      <c r="L8" s="86" t="s">
        <v>80</v>
      </c>
      <c r="M8" s="86" t="s">
        <v>254</v>
      </c>
      <c r="N8" s="86" t="s">
        <v>255</v>
      </c>
      <c r="O8" s="86" t="s">
        <v>256</v>
      </c>
      <c r="P8" s="86" t="s">
        <v>189</v>
      </c>
      <c r="Q8" s="86" t="s">
        <v>83</v>
      </c>
      <c r="R8" s="86" t="s">
        <v>218</v>
      </c>
      <c r="S8" s="86" t="s">
        <v>121</v>
      </c>
      <c r="T8" s="86" t="s">
        <v>263</v>
      </c>
      <c r="U8" s="86" t="s">
        <v>258</v>
      </c>
    </row>
    <row r="9" customFormat="false" ht="135.8" hidden="false" customHeight="false" outlineLevel="0" collapsed="false">
      <c r="A9" s="85" t="s">
        <v>11</v>
      </c>
      <c r="B9" s="86" t="s">
        <v>12</v>
      </c>
      <c r="C9" s="86" t="s">
        <v>264</v>
      </c>
      <c r="D9" s="86" t="s">
        <v>210</v>
      </c>
      <c r="E9" s="86" t="s">
        <v>211</v>
      </c>
      <c r="F9" s="86" t="s">
        <v>265</v>
      </c>
      <c r="G9" s="86" t="s">
        <v>75</v>
      </c>
      <c r="H9" s="86" t="s">
        <v>266</v>
      </c>
      <c r="I9" s="86" t="s">
        <v>267</v>
      </c>
      <c r="J9" s="86" t="s">
        <v>268</v>
      </c>
      <c r="K9" s="86" t="s">
        <v>79</v>
      </c>
      <c r="L9" s="86" t="s">
        <v>116</v>
      </c>
      <c r="M9" s="86" t="s">
        <v>269</v>
      </c>
      <c r="N9" s="86" t="s">
        <v>239</v>
      </c>
      <c r="O9" s="86" t="s">
        <v>270</v>
      </c>
      <c r="P9" s="86" t="s">
        <v>189</v>
      </c>
      <c r="Q9" s="86" t="s">
        <v>83</v>
      </c>
      <c r="R9" s="86" t="s">
        <v>218</v>
      </c>
      <c r="S9" s="86" t="s">
        <v>95</v>
      </c>
      <c r="T9" s="86" t="s">
        <v>271</v>
      </c>
      <c r="U9" s="86" t="s">
        <v>272</v>
      </c>
    </row>
    <row r="10" customFormat="false" ht="124.6" hidden="false" customHeight="false" outlineLevel="0" collapsed="false">
      <c r="A10" s="85" t="s">
        <v>11</v>
      </c>
      <c r="B10" s="86" t="s">
        <v>12</v>
      </c>
      <c r="C10" s="86" t="s">
        <v>1076</v>
      </c>
      <c r="D10" s="86" t="s">
        <v>1077</v>
      </c>
      <c r="E10" s="86" t="s">
        <v>1078</v>
      </c>
      <c r="F10" s="86" t="s">
        <v>1079</v>
      </c>
      <c r="G10" s="86" t="s">
        <v>1017</v>
      </c>
      <c r="H10" s="86" t="s">
        <v>1080</v>
      </c>
      <c r="I10" s="86" t="s">
        <v>1081</v>
      </c>
      <c r="J10" s="86" t="s">
        <v>78</v>
      </c>
      <c r="K10" s="86" t="s">
        <v>78</v>
      </c>
      <c r="L10" s="86" t="s">
        <v>1082</v>
      </c>
      <c r="M10" s="86"/>
      <c r="N10" s="86" t="s">
        <v>215</v>
      </c>
      <c r="O10" s="86" t="s">
        <v>1083</v>
      </c>
      <c r="P10" s="86" t="s">
        <v>189</v>
      </c>
      <c r="Q10" s="86" t="s">
        <v>83</v>
      </c>
      <c r="R10" s="86" t="s">
        <v>218</v>
      </c>
      <c r="S10" s="86" t="s">
        <v>121</v>
      </c>
      <c r="T10" s="86" t="s">
        <v>1084</v>
      </c>
      <c r="U10" s="86" t="s">
        <v>446</v>
      </c>
    </row>
    <row r="11" customFormat="false" ht="57.45" hidden="false" customHeight="false" outlineLevel="0" collapsed="false">
      <c r="A11" s="85" t="s">
        <v>11</v>
      </c>
      <c r="B11" s="86" t="s">
        <v>12</v>
      </c>
      <c r="C11" s="86" t="s">
        <v>1085</v>
      </c>
      <c r="D11" s="86" t="s">
        <v>1077</v>
      </c>
      <c r="E11" s="86" t="s">
        <v>1078</v>
      </c>
      <c r="F11" s="86" t="s">
        <v>1086</v>
      </c>
      <c r="G11" s="86" t="s">
        <v>1017</v>
      </c>
      <c r="H11" s="86" t="s">
        <v>1087</v>
      </c>
      <c r="I11" s="86" t="s">
        <v>1081</v>
      </c>
      <c r="J11" s="86" t="s">
        <v>78</v>
      </c>
      <c r="K11" s="86" t="s">
        <v>78</v>
      </c>
      <c r="L11" s="86" t="s">
        <v>1082</v>
      </c>
      <c r="M11" s="86"/>
      <c r="N11" s="86" t="s">
        <v>231</v>
      </c>
      <c r="O11" s="86" t="s">
        <v>1088</v>
      </c>
      <c r="P11" s="86" t="s">
        <v>189</v>
      </c>
      <c r="Q11" s="86" t="s">
        <v>233</v>
      </c>
      <c r="R11" s="86" t="s">
        <v>218</v>
      </c>
      <c r="S11" s="86" t="s">
        <v>121</v>
      </c>
      <c r="T11" s="86" t="s">
        <v>1089</v>
      </c>
      <c r="U11" s="86" t="s">
        <v>772</v>
      </c>
    </row>
    <row r="12" customFormat="false" ht="124.6" hidden="false" customHeight="false" outlineLevel="0" collapsed="false">
      <c r="A12" s="85" t="s">
        <v>11</v>
      </c>
      <c r="B12" s="86" t="s">
        <v>12</v>
      </c>
      <c r="C12" s="86" t="s">
        <v>250</v>
      </c>
      <c r="D12" s="86" t="s">
        <v>1077</v>
      </c>
      <c r="E12" s="86" t="s">
        <v>1078</v>
      </c>
      <c r="F12" s="86" t="s">
        <v>1090</v>
      </c>
      <c r="G12" s="86" t="s">
        <v>1027</v>
      </c>
      <c r="H12" s="86" t="s">
        <v>1091</v>
      </c>
      <c r="I12" s="86" t="s">
        <v>1092</v>
      </c>
      <c r="J12" s="86" t="s">
        <v>78</v>
      </c>
      <c r="K12" s="86" t="s">
        <v>78</v>
      </c>
      <c r="L12" s="86" t="s">
        <v>1093</v>
      </c>
      <c r="M12" s="86" t="s">
        <v>254</v>
      </c>
      <c r="N12" s="86" t="s">
        <v>255</v>
      </c>
      <c r="O12" s="86" t="s">
        <v>256</v>
      </c>
      <c r="P12" s="86" t="s">
        <v>189</v>
      </c>
      <c r="Q12" s="86" t="s">
        <v>83</v>
      </c>
      <c r="R12" s="86" t="s">
        <v>218</v>
      </c>
      <c r="S12" s="86" t="s">
        <v>121</v>
      </c>
      <c r="T12" s="86" t="s">
        <v>1094</v>
      </c>
      <c r="U12" s="86" t="s">
        <v>258</v>
      </c>
    </row>
    <row r="13" customFormat="false" ht="57.45" hidden="false" customHeight="false" outlineLevel="0" collapsed="false">
      <c r="A13" s="85" t="s">
        <v>11</v>
      </c>
      <c r="B13" s="86" t="s">
        <v>12</v>
      </c>
      <c r="C13" s="86" t="s">
        <v>264</v>
      </c>
      <c r="D13" s="86" t="s">
        <v>1077</v>
      </c>
      <c r="E13" s="86" t="s">
        <v>1078</v>
      </c>
      <c r="F13" s="86" t="s">
        <v>1095</v>
      </c>
      <c r="G13" s="86" t="s">
        <v>1017</v>
      </c>
      <c r="H13" s="86" t="s">
        <v>266</v>
      </c>
      <c r="I13" s="86" t="s">
        <v>1019</v>
      </c>
      <c r="J13" s="86" t="s">
        <v>268</v>
      </c>
      <c r="K13" s="86" t="s">
        <v>78</v>
      </c>
      <c r="L13" s="86" t="s">
        <v>1096</v>
      </c>
      <c r="M13" s="86" t="s">
        <v>269</v>
      </c>
      <c r="N13" s="86"/>
      <c r="O13" s="86" t="s">
        <v>82</v>
      </c>
      <c r="P13" s="86" t="s">
        <v>78</v>
      </c>
      <c r="Q13" s="86" t="s">
        <v>83</v>
      </c>
      <c r="R13" s="86" t="s">
        <v>218</v>
      </c>
      <c r="S13" s="86" t="s">
        <v>95</v>
      </c>
      <c r="T13" s="86" t="s">
        <v>271</v>
      </c>
      <c r="U13" s="86" t="s">
        <v>97</v>
      </c>
    </row>
  </sheetData>
  <autoFilter ref="A1:U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U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4"/>
    <col collapsed="false" customWidth="true" hidden="false" outlineLevel="0" max="6" min="6" style="0" width="16"/>
    <col collapsed="false" customWidth="true" hidden="false" outlineLevel="0" max="7" min="7" style="0" width="11"/>
    <col collapsed="false" customWidth="true" hidden="false" outlineLevel="0" max="8" min="8" style="0" width="60"/>
    <col collapsed="false" customWidth="true" hidden="false" outlineLevel="0" max="9" min="9" style="0" width="22"/>
    <col collapsed="false" customWidth="true" hidden="false" outlineLevel="0" max="11" min="10" style="0" width="24"/>
    <col collapsed="false" customWidth="true" hidden="false" outlineLevel="0" max="12" min="12" style="0" width="26"/>
    <col collapsed="false" customWidth="true" hidden="false" outlineLevel="0" max="13" min="13" style="0" width="11"/>
    <col collapsed="false" customWidth="true" hidden="false" outlineLevel="0" max="14" min="14" style="0" width="20"/>
    <col collapsed="false" customWidth="true" hidden="false" outlineLevel="0" max="15" min="15" style="0" width="30"/>
    <col collapsed="false" customWidth="true" hidden="false" outlineLevel="0" max="16" min="16" style="0" width="16"/>
    <col collapsed="false" customWidth="true" hidden="false" outlineLevel="0" max="18" min="17" style="0" width="18"/>
    <col collapsed="false" customWidth="true" hidden="false" outlineLevel="0" max="19" min="19" style="0" width="12"/>
    <col collapsed="false" customWidth="true" hidden="false" outlineLevel="0" max="20" min="20" style="0" width="40"/>
    <col collapsed="false" customWidth="true" hidden="false" outlineLevel="0" max="21" min="21" style="0" width="45"/>
  </cols>
  <sheetData>
    <row r="1" customFormat="false" ht="68.65" hidden="false" customHeight="false" outlineLevel="0" collapsed="false">
      <c r="A1" s="82" t="s">
        <v>0</v>
      </c>
      <c r="B1" s="82" t="s">
        <v>51</v>
      </c>
      <c r="C1" s="82" t="s">
        <v>52</v>
      </c>
      <c r="D1" s="82" t="s">
        <v>53</v>
      </c>
      <c r="E1" s="82" t="s">
        <v>54</v>
      </c>
      <c r="F1" s="82" t="s">
        <v>55</v>
      </c>
      <c r="G1" s="82" t="s">
        <v>56</v>
      </c>
      <c r="H1" s="82" t="s">
        <v>57</v>
      </c>
      <c r="I1" s="82" t="s">
        <v>58</v>
      </c>
      <c r="J1" s="82" t="s">
        <v>59</v>
      </c>
      <c r="K1" s="82" t="s">
        <v>60</v>
      </c>
      <c r="L1" s="82" t="s">
        <v>61</v>
      </c>
      <c r="M1" s="82" t="s">
        <v>62</v>
      </c>
      <c r="N1" s="82" t="s">
        <v>63</v>
      </c>
      <c r="O1" s="82" t="s">
        <v>64</v>
      </c>
      <c r="P1" s="82" t="s">
        <v>65</v>
      </c>
      <c r="Q1" s="82" t="s">
        <v>66</v>
      </c>
      <c r="R1" s="82" t="s">
        <v>67</v>
      </c>
      <c r="S1" s="82" t="s">
        <v>68</v>
      </c>
      <c r="T1" s="82" t="s">
        <v>69</v>
      </c>
      <c r="U1" s="82" t="s">
        <v>70</v>
      </c>
    </row>
    <row r="2" customFormat="false" ht="79.85" hidden="false" customHeight="false" outlineLevel="0" collapsed="false">
      <c r="A2" s="87" t="s">
        <v>13</v>
      </c>
      <c r="B2" s="88" t="s">
        <v>14</v>
      </c>
      <c r="C2" s="88" t="s">
        <v>273</v>
      </c>
      <c r="D2" s="88" t="s">
        <v>274</v>
      </c>
      <c r="E2" s="88" t="s">
        <v>275</v>
      </c>
      <c r="F2" s="88" t="s">
        <v>276</v>
      </c>
      <c r="G2" s="88" t="s">
        <v>75</v>
      </c>
      <c r="H2" s="88" t="s">
        <v>277</v>
      </c>
      <c r="I2" s="88" t="s">
        <v>91</v>
      </c>
      <c r="J2" s="88" t="s">
        <v>78</v>
      </c>
      <c r="K2" s="88" t="s">
        <v>79</v>
      </c>
      <c r="L2" s="88" t="s">
        <v>80</v>
      </c>
      <c r="M2" s="88"/>
      <c r="N2" s="88" t="s">
        <v>278</v>
      </c>
      <c r="O2" s="88" t="s">
        <v>279</v>
      </c>
      <c r="P2" s="88" t="s">
        <v>189</v>
      </c>
      <c r="Q2" s="88" t="s">
        <v>83</v>
      </c>
      <c r="R2" s="88" t="s">
        <v>218</v>
      </c>
      <c r="S2" s="88" t="s">
        <v>121</v>
      </c>
      <c r="T2" s="88" t="s">
        <v>280</v>
      </c>
      <c r="U2" s="88" t="s">
        <v>249</v>
      </c>
    </row>
    <row r="3" customFormat="false" ht="79.85" hidden="false" customHeight="false" outlineLevel="0" collapsed="false">
      <c r="A3" s="87" t="s">
        <v>13</v>
      </c>
      <c r="B3" s="88" t="s">
        <v>14</v>
      </c>
      <c r="C3" s="88" t="s">
        <v>273</v>
      </c>
      <c r="D3" s="88" t="s">
        <v>274</v>
      </c>
      <c r="E3" s="88" t="s">
        <v>275</v>
      </c>
      <c r="F3" s="88" t="s">
        <v>281</v>
      </c>
      <c r="G3" s="88" t="s">
        <v>75</v>
      </c>
      <c r="H3" s="88" t="s">
        <v>282</v>
      </c>
      <c r="I3" s="88" t="s">
        <v>186</v>
      </c>
      <c r="J3" s="88" t="s">
        <v>78</v>
      </c>
      <c r="K3" s="88" t="s">
        <v>79</v>
      </c>
      <c r="L3" s="88" t="s">
        <v>173</v>
      </c>
      <c r="M3" s="88"/>
      <c r="N3" s="88" t="s">
        <v>278</v>
      </c>
      <c r="O3" s="88" t="s">
        <v>279</v>
      </c>
      <c r="P3" s="88" t="s">
        <v>189</v>
      </c>
      <c r="Q3" s="88" t="s">
        <v>83</v>
      </c>
      <c r="R3" s="88" t="s">
        <v>218</v>
      </c>
      <c r="S3" s="88" t="s">
        <v>121</v>
      </c>
      <c r="T3" s="88" t="s">
        <v>283</v>
      </c>
      <c r="U3" s="88" t="s">
        <v>249</v>
      </c>
    </row>
    <row r="4" customFormat="false" ht="57.45" hidden="false" customHeight="false" outlineLevel="0" collapsed="false">
      <c r="A4" s="87" t="s">
        <v>13</v>
      </c>
      <c r="B4" s="88" t="s">
        <v>14</v>
      </c>
      <c r="C4" s="88" t="s">
        <v>284</v>
      </c>
      <c r="D4" s="88" t="s">
        <v>274</v>
      </c>
      <c r="E4" s="88" t="s">
        <v>275</v>
      </c>
      <c r="F4" s="88" t="s">
        <v>285</v>
      </c>
      <c r="G4" s="88" t="s">
        <v>75</v>
      </c>
      <c r="H4" s="88" t="s">
        <v>286</v>
      </c>
      <c r="I4" s="88" t="s">
        <v>287</v>
      </c>
      <c r="J4" s="88" t="s">
        <v>78</v>
      </c>
      <c r="K4" s="88" t="s">
        <v>79</v>
      </c>
      <c r="L4" s="88" t="s">
        <v>80</v>
      </c>
      <c r="M4" s="88" t="s">
        <v>288</v>
      </c>
      <c r="N4" s="88" t="s">
        <v>289</v>
      </c>
      <c r="O4" s="88" t="s">
        <v>290</v>
      </c>
      <c r="P4" s="88" t="s">
        <v>189</v>
      </c>
      <c r="Q4" s="88" t="s">
        <v>83</v>
      </c>
      <c r="R4" s="88" t="s">
        <v>218</v>
      </c>
      <c r="S4" s="88" t="s">
        <v>121</v>
      </c>
      <c r="T4" s="88" t="s">
        <v>291</v>
      </c>
      <c r="U4" s="88" t="s">
        <v>191</v>
      </c>
    </row>
    <row r="5" customFormat="false" ht="57.45" hidden="false" customHeight="false" outlineLevel="0" collapsed="false">
      <c r="A5" s="87" t="s">
        <v>13</v>
      </c>
      <c r="B5" s="88" t="s">
        <v>14</v>
      </c>
      <c r="C5" s="88" t="s">
        <v>292</v>
      </c>
      <c r="D5" s="88" t="s">
        <v>274</v>
      </c>
      <c r="E5" s="88" t="s">
        <v>275</v>
      </c>
      <c r="F5" s="88" t="s">
        <v>293</v>
      </c>
      <c r="G5" s="88" t="s">
        <v>75</v>
      </c>
      <c r="H5" s="88" t="s">
        <v>294</v>
      </c>
      <c r="I5" s="88" t="s">
        <v>295</v>
      </c>
      <c r="J5" s="88" t="s">
        <v>78</v>
      </c>
      <c r="K5" s="88" t="s">
        <v>79</v>
      </c>
      <c r="L5" s="88" t="s">
        <v>80</v>
      </c>
      <c r="M5" s="88" t="s">
        <v>296</v>
      </c>
      <c r="N5" s="88" t="s">
        <v>297</v>
      </c>
      <c r="O5" s="88" t="s">
        <v>298</v>
      </c>
      <c r="P5" s="88" t="s">
        <v>217</v>
      </c>
      <c r="Q5" s="88" t="s">
        <v>83</v>
      </c>
      <c r="R5" s="88" t="s">
        <v>218</v>
      </c>
      <c r="S5" s="88" t="s">
        <v>121</v>
      </c>
      <c r="T5" s="88" t="s">
        <v>299</v>
      </c>
      <c r="U5" s="88" t="s">
        <v>300</v>
      </c>
    </row>
    <row r="6" customFormat="false" ht="57.45" hidden="false" customHeight="false" outlineLevel="0" collapsed="false">
      <c r="A6" s="87" t="s">
        <v>13</v>
      </c>
      <c r="B6" s="88" t="s">
        <v>14</v>
      </c>
      <c r="C6" s="88" t="s">
        <v>292</v>
      </c>
      <c r="D6" s="88" t="s">
        <v>274</v>
      </c>
      <c r="E6" s="88" t="s">
        <v>275</v>
      </c>
      <c r="F6" s="88" t="s">
        <v>301</v>
      </c>
      <c r="G6" s="88" t="s">
        <v>75</v>
      </c>
      <c r="H6" s="88" t="s">
        <v>302</v>
      </c>
      <c r="I6" s="88" t="s">
        <v>303</v>
      </c>
      <c r="J6" s="88" t="s">
        <v>78</v>
      </c>
      <c r="K6" s="88" t="s">
        <v>79</v>
      </c>
      <c r="L6" s="88" t="s">
        <v>80</v>
      </c>
      <c r="M6" s="88" t="s">
        <v>296</v>
      </c>
      <c r="N6" s="88" t="s">
        <v>297</v>
      </c>
      <c r="O6" s="88" t="s">
        <v>298</v>
      </c>
      <c r="P6" s="88" t="s">
        <v>217</v>
      </c>
      <c r="Q6" s="88" t="s">
        <v>83</v>
      </c>
      <c r="R6" s="88" t="s">
        <v>218</v>
      </c>
      <c r="S6" s="88" t="s">
        <v>121</v>
      </c>
      <c r="T6" s="88" t="s">
        <v>304</v>
      </c>
      <c r="U6" s="88" t="s">
        <v>300</v>
      </c>
    </row>
    <row r="7" customFormat="false" ht="57.45" hidden="false" customHeight="false" outlineLevel="0" collapsed="false">
      <c r="A7" s="87" t="s">
        <v>13</v>
      </c>
      <c r="B7" s="88" t="s">
        <v>14</v>
      </c>
      <c r="C7" s="88" t="s">
        <v>305</v>
      </c>
      <c r="D7" s="88" t="s">
        <v>274</v>
      </c>
      <c r="E7" s="88" t="s">
        <v>275</v>
      </c>
      <c r="F7" s="88" t="s">
        <v>306</v>
      </c>
      <c r="G7" s="88" t="s">
        <v>75</v>
      </c>
      <c r="H7" s="88" t="s">
        <v>307</v>
      </c>
      <c r="I7" s="88" t="s">
        <v>295</v>
      </c>
      <c r="J7" s="88" t="s">
        <v>78</v>
      </c>
      <c r="K7" s="88" t="s">
        <v>79</v>
      </c>
      <c r="L7" s="88" t="s">
        <v>173</v>
      </c>
      <c r="M7" s="88" t="s">
        <v>308</v>
      </c>
      <c r="N7" s="88" t="s">
        <v>297</v>
      </c>
      <c r="O7" s="88" t="s">
        <v>298</v>
      </c>
      <c r="P7" s="88" t="s">
        <v>217</v>
      </c>
      <c r="Q7" s="88" t="s">
        <v>83</v>
      </c>
      <c r="R7" s="88" t="s">
        <v>218</v>
      </c>
      <c r="S7" s="88" t="s">
        <v>121</v>
      </c>
      <c r="T7" s="88" t="s">
        <v>309</v>
      </c>
      <c r="U7" s="88" t="s">
        <v>300</v>
      </c>
    </row>
    <row r="8" customFormat="false" ht="57.45" hidden="false" customHeight="false" outlineLevel="0" collapsed="false">
      <c r="A8" s="87" t="s">
        <v>13</v>
      </c>
      <c r="B8" s="88" t="s">
        <v>14</v>
      </c>
      <c r="C8" s="88" t="s">
        <v>310</v>
      </c>
      <c r="D8" s="88" t="s">
        <v>274</v>
      </c>
      <c r="E8" s="88" t="s">
        <v>275</v>
      </c>
      <c r="F8" s="88" t="s">
        <v>311</v>
      </c>
      <c r="G8" s="88" t="s">
        <v>75</v>
      </c>
      <c r="H8" s="88" t="s">
        <v>312</v>
      </c>
      <c r="I8" s="88" t="s">
        <v>148</v>
      </c>
      <c r="J8" s="88" t="s">
        <v>78</v>
      </c>
      <c r="K8" s="88" t="s">
        <v>79</v>
      </c>
      <c r="L8" s="88" t="s">
        <v>173</v>
      </c>
      <c r="M8" s="88" t="s">
        <v>313</v>
      </c>
      <c r="N8" s="88" t="s">
        <v>289</v>
      </c>
      <c r="O8" s="88" t="s">
        <v>314</v>
      </c>
      <c r="P8" s="88" t="s">
        <v>217</v>
      </c>
      <c r="Q8" s="88" t="s">
        <v>83</v>
      </c>
      <c r="R8" s="88" t="s">
        <v>218</v>
      </c>
      <c r="S8" s="88" t="s">
        <v>121</v>
      </c>
      <c r="T8" s="88" t="s">
        <v>315</v>
      </c>
      <c r="U8" s="88" t="s">
        <v>316</v>
      </c>
    </row>
    <row r="9" customFormat="false" ht="46.25" hidden="false" customHeight="false" outlineLevel="0" collapsed="false">
      <c r="A9" s="87" t="s">
        <v>13</v>
      </c>
      <c r="B9" s="88" t="s">
        <v>14</v>
      </c>
      <c r="C9" s="88" t="s">
        <v>284</v>
      </c>
      <c r="D9" s="88" t="s">
        <v>1097</v>
      </c>
      <c r="E9" s="88" t="s">
        <v>1098</v>
      </c>
      <c r="F9" s="88" t="s">
        <v>1099</v>
      </c>
      <c r="G9" s="88" t="s">
        <v>1027</v>
      </c>
      <c r="H9" s="88" t="s">
        <v>1100</v>
      </c>
      <c r="I9" s="88" t="s">
        <v>78</v>
      </c>
      <c r="J9" s="88" t="s">
        <v>78</v>
      </c>
      <c r="K9" s="88" t="s">
        <v>78</v>
      </c>
      <c r="L9" s="88" t="s">
        <v>78</v>
      </c>
      <c r="M9" s="88" t="s">
        <v>288</v>
      </c>
      <c r="N9" s="88" t="s">
        <v>289</v>
      </c>
      <c r="O9" s="88" t="s">
        <v>290</v>
      </c>
      <c r="P9" s="88" t="s">
        <v>189</v>
      </c>
      <c r="Q9" s="88" t="s">
        <v>83</v>
      </c>
      <c r="R9" s="88" t="s">
        <v>218</v>
      </c>
      <c r="S9" s="88" t="s">
        <v>95</v>
      </c>
      <c r="T9" s="88" t="s">
        <v>200</v>
      </c>
      <c r="U9" s="88" t="s">
        <v>201</v>
      </c>
    </row>
  </sheetData>
  <autoFilter ref="A1:U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6000"/>
    <pageSetUpPr fitToPage="false"/>
  </sheetPr>
  <dimension ref="A1:U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4"/>
    <col collapsed="false" customWidth="true" hidden="false" outlineLevel="0" max="6" min="6" style="0" width="16"/>
    <col collapsed="false" customWidth="true" hidden="false" outlineLevel="0" max="7" min="7" style="0" width="11"/>
    <col collapsed="false" customWidth="true" hidden="false" outlineLevel="0" max="8" min="8" style="0" width="60"/>
    <col collapsed="false" customWidth="true" hidden="false" outlineLevel="0" max="9" min="9" style="0" width="22"/>
    <col collapsed="false" customWidth="true" hidden="false" outlineLevel="0" max="11" min="10" style="0" width="24"/>
    <col collapsed="false" customWidth="true" hidden="false" outlineLevel="0" max="12" min="12" style="0" width="26"/>
    <col collapsed="false" customWidth="true" hidden="false" outlineLevel="0" max="13" min="13" style="0" width="11"/>
    <col collapsed="false" customWidth="true" hidden="false" outlineLevel="0" max="14" min="14" style="0" width="20"/>
    <col collapsed="false" customWidth="true" hidden="false" outlineLevel="0" max="15" min="15" style="0" width="30"/>
    <col collapsed="false" customWidth="true" hidden="false" outlineLevel="0" max="16" min="16" style="0" width="16"/>
    <col collapsed="false" customWidth="true" hidden="false" outlineLevel="0" max="18" min="17" style="0" width="18"/>
    <col collapsed="false" customWidth="true" hidden="false" outlineLevel="0" max="19" min="19" style="0" width="12"/>
    <col collapsed="false" customWidth="true" hidden="false" outlineLevel="0" max="20" min="20" style="0" width="40"/>
    <col collapsed="false" customWidth="true" hidden="false" outlineLevel="0" max="21" min="21" style="0" width="45"/>
  </cols>
  <sheetData>
    <row r="1" customFormat="false" ht="68.65" hidden="false" customHeight="false" outlineLevel="0" collapsed="false">
      <c r="A1" s="125" t="s">
        <v>0</v>
      </c>
      <c r="B1" s="125" t="s">
        <v>51</v>
      </c>
      <c r="C1" s="125" t="s">
        <v>52</v>
      </c>
      <c r="D1" s="125" t="s">
        <v>53</v>
      </c>
      <c r="E1" s="125" t="s">
        <v>54</v>
      </c>
      <c r="F1" s="125" t="s">
        <v>55</v>
      </c>
      <c r="G1" s="125" t="s">
        <v>56</v>
      </c>
      <c r="H1" s="125" t="s">
        <v>57</v>
      </c>
      <c r="I1" s="125" t="s">
        <v>58</v>
      </c>
      <c r="J1" s="125" t="s">
        <v>59</v>
      </c>
      <c r="K1" s="125" t="s">
        <v>60</v>
      </c>
      <c r="L1" s="125" t="s">
        <v>61</v>
      </c>
      <c r="M1" s="125" t="s">
        <v>62</v>
      </c>
      <c r="N1" s="125" t="s">
        <v>63</v>
      </c>
      <c r="O1" s="125" t="s">
        <v>64</v>
      </c>
      <c r="P1" s="125" t="s">
        <v>65</v>
      </c>
      <c r="Q1" s="125" t="s">
        <v>66</v>
      </c>
      <c r="R1" s="125" t="s">
        <v>67</v>
      </c>
      <c r="S1" s="125" t="s">
        <v>68</v>
      </c>
      <c r="T1" s="125" t="s">
        <v>69</v>
      </c>
      <c r="U1" s="125" t="s">
        <v>70</v>
      </c>
    </row>
    <row r="2" customFormat="false" ht="57.45" hidden="false" customHeight="false" outlineLevel="0" collapsed="false">
      <c r="A2" s="89" t="s">
        <v>15</v>
      </c>
      <c r="B2" s="90" t="s">
        <v>16</v>
      </c>
      <c r="C2" s="90" t="s">
        <v>317</v>
      </c>
      <c r="D2" s="90" t="s">
        <v>17</v>
      </c>
      <c r="E2" s="90"/>
      <c r="F2" s="90" t="s">
        <v>318</v>
      </c>
      <c r="G2" s="90" t="s">
        <v>75</v>
      </c>
      <c r="H2" s="90" t="s">
        <v>319</v>
      </c>
      <c r="I2" s="90" t="s">
        <v>320</v>
      </c>
      <c r="J2" s="90" t="s">
        <v>78</v>
      </c>
      <c r="K2" s="90" t="s">
        <v>79</v>
      </c>
      <c r="L2" s="90" t="s">
        <v>80</v>
      </c>
      <c r="M2" s="90" t="s">
        <v>321</v>
      </c>
      <c r="N2" s="90"/>
      <c r="O2" s="90" t="s">
        <v>82</v>
      </c>
      <c r="P2" s="90" t="s">
        <v>78</v>
      </c>
      <c r="Q2" s="90" t="s">
        <v>83</v>
      </c>
      <c r="R2" s="90" t="s">
        <v>218</v>
      </c>
      <c r="S2" s="90" t="s">
        <v>85</v>
      </c>
      <c r="T2" s="90" t="s">
        <v>322</v>
      </c>
      <c r="U2" s="90" t="s">
        <v>97</v>
      </c>
    </row>
    <row r="3" customFormat="false" ht="57.45" hidden="false" customHeight="false" outlineLevel="0" collapsed="false">
      <c r="A3" s="89" t="s">
        <v>15</v>
      </c>
      <c r="B3" s="90" t="s">
        <v>16</v>
      </c>
      <c r="C3" s="90" t="s">
        <v>317</v>
      </c>
      <c r="D3" s="90" t="s">
        <v>17</v>
      </c>
      <c r="E3" s="90"/>
      <c r="F3" s="90" t="s">
        <v>323</v>
      </c>
      <c r="G3" s="90" t="s">
        <v>75</v>
      </c>
      <c r="H3" s="90" t="s">
        <v>324</v>
      </c>
      <c r="I3" s="90" t="s">
        <v>181</v>
      </c>
      <c r="J3" s="90" t="s">
        <v>78</v>
      </c>
      <c r="K3" s="90" t="s">
        <v>79</v>
      </c>
      <c r="L3" s="90" t="s">
        <v>80</v>
      </c>
      <c r="M3" s="90" t="s">
        <v>321</v>
      </c>
      <c r="N3" s="90"/>
      <c r="O3" s="90" t="s">
        <v>82</v>
      </c>
      <c r="P3" s="90" t="s">
        <v>78</v>
      </c>
      <c r="Q3" s="90" t="s">
        <v>83</v>
      </c>
      <c r="R3" s="90" t="s">
        <v>218</v>
      </c>
      <c r="S3" s="90" t="s">
        <v>85</v>
      </c>
      <c r="T3" s="90" t="s">
        <v>325</v>
      </c>
      <c r="U3" s="90" t="s">
        <v>97</v>
      </c>
    </row>
  </sheetData>
  <autoFilter ref="A1:U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96B"/>
    <pageSetUpPr fitToPage="false"/>
  </sheetPr>
  <dimension ref="A1:U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4"/>
    <col collapsed="false" customWidth="true" hidden="false" outlineLevel="0" max="6" min="6" style="0" width="16"/>
    <col collapsed="false" customWidth="true" hidden="false" outlineLevel="0" max="7" min="7" style="0" width="11"/>
    <col collapsed="false" customWidth="true" hidden="false" outlineLevel="0" max="8" min="8" style="0" width="60"/>
    <col collapsed="false" customWidth="true" hidden="false" outlineLevel="0" max="9" min="9" style="0" width="22"/>
    <col collapsed="false" customWidth="true" hidden="false" outlineLevel="0" max="11" min="10" style="0" width="24"/>
    <col collapsed="false" customWidth="true" hidden="false" outlineLevel="0" max="12" min="12" style="0" width="26"/>
    <col collapsed="false" customWidth="true" hidden="false" outlineLevel="0" max="13" min="13" style="0" width="11"/>
    <col collapsed="false" customWidth="true" hidden="false" outlineLevel="0" max="14" min="14" style="0" width="20"/>
    <col collapsed="false" customWidth="true" hidden="false" outlineLevel="0" max="15" min="15" style="0" width="30"/>
    <col collapsed="false" customWidth="true" hidden="false" outlineLevel="0" max="16" min="16" style="0" width="16"/>
    <col collapsed="false" customWidth="true" hidden="false" outlineLevel="0" max="18" min="17" style="0" width="18"/>
    <col collapsed="false" customWidth="true" hidden="false" outlineLevel="0" max="19" min="19" style="0" width="12"/>
    <col collapsed="false" customWidth="true" hidden="false" outlineLevel="0" max="20" min="20" style="0" width="40"/>
    <col collapsed="false" customWidth="true" hidden="false" outlineLevel="0" max="21" min="21" style="0" width="45"/>
  </cols>
  <sheetData>
    <row r="1" customFormat="false" ht="68.65" hidden="false" customHeight="false" outlineLevel="0" collapsed="false">
      <c r="A1" s="126" t="s">
        <v>0</v>
      </c>
      <c r="B1" s="126" t="s">
        <v>51</v>
      </c>
      <c r="C1" s="126" t="s">
        <v>52</v>
      </c>
      <c r="D1" s="126" t="s">
        <v>53</v>
      </c>
      <c r="E1" s="126" t="s">
        <v>54</v>
      </c>
      <c r="F1" s="126" t="s">
        <v>55</v>
      </c>
      <c r="G1" s="126" t="s">
        <v>56</v>
      </c>
      <c r="H1" s="126" t="s">
        <v>57</v>
      </c>
      <c r="I1" s="126" t="s">
        <v>58</v>
      </c>
      <c r="J1" s="126" t="s">
        <v>59</v>
      </c>
      <c r="K1" s="126" t="s">
        <v>60</v>
      </c>
      <c r="L1" s="126" t="s">
        <v>61</v>
      </c>
      <c r="M1" s="126" t="s">
        <v>62</v>
      </c>
      <c r="N1" s="126" t="s">
        <v>63</v>
      </c>
      <c r="O1" s="126" t="s">
        <v>64</v>
      </c>
      <c r="P1" s="126" t="s">
        <v>65</v>
      </c>
      <c r="Q1" s="126" t="s">
        <v>66</v>
      </c>
      <c r="R1" s="126" t="s">
        <v>67</v>
      </c>
      <c r="S1" s="126" t="s">
        <v>68</v>
      </c>
      <c r="T1" s="126" t="s">
        <v>69</v>
      </c>
      <c r="U1" s="126" t="s">
        <v>70</v>
      </c>
    </row>
    <row r="2" customFormat="false" ht="57.45" hidden="false" customHeight="false" outlineLevel="0" collapsed="false">
      <c r="A2" s="91" t="s">
        <v>18</v>
      </c>
      <c r="B2" s="92" t="s">
        <v>19</v>
      </c>
      <c r="C2" s="92" t="s">
        <v>326</v>
      </c>
      <c r="D2" s="92" t="s">
        <v>17</v>
      </c>
      <c r="E2" s="92"/>
      <c r="F2" s="92" t="s">
        <v>327</v>
      </c>
      <c r="G2" s="92" t="s">
        <v>75</v>
      </c>
      <c r="H2" s="92" t="s">
        <v>328</v>
      </c>
      <c r="I2" s="92" t="s">
        <v>329</v>
      </c>
      <c r="J2" s="92" t="s">
        <v>78</v>
      </c>
      <c r="K2" s="92" t="s">
        <v>79</v>
      </c>
      <c r="L2" s="92" t="s">
        <v>80</v>
      </c>
      <c r="M2" s="92" t="s">
        <v>330</v>
      </c>
      <c r="N2" s="92" t="s">
        <v>118</v>
      </c>
      <c r="O2" s="92" t="s">
        <v>331</v>
      </c>
      <c r="P2" s="92" t="s">
        <v>189</v>
      </c>
      <c r="Q2" s="92" t="s">
        <v>83</v>
      </c>
      <c r="R2" s="92" t="s">
        <v>218</v>
      </c>
      <c r="S2" s="92" t="s">
        <v>121</v>
      </c>
      <c r="T2" s="92" t="s">
        <v>332</v>
      </c>
      <c r="U2" s="92" t="s">
        <v>191</v>
      </c>
    </row>
    <row r="3" customFormat="false" ht="57.45" hidden="false" customHeight="false" outlineLevel="0" collapsed="false">
      <c r="A3" s="91" t="s">
        <v>18</v>
      </c>
      <c r="B3" s="92" t="s">
        <v>19</v>
      </c>
      <c r="C3" s="92" t="s">
        <v>333</v>
      </c>
      <c r="D3" s="92" t="s">
        <v>17</v>
      </c>
      <c r="E3" s="92"/>
      <c r="F3" s="92" t="s">
        <v>334</v>
      </c>
      <c r="G3" s="92" t="s">
        <v>75</v>
      </c>
      <c r="H3" s="92" t="s">
        <v>335</v>
      </c>
      <c r="I3" s="92" t="s">
        <v>336</v>
      </c>
      <c r="J3" s="92" t="s">
        <v>78</v>
      </c>
      <c r="K3" s="92" t="s">
        <v>79</v>
      </c>
      <c r="L3" s="92" t="s">
        <v>173</v>
      </c>
      <c r="M3" s="92" t="s">
        <v>337</v>
      </c>
      <c r="N3" s="92"/>
      <c r="O3" s="92" t="s">
        <v>82</v>
      </c>
      <c r="P3" s="92" t="s">
        <v>78</v>
      </c>
      <c r="Q3" s="92" t="s">
        <v>83</v>
      </c>
      <c r="R3" s="92" t="s">
        <v>218</v>
      </c>
      <c r="S3" s="92" t="s">
        <v>85</v>
      </c>
      <c r="T3" s="92" t="s">
        <v>338</v>
      </c>
      <c r="U3" s="92" t="s">
        <v>97</v>
      </c>
    </row>
    <row r="4" customFormat="false" ht="46.25" hidden="false" customHeight="false" outlineLevel="0" collapsed="false">
      <c r="A4" s="91" t="s">
        <v>18</v>
      </c>
      <c r="B4" s="92" t="s">
        <v>19</v>
      </c>
      <c r="C4" s="92" t="s">
        <v>326</v>
      </c>
      <c r="D4" s="92" t="s">
        <v>17</v>
      </c>
      <c r="E4" s="92"/>
      <c r="F4" s="92" t="s">
        <v>1101</v>
      </c>
      <c r="G4" s="92" t="s">
        <v>1027</v>
      </c>
      <c r="H4" s="92" t="s">
        <v>1102</v>
      </c>
      <c r="I4" s="92" t="s">
        <v>78</v>
      </c>
      <c r="J4" s="92" t="s">
        <v>78</v>
      </c>
      <c r="K4" s="92" t="s">
        <v>78</v>
      </c>
      <c r="L4" s="92" t="s">
        <v>78</v>
      </c>
      <c r="M4" s="92" t="s">
        <v>330</v>
      </c>
      <c r="N4" s="92" t="s">
        <v>118</v>
      </c>
      <c r="O4" s="92" t="s">
        <v>331</v>
      </c>
      <c r="P4" s="92" t="s">
        <v>189</v>
      </c>
      <c r="Q4" s="92" t="s">
        <v>83</v>
      </c>
      <c r="R4" s="92" t="s">
        <v>1103</v>
      </c>
      <c r="S4" s="92" t="s">
        <v>95</v>
      </c>
      <c r="T4" s="92" t="s">
        <v>200</v>
      </c>
      <c r="U4" s="92" t="s">
        <v>201</v>
      </c>
    </row>
  </sheetData>
  <autoFilter ref="A1:U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U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4"/>
    <col collapsed="false" customWidth="true" hidden="false" outlineLevel="0" max="6" min="6" style="0" width="16"/>
    <col collapsed="false" customWidth="true" hidden="false" outlineLevel="0" max="7" min="7" style="0" width="11"/>
    <col collapsed="false" customWidth="true" hidden="false" outlineLevel="0" max="8" min="8" style="0" width="60"/>
    <col collapsed="false" customWidth="true" hidden="false" outlineLevel="0" max="9" min="9" style="0" width="22"/>
    <col collapsed="false" customWidth="true" hidden="false" outlineLevel="0" max="11" min="10" style="0" width="24"/>
    <col collapsed="false" customWidth="true" hidden="false" outlineLevel="0" max="12" min="12" style="0" width="26"/>
    <col collapsed="false" customWidth="true" hidden="false" outlineLevel="0" max="13" min="13" style="0" width="11"/>
    <col collapsed="false" customWidth="true" hidden="false" outlineLevel="0" max="14" min="14" style="0" width="20"/>
    <col collapsed="false" customWidth="true" hidden="false" outlineLevel="0" max="15" min="15" style="0" width="30"/>
    <col collapsed="false" customWidth="true" hidden="false" outlineLevel="0" max="16" min="16" style="0" width="16"/>
    <col collapsed="false" customWidth="true" hidden="false" outlineLevel="0" max="18" min="17" style="0" width="18"/>
    <col collapsed="false" customWidth="true" hidden="false" outlineLevel="0" max="19" min="19" style="0" width="12"/>
    <col collapsed="false" customWidth="true" hidden="false" outlineLevel="0" max="20" min="20" style="0" width="40"/>
    <col collapsed="false" customWidth="true" hidden="false" outlineLevel="0" max="21" min="21" style="0" width="45"/>
  </cols>
  <sheetData>
    <row r="1" customFormat="false" ht="68.65" hidden="false" customHeight="false" outlineLevel="0" collapsed="false">
      <c r="A1" s="127" t="s">
        <v>0</v>
      </c>
      <c r="B1" s="127" t="s">
        <v>51</v>
      </c>
      <c r="C1" s="127" t="s">
        <v>52</v>
      </c>
      <c r="D1" s="127" t="s">
        <v>53</v>
      </c>
      <c r="E1" s="127" t="s">
        <v>54</v>
      </c>
      <c r="F1" s="127" t="s">
        <v>55</v>
      </c>
      <c r="G1" s="127" t="s">
        <v>56</v>
      </c>
      <c r="H1" s="127" t="s">
        <v>57</v>
      </c>
      <c r="I1" s="127" t="s">
        <v>58</v>
      </c>
      <c r="J1" s="127" t="s">
        <v>59</v>
      </c>
      <c r="K1" s="127" t="s">
        <v>60</v>
      </c>
      <c r="L1" s="127" t="s">
        <v>61</v>
      </c>
      <c r="M1" s="127" t="s">
        <v>62</v>
      </c>
      <c r="N1" s="127" t="s">
        <v>63</v>
      </c>
      <c r="O1" s="127" t="s">
        <v>64</v>
      </c>
      <c r="P1" s="127" t="s">
        <v>65</v>
      </c>
      <c r="Q1" s="127" t="s">
        <v>66</v>
      </c>
      <c r="R1" s="127" t="s">
        <v>67</v>
      </c>
      <c r="S1" s="127" t="s">
        <v>68</v>
      </c>
      <c r="T1" s="127" t="s">
        <v>69</v>
      </c>
      <c r="U1" s="127" t="s">
        <v>70</v>
      </c>
    </row>
    <row r="2" customFormat="false" ht="79.85" hidden="false" customHeight="false" outlineLevel="0" collapsed="false">
      <c r="A2" s="93" t="s">
        <v>20</v>
      </c>
      <c r="B2" s="94" t="s">
        <v>21</v>
      </c>
      <c r="C2" s="94" t="s">
        <v>339</v>
      </c>
      <c r="D2" s="94" t="s">
        <v>340</v>
      </c>
      <c r="E2" s="94" t="s">
        <v>341</v>
      </c>
      <c r="F2" s="94" t="s">
        <v>342</v>
      </c>
      <c r="G2" s="94" t="s">
        <v>75</v>
      </c>
      <c r="H2" s="94" t="s">
        <v>343</v>
      </c>
      <c r="I2" s="94" t="s">
        <v>181</v>
      </c>
      <c r="J2" s="94" t="s">
        <v>78</v>
      </c>
      <c r="K2" s="94" t="s">
        <v>79</v>
      </c>
      <c r="L2" s="94" t="s">
        <v>80</v>
      </c>
      <c r="M2" s="94"/>
      <c r="N2" s="94" t="s">
        <v>344</v>
      </c>
      <c r="O2" s="94" t="s">
        <v>345</v>
      </c>
      <c r="P2" s="94" t="s">
        <v>346</v>
      </c>
      <c r="Q2" s="94" t="s">
        <v>347</v>
      </c>
      <c r="R2" s="94" t="s">
        <v>218</v>
      </c>
      <c r="S2" s="94" t="s">
        <v>95</v>
      </c>
      <c r="T2" s="94" t="s">
        <v>348</v>
      </c>
      <c r="U2" s="94" t="s">
        <v>220</v>
      </c>
    </row>
    <row r="3" customFormat="false" ht="57.45" hidden="false" customHeight="false" outlineLevel="0" collapsed="false">
      <c r="A3" s="93" t="s">
        <v>20</v>
      </c>
      <c r="B3" s="94" t="s">
        <v>21</v>
      </c>
      <c r="C3" s="94" t="s">
        <v>349</v>
      </c>
      <c r="D3" s="94" t="s">
        <v>340</v>
      </c>
      <c r="E3" s="94" t="s">
        <v>341</v>
      </c>
      <c r="F3" s="94" t="s">
        <v>350</v>
      </c>
      <c r="G3" s="94" t="s">
        <v>75</v>
      </c>
      <c r="H3" s="94" t="s">
        <v>351</v>
      </c>
      <c r="I3" s="94" t="s">
        <v>77</v>
      </c>
      <c r="J3" s="94" t="s">
        <v>78</v>
      </c>
      <c r="K3" s="94" t="s">
        <v>79</v>
      </c>
      <c r="L3" s="94" t="s">
        <v>173</v>
      </c>
      <c r="M3" s="94" t="s">
        <v>352</v>
      </c>
      <c r="N3" s="94" t="s">
        <v>353</v>
      </c>
      <c r="O3" s="94" t="s">
        <v>354</v>
      </c>
      <c r="P3" s="94" t="s">
        <v>189</v>
      </c>
      <c r="Q3" s="94" t="s">
        <v>83</v>
      </c>
      <c r="R3" s="94" t="s">
        <v>218</v>
      </c>
      <c r="S3" s="94" t="s">
        <v>121</v>
      </c>
      <c r="T3" s="94" t="s">
        <v>355</v>
      </c>
      <c r="U3" s="94" t="s">
        <v>356</v>
      </c>
    </row>
    <row r="4" customFormat="false" ht="46.25" hidden="false" customHeight="false" outlineLevel="0" collapsed="false">
      <c r="A4" s="93" t="s">
        <v>20</v>
      </c>
      <c r="B4" s="94" t="s">
        <v>21</v>
      </c>
      <c r="C4" s="94" t="s">
        <v>357</v>
      </c>
      <c r="D4" s="94" t="s">
        <v>340</v>
      </c>
      <c r="E4" s="94" t="s">
        <v>341</v>
      </c>
      <c r="F4" s="94" t="s">
        <v>358</v>
      </c>
      <c r="G4" s="94" t="s">
        <v>75</v>
      </c>
      <c r="H4" s="94" t="s">
        <v>359</v>
      </c>
      <c r="I4" s="94" t="s">
        <v>78</v>
      </c>
      <c r="J4" s="94" t="s">
        <v>78</v>
      </c>
      <c r="K4" s="94" t="s">
        <v>78</v>
      </c>
      <c r="L4" s="94" t="s">
        <v>78</v>
      </c>
      <c r="M4" s="94" t="s">
        <v>360</v>
      </c>
      <c r="N4" s="94" t="s">
        <v>353</v>
      </c>
      <c r="O4" s="94" t="s">
        <v>361</v>
      </c>
      <c r="P4" s="94" t="s">
        <v>189</v>
      </c>
      <c r="Q4" s="94" t="s">
        <v>83</v>
      </c>
      <c r="R4" s="94" t="s">
        <v>218</v>
      </c>
      <c r="S4" s="94" t="s">
        <v>95</v>
      </c>
      <c r="T4" s="94" t="s">
        <v>200</v>
      </c>
      <c r="U4" s="94" t="s">
        <v>201</v>
      </c>
    </row>
    <row r="5" customFormat="false" ht="46.25" hidden="false" customHeight="false" outlineLevel="0" collapsed="false">
      <c r="A5" s="93" t="s">
        <v>20</v>
      </c>
      <c r="B5" s="94" t="s">
        <v>21</v>
      </c>
      <c r="C5" s="94" t="s">
        <v>357</v>
      </c>
      <c r="D5" s="94" t="s">
        <v>1104</v>
      </c>
      <c r="E5" s="94" t="s">
        <v>1105</v>
      </c>
      <c r="F5" s="94" t="s">
        <v>1106</v>
      </c>
      <c r="G5" s="94" t="s">
        <v>1027</v>
      </c>
      <c r="H5" s="94" t="s">
        <v>359</v>
      </c>
      <c r="I5" s="94" t="s">
        <v>78</v>
      </c>
      <c r="J5" s="94" t="s">
        <v>78</v>
      </c>
      <c r="K5" s="94" t="s">
        <v>78</v>
      </c>
      <c r="L5" s="94" t="s">
        <v>78</v>
      </c>
      <c r="M5" s="94" t="s">
        <v>360</v>
      </c>
      <c r="N5" s="94" t="s">
        <v>353</v>
      </c>
      <c r="O5" s="94" t="s">
        <v>361</v>
      </c>
      <c r="P5" s="94" t="s">
        <v>189</v>
      </c>
      <c r="Q5" s="94" t="s">
        <v>83</v>
      </c>
      <c r="R5" s="94" t="s">
        <v>218</v>
      </c>
      <c r="S5" s="94" t="s">
        <v>95</v>
      </c>
      <c r="T5" s="94" t="s">
        <v>200</v>
      </c>
      <c r="U5" s="94" t="s">
        <v>201</v>
      </c>
    </row>
    <row r="6" customFormat="false" ht="46.25" hidden="false" customHeight="false" outlineLevel="0" collapsed="false">
      <c r="A6" s="93" t="s">
        <v>20</v>
      </c>
      <c r="B6" s="94" t="s">
        <v>21</v>
      </c>
      <c r="C6" s="94" t="s">
        <v>349</v>
      </c>
      <c r="D6" s="94" t="s">
        <v>1104</v>
      </c>
      <c r="E6" s="94" t="s">
        <v>1105</v>
      </c>
      <c r="F6" s="94" t="s">
        <v>1107</v>
      </c>
      <c r="G6" s="94" t="s">
        <v>1027</v>
      </c>
      <c r="H6" s="94" t="s">
        <v>1108</v>
      </c>
      <c r="I6" s="94" t="s">
        <v>78</v>
      </c>
      <c r="J6" s="94" t="s">
        <v>78</v>
      </c>
      <c r="K6" s="94" t="s">
        <v>78</v>
      </c>
      <c r="L6" s="94" t="s">
        <v>78</v>
      </c>
      <c r="M6" s="94" t="s">
        <v>352</v>
      </c>
      <c r="N6" s="94" t="s">
        <v>353</v>
      </c>
      <c r="O6" s="94" t="s">
        <v>361</v>
      </c>
      <c r="P6" s="94" t="s">
        <v>189</v>
      </c>
      <c r="Q6" s="94" t="s">
        <v>83</v>
      </c>
      <c r="R6" s="94" t="s">
        <v>218</v>
      </c>
      <c r="S6" s="94" t="s">
        <v>95</v>
      </c>
      <c r="T6" s="94" t="s">
        <v>1109</v>
      </c>
      <c r="U6" s="94" t="s">
        <v>201</v>
      </c>
    </row>
  </sheetData>
  <autoFilter ref="A1:U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70"/>
    <pageSetUpPr fitToPage="false"/>
  </sheetPr>
  <dimension ref="A1:U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4"/>
    <col collapsed="false" customWidth="true" hidden="false" outlineLevel="0" max="6" min="6" style="0" width="16"/>
    <col collapsed="false" customWidth="true" hidden="false" outlineLevel="0" max="7" min="7" style="0" width="11"/>
    <col collapsed="false" customWidth="true" hidden="false" outlineLevel="0" max="8" min="8" style="0" width="60"/>
    <col collapsed="false" customWidth="true" hidden="false" outlineLevel="0" max="9" min="9" style="0" width="22"/>
    <col collapsed="false" customWidth="true" hidden="false" outlineLevel="0" max="11" min="10" style="0" width="24"/>
    <col collapsed="false" customWidth="true" hidden="false" outlineLevel="0" max="12" min="12" style="0" width="26"/>
    <col collapsed="false" customWidth="true" hidden="false" outlineLevel="0" max="13" min="13" style="0" width="11"/>
    <col collapsed="false" customWidth="true" hidden="false" outlineLevel="0" max="14" min="14" style="0" width="20"/>
    <col collapsed="false" customWidth="true" hidden="false" outlineLevel="0" max="15" min="15" style="0" width="30"/>
    <col collapsed="false" customWidth="true" hidden="false" outlineLevel="0" max="16" min="16" style="0" width="16"/>
    <col collapsed="false" customWidth="true" hidden="false" outlineLevel="0" max="18" min="17" style="0" width="18"/>
    <col collapsed="false" customWidth="true" hidden="false" outlineLevel="0" max="19" min="19" style="0" width="12"/>
    <col collapsed="false" customWidth="true" hidden="false" outlineLevel="0" max="20" min="20" style="0" width="40"/>
    <col collapsed="false" customWidth="true" hidden="false" outlineLevel="0" max="21" min="21" style="0" width="45"/>
  </cols>
  <sheetData>
    <row r="1" customFormat="false" ht="68.65" hidden="false" customHeight="false" outlineLevel="0" collapsed="false">
      <c r="A1" s="128" t="s">
        <v>0</v>
      </c>
      <c r="B1" s="128" t="s">
        <v>51</v>
      </c>
      <c r="C1" s="128" t="s">
        <v>52</v>
      </c>
      <c r="D1" s="128" t="s">
        <v>53</v>
      </c>
      <c r="E1" s="128" t="s">
        <v>54</v>
      </c>
      <c r="F1" s="128" t="s">
        <v>55</v>
      </c>
      <c r="G1" s="128" t="s">
        <v>56</v>
      </c>
      <c r="H1" s="128" t="s">
        <v>57</v>
      </c>
      <c r="I1" s="128" t="s">
        <v>58</v>
      </c>
      <c r="J1" s="128" t="s">
        <v>59</v>
      </c>
      <c r="K1" s="128" t="s">
        <v>60</v>
      </c>
      <c r="L1" s="128" t="s">
        <v>61</v>
      </c>
      <c r="M1" s="128" t="s">
        <v>62</v>
      </c>
      <c r="N1" s="128" t="s">
        <v>63</v>
      </c>
      <c r="O1" s="128" t="s">
        <v>64</v>
      </c>
      <c r="P1" s="128" t="s">
        <v>65</v>
      </c>
      <c r="Q1" s="128" t="s">
        <v>66</v>
      </c>
      <c r="R1" s="128" t="s">
        <v>67</v>
      </c>
      <c r="S1" s="128" t="s">
        <v>68</v>
      </c>
      <c r="T1" s="128" t="s">
        <v>69</v>
      </c>
      <c r="U1" s="128" t="s">
        <v>70</v>
      </c>
    </row>
    <row r="2" customFormat="false" ht="57.45" hidden="false" customHeight="false" outlineLevel="0" collapsed="false">
      <c r="A2" s="95" t="s">
        <v>22</v>
      </c>
      <c r="B2" s="96" t="s">
        <v>23</v>
      </c>
      <c r="C2" s="96" t="s">
        <v>362</v>
      </c>
      <c r="D2" s="96" t="s">
        <v>363</v>
      </c>
      <c r="E2" s="96" t="s">
        <v>364</v>
      </c>
      <c r="F2" s="96" t="s">
        <v>365</v>
      </c>
      <c r="G2" s="96" t="s">
        <v>75</v>
      </c>
      <c r="H2" s="96" t="s">
        <v>366</v>
      </c>
      <c r="I2" s="96" t="s">
        <v>367</v>
      </c>
      <c r="J2" s="96" t="s">
        <v>78</v>
      </c>
      <c r="K2" s="96" t="s">
        <v>79</v>
      </c>
      <c r="L2" s="96" t="s">
        <v>80</v>
      </c>
      <c r="M2" s="96" t="s">
        <v>368</v>
      </c>
      <c r="N2" s="96" t="s">
        <v>118</v>
      </c>
      <c r="O2" s="96" t="s">
        <v>331</v>
      </c>
      <c r="P2" s="96" t="s">
        <v>189</v>
      </c>
      <c r="Q2" s="96" t="s">
        <v>83</v>
      </c>
      <c r="R2" s="96" t="s">
        <v>218</v>
      </c>
      <c r="S2" s="96" t="s">
        <v>121</v>
      </c>
      <c r="T2" s="96" t="s">
        <v>369</v>
      </c>
      <c r="U2" s="96" t="s">
        <v>191</v>
      </c>
    </row>
    <row r="3" customFormat="false" ht="57.45" hidden="false" customHeight="false" outlineLevel="0" collapsed="false">
      <c r="A3" s="95" t="s">
        <v>22</v>
      </c>
      <c r="B3" s="96" t="s">
        <v>23</v>
      </c>
      <c r="C3" s="96" t="s">
        <v>370</v>
      </c>
      <c r="D3" s="96" t="s">
        <v>363</v>
      </c>
      <c r="E3" s="96" t="s">
        <v>364</v>
      </c>
      <c r="F3" s="96" t="s">
        <v>371</v>
      </c>
      <c r="G3" s="96" t="s">
        <v>75</v>
      </c>
      <c r="H3" s="96" t="s">
        <v>372</v>
      </c>
      <c r="I3" s="96" t="s">
        <v>373</v>
      </c>
      <c r="J3" s="96" t="s">
        <v>374</v>
      </c>
      <c r="K3" s="96" t="s">
        <v>79</v>
      </c>
      <c r="L3" s="96" t="s">
        <v>375</v>
      </c>
      <c r="M3" s="96" t="s">
        <v>376</v>
      </c>
      <c r="N3" s="96" t="s">
        <v>118</v>
      </c>
      <c r="O3" s="96" t="s">
        <v>377</v>
      </c>
      <c r="P3" s="96" t="s">
        <v>189</v>
      </c>
      <c r="Q3" s="96" t="s">
        <v>378</v>
      </c>
      <c r="R3" s="96" t="s">
        <v>218</v>
      </c>
      <c r="S3" s="96" t="s">
        <v>121</v>
      </c>
      <c r="T3" s="96" t="s">
        <v>379</v>
      </c>
      <c r="U3" s="96" t="s">
        <v>356</v>
      </c>
    </row>
    <row r="4" customFormat="false" ht="57.45" hidden="false" customHeight="false" outlineLevel="0" collapsed="false">
      <c r="A4" s="95" t="s">
        <v>22</v>
      </c>
      <c r="B4" s="96" t="s">
        <v>23</v>
      </c>
      <c r="C4" s="96" t="s">
        <v>380</v>
      </c>
      <c r="D4" s="96" t="s">
        <v>363</v>
      </c>
      <c r="E4" s="96" t="s">
        <v>364</v>
      </c>
      <c r="F4" s="96" t="s">
        <v>381</v>
      </c>
      <c r="G4" s="96" t="s">
        <v>75</v>
      </c>
      <c r="H4" s="96" t="s">
        <v>382</v>
      </c>
      <c r="I4" s="96" t="s">
        <v>383</v>
      </c>
      <c r="J4" s="96" t="s">
        <v>78</v>
      </c>
      <c r="K4" s="96" t="s">
        <v>79</v>
      </c>
      <c r="L4" s="96" t="s">
        <v>173</v>
      </c>
      <c r="M4" s="96" t="s">
        <v>384</v>
      </c>
      <c r="N4" s="96"/>
      <c r="O4" s="96" t="s">
        <v>385</v>
      </c>
      <c r="P4" s="96" t="s">
        <v>189</v>
      </c>
      <c r="Q4" s="96" t="s">
        <v>83</v>
      </c>
      <c r="R4" s="96" t="s">
        <v>218</v>
      </c>
      <c r="S4" s="96" t="s">
        <v>121</v>
      </c>
      <c r="T4" s="96" t="s">
        <v>386</v>
      </c>
      <c r="U4" s="96" t="s">
        <v>191</v>
      </c>
    </row>
    <row r="5" customFormat="false" ht="57.45" hidden="false" customHeight="false" outlineLevel="0" collapsed="false">
      <c r="A5" s="95" t="s">
        <v>22</v>
      </c>
      <c r="B5" s="96" t="s">
        <v>23</v>
      </c>
      <c r="C5" s="96" t="s">
        <v>380</v>
      </c>
      <c r="D5" s="96" t="s">
        <v>363</v>
      </c>
      <c r="E5" s="96" t="s">
        <v>364</v>
      </c>
      <c r="F5" s="96" t="s">
        <v>387</v>
      </c>
      <c r="G5" s="96" t="s">
        <v>75</v>
      </c>
      <c r="H5" s="96" t="s">
        <v>388</v>
      </c>
      <c r="I5" s="96" t="s">
        <v>91</v>
      </c>
      <c r="J5" s="96" t="s">
        <v>78</v>
      </c>
      <c r="K5" s="96" t="s">
        <v>79</v>
      </c>
      <c r="L5" s="96" t="s">
        <v>80</v>
      </c>
      <c r="M5" s="96" t="s">
        <v>384</v>
      </c>
      <c r="N5" s="96"/>
      <c r="O5" s="96" t="s">
        <v>385</v>
      </c>
      <c r="P5" s="96" t="s">
        <v>189</v>
      </c>
      <c r="Q5" s="96" t="s">
        <v>83</v>
      </c>
      <c r="R5" s="96" t="s">
        <v>218</v>
      </c>
      <c r="S5" s="96" t="s">
        <v>121</v>
      </c>
      <c r="T5" s="96" t="s">
        <v>389</v>
      </c>
      <c r="U5" s="96" t="s">
        <v>191</v>
      </c>
    </row>
    <row r="6" customFormat="false" ht="57.45" hidden="false" customHeight="false" outlineLevel="0" collapsed="false">
      <c r="A6" s="95" t="s">
        <v>22</v>
      </c>
      <c r="B6" s="96" t="s">
        <v>23</v>
      </c>
      <c r="C6" s="96" t="s">
        <v>380</v>
      </c>
      <c r="D6" s="96" t="s">
        <v>1110</v>
      </c>
      <c r="E6" s="96" t="s">
        <v>1111</v>
      </c>
      <c r="F6" s="96" t="s">
        <v>1112</v>
      </c>
      <c r="G6" s="96" t="s">
        <v>1027</v>
      </c>
      <c r="H6" s="96" t="s">
        <v>1113</v>
      </c>
      <c r="I6" s="96" t="s">
        <v>1019</v>
      </c>
      <c r="J6" s="96" t="s">
        <v>78</v>
      </c>
      <c r="K6" s="96" t="s">
        <v>1114</v>
      </c>
      <c r="L6" s="96" t="s">
        <v>1115</v>
      </c>
      <c r="M6" s="96" t="s">
        <v>384</v>
      </c>
      <c r="N6" s="96"/>
      <c r="O6" s="96" t="s">
        <v>385</v>
      </c>
      <c r="P6" s="96" t="s">
        <v>189</v>
      </c>
      <c r="Q6" s="96" t="s">
        <v>83</v>
      </c>
      <c r="R6" s="96" t="s">
        <v>218</v>
      </c>
      <c r="S6" s="96" t="s">
        <v>121</v>
      </c>
      <c r="T6" s="96" t="s">
        <v>1116</v>
      </c>
      <c r="U6" s="96" t="s">
        <v>191</v>
      </c>
    </row>
    <row r="7" customFormat="false" ht="46.25" hidden="false" customHeight="false" outlineLevel="0" collapsed="false">
      <c r="A7" s="95" t="s">
        <v>22</v>
      </c>
      <c r="B7" s="96" t="s">
        <v>23</v>
      </c>
      <c r="C7" s="96" t="s">
        <v>362</v>
      </c>
      <c r="D7" s="96" t="s">
        <v>1110</v>
      </c>
      <c r="E7" s="96" t="s">
        <v>1111</v>
      </c>
      <c r="F7" s="96" t="s">
        <v>1117</v>
      </c>
      <c r="G7" s="96" t="s">
        <v>1027</v>
      </c>
      <c r="H7" s="96" t="s">
        <v>1118</v>
      </c>
      <c r="I7" s="96" t="s">
        <v>78</v>
      </c>
      <c r="J7" s="96" t="s">
        <v>78</v>
      </c>
      <c r="K7" s="96" t="s">
        <v>78</v>
      </c>
      <c r="L7" s="96" t="s">
        <v>78</v>
      </c>
      <c r="M7" s="96" t="s">
        <v>368</v>
      </c>
      <c r="N7" s="96" t="s">
        <v>118</v>
      </c>
      <c r="O7" s="96" t="s">
        <v>331</v>
      </c>
      <c r="P7" s="96" t="s">
        <v>189</v>
      </c>
      <c r="Q7" s="96" t="s">
        <v>83</v>
      </c>
      <c r="R7" s="96" t="s">
        <v>1103</v>
      </c>
      <c r="S7" s="96" t="s">
        <v>95</v>
      </c>
      <c r="T7" s="96" t="s">
        <v>200</v>
      </c>
      <c r="U7" s="96" t="s">
        <v>201</v>
      </c>
    </row>
    <row r="8" customFormat="false" ht="57.45" hidden="false" customHeight="false" outlineLevel="0" collapsed="false">
      <c r="A8" s="95" t="s">
        <v>22</v>
      </c>
      <c r="B8" s="96" t="s">
        <v>23</v>
      </c>
      <c r="C8" s="96" t="s">
        <v>370</v>
      </c>
      <c r="D8" s="96" t="s">
        <v>1110</v>
      </c>
      <c r="E8" s="96" t="s">
        <v>1111</v>
      </c>
      <c r="F8" s="96" t="s">
        <v>1119</v>
      </c>
      <c r="G8" s="96" t="s">
        <v>1027</v>
      </c>
      <c r="H8" s="96" t="s">
        <v>1120</v>
      </c>
      <c r="I8" s="96" t="s">
        <v>78</v>
      </c>
      <c r="J8" s="96" t="s">
        <v>78</v>
      </c>
      <c r="K8" s="96" t="s">
        <v>78</v>
      </c>
      <c r="L8" s="96" t="s">
        <v>78</v>
      </c>
      <c r="M8" s="96" t="s">
        <v>376</v>
      </c>
      <c r="N8" s="96" t="s">
        <v>118</v>
      </c>
      <c r="O8" s="96" t="s">
        <v>377</v>
      </c>
      <c r="P8" s="96" t="s">
        <v>189</v>
      </c>
      <c r="Q8" s="96" t="s">
        <v>378</v>
      </c>
      <c r="R8" s="96" t="s">
        <v>1121</v>
      </c>
      <c r="S8" s="96" t="s">
        <v>95</v>
      </c>
      <c r="T8" s="96" t="s">
        <v>200</v>
      </c>
      <c r="U8" s="96" t="s">
        <v>201</v>
      </c>
    </row>
  </sheetData>
  <autoFilter ref="A1:U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00"/>
    <pageSetUpPr fitToPage="false"/>
  </sheetPr>
  <dimension ref="A1:U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4"/>
    <col collapsed="false" customWidth="true" hidden="false" outlineLevel="0" max="6" min="6" style="0" width="16"/>
    <col collapsed="false" customWidth="true" hidden="false" outlineLevel="0" max="7" min="7" style="0" width="11"/>
    <col collapsed="false" customWidth="true" hidden="false" outlineLevel="0" max="8" min="8" style="0" width="60"/>
    <col collapsed="false" customWidth="true" hidden="false" outlineLevel="0" max="9" min="9" style="0" width="22"/>
    <col collapsed="false" customWidth="true" hidden="false" outlineLevel="0" max="11" min="10" style="0" width="24"/>
    <col collapsed="false" customWidth="true" hidden="false" outlineLevel="0" max="12" min="12" style="0" width="26"/>
    <col collapsed="false" customWidth="true" hidden="false" outlineLevel="0" max="13" min="13" style="0" width="11"/>
    <col collapsed="false" customWidth="true" hidden="false" outlineLevel="0" max="14" min="14" style="0" width="20"/>
    <col collapsed="false" customWidth="true" hidden="false" outlineLevel="0" max="15" min="15" style="0" width="30"/>
    <col collapsed="false" customWidth="true" hidden="false" outlineLevel="0" max="16" min="16" style="0" width="16"/>
    <col collapsed="false" customWidth="true" hidden="false" outlineLevel="0" max="18" min="17" style="0" width="18"/>
    <col collapsed="false" customWidth="true" hidden="false" outlineLevel="0" max="19" min="19" style="0" width="12"/>
    <col collapsed="false" customWidth="true" hidden="false" outlineLevel="0" max="20" min="20" style="0" width="40"/>
    <col collapsed="false" customWidth="true" hidden="false" outlineLevel="0" max="21" min="21" style="0" width="45"/>
  </cols>
  <sheetData>
    <row r="1" customFormat="false" ht="68.65" hidden="false" customHeight="false" outlineLevel="0" collapsed="false">
      <c r="A1" s="129" t="s">
        <v>0</v>
      </c>
      <c r="B1" s="129" t="s">
        <v>51</v>
      </c>
      <c r="C1" s="129" t="s">
        <v>52</v>
      </c>
      <c r="D1" s="129" t="s">
        <v>53</v>
      </c>
      <c r="E1" s="129" t="s">
        <v>54</v>
      </c>
      <c r="F1" s="129" t="s">
        <v>55</v>
      </c>
      <c r="G1" s="129" t="s">
        <v>56</v>
      </c>
      <c r="H1" s="129" t="s">
        <v>57</v>
      </c>
      <c r="I1" s="129" t="s">
        <v>58</v>
      </c>
      <c r="J1" s="129" t="s">
        <v>59</v>
      </c>
      <c r="K1" s="129" t="s">
        <v>60</v>
      </c>
      <c r="L1" s="129" t="s">
        <v>61</v>
      </c>
      <c r="M1" s="129" t="s">
        <v>62</v>
      </c>
      <c r="N1" s="129" t="s">
        <v>63</v>
      </c>
      <c r="O1" s="129" t="s">
        <v>64</v>
      </c>
      <c r="P1" s="129" t="s">
        <v>65</v>
      </c>
      <c r="Q1" s="129" t="s">
        <v>66</v>
      </c>
      <c r="R1" s="129" t="s">
        <v>67</v>
      </c>
      <c r="S1" s="129" t="s">
        <v>68</v>
      </c>
      <c r="T1" s="129" t="s">
        <v>69</v>
      </c>
      <c r="U1" s="129" t="s">
        <v>70</v>
      </c>
    </row>
    <row r="2" customFormat="false" ht="57.45" hidden="false" customHeight="false" outlineLevel="0" collapsed="false">
      <c r="A2" s="97" t="s">
        <v>24</v>
      </c>
      <c r="B2" s="98" t="s">
        <v>25</v>
      </c>
      <c r="C2" s="98" t="s">
        <v>390</v>
      </c>
      <c r="D2" s="98" t="s">
        <v>391</v>
      </c>
      <c r="E2" s="98" t="s">
        <v>392</v>
      </c>
      <c r="F2" s="98" t="s">
        <v>393</v>
      </c>
      <c r="G2" s="98" t="s">
        <v>75</v>
      </c>
      <c r="H2" s="98" t="s">
        <v>394</v>
      </c>
      <c r="I2" s="98" t="s">
        <v>395</v>
      </c>
      <c r="J2" s="98" t="s">
        <v>78</v>
      </c>
      <c r="K2" s="98" t="s">
        <v>79</v>
      </c>
      <c r="L2" s="98" t="s">
        <v>80</v>
      </c>
      <c r="M2" s="98" t="s">
        <v>396</v>
      </c>
      <c r="N2" s="98" t="s">
        <v>344</v>
      </c>
      <c r="O2" s="98" t="s">
        <v>397</v>
      </c>
      <c r="P2" s="98" t="s">
        <v>189</v>
      </c>
      <c r="Q2" s="98" t="s">
        <v>83</v>
      </c>
      <c r="R2" s="98" t="s">
        <v>218</v>
      </c>
      <c r="S2" s="98" t="s">
        <v>121</v>
      </c>
      <c r="T2" s="98" t="s">
        <v>398</v>
      </c>
      <c r="U2" s="98" t="s">
        <v>191</v>
      </c>
    </row>
    <row r="3" customFormat="false" ht="68.65" hidden="false" customHeight="false" outlineLevel="0" collapsed="false">
      <c r="A3" s="97" t="s">
        <v>24</v>
      </c>
      <c r="B3" s="98" t="s">
        <v>25</v>
      </c>
      <c r="C3" s="98" t="s">
        <v>399</v>
      </c>
      <c r="D3" s="98" t="s">
        <v>391</v>
      </c>
      <c r="E3" s="98" t="s">
        <v>392</v>
      </c>
      <c r="F3" s="98" t="s">
        <v>400</v>
      </c>
      <c r="G3" s="98" t="s">
        <v>75</v>
      </c>
      <c r="H3" s="98" t="s">
        <v>401</v>
      </c>
      <c r="I3" s="98" t="s">
        <v>402</v>
      </c>
      <c r="J3" s="98" t="s">
        <v>78</v>
      </c>
      <c r="K3" s="98" t="s">
        <v>79</v>
      </c>
      <c r="L3" s="98" t="s">
        <v>403</v>
      </c>
      <c r="M3" s="98" t="s">
        <v>404</v>
      </c>
      <c r="N3" s="98" t="s">
        <v>405</v>
      </c>
      <c r="O3" s="98" t="s">
        <v>406</v>
      </c>
      <c r="P3" s="98" t="s">
        <v>407</v>
      </c>
      <c r="Q3" s="98" t="s">
        <v>83</v>
      </c>
      <c r="R3" s="98" t="s">
        <v>408</v>
      </c>
      <c r="S3" s="98" t="s">
        <v>121</v>
      </c>
      <c r="T3" s="98" t="s">
        <v>409</v>
      </c>
      <c r="U3" s="98" t="s">
        <v>191</v>
      </c>
    </row>
    <row r="4" customFormat="false" ht="57.45" hidden="false" customHeight="false" outlineLevel="0" collapsed="false">
      <c r="A4" s="97" t="s">
        <v>24</v>
      </c>
      <c r="B4" s="98" t="s">
        <v>25</v>
      </c>
      <c r="C4" s="98" t="s">
        <v>399</v>
      </c>
      <c r="D4" s="98" t="s">
        <v>391</v>
      </c>
      <c r="E4" s="98" t="s">
        <v>392</v>
      </c>
      <c r="F4" s="98" t="s">
        <v>410</v>
      </c>
      <c r="G4" s="98" t="s">
        <v>75</v>
      </c>
      <c r="H4" s="98" t="s">
        <v>411</v>
      </c>
      <c r="I4" s="98" t="s">
        <v>186</v>
      </c>
      <c r="J4" s="98" t="s">
        <v>78</v>
      </c>
      <c r="K4" s="98" t="s">
        <v>79</v>
      </c>
      <c r="L4" s="98" t="s">
        <v>80</v>
      </c>
      <c r="M4" s="98" t="s">
        <v>404</v>
      </c>
      <c r="N4" s="98" t="s">
        <v>405</v>
      </c>
      <c r="O4" s="98" t="s">
        <v>406</v>
      </c>
      <c r="P4" s="98" t="s">
        <v>407</v>
      </c>
      <c r="Q4" s="98" t="s">
        <v>83</v>
      </c>
      <c r="R4" s="98" t="s">
        <v>408</v>
      </c>
      <c r="S4" s="98" t="s">
        <v>121</v>
      </c>
      <c r="T4" s="98" t="s">
        <v>412</v>
      </c>
      <c r="U4" s="98" t="s">
        <v>191</v>
      </c>
    </row>
    <row r="5" customFormat="false" ht="57.45" hidden="false" customHeight="false" outlineLevel="0" collapsed="false">
      <c r="A5" s="97" t="s">
        <v>24</v>
      </c>
      <c r="B5" s="98" t="s">
        <v>25</v>
      </c>
      <c r="C5" s="98" t="s">
        <v>390</v>
      </c>
      <c r="D5" s="98" t="s">
        <v>1122</v>
      </c>
      <c r="E5" s="98" t="s">
        <v>1123</v>
      </c>
      <c r="F5" s="98" t="s">
        <v>1124</v>
      </c>
      <c r="G5" s="98" t="s">
        <v>1017</v>
      </c>
      <c r="H5" s="98" t="s">
        <v>1125</v>
      </c>
      <c r="I5" s="98" t="s">
        <v>1019</v>
      </c>
      <c r="J5" s="98" t="s">
        <v>78</v>
      </c>
      <c r="K5" s="98" t="s">
        <v>78</v>
      </c>
      <c r="L5" s="98" t="s">
        <v>78</v>
      </c>
      <c r="M5" s="98" t="s">
        <v>396</v>
      </c>
      <c r="N5" s="98" t="s">
        <v>344</v>
      </c>
      <c r="O5" s="98" t="s">
        <v>397</v>
      </c>
      <c r="P5" s="98" t="s">
        <v>189</v>
      </c>
      <c r="Q5" s="98" t="s">
        <v>83</v>
      </c>
      <c r="R5" s="98" t="s">
        <v>218</v>
      </c>
      <c r="S5" s="98" t="s">
        <v>121</v>
      </c>
      <c r="T5" s="98" t="s">
        <v>1126</v>
      </c>
      <c r="U5" s="98" t="s">
        <v>191</v>
      </c>
    </row>
    <row r="6" customFormat="false" ht="79.85" hidden="false" customHeight="false" outlineLevel="0" collapsed="false">
      <c r="A6" s="97" t="s">
        <v>24</v>
      </c>
      <c r="B6" s="98" t="s">
        <v>25</v>
      </c>
      <c r="C6" s="98" t="s">
        <v>399</v>
      </c>
      <c r="D6" s="98" t="s">
        <v>1122</v>
      </c>
      <c r="E6" s="98" t="s">
        <v>1123</v>
      </c>
      <c r="F6" s="98" t="s">
        <v>1127</v>
      </c>
      <c r="G6" s="98" t="s">
        <v>1017</v>
      </c>
      <c r="H6" s="98" t="s">
        <v>1128</v>
      </c>
      <c r="I6" s="98" t="s">
        <v>1019</v>
      </c>
      <c r="J6" s="98" t="s">
        <v>78</v>
      </c>
      <c r="K6" s="98" t="s">
        <v>78</v>
      </c>
      <c r="L6" s="98" t="s">
        <v>1031</v>
      </c>
      <c r="M6" s="98" t="s">
        <v>404</v>
      </c>
      <c r="N6" s="98" t="s">
        <v>405</v>
      </c>
      <c r="O6" s="98" t="s">
        <v>406</v>
      </c>
      <c r="P6" s="98" t="s">
        <v>407</v>
      </c>
      <c r="Q6" s="98" t="s">
        <v>83</v>
      </c>
      <c r="R6" s="98" t="s">
        <v>408</v>
      </c>
      <c r="S6" s="98" t="s">
        <v>121</v>
      </c>
      <c r="T6" s="98" t="s">
        <v>1129</v>
      </c>
      <c r="U6" s="98" t="s">
        <v>191</v>
      </c>
    </row>
    <row r="7" customFormat="false" ht="68.65" hidden="false" customHeight="false" outlineLevel="0" collapsed="false">
      <c r="A7" s="97" t="s">
        <v>24</v>
      </c>
      <c r="B7" s="98" t="s">
        <v>25</v>
      </c>
      <c r="C7" s="98" t="s">
        <v>399</v>
      </c>
      <c r="D7" s="98" t="s">
        <v>1122</v>
      </c>
      <c r="E7" s="98" t="s">
        <v>1123</v>
      </c>
      <c r="F7" s="98" t="s">
        <v>1130</v>
      </c>
      <c r="G7" s="98" t="s">
        <v>1027</v>
      </c>
      <c r="H7" s="98" t="s">
        <v>401</v>
      </c>
      <c r="I7" s="98" t="s">
        <v>1073</v>
      </c>
      <c r="J7" s="98" t="s">
        <v>78</v>
      </c>
      <c r="K7" s="98" t="s">
        <v>78</v>
      </c>
      <c r="L7" s="98" t="s">
        <v>1064</v>
      </c>
      <c r="M7" s="98" t="s">
        <v>404</v>
      </c>
      <c r="N7" s="98" t="s">
        <v>405</v>
      </c>
      <c r="O7" s="98" t="s">
        <v>406</v>
      </c>
      <c r="P7" s="98" t="s">
        <v>407</v>
      </c>
      <c r="Q7" s="98" t="s">
        <v>83</v>
      </c>
      <c r="R7" s="98" t="s">
        <v>408</v>
      </c>
      <c r="S7" s="98" t="s">
        <v>121</v>
      </c>
      <c r="T7" s="98" t="s">
        <v>409</v>
      </c>
      <c r="U7" s="98" t="s">
        <v>191</v>
      </c>
    </row>
  </sheetData>
  <autoFilter ref="A1:U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F3F9F"/>
    <pageSetUpPr fitToPage="false"/>
  </sheetPr>
  <dimension ref="A1:U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4"/>
    <col collapsed="false" customWidth="true" hidden="false" outlineLevel="0" max="6" min="6" style="0" width="16"/>
    <col collapsed="false" customWidth="true" hidden="false" outlineLevel="0" max="7" min="7" style="0" width="11"/>
    <col collapsed="false" customWidth="true" hidden="false" outlineLevel="0" max="8" min="8" style="0" width="60"/>
    <col collapsed="false" customWidth="true" hidden="false" outlineLevel="0" max="9" min="9" style="0" width="22"/>
    <col collapsed="false" customWidth="true" hidden="false" outlineLevel="0" max="11" min="10" style="0" width="24"/>
    <col collapsed="false" customWidth="true" hidden="false" outlineLevel="0" max="12" min="12" style="0" width="26"/>
    <col collapsed="false" customWidth="true" hidden="false" outlineLevel="0" max="13" min="13" style="0" width="11"/>
    <col collapsed="false" customWidth="true" hidden="false" outlineLevel="0" max="14" min="14" style="0" width="20"/>
    <col collapsed="false" customWidth="true" hidden="false" outlineLevel="0" max="15" min="15" style="0" width="30"/>
    <col collapsed="false" customWidth="true" hidden="false" outlineLevel="0" max="16" min="16" style="0" width="16"/>
    <col collapsed="false" customWidth="true" hidden="false" outlineLevel="0" max="18" min="17" style="0" width="18"/>
    <col collapsed="false" customWidth="true" hidden="false" outlineLevel="0" max="19" min="19" style="0" width="12"/>
    <col collapsed="false" customWidth="true" hidden="false" outlineLevel="0" max="20" min="20" style="0" width="40"/>
    <col collapsed="false" customWidth="true" hidden="false" outlineLevel="0" max="21" min="21" style="0" width="45"/>
  </cols>
  <sheetData>
    <row r="1" customFormat="false" ht="68.65" hidden="false" customHeight="false" outlineLevel="0" collapsed="false">
      <c r="A1" s="130" t="s">
        <v>0</v>
      </c>
      <c r="B1" s="130" t="s">
        <v>51</v>
      </c>
      <c r="C1" s="130" t="s">
        <v>52</v>
      </c>
      <c r="D1" s="130" t="s">
        <v>53</v>
      </c>
      <c r="E1" s="130" t="s">
        <v>54</v>
      </c>
      <c r="F1" s="130" t="s">
        <v>55</v>
      </c>
      <c r="G1" s="130" t="s">
        <v>56</v>
      </c>
      <c r="H1" s="130" t="s">
        <v>57</v>
      </c>
      <c r="I1" s="130" t="s">
        <v>58</v>
      </c>
      <c r="J1" s="130" t="s">
        <v>59</v>
      </c>
      <c r="K1" s="130" t="s">
        <v>60</v>
      </c>
      <c r="L1" s="130" t="s">
        <v>61</v>
      </c>
      <c r="M1" s="130" t="s">
        <v>62</v>
      </c>
      <c r="N1" s="130" t="s">
        <v>63</v>
      </c>
      <c r="O1" s="130" t="s">
        <v>64</v>
      </c>
      <c r="P1" s="130" t="s">
        <v>65</v>
      </c>
      <c r="Q1" s="130" t="s">
        <v>66</v>
      </c>
      <c r="R1" s="130" t="s">
        <v>67</v>
      </c>
      <c r="S1" s="130" t="s">
        <v>68</v>
      </c>
      <c r="T1" s="130" t="s">
        <v>69</v>
      </c>
      <c r="U1" s="130" t="s">
        <v>70</v>
      </c>
    </row>
    <row r="2" customFormat="false" ht="57.45" hidden="false" customHeight="false" outlineLevel="0" collapsed="false">
      <c r="A2" s="99" t="s">
        <v>26</v>
      </c>
      <c r="B2" s="100" t="s">
        <v>27</v>
      </c>
      <c r="C2" s="100" t="s">
        <v>413</v>
      </c>
      <c r="D2" s="100" t="s">
        <v>414</v>
      </c>
      <c r="E2" s="100" t="s">
        <v>415</v>
      </c>
      <c r="F2" s="100" t="s">
        <v>416</v>
      </c>
      <c r="G2" s="100" t="s">
        <v>75</v>
      </c>
      <c r="H2" s="100" t="s">
        <v>417</v>
      </c>
      <c r="I2" s="100" t="s">
        <v>181</v>
      </c>
      <c r="J2" s="100" t="s">
        <v>78</v>
      </c>
      <c r="K2" s="100" t="s">
        <v>79</v>
      </c>
      <c r="L2" s="100" t="s">
        <v>80</v>
      </c>
      <c r="M2" s="100" t="s">
        <v>418</v>
      </c>
      <c r="N2" s="100" t="s">
        <v>118</v>
      </c>
      <c r="O2" s="100" t="s">
        <v>331</v>
      </c>
      <c r="P2" s="100" t="s">
        <v>189</v>
      </c>
      <c r="Q2" s="100" t="s">
        <v>419</v>
      </c>
      <c r="R2" s="100" t="s">
        <v>218</v>
      </c>
      <c r="S2" s="100" t="s">
        <v>121</v>
      </c>
      <c r="T2" s="100" t="s">
        <v>420</v>
      </c>
      <c r="U2" s="100" t="s">
        <v>191</v>
      </c>
    </row>
    <row r="3" customFormat="false" ht="68.65" hidden="false" customHeight="false" outlineLevel="0" collapsed="false">
      <c r="A3" s="99" t="s">
        <v>26</v>
      </c>
      <c r="B3" s="100" t="s">
        <v>27</v>
      </c>
      <c r="C3" s="100" t="s">
        <v>413</v>
      </c>
      <c r="D3" s="100" t="s">
        <v>414</v>
      </c>
      <c r="E3" s="100" t="s">
        <v>415</v>
      </c>
      <c r="F3" s="100" t="s">
        <v>421</v>
      </c>
      <c r="G3" s="100" t="s">
        <v>75</v>
      </c>
      <c r="H3" s="100" t="s">
        <v>422</v>
      </c>
      <c r="I3" s="100" t="s">
        <v>91</v>
      </c>
      <c r="J3" s="100" t="s">
        <v>78</v>
      </c>
      <c r="K3" s="100" t="s">
        <v>79</v>
      </c>
      <c r="L3" s="100" t="s">
        <v>423</v>
      </c>
      <c r="M3" s="100" t="s">
        <v>418</v>
      </c>
      <c r="N3" s="100" t="s">
        <v>118</v>
      </c>
      <c r="O3" s="100" t="s">
        <v>331</v>
      </c>
      <c r="P3" s="100" t="s">
        <v>189</v>
      </c>
      <c r="Q3" s="100" t="s">
        <v>419</v>
      </c>
      <c r="R3" s="100" t="s">
        <v>218</v>
      </c>
      <c r="S3" s="100" t="s">
        <v>121</v>
      </c>
      <c r="T3" s="100" t="s">
        <v>424</v>
      </c>
      <c r="U3" s="100" t="s">
        <v>191</v>
      </c>
    </row>
    <row r="4" customFormat="false" ht="57.45" hidden="false" customHeight="false" outlineLevel="0" collapsed="false">
      <c r="A4" s="99" t="s">
        <v>26</v>
      </c>
      <c r="B4" s="100" t="s">
        <v>27</v>
      </c>
      <c r="C4" s="100" t="s">
        <v>413</v>
      </c>
      <c r="D4" s="100" t="s">
        <v>414</v>
      </c>
      <c r="E4" s="100" t="s">
        <v>415</v>
      </c>
      <c r="F4" s="100" t="s">
        <v>425</v>
      </c>
      <c r="G4" s="100" t="s">
        <v>75</v>
      </c>
      <c r="H4" s="100" t="s">
        <v>426</v>
      </c>
      <c r="I4" s="100" t="s">
        <v>427</v>
      </c>
      <c r="J4" s="100" t="s">
        <v>78</v>
      </c>
      <c r="K4" s="100" t="s">
        <v>79</v>
      </c>
      <c r="L4" s="100" t="s">
        <v>80</v>
      </c>
      <c r="M4" s="100" t="s">
        <v>418</v>
      </c>
      <c r="N4" s="100" t="s">
        <v>118</v>
      </c>
      <c r="O4" s="100" t="s">
        <v>331</v>
      </c>
      <c r="P4" s="100" t="s">
        <v>189</v>
      </c>
      <c r="Q4" s="100" t="s">
        <v>419</v>
      </c>
      <c r="R4" s="100" t="s">
        <v>218</v>
      </c>
      <c r="S4" s="100" t="s">
        <v>121</v>
      </c>
      <c r="T4" s="100" t="s">
        <v>428</v>
      </c>
      <c r="U4" s="100" t="s">
        <v>191</v>
      </c>
    </row>
    <row r="5" customFormat="false" ht="68.65" hidden="false" customHeight="false" outlineLevel="0" collapsed="false">
      <c r="A5" s="99" t="s">
        <v>26</v>
      </c>
      <c r="B5" s="100" t="s">
        <v>27</v>
      </c>
      <c r="C5" s="100" t="s">
        <v>429</v>
      </c>
      <c r="D5" s="100" t="s">
        <v>414</v>
      </c>
      <c r="E5" s="100" t="s">
        <v>415</v>
      </c>
      <c r="F5" s="100" t="s">
        <v>430</v>
      </c>
      <c r="G5" s="100" t="s">
        <v>75</v>
      </c>
      <c r="H5" s="100" t="s">
        <v>431</v>
      </c>
      <c r="I5" s="100" t="s">
        <v>91</v>
      </c>
      <c r="J5" s="100" t="s">
        <v>78</v>
      </c>
      <c r="K5" s="100" t="s">
        <v>79</v>
      </c>
      <c r="L5" s="100" t="s">
        <v>80</v>
      </c>
      <c r="M5" s="100" t="s">
        <v>432</v>
      </c>
      <c r="N5" s="100"/>
      <c r="O5" s="100" t="s">
        <v>82</v>
      </c>
      <c r="P5" s="100" t="s">
        <v>78</v>
      </c>
      <c r="Q5" s="100" t="s">
        <v>83</v>
      </c>
      <c r="R5" s="100" t="s">
        <v>94</v>
      </c>
      <c r="S5" s="100" t="s">
        <v>85</v>
      </c>
      <c r="T5" s="100" t="s">
        <v>433</v>
      </c>
      <c r="U5" s="100" t="s">
        <v>97</v>
      </c>
    </row>
    <row r="6" customFormat="false" ht="57.45" hidden="false" customHeight="false" outlineLevel="0" collapsed="false">
      <c r="A6" s="99" t="s">
        <v>26</v>
      </c>
      <c r="B6" s="100" t="s">
        <v>27</v>
      </c>
      <c r="C6" s="100" t="s">
        <v>429</v>
      </c>
      <c r="D6" s="100" t="s">
        <v>414</v>
      </c>
      <c r="E6" s="100" t="s">
        <v>415</v>
      </c>
      <c r="F6" s="100" t="s">
        <v>434</v>
      </c>
      <c r="G6" s="100" t="s">
        <v>75</v>
      </c>
      <c r="H6" s="100" t="s">
        <v>435</v>
      </c>
      <c r="I6" s="100" t="s">
        <v>91</v>
      </c>
      <c r="J6" s="100" t="s">
        <v>78</v>
      </c>
      <c r="K6" s="100" t="s">
        <v>79</v>
      </c>
      <c r="L6" s="100" t="s">
        <v>80</v>
      </c>
      <c r="M6" s="100" t="s">
        <v>432</v>
      </c>
      <c r="N6" s="100"/>
      <c r="O6" s="100" t="s">
        <v>82</v>
      </c>
      <c r="P6" s="100" t="s">
        <v>78</v>
      </c>
      <c r="Q6" s="100" t="s">
        <v>83</v>
      </c>
      <c r="R6" s="100" t="s">
        <v>94</v>
      </c>
      <c r="S6" s="100" t="s">
        <v>85</v>
      </c>
      <c r="T6" s="100" t="s">
        <v>436</v>
      </c>
      <c r="U6" s="100" t="s">
        <v>97</v>
      </c>
    </row>
    <row r="7" customFormat="false" ht="46.25" hidden="false" customHeight="false" outlineLevel="0" collapsed="false">
      <c r="A7" s="99" t="s">
        <v>26</v>
      </c>
      <c r="B7" s="100" t="s">
        <v>27</v>
      </c>
      <c r="C7" s="100" t="s">
        <v>413</v>
      </c>
      <c r="D7" s="100" t="s">
        <v>1131</v>
      </c>
      <c r="E7" s="100" t="s">
        <v>1132</v>
      </c>
      <c r="F7" s="100" t="s">
        <v>1133</v>
      </c>
      <c r="G7" s="100" t="s">
        <v>1027</v>
      </c>
      <c r="H7" s="100" t="s">
        <v>1134</v>
      </c>
      <c r="I7" s="100" t="s">
        <v>78</v>
      </c>
      <c r="J7" s="100" t="s">
        <v>78</v>
      </c>
      <c r="K7" s="100" t="s">
        <v>78</v>
      </c>
      <c r="L7" s="100" t="s">
        <v>78</v>
      </c>
      <c r="M7" s="100" t="s">
        <v>418</v>
      </c>
      <c r="N7" s="100" t="s">
        <v>118</v>
      </c>
      <c r="O7" s="100" t="s">
        <v>331</v>
      </c>
      <c r="P7" s="100" t="s">
        <v>189</v>
      </c>
      <c r="Q7" s="100" t="s">
        <v>419</v>
      </c>
      <c r="R7" s="100" t="s">
        <v>1103</v>
      </c>
      <c r="S7" s="100" t="s">
        <v>95</v>
      </c>
      <c r="T7" s="100" t="s">
        <v>200</v>
      </c>
      <c r="U7" s="100" t="s">
        <v>201</v>
      </c>
    </row>
  </sheetData>
  <autoFilter ref="A1:U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U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4"/>
    <col collapsed="false" customWidth="true" hidden="false" outlineLevel="0" max="6" min="6" style="0" width="16"/>
    <col collapsed="false" customWidth="true" hidden="false" outlineLevel="0" max="7" min="7" style="0" width="11"/>
    <col collapsed="false" customWidth="true" hidden="false" outlineLevel="0" max="8" min="8" style="0" width="60"/>
    <col collapsed="false" customWidth="true" hidden="false" outlineLevel="0" max="9" min="9" style="0" width="22"/>
    <col collapsed="false" customWidth="true" hidden="false" outlineLevel="0" max="11" min="10" style="0" width="24"/>
    <col collapsed="false" customWidth="true" hidden="false" outlineLevel="0" max="12" min="12" style="0" width="26"/>
    <col collapsed="false" customWidth="true" hidden="false" outlineLevel="0" max="13" min="13" style="0" width="11"/>
    <col collapsed="false" customWidth="true" hidden="false" outlineLevel="0" max="14" min="14" style="0" width="20"/>
    <col collapsed="false" customWidth="true" hidden="false" outlineLevel="0" max="15" min="15" style="0" width="30"/>
    <col collapsed="false" customWidth="true" hidden="false" outlineLevel="0" max="16" min="16" style="0" width="16"/>
    <col collapsed="false" customWidth="true" hidden="false" outlineLevel="0" max="18" min="17" style="0" width="18"/>
    <col collapsed="false" customWidth="true" hidden="false" outlineLevel="0" max="19" min="19" style="0" width="12"/>
    <col collapsed="false" customWidth="true" hidden="false" outlineLevel="0" max="20" min="20" style="0" width="40"/>
    <col collapsed="false" customWidth="true" hidden="false" outlineLevel="0" max="21" min="21" style="0" width="45"/>
  </cols>
  <sheetData>
    <row r="1" customFormat="false" ht="68.65" hidden="false" customHeight="false" outlineLevel="0" collapsed="false">
      <c r="A1" s="131" t="s">
        <v>0</v>
      </c>
      <c r="B1" s="131" t="s">
        <v>51</v>
      </c>
      <c r="C1" s="131" t="s">
        <v>52</v>
      </c>
      <c r="D1" s="131" t="s">
        <v>53</v>
      </c>
      <c r="E1" s="131" t="s">
        <v>54</v>
      </c>
      <c r="F1" s="131" t="s">
        <v>55</v>
      </c>
      <c r="G1" s="131" t="s">
        <v>56</v>
      </c>
      <c r="H1" s="131" t="s">
        <v>57</v>
      </c>
      <c r="I1" s="131" t="s">
        <v>58</v>
      </c>
      <c r="J1" s="131" t="s">
        <v>59</v>
      </c>
      <c r="K1" s="131" t="s">
        <v>60</v>
      </c>
      <c r="L1" s="131" t="s">
        <v>61</v>
      </c>
      <c r="M1" s="131" t="s">
        <v>62</v>
      </c>
      <c r="N1" s="131" t="s">
        <v>63</v>
      </c>
      <c r="O1" s="131" t="s">
        <v>64</v>
      </c>
      <c r="P1" s="131" t="s">
        <v>65</v>
      </c>
      <c r="Q1" s="131" t="s">
        <v>66</v>
      </c>
      <c r="R1" s="131" t="s">
        <v>67</v>
      </c>
      <c r="S1" s="131" t="s">
        <v>68</v>
      </c>
      <c r="T1" s="131" t="s">
        <v>69</v>
      </c>
      <c r="U1" s="131" t="s">
        <v>70</v>
      </c>
    </row>
    <row r="2" customFormat="false" ht="158.2" hidden="false" customHeight="false" outlineLevel="0" collapsed="false">
      <c r="A2" s="101" t="s">
        <v>28</v>
      </c>
      <c r="B2" s="102" t="s">
        <v>29</v>
      </c>
      <c r="C2" s="102" t="s">
        <v>437</v>
      </c>
      <c r="D2" s="102" t="s">
        <v>438</v>
      </c>
      <c r="E2" s="102" t="s">
        <v>439</v>
      </c>
      <c r="F2" s="102" t="s">
        <v>440</v>
      </c>
      <c r="G2" s="102" t="s">
        <v>75</v>
      </c>
      <c r="H2" s="102" t="s">
        <v>441</v>
      </c>
      <c r="I2" s="102" t="s">
        <v>367</v>
      </c>
      <c r="J2" s="102" t="s">
        <v>78</v>
      </c>
      <c r="K2" s="102" t="s">
        <v>79</v>
      </c>
      <c r="L2" s="102" t="s">
        <v>80</v>
      </c>
      <c r="M2" s="102"/>
      <c r="N2" s="102" t="s">
        <v>442</v>
      </c>
      <c r="O2" s="102" t="s">
        <v>443</v>
      </c>
      <c r="P2" s="102" t="s">
        <v>444</v>
      </c>
      <c r="Q2" s="102" t="s">
        <v>83</v>
      </c>
      <c r="R2" s="102" t="s">
        <v>408</v>
      </c>
      <c r="S2" s="102" t="s">
        <v>121</v>
      </c>
      <c r="T2" s="102" t="s">
        <v>445</v>
      </c>
      <c r="U2" s="102" t="s">
        <v>446</v>
      </c>
    </row>
    <row r="3" customFormat="false" ht="359.7" hidden="false" customHeight="false" outlineLevel="0" collapsed="false">
      <c r="A3" s="101" t="s">
        <v>28</v>
      </c>
      <c r="B3" s="102" t="s">
        <v>29</v>
      </c>
      <c r="C3" s="102" t="s">
        <v>447</v>
      </c>
      <c r="D3" s="102" t="s">
        <v>438</v>
      </c>
      <c r="E3" s="102" t="s">
        <v>439</v>
      </c>
      <c r="F3" s="102" t="s">
        <v>448</v>
      </c>
      <c r="G3" s="102" t="s">
        <v>75</v>
      </c>
      <c r="H3" s="102" t="s">
        <v>449</v>
      </c>
      <c r="I3" s="102" t="s">
        <v>450</v>
      </c>
      <c r="J3" s="102" t="s">
        <v>78</v>
      </c>
      <c r="K3" s="102" t="s">
        <v>79</v>
      </c>
      <c r="L3" s="102" t="s">
        <v>173</v>
      </c>
      <c r="M3" s="102"/>
      <c r="N3" s="102" t="s">
        <v>451</v>
      </c>
      <c r="O3" s="102" t="s">
        <v>452</v>
      </c>
      <c r="P3" s="102" t="s">
        <v>453</v>
      </c>
      <c r="Q3" s="102" t="s">
        <v>83</v>
      </c>
      <c r="R3" s="102" t="s">
        <v>408</v>
      </c>
      <c r="S3" s="102" t="s">
        <v>121</v>
      </c>
      <c r="T3" s="102" t="s">
        <v>454</v>
      </c>
      <c r="U3" s="102" t="s">
        <v>249</v>
      </c>
    </row>
    <row r="4" customFormat="false" ht="57.45" hidden="false" customHeight="false" outlineLevel="0" collapsed="false">
      <c r="A4" s="101" t="s">
        <v>28</v>
      </c>
      <c r="B4" s="102" t="s">
        <v>29</v>
      </c>
      <c r="C4" s="102" t="s">
        <v>455</v>
      </c>
      <c r="D4" s="102" t="s">
        <v>438</v>
      </c>
      <c r="E4" s="102" t="s">
        <v>439</v>
      </c>
      <c r="F4" s="102" t="s">
        <v>456</v>
      </c>
      <c r="G4" s="102" t="s">
        <v>75</v>
      </c>
      <c r="H4" s="102" t="s">
        <v>457</v>
      </c>
      <c r="I4" s="102" t="s">
        <v>458</v>
      </c>
      <c r="J4" s="102" t="s">
        <v>78</v>
      </c>
      <c r="K4" s="102" t="s">
        <v>79</v>
      </c>
      <c r="L4" s="102" t="s">
        <v>423</v>
      </c>
      <c r="M4" s="102" t="s">
        <v>459</v>
      </c>
      <c r="N4" s="102"/>
      <c r="O4" s="102" t="s">
        <v>460</v>
      </c>
      <c r="P4" s="102" t="s">
        <v>189</v>
      </c>
      <c r="Q4" s="102" t="s">
        <v>83</v>
      </c>
      <c r="R4" s="102" t="s">
        <v>408</v>
      </c>
      <c r="S4" s="102" t="s">
        <v>121</v>
      </c>
      <c r="T4" s="102" t="s">
        <v>461</v>
      </c>
      <c r="U4" s="102" t="s">
        <v>300</v>
      </c>
    </row>
    <row r="5" customFormat="false" ht="79.85" hidden="false" customHeight="false" outlineLevel="0" collapsed="false">
      <c r="A5" s="101" t="s">
        <v>28</v>
      </c>
      <c r="B5" s="102" t="s">
        <v>29</v>
      </c>
      <c r="C5" s="102" t="s">
        <v>462</v>
      </c>
      <c r="D5" s="102" t="s">
        <v>438</v>
      </c>
      <c r="E5" s="102" t="s">
        <v>439</v>
      </c>
      <c r="F5" s="102" t="s">
        <v>463</v>
      </c>
      <c r="G5" s="102" t="s">
        <v>75</v>
      </c>
      <c r="H5" s="102" t="s">
        <v>464</v>
      </c>
      <c r="I5" s="102" t="s">
        <v>465</v>
      </c>
      <c r="J5" s="102" t="s">
        <v>466</v>
      </c>
      <c r="K5" s="102" t="s">
        <v>79</v>
      </c>
      <c r="L5" s="102" t="s">
        <v>173</v>
      </c>
      <c r="M5" s="102" t="s">
        <v>467</v>
      </c>
      <c r="N5" s="102" t="s">
        <v>468</v>
      </c>
      <c r="O5" s="102" t="s">
        <v>469</v>
      </c>
      <c r="P5" s="102" t="s">
        <v>453</v>
      </c>
      <c r="Q5" s="102" t="s">
        <v>83</v>
      </c>
      <c r="R5" s="102" t="s">
        <v>408</v>
      </c>
      <c r="S5" s="102" t="s">
        <v>121</v>
      </c>
      <c r="T5" s="102" t="s">
        <v>470</v>
      </c>
      <c r="U5" s="102" t="s">
        <v>356</v>
      </c>
    </row>
    <row r="6" customFormat="false" ht="68.65" hidden="false" customHeight="false" outlineLevel="0" collapsed="false">
      <c r="A6" s="101" t="s">
        <v>28</v>
      </c>
      <c r="B6" s="102" t="s">
        <v>29</v>
      </c>
      <c r="C6" s="102" t="s">
        <v>462</v>
      </c>
      <c r="D6" s="102" t="s">
        <v>438</v>
      </c>
      <c r="E6" s="102" t="s">
        <v>439</v>
      </c>
      <c r="F6" s="102" t="s">
        <v>471</v>
      </c>
      <c r="G6" s="102" t="s">
        <v>75</v>
      </c>
      <c r="H6" s="102" t="s">
        <v>472</v>
      </c>
      <c r="I6" s="102" t="s">
        <v>473</v>
      </c>
      <c r="J6" s="102" t="s">
        <v>78</v>
      </c>
      <c r="K6" s="102" t="s">
        <v>79</v>
      </c>
      <c r="L6" s="102" t="s">
        <v>80</v>
      </c>
      <c r="M6" s="102" t="s">
        <v>467</v>
      </c>
      <c r="N6" s="102" t="s">
        <v>468</v>
      </c>
      <c r="O6" s="102" t="s">
        <v>469</v>
      </c>
      <c r="P6" s="102" t="s">
        <v>453</v>
      </c>
      <c r="Q6" s="102" t="s">
        <v>83</v>
      </c>
      <c r="R6" s="102" t="s">
        <v>408</v>
      </c>
      <c r="S6" s="102" t="s">
        <v>121</v>
      </c>
      <c r="T6" s="102" t="s">
        <v>474</v>
      </c>
      <c r="U6" s="102" t="s">
        <v>356</v>
      </c>
    </row>
    <row r="7" customFormat="false" ht="158.2" hidden="false" customHeight="false" outlineLevel="0" collapsed="false">
      <c r="A7" s="101" t="s">
        <v>28</v>
      </c>
      <c r="B7" s="102" t="s">
        <v>29</v>
      </c>
      <c r="C7" s="102" t="s">
        <v>475</v>
      </c>
      <c r="D7" s="102" t="s">
        <v>438</v>
      </c>
      <c r="E7" s="102" t="s">
        <v>439</v>
      </c>
      <c r="F7" s="102" t="s">
        <v>476</v>
      </c>
      <c r="G7" s="102" t="s">
        <v>75</v>
      </c>
      <c r="H7" s="102" t="s">
        <v>477</v>
      </c>
      <c r="I7" s="102" t="s">
        <v>478</v>
      </c>
      <c r="J7" s="102" t="s">
        <v>78</v>
      </c>
      <c r="K7" s="102" t="s">
        <v>79</v>
      </c>
      <c r="L7" s="102" t="s">
        <v>173</v>
      </c>
      <c r="M7" s="102" t="s">
        <v>479</v>
      </c>
      <c r="N7" s="102" t="s">
        <v>480</v>
      </c>
      <c r="O7" s="102" t="s">
        <v>481</v>
      </c>
      <c r="P7" s="102" t="s">
        <v>346</v>
      </c>
      <c r="Q7" s="102" t="s">
        <v>482</v>
      </c>
      <c r="R7" s="102" t="s">
        <v>408</v>
      </c>
      <c r="S7" s="102" t="s">
        <v>121</v>
      </c>
      <c r="T7" s="102" t="s">
        <v>483</v>
      </c>
      <c r="U7" s="102" t="s">
        <v>356</v>
      </c>
    </row>
    <row r="8" customFormat="false" ht="57.45" hidden="false" customHeight="false" outlineLevel="0" collapsed="false">
      <c r="A8" s="101" t="s">
        <v>28</v>
      </c>
      <c r="B8" s="102" t="s">
        <v>29</v>
      </c>
      <c r="C8" s="102" t="s">
        <v>462</v>
      </c>
      <c r="D8" s="102" t="s">
        <v>1135</v>
      </c>
      <c r="E8" s="102" t="s">
        <v>1136</v>
      </c>
      <c r="F8" s="102" t="s">
        <v>1137</v>
      </c>
      <c r="G8" s="102" t="s">
        <v>1027</v>
      </c>
      <c r="H8" s="102" t="s">
        <v>1138</v>
      </c>
      <c r="I8" s="102" t="s">
        <v>1019</v>
      </c>
      <c r="J8" s="102" t="s">
        <v>78</v>
      </c>
      <c r="K8" s="102" t="s">
        <v>78</v>
      </c>
      <c r="L8" s="102" t="s">
        <v>1064</v>
      </c>
      <c r="M8" s="102" t="s">
        <v>467</v>
      </c>
      <c r="N8" s="102" t="s">
        <v>1139</v>
      </c>
      <c r="O8" s="102" t="s">
        <v>1140</v>
      </c>
      <c r="P8" s="102" t="s">
        <v>453</v>
      </c>
      <c r="Q8" s="102" t="s">
        <v>83</v>
      </c>
      <c r="R8" s="102" t="s">
        <v>408</v>
      </c>
      <c r="S8" s="102" t="s">
        <v>121</v>
      </c>
      <c r="T8" s="102" t="s">
        <v>1141</v>
      </c>
      <c r="U8" s="102" t="s">
        <v>300</v>
      </c>
    </row>
    <row r="9" customFormat="false" ht="79.85" hidden="false" customHeight="false" outlineLevel="0" collapsed="false">
      <c r="A9" s="101" t="s">
        <v>28</v>
      </c>
      <c r="B9" s="102" t="s">
        <v>29</v>
      </c>
      <c r="C9" s="102" t="s">
        <v>462</v>
      </c>
      <c r="D9" s="102" t="s">
        <v>1135</v>
      </c>
      <c r="E9" s="102" t="s">
        <v>1142</v>
      </c>
      <c r="F9" s="102" t="s">
        <v>1143</v>
      </c>
      <c r="G9" s="102" t="s">
        <v>1027</v>
      </c>
      <c r="H9" s="102" t="s">
        <v>464</v>
      </c>
      <c r="I9" s="102" t="s">
        <v>1144</v>
      </c>
      <c r="J9" s="102" t="s">
        <v>466</v>
      </c>
      <c r="K9" s="102" t="s">
        <v>78</v>
      </c>
      <c r="L9" s="102" t="s">
        <v>1074</v>
      </c>
      <c r="M9" s="102" t="s">
        <v>467</v>
      </c>
      <c r="N9" s="102" t="s">
        <v>1139</v>
      </c>
      <c r="O9" s="102" t="s">
        <v>1140</v>
      </c>
      <c r="P9" s="102" t="s">
        <v>453</v>
      </c>
      <c r="Q9" s="102" t="s">
        <v>83</v>
      </c>
      <c r="R9" s="102" t="s">
        <v>408</v>
      </c>
      <c r="S9" s="102" t="s">
        <v>121</v>
      </c>
      <c r="T9" s="102" t="s">
        <v>470</v>
      </c>
      <c r="U9" s="102" t="s">
        <v>300</v>
      </c>
    </row>
    <row r="10" customFormat="false" ht="158.2" hidden="false" customHeight="false" outlineLevel="0" collapsed="false">
      <c r="A10" s="101" t="s">
        <v>28</v>
      </c>
      <c r="B10" s="102" t="s">
        <v>29</v>
      </c>
      <c r="C10" s="102" t="s">
        <v>475</v>
      </c>
      <c r="D10" s="102" t="s">
        <v>1135</v>
      </c>
      <c r="E10" s="102" t="s">
        <v>1142</v>
      </c>
      <c r="F10" s="102" t="s">
        <v>1145</v>
      </c>
      <c r="G10" s="102" t="s">
        <v>1027</v>
      </c>
      <c r="H10" s="102" t="s">
        <v>477</v>
      </c>
      <c r="I10" s="102" t="s">
        <v>1073</v>
      </c>
      <c r="J10" s="102" t="s">
        <v>78</v>
      </c>
      <c r="K10" s="102" t="s">
        <v>78</v>
      </c>
      <c r="L10" s="102" t="s">
        <v>1074</v>
      </c>
      <c r="M10" s="102" t="s">
        <v>479</v>
      </c>
      <c r="N10" s="102" t="s">
        <v>480</v>
      </c>
      <c r="O10" s="102" t="s">
        <v>1146</v>
      </c>
      <c r="P10" s="102" t="s">
        <v>346</v>
      </c>
      <c r="Q10" s="102" t="s">
        <v>482</v>
      </c>
      <c r="R10" s="102" t="s">
        <v>408</v>
      </c>
      <c r="S10" s="102" t="s">
        <v>121</v>
      </c>
      <c r="T10" s="102" t="s">
        <v>483</v>
      </c>
      <c r="U10" s="102" t="s">
        <v>300</v>
      </c>
    </row>
  </sheetData>
  <autoFilter ref="A1:U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0B0"/>
    <pageSetUpPr fitToPage="false"/>
  </sheetPr>
  <dimension ref="A1:U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4"/>
    <col collapsed="false" customWidth="true" hidden="false" outlineLevel="0" max="6" min="6" style="0" width="16"/>
    <col collapsed="false" customWidth="true" hidden="false" outlineLevel="0" max="7" min="7" style="0" width="11"/>
    <col collapsed="false" customWidth="true" hidden="false" outlineLevel="0" max="8" min="8" style="0" width="60"/>
    <col collapsed="false" customWidth="true" hidden="false" outlineLevel="0" max="9" min="9" style="0" width="22"/>
    <col collapsed="false" customWidth="true" hidden="false" outlineLevel="0" max="11" min="10" style="0" width="24"/>
    <col collapsed="false" customWidth="true" hidden="false" outlineLevel="0" max="12" min="12" style="0" width="26"/>
    <col collapsed="false" customWidth="true" hidden="false" outlineLevel="0" max="13" min="13" style="0" width="11"/>
    <col collapsed="false" customWidth="true" hidden="false" outlineLevel="0" max="14" min="14" style="0" width="20"/>
    <col collapsed="false" customWidth="true" hidden="false" outlineLevel="0" max="15" min="15" style="0" width="30"/>
    <col collapsed="false" customWidth="true" hidden="false" outlineLevel="0" max="16" min="16" style="0" width="16"/>
    <col collapsed="false" customWidth="true" hidden="false" outlineLevel="0" max="18" min="17" style="0" width="18"/>
    <col collapsed="false" customWidth="true" hidden="false" outlineLevel="0" max="19" min="19" style="0" width="12"/>
    <col collapsed="false" customWidth="true" hidden="false" outlineLevel="0" max="20" min="20" style="0" width="40"/>
    <col collapsed="false" customWidth="true" hidden="false" outlineLevel="0" max="21" min="21" style="0" width="45"/>
  </cols>
  <sheetData>
    <row r="1" customFormat="false" ht="68.65" hidden="false" customHeight="false" outlineLevel="0" collapsed="false">
      <c r="A1" s="132" t="s">
        <v>0</v>
      </c>
      <c r="B1" s="132" t="s">
        <v>51</v>
      </c>
      <c r="C1" s="132" t="s">
        <v>52</v>
      </c>
      <c r="D1" s="132" t="s">
        <v>53</v>
      </c>
      <c r="E1" s="132" t="s">
        <v>54</v>
      </c>
      <c r="F1" s="132" t="s">
        <v>55</v>
      </c>
      <c r="G1" s="132" t="s">
        <v>56</v>
      </c>
      <c r="H1" s="132" t="s">
        <v>57</v>
      </c>
      <c r="I1" s="132" t="s">
        <v>58</v>
      </c>
      <c r="J1" s="132" t="s">
        <v>59</v>
      </c>
      <c r="K1" s="132" t="s">
        <v>60</v>
      </c>
      <c r="L1" s="132" t="s">
        <v>61</v>
      </c>
      <c r="M1" s="132" t="s">
        <v>62</v>
      </c>
      <c r="N1" s="132" t="s">
        <v>63</v>
      </c>
      <c r="O1" s="132" t="s">
        <v>64</v>
      </c>
      <c r="P1" s="132" t="s">
        <v>65</v>
      </c>
      <c r="Q1" s="132" t="s">
        <v>66</v>
      </c>
      <c r="R1" s="132" t="s">
        <v>67</v>
      </c>
      <c r="S1" s="132" t="s">
        <v>68</v>
      </c>
      <c r="T1" s="132" t="s">
        <v>69</v>
      </c>
      <c r="U1" s="132" t="s">
        <v>70</v>
      </c>
    </row>
    <row r="2" customFormat="false" ht="135.8" hidden="false" customHeight="false" outlineLevel="0" collapsed="false">
      <c r="A2" s="103" t="s">
        <v>30</v>
      </c>
      <c r="B2" s="104" t="s">
        <v>31</v>
      </c>
      <c r="C2" s="104" t="s">
        <v>484</v>
      </c>
      <c r="D2" s="104" t="s">
        <v>485</v>
      </c>
      <c r="E2" s="104" t="s">
        <v>486</v>
      </c>
      <c r="F2" s="104" t="s">
        <v>487</v>
      </c>
      <c r="G2" s="104" t="s">
        <v>75</v>
      </c>
      <c r="H2" s="104" t="s">
        <v>488</v>
      </c>
      <c r="I2" s="104" t="s">
        <v>489</v>
      </c>
      <c r="J2" s="104" t="s">
        <v>78</v>
      </c>
      <c r="K2" s="104" t="s">
        <v>79</v>
      </c>
      <c r="L2" s="104" t="s">
        <v>173</v>
      </c>
      <c r="M2" s="104" t="s">
        <v>490</v>
      </c>
      <c r="N2" s="104"/>
      <c r="O2" s="104" t="s">
        <v>82</v>
      </c>
      <c r="P2" s="104" t="s">
        <v>78</v>
      </c>
      <c r="Q2" s="104" t="s">
        <v>83</v>
      </c>
      <c r="R2" s="104" t="s">
        <v>408</v>
      </c>
      <c r="S2" s="104" t="s">
        <v>85</v>
      </c>
      <c r="T2" s="104" t="s">
        <v>491</v>
      </c>
      <c r="U2" s="104" t="s">
        <v>97</v>
      </c>
    </row>
  </sheetData>
  <autoFilter ref="A1:U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U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4"/>
    <col collapsed="false" customWidth="true" hidden="false" outlineLevel="0" max="6" min="6" style="0" width="16"/>
    <col collapsed="false" customWidth="true" hidden="false" outlineLevel="0" max="7" min="7" style="0" width="11"/>
    <col collapsed="false" customWidth="true" hidden="false" outlineLevel="0" max="8" min="8" style="0" width="60"/>
    <col collapsed="false" customWidth="true" hidden="false" outlineLevel="0" max="9" min="9" style="0" width="22"/>
    <col collapsed="false" customWidth="true" hidden="false" outlineLevel="0" max="11" min="10" style="0" width="24"/>
    <col collapsed="false" customWidth="true" hidden="false" outlineLevel="0" max="12" min="12" style="0" width="26"/>
    <col collapsed="false" customWidth="true" hidden="false" outlineLevel="0" max="13" min="13" style="0" width="11"/>
    <col collapsed="false" customWidth="true" hidden="false" outlineLevel="0" max="14" min="14" style="0" width="20"/>
    <col collapsed="false" customWidth="true" hidden="false" outlineLevel="0" max="15" min="15" style="0" width="30"/>
    <col collapsed="false" customWidth="true" hidden="false" outlineLevel="0" max="16" min="16" style="0" width="16"/>
    <col collapsed="false" customWidth="true" hidden="false" outlineLevel="0" max="18" min="17" style="0" width="18"/>
    <col collapsed="false" customWidth="true" hidden="false" outlineLevel="0" max="19" min="19" style="0" width="12"/>
    <col collapsed="false" customWidth="true" hidden="false" outlineLevel="0" max="20" min="20" style="0" width="40"/>
    <col collapsed="false" customWidth="true" hidden="false" outlineLevel="0" max="21" min="21" style="0" width="45"/>
  </cols>
  <sheetData>
    <row r="1" customFormat="false" ht="68.65" hidden="false" customHeight="false" outlineLevel="0" collapsed="false">
      <c r="A1" s="133" t="s">
        <v>0</v>
      </c>
      <c r="B1" s="133" t="s">
        <v>51</v>
      </c>
      <c r="C1" s="133" t="s">
        <v>52</v>
      </c>
      <c r="D1" s="133" t="s">
        <v>53</v>
      </c>
      <c r="E1" s="133" t="s">
        <v>54</v>
      </c>
      <c r="F1" s="133" t="s">
        <v>55</v>
      </c>
      <c r="G1" s="133" t="s">
        <v>56</v>
      </c>
      <c r="H1" s="133" t="s">
        <v>57</v>
      </c>
      <c r="I1" s="133" t="s">
        <v>58</v>
      </c>
      <c r="J1" s="133" t="s">
        <v>59</v>
      </c>
      <c r="K1" s="133" t="s">
        <v>60</v>
      </c>
      <c r="L1" s="133" t="s">
        <v>61</v>
      </c>
      <c r="M1" s="133" t="s">
        <v>62</v>
      </c>
      <c r="N1" s="133" t="s">
        <v>63</v>
      </c>
      <c r="O1" s="133" t="s">
        <v>64</v>
      </c>
      <c r="P1" s="133" t="s">
        <v>65</v>
      </c>
      <c r="Q1" s="133" t="s">
        <v>66</v>
      </c>
      <c r="R1" s="133" t="s">
        <v>67</v>
      </c>
      <c r="S1" s="133" t="s">
        <v>68</v>
      </c>
      <c r="T1" s="133" t="s">
        <v>69</v>
      </c>
      <c r="U1" s="133" t="s">
        <v>70</v>
      </c>
    </row>
    <row r="2" customFormat="false" ht="57.45" hidden="false" customHeight="false" outlineLevel="0" collapsed="false">
      <c r="A2" s="105" t="s">
        <v>32</v>
      </c>
      <c r="B2" s="106" t="s">
        <v>33</v>
      </c>
      <c r="C2" s="106" t="s">
        <v>492</v>
      </c>
      <c r="D2" s="106" t="s">
        <v>493</v>
      </c>
      <c r="E2" s="106" t="s">
        <v>494</v>
      </c>
      <c r="F2" s="106" t="s">
        <v>495</v>
      </c>
      <c r="G2" s="106" t="s">
        <v>75</v>
      </c>
      <c r="H2" s="106" t="s">
        <v>496</v>
      </c>
      <c r="I2" s="106" t="s">
        <v>186</v>
      </c>
      <c r="J2" s="106" t="s">
        <v>78</v>
      </c>
      <c r="K2" s="106" t="s">
        <v>79</v>
      </c>
      <c r="L2" s="106" t="s">
        <v>423</v>
      </c>
      <c r="M2" s="106"/>
      <c r="N2" s="106" t="s">
        <v>497</v>
      </c>
      <c r="O2" s="106" t="s">
        <v>82</v>
      </c>
      <c r="P2" s="106" t="s">
        <v>78</v>
      </c>
      <c r="Q2" s="106" t="s">
        <v>83</v>
      </c>
      <c r="R2" s="106" t="s">
        <v>498</v>
      </c>
      <c r="S2" s="106" t="s">
        <v>85</v>
      </c>
      <c r="T2" s="106" t="s">
        <v>499</v>
      </c>
      <c r="U2" s="106" t="s">
        <v>87</v>
      </c>
    </row>
    <row r="3" customFormat="false" ht="236.55" hidden="false" customHeight="false" outlineLevel="0" collapsed="false">
      <c r="A3" s="105" t="s">
        <v>32</v>
      </c>
      <c r="B3" s="106" t="s">
        <v>33</v>
      </c>
      <c r="C3" s="106" t="s">
        <v>500</v>
      </c>
      <c r="D3" s="106" t="s">
        <v>493</v>
      </c>
      <c r="E3" s="106" t="s">
        <v>494</v>
      </c>
      <c r="F3" s="106" t="s">
        <v>501</v>
      </c>
      <c r="G3" s="106" t="s">
        <v>75</v>
      </c>
      <c r="H3" s="106" t="s">
        <v>502</v>
      </c>
      <c r="I3" s="106" t="s">
        <v>181</v>
      </c>
      <c r="J3" s="106" t="s">
        <v>78</v>
      </c>
      <c r="K3" s="106" t="s">
        <v>79</v>
      </c>
      <c r="L3" s="106" t="s">
        <v>80</v>
      </c>
      <c r="M3" s="106"/>
      <c r="N3" s="106" t="s">
        <v>503</v>
      </c>
      <c r="O3" s="106" t="s">
        <v>504</v>
      </c>
      <c r="P3" s="106" t="s">
        <v>505</v>
      </c>
      <c r="Q3" s="106" t="s">
        <v>83</v>
      </c>
      <c r="R3" s="106" t="s">
        <v>498</v>
      </c>
      <c r="S3" s="106" t="s">
        <v>121</v>
      </c>
      <c r="T3" s="106" t="s">
        <v>506</v>
      </c>
      <c r="U3" s="106" t="s">
        <v>507</v>
      </c>
    </row>
    <row r="4" customFormat="false" ht="68.65" hidden="false" customHeight="false" outlineLevel="0" collapsed="false">
      <c r="A4" s="105" t="s">
        <v>32</v>
      </c>
      <c r="B4" s="106" t="s">
        <v>33</v>
      </c>
      <c r="C4" s="106" t="s">
        <v>508</v>
      </c>
      <c r="D4" s="106" t="s">
        <v>493</v>
      </c>
      <c r="E4" s="106" t="s">
        <v>494</v>
      </c>
      <c r="F4" s="106" t="s">
        <v>509</v>
      </c>
      <c r="G4" s="106" t="s">
        <v>75</v>
      </c>
      <c r="H4" s="106" t="s">
        <v>510</v>
      </c>
      <c r="I4" s="106" t="s">
        <v>181</v>
      </c>
      <c r="J4" s="106" t="s">
        <v>78</v>
      </c>
      <c r="K4" s="106" t="s">
        <v>79</v>
      </c>
      <c r="L4" s="106" t="s">
        <v>80</v>
      </c>
      <c r="M4" s="106"/>
      <c r="N4" s="106" t="s">
        <v>511</v>
      </c>
      <c r="O4" s="106" t="s">
        <v>512</v>
      </c>
      <c r="P4" s="106" t="s">
        <v>505</v>
      </c>
      <c r="Q4" s="106" t="s">
        <v>83</v>
      </c>
      <c r="R4" s="106" t="s">
        <v>498</v>
      </c>
      <c r="S4" s="106" t="s">
        <v>121</v>
      </c>
      <c r="T4" s="106" t="s">
        <v>513</v>
      </c>
      <c r="U4" s="106" t="s">
        <v>249</v>
      </c>
    </row>
    <row r="5" customFormat="false" ht="91" hidden="false" customHeight="false" outlineLevel="0" collapsed="false">
      <c r="A5" s="105" t="s">
        <v>32</v>
      </c>
      <c r="B5" s="106" t="s">
        <v>33</v>
      </c>
      <c r="C5" s="106" t="s">
        <v>514</v>
      </c>
      <c r="D5" s="106" t="s">
        <v>493</v>
      </c>
      <c r="E5" s="106" t="s">
        <v>494</v>
      </c>
      <c r="F5" s="106" t="s">
        <v>515</v>
      </c>
      <c r="G5" s="106" t="s">
        <v>75</v>
      </c>
      <c r="H5" s="106" t="s">
        <v>516</v>
      </c>
      <c r="I5" s="106" t="s">
        <v>181</v>
      </c>
      <c r="J5" s="106" t="s">
        <v>78</v>
      </c>
      <c r="K5" s="106" t="s">
        <v>79</v>
      </c>
      <c r="L5" s="106" t="s">
        <v>517</v>
      </c>
      <c r="M5" s="106"/>
      <c r="N5" s="106" t="s">
        <v>518</v>
      </c>
      <c r="O5" s="106" t="s">
        <v>519</v>
      </c>
      <c r="P5" s="106" t="s">
        <v>520</v>
      </c>
      <c r="Q5" s="106" t="s">
        <v>83</v>
      </c>
      <c r="R5" s="106" t="s">
        <v>498</v>
      </c>
      <c r="S5" s="106" t="s">
        <v>121</v>
      </c>
      <c r="T5" s="106" t="s">
        <v>521</v>
      </c>
      <c r="U5" s="106" t="s">
        <v>522</v>
      </c>
    </row>
    <row r="6" customFormat="false" ht="68.65" hidden="false" customHeight="false" outlineLevel="0" collapsed="false">
      <c r="A6" s="105" t="s">
        <v>32</v>
      </c>
      <c r="B6" s="106" t="s">
        <v>33</v>
      </c>
      <c r="C6" s="106" t="s">
        <v>523</v>
      </c>
      <c r="D6" s="106" t="s">
        <v>493</v>
      </c>
      <c r="E6" s="106" t="s">
        <v>494</v>
      </c>
      <c r="F6" s="106" t="s">
        <v>524</v>
      </c>
      <c r="G6" s="106" t="s">
        <v>75</v>
      </c>
      <c r="H6" s="106" t="s">
        <v>525</v>
      </c>
      <c r="I6" s="106" t="s">
        <v>181</v>
      </c>
      <c r="J6" s="106" t="s">
        <v>78</v>
      </c>
      <c r="K6" s="106" t="s">
        <v>79</v>
      </c>
      <c r="L6" s="106" t="s">
        <v>80</v>
      </c>
      <c r="M6" s="106"/>
      <c r="N6" s="106" t="s">
        <v>526</v>
      </c>
      <c r="O6" s="106" t="s">
        <v>527</v>
      </c>
      <c r="P6" s="106" t="s">
        <v>505</v>
      </c>
      <c r="Q6" s="106" t="s">
        <v>83</v>
      </c>
      <c r="R6" s="106" t="s">
        <v>498</v>
      </c>
      <c r="S6" s="106" t="s">
        <v>121</v>
      </c>
      <c r="T6" s="106" t="s">
        <v>528</v>
      </c>
      <c r="U6" s="106" t="s">
        <v>220</v>
      </c>
    </row>
    <row r="7" customFormat="false" ht="57.45" hidden="false" customHeight="false" outlineLevel="0" collapsed="false">
      <c r="A7" s="105" t="s">
        <v>32</v>
      </c>
      <c r="B7" s="106" t="s">
        <v>33</v>
      </c>
      <c r="C7" s="106" t="s">
        <v>529</v>
      </c>
      <c r="D7" s="106" t="s">
        <v>493</v>
      </c>
      <c r="E7" s="106" t="s">
        <v>494</v>
      </c>
      <c r="F7" s="106" t="s">
        <v>530</v>
      </c>
      <c r="G7" s="106" t="s">
        <v>75</v>
      </c>
      <c r="H7" s="106" t="s">
        <v>531</v>
      </c>
      <c r="I7" s="106" t="s">
        <v>303</v>
      </c>
      <c r="J7" s="106" t="s">
        <v>78</v>
      </c>
      <c r="K7" s="106" t="s">
        <v>79</v>
      </c>
      <c r="L7" s="106" t="s">
        <v>80</v>
      </c>
      <c r="M7" s="106"/>
      <c r="N7" s="106" t="s">
        <v>532</v>
      </c>
      <c r="O7" s="106" t="s">
        <v>533</v>
      </c>
      <c r="P7" s="106" t="s">
        <v>505</v>
      </c>
      <c r="Q7" s="106" t="s">
        <v>83</v>
      </c>
      <c r="R7" s="106" t="s">
        <v>498</v>
      </c>
      <c r="S7" s="106" t="s">
        <v>121</v>
      </c>
      <c r="T7" s="106" t="s">
        <v>534</v>
      </c>
      <c r="U7" s="106" t="s">
        <v>227</v>
      </c>
    </row>
    <row r="8" customFormat="false" ht="57.45" hidden="false" customHeight="false" outlineLevel="0" collapsed="false">
      <c r="A8" s="105" t="s">
        <v>32</v>
      </c>
      <c r="B8" s="106" t="s">
        <v>33</v>
      </c>
      <c r="C8" s="106" t="s">
        <v>529</v>
      </c>
      <c r="D8" s="106" t="s">
        <v>493</v>
      </c>
      <c r="E8" s="106" t="s">
        <v>494</v>
      </c>
      <c r="F8" s="106" t="s">
        <v>535</v>
      </c>
      <c r="G8" s="106" t="s">
        <v>75</v>
      </c>
      <c r="H8" s="106" t="s">
        <v>536</v>
      </c>
      <c r="I8" s="106" t="s">
        <v>186</v>
      </c>
      <c r="J8" s="106" t="s">
        <v>78</v>
      </c>
      <c r="K8" s="106" t="s">
        <v>79</v>
      </c>
      <c r="L8" s="106" t="s">
        <v>173</v>
      </c>
      <c r="M8" s="106"/>
      <c r="N8" s="106" t="s">
        <v>537</v>
      </c>
      <c r="O8" s="106" t="s">
        <v>538</v>
      </c>
      <c r="P8" s="106" t="s">
        <v>505</v>
      </c>
      <c r="Q8" s="106" t="s">
        <v>83</v>
      </c>
      <c r="R8" s="106" t="s">
        <v>498</v>
      </c>
      <c r="S8" s="106" t="s">
        <v>121</v>
      </c>
      <c r="T8" s="106" t="s">
        <v>539</v>
      </c>
      <c r="U8" s="106" t="s">
        <v>227</v>
      </c>
    </row>
    <row r="9" customFormat="false" ht="57.45" hidden="false" customHeight="false" outlineLevel="0" collapsed="false">
      <c r="A9" s="105" t="s">
        <v>32</v>
      </c>
      <c r="B9" s="106" t="s">
        <v>33</v>
      </c>
      <c r="C9" s="106" t="s">
        <v>540</v>
      </c>
      <c r="D9" s="106" t="s">
        <v>493</v>
      </c>
      <c r="E9" s="106" t="s">
        <v>494</v>
      </c>
      <c r="F9" s="106" t="s">
        <v>541</v>
      </c>
      <c r="G9" s="106" t="s">
        <v>75</v>
      </c>
      <c r="H9" s="106" t="s">
        <v>542</v>
      </c>
      <c r="I9" s="106" t="s">
        <v>186</v>
      </c>
      <c r="J9" s="106" t="s">
        <v>78</v>
      </c>
      <c r="K9" s="106" t="s">
        <v>79</v>
      </c>
      <c r="L9" s="106" t="s">
        <v>173</v>
      </c>
      <c r="M9" s="106" t="s">
        <v>543</v>
      </c>
      <c r="N9" s="106"/>
      <c r="O9" s="106" t="s">
        <v>544</v>
      </c>
      <c r="P9" s="106" t="s">
        <v>545</v>
      </c>
      <c r="Q9" s="106" t="s">
        <v>83</v>
      </c>
      <c r="R9" s="106" t="s">
        <v>498</v>
      </c>
      <c r="S9" s="106" t="s">
        <v>121</v>
      </c>
      <c r="T9" s="106" t="s">
        <v>546</v>
      </c>
      <c r="U9" s="106" t="s">
        <v>191</v>
      </c>
    </row>
    <row r="10" customFormat="false" ht="68.65" hidden="false" customHeight="false" outlineLevel="0" collapsed="false">
      <c r="A10" s="105" t="s">
        <v>32</v>
      </c>
      <c r="B10" s="106" t="s">
        <v>33</v>
      </c>
      <c r="C10" s="106" t="s">
        <v>540</v>
      </c>
      <c r="D10" s="106" t="s">
        <v>493</v>
      </c>
      <c r="E10" s="106" t="s">
        <v>494</v>
      </c>
      <c r="F10" s="106" t="s">
        <v>547</v>
      </c>
      <c r="G10" s="106" t="s">
        <v>75</v>
      </c>
      <c r="H10" s="106" t="s">
        <v>548</v>
      </c>
      <c r="I10" s="106" t="s">
        <v>127</v>
      </c>
      <c r="J10" s="106" t="s">
        <v>78</v>
      </c>
      <c r="K10" s="106" t="s">
        <v>79</v>
      </c>
      <c r="L10" s="106" t="s">
        <v>80</v>
      </c>
      <c r="M10" s="106" t="s">
        <v>543</v>
      </c>
      <c r="N10" s="106"/>
      <c r="O10" s="106" t="s">
        <v>544</v>
      </c>
      <c r="P10" s="106" t="s">
        <v>545</v>
      </c>
      <c r="Q10" s="106" t="s">
        <v>83</v>
      </c>
      <c r="R10" s="106" t="s">
        <v>498</v>
      </c>
      <c r="S10" s="106" t="s">
        <v>121</v>
      </c>
      <c r="T10" s="106" t="s">
        <v>546</v>
      </c>
      <c r="U10" s="106" t="s">
        <v>191</v>
      </c>
    </row>
    <row r="11" customFormat="false" ht="57.45" hidden="false" customHeight="false" outlineLevel="0" collapsed="false">
      <c r="A11" s="105" t="s">
        <v>32</v>
      </c>
      <c r="B11" s="106" t="s">
        <v>33</v>
      </c>
      <c r="C11" s="106" t="s">
        <v>549</v>
      </c>
      <c r="D11" s="106" t="s">
        <v>493</v>
      </c>
      <c r="E11" s="106" t="s">
        <v>494</v>
      </c>
      <c r="F11" s="106" t="s">
        <v>550</v>
      </c>
      <c r="G11" s="106" t="s">
        <v>75</v>
      </c>
      <c r="H11" s="106" t="s">
        <v>551</v>
      </c>
      <c r="I11" s="106" t="s">
        <v>186</v>
      </c>
      <c r="J11" s="106" t="s">
        <v>78</v>
      </c>
      <c r="K11" s="106" t="s">
        <v>79</v>
      </c>
      <c r="L11" s="106" t="s">
        <v>80</v>
      </c>
      <c r="M11" s="106" t="s">
        <v>552</v>
      </c>
      <c r="N11" s="106"/>
      <c r="O11" s="106" t="s">
        <v>82</v>
      </c>
      <c r="P11" s="106" t="s">
        <v>78</v>
      </c>
      <c r="Q11" s="106" t="s">
        <v>83</v>
      </c>
      <c r="R11" s="106" t="s">
        <v>498</v>
      </c>
      <c r="S11" s="106" t="s">
        <v>85</v>
      </c>
      <c r="T11" s="106" t="s">
        <v>553</v>
      </c>
      <c r="U11" s="106" t="s">
        <v>97</v>
      </c>
    </row>
    <row r="12" customFormat="false" ht="57.45" hidden="false" customHeight="false" outlineLevel="0" collapsed="false">
      <c r="A12" s="105" t="s">
        <v>32</v>
      </c>
      <c r="B12" s="106" t="s">
        <v>33</v>
      </c>
      <c r="C12" s="106" t="s">
        <v>554</v>
      </c>
      <c r="D12" s="106" t="s">
        <v>493</v>
      </c>
      <c r="E12" s="106" t="s">
        <v>494</v>
      </c>
      <c r="F12" s="106" t="s">
        <v>555</v>
      </c>
      <c r="G12" s="106" t="s">
        <v>75</v>
      </c>
      <c r="H12" s="106" t="s">
        <v>556</v>
      </c>
      <c r="I12" s="106" t="s">
        <v>186</v>
      </c>
      <c r="J12" s="106" t="s">
        <v>78</v>
      </c>
      <c r="K12" s="106" t="s">
        <v>79</v>
      </c>
      <c r="L12" s="106" t="s">
        <v>80</v>
      </c>
      <c r="M12" s="106" t="s">
        <v>557</v>
      </c>
      <c r="N12" s="106"/>
      <c r="O12" s="106" t="s">
        <v>82</v>
      </c>
      <c r="P12" s="106" t="s">
        <v>78</v>
      </c>
      <c r="Q12" s="106" t="s">
        <v>83</v>
      </c>
      <c r="R12" s="106" t="s">
        <v>498</v>
      </c>
      <c r="S12" s="106" t="s">
        <v>85</v>
      </c>
      <c r="T12" s="106" t="s">
        <v>558</v>
      </c>
      <c r="U12" s="106" t="s">
        <v>97</v>
      </c>
    </row>
    <row r="13" customFormat="false" ht="57.45" hidden="false" customHeight="false" outlineLevel="0" collapsed="false">
      <c r="A13" s="105" t="s">
        <v>32</v>
      </c>
      <c r="B13" s="106" t="s">
        <v>33</v>
      </c>
      <c r="C13" s="106" t="s">
        <v>554</v>
      </c>
      <c r="D13" s="106" t="s">
        <v>493</v>
      </c>
      <c r="E13" s="106" t="s">
        <v>494</v>
      </c>
      <c r="F13" s="106" t="s">
        <v>559</v>
      </c>
      <c r="G13" s="106" t="s">
        <v>75</v>
      </c>
      <c r="H13" s="106" t="s">
        <v>560</v>
      </c>
      <c r="I13" s="106" t="s">
        <v>186</v>
      </c>
      <c r="J13" s="106" t="s">
        <v>78</v>
      </c>
      <c r="K13" s="106" t="s">
        <v>79</v>
      </c>
      <c r="L13" s="106" t="s">
        <v>80</v>
      </c>
      <c r="M13" s="106" t="s">
        <v>557</v>
      </c>
      <c r="N13" s="106"/>
      <c r="O13" s="106" t="s">
        <v>82</v>
      </c>
      <c r="P13" s="106" t="s">
        <v>78</v>
      </c>
      <c r="Q13" s="106" t="s">
        <v>83</v>
      </c>
      <c r="R13" s="106" t="s">
        <v>498</v>
      </c>
      <c r="S13" s="106" t="s">
        <v>85</v>
      </c>
      <c r="T13" s="106" t="s">
        <v>561</v>
      </c>
      <c r="U13" s="106" t="s">
        <v>97</v>
      </c>
    </row>
    <row r="14" customFormat="false" ht="57.45" hidden="false" customHeight="false" outlineLevel="0" collapsed="false">
      <c r="A14" s="105" t="s">
        <v>32</v>
      </c>
      <c r="B14" s="106" t="s">
        <v>33</v>
      </c>
      <c r="C14" s="106" t="s">
        <v>562</v>
      </c>
      <c r="D14" s="106" t="s">
        <v>493</v>
      </c>
      <c r="E14" s="106" t="s">
        <v>494</v>
      </c>
      <c r="F14" s="106" t="s">
        <v>563</v>
      </c>
      <c r="G14" s="106" t="s">
        <v>75</v>
      </c>
      <c r="H14" s="106" t="s">
        <v>564</v>
      </c>
      <c r="I14" s="106" t="s">
        <v>395</v>
      </c>
      <c r="J14" s="106" t="s">
        <v>78</v>
      </c>
      <c r="K14" s="106" t="s">
        <v>79</v>
      </c>
      <c r="L14" s="106" t="s">
        <v>80</v>
      </c>
      <c r="M14" s="106" t="s">
        <v>565</v>
      </c>
      <c r="N14" s="106" t="s">
        <v>566</v>
      </c>
      <c r="O14" s="106" t="s">
        <v>567</v>
      </c>
      <c r="P14" s="106" t="s">
        <v>505</v>
      </c>
      <c r="Q14" s="106" t="s">
        <v>83</v>
      </c>
      <c r="R14" s="106" t="s">
        <v>498</v>
      </c>
      <c r="S14" s="106" t="s">
        <v>121</v>
      </c>
      <c r="T14" s="106" t="s">
        <v>568</v>
      </c>
      <c r="U14" s="106" t="s">
        <v>300</v>
      </c>
    </row>
    <row r="15" customFormat="false" ht="57.45" hidden="false" customHeight="false" outlineLevel="0" collapsed="false">
      <c r="A15" s="105" t="s">
        <v>32</v>
      </c>
      <c r="B15" s="106" t="s">
        <v>33</v>
      </c>
      <c r="C15" s="106" t="s">
        <v>569</v>
      </c>
      <c r="D15" s="106" t="s">
        <v>493</v>
      </c>
      <c r="E15" s="106" t="s">
        <v>494</v>
      </c>
      <c r="F15" s="106" t="s">
        <v>570</v>
      </c>
      <c r="G15" s="106" t="s">
        <v>75</v>
      </c>
      <c r="H15" s="106" t="s">
        <v>571</v>
      </c>
      <c r="I15" s="106" t="s">
        <v>395</v>
      </c>
      <c r="J15" s="106" t="s">
        <v>78</v>
      </c>
      <c r="K15" s="106" t="s">
        <v>79</v>
      </c>
      <c r="L15" s="106" t="s">
        <v>80</v>
      </c>
      <c r="M15" s="106" t="s">
        <v>572</v>
      </c>
      <c r="N15" s="106" t="s">
        <v>573</v>
      </c>
      <c r="O15" s="106" t="s">
        <v>574</v>
      </c>
      <c r="P15" s="106" t="s">
        <v>505</v>
      </c>
      <c r="Q15" s="106" t="s">
        <v>83</v>
      </c>
      <c r="R15" s="106" t="s">
        <v>498</v>
      </c>
      <c r="S15" s="106" t="s">
        <v>121</v>
      </c>
      <c r="T15" s="106" t="s">
        <v>575</v>
      </c>
      <c r="U15" s="106" t="s">
        <v>300</v>
      </c>
    </row>
    <row r="16" customFormat="false" ht="57.45" hidden="false" customHeight="false" outlineLevel="0" collapsed="false">
      <c r="A16" s="105" t="s">
        <v>32</v>
      </c>
      <c r="B16" s="106" t="s">
        <v>33</v>
      </c>
      <c r="C16" s="106" t="s">
        <v>576</v>
      </c>
      <c r="D16" s="106" t="s">
        <v>493</v>
      </c>
      <c r="E16" s="106" t="s">
        <v>494</v>
      </c>
      <c r="F16" s="106" t="s">
        <v>577</v>
      </c>
      <c r="G16" s="106" t="s">
        <v>75</v>
      </c>
      <c r="H16" s="106" t="s">
        <v>578</v>
      </c>
      <c r="I16" s="106" t="s">
        <v>458</v>
      </c>
      <c r="J16" s="106" t="s">
        <v>78</v>
      </c>
      <c r="K16" s="106" t="s">
        <v>79</v>
      </c>
      <c r="L16" s="106" t="s">
        <v>80</v>
      </c>
      <c r="M16" s="106" t="s">
        <v>579</v>
      </c>
      <c r="N16" s="106" t="s">
        <v>580</v>
      </c>
      <c r="O16" s="106" t="s">
        <v>581</v>
      </c>
      <c r="P16" s="106" t="s">
        <v>505</v>
      </c>
      <c r="Q16" s="106" t="s">
        <v>83</v>
      </c>
      <c r="R16" s="106" t="s">
        <v>498</v>
      </c>
      <c r="S16" s="106" t="s">
        <v>121</v>
      </c>
      <c r="T16" s="106" t="s">
        <v>582</v>
      </c>
      <c r="U16" s="106" t="s">
        <v>191</v>
      </c>
    </row>
    <row r="17" customFormat="false" ht="91" hidden="false" customHeight="false" outlineLevel="0" collapsed="false">
      <c r="A17" s="105" t="s">
        <v>32</v>
      </c>
      <c r="B17" s="106" t="s">
        <v>33</v>
      </c>
      <c r="C17" s="106" t="s">
        <v>583</v>
      </c>
      <c r="D17" s="106" t="s">
        <v>493</v>
      </c>
      <c r="E17" s="106" t="s">
        <v>494</v>
      </c>
      <c r="F17" s="106" t="s">
        <v>584</v>
      </c>
      <c r="G17" s="106" t="s">
        <v>75</v>
      </c>
      <c r="H17" s="106" t="s">
        <v>585</v>
      </c>
      <c r="I17" s="106" t="s">
        <v>395</v>
      </c>
      <c r="J17" s="106" t="s">
        <v>78</v>
      </c>
      <c r="K17" s="106" t="s">
        <v>79</v>
      </c>
      <c r="L17" s="106" t="s">
        <v>80</v>
      </c>
      <c r="M17" s="106" t="s">
        <v>586</v>
      </c>
      <c r="N17" s="106" t="s">
        <v>587</v>
      </c>
      <c r="O17" s="106" t="s">
        <v>588</v>
      </c>
      <c r="P17" s="106" t="s">
        <v>505</v>
      </c>
      <c r="Q17" s="106" t="s">
        <v>83</v>
      </c>
      <c r="R17" s="106" t="s">
        <v>498</v>
      </c>
      <c r="S17" s="106" t="s">
        <v>121</v>
      </c>
      <c r="T17" s="106" t="s">
        <v>589</v>
      </c>
      <c r="U17" s="106" t="s">
        <v>123</v>
      </c>
    </row>
    <row r="18" customFormat="false" ht="57.45" hidden="false" customHeight="false" outlineLevel="0" collapsed="false">
      <c r="A18" s="105" t="s">
        <v>32</v>
      </c>
      <c r="B18" s="106" t="s">
        <v>33</v>
      </c>
      <c r="C18" s="106" t="s">
        <v>590</v>
      </c>
      <c r="D18" s="106" t="s">
        <v>493</v>
      </c>
      <c r="E18" s="106" t="s">
        <v>494</v>
      </c>
      <c r="F18" s="106" t="s">
        <v>591</v>
      </c>
      <c r="G18" s="106" t="s">
        <v>75</v>
      </c>
      <c r="H18" s="106" t="s">
        <v>592</v>
      </c>
      <c r="I18" s="106" t="s">
        <v>77</v>
      </c>
      <c r="J18" s="106" t="s">
        <v>78</v>
      </c>
      <c r="K18" s="106" t="s">
        <v>79</v>
      </c>
      <c r="L18" s="106" t="s">
        <v>80</v>
      </c>
      <c r="M18" s="106" t="s">
        <v>593</v>
      </c>
      <c r="N18" s="106" t="s">
        <v>594</v>
      </c>
      <c r="O18" s="106" t="s">
        <v>595</v>
      </c>
      <c r="P18" s="106" t="s">
        <v>505</v>
      </c>
      <c r="Q18" s="106" t="s">
        <v>83</v>
      </c>
      <c r="R18" s="106" t="s">
        <v>498</v>
      </c>
      <c r="S18" s="106" t="s">
        <v>121</v>
      </c>
      <c r="T18" s="106" t="s">
        <v>596</v>
      </c>
      <c r="U18" s="106" t="s">
        <v>191</v>
      </c>
    </row>
    <row r="19" customFormat="false" ht="57.45" hidden="false" customHeight="false" outlineLevel="0" collapsed="false">
      <c r="A19" s="105" t="s">
        <v>32</v>
      </c>
      <c r="B19" s="106" t="s">
        <v>33</v>
      </c>
      <c r="C19" s="106" t="s">
        <v>590</v>
      </c>
      <c r="D19" s="106" t="s">
        <v>493</v>
      </c>
      <c r="E19" s="106" t="s">
        <v>494</v>
      </c>
      <c r="F19" s="106" t="s">
        <v>597</v>
      </c>
      <c r="G19" s="106" t="s">
        <v>75</v>
      </c>
      <c r="H19" s="106" t="s">
        <v>598</v>
      </c>
      <c r="I19" s="106" t="s">
        <v>148</v>
      </c>
      <c r="J19" s="106" t="s">
        <v>78</v>
      </c>
      <c r="K19" s="106" t="s">
        <v>79</v>
      </c>
      <c r="L19" s="106" t="s">
        <v>80</v>
      </c>
      <c r="M19" s="106" t="s">
        <v>593</v>
      </c>
      <c r="N19" s="106" t="s">
        <v>594</v>
      </c>
      <c r="O19" s="106" t="s">
        <v>595</v>
      </c>
      <c r="P19" s="106" t="s">
        <v>505</v>
      </c>
      <c r="Q19" s="106" t="s">
        <v>83</v>
      </c>
      <c r="R19" s="106" t="s">
        <v>498</v>
      </c>
      <c r="S19" s="106" t="s">
        <v>121</v>
      </c>
      <c r="T19" s="106" t="s">
        <v>596</v>
      </c>
      <c r="U19" s="106" t="s">
        <v>191</v>
      </c>
    </row>
    <row r="20" customFormat="false" ht="57.45" hidden="false" customHeight="false" outlineLevel="0" collapsed="false">
      <c r="A20" s="105" t="s">
        <v>32</v>
      </c>
      <c r="B20" s="106" t="s">
        <v>33</v>
      </c>
      <c r="C20" s="106" t="s">
        <v>590</v>
      </c>
      <c r="D20" s="106" t="s">
        <v>493</v>
      </c>
      <c r="E20" s="106" t="s">
        <v>494</v>
      </c>
      <c r="F20" s="106" t="s">
        <v>599</v>
      </c>
      <c r="G20" s="106" t="s">
        <v>75</v>
      </c>
      <c r="H20" s="106" t="s">
        <v>600</v>
      </c>
      <c r="I20" s="106" t="s">
        <v>91</v>
      </c>
      <c r="J20" s="106" t="s">
        <v>78</v>
      </c>
      <c r="K20" s="106" t="s">
        <v>79</v>
      </c>
      <c r="L20" s="106" t="s">
        <v>601</v>
      </c>
      <c r="M20" s="106" t="s">
        <v>593</v>
      </c>
      <c r="N20" s="106" t="s">
        <v>594</v>
      </c>
      <c r="O20" s="106" t="s">
        <v>595</v>
      </c>
      <c r="P20" s="106" t="s">
        <v>505</v>
      </c>
      <c r="Q20" s="106" t="s">
        <v>83</v>
      </c>
      <c r="R20" s="106" t="s">
        <v>498</v>
      </c>
      <c r="S20" s="106" t="s">
        <v>121</v>
      </c>
      <c r="T20" s="106" t="s">
        <v>596</v>
      </c>
      <c r="U20" s="106" t="s">
        <v>191</v>
      </c>
    </row>
    <row r="21" customFormat="false" ht="57.45" hidden="false" customHeight="false" outlineLevel="0" collapsed="false">
      <c r="A21" s="105" t="s">
        <v>32</v>
      </c>
      <c r="B21" s="106" t="s">
        <v>33</v>
      </c>
      <c r="C21" s="106" t="s">
        <v>602</v>
      </c>
      <c r="D21" s="106" t="s">
        <v>493</v>
      </c>
      <c r="E21" s="106" t="s">
        <v>494</v>
      </c>
      <c r="F21" s="106" t="s">
        <v>603</v>
      </c>
      <c r="G21" s="106" t="s">
        <v>75</v>
      </c>
      <c r="H21" s="106" t="s">
        <v>604</v>
      </c>
      <c r="I21" s="106" t="s">
        <v>77</v>
      </c>
      <c r="J21" s="106" t="s">
        <v>78</v>
      </c>
      <c r="K21" s="106" t="s">
        <v>79</v>
      </c>
      <c r="L21" s="106" t="s">
        <v>80</v>
      </c>
      <c r="M21" s="106" t="s">
        <v>605</v>
      </c>
      <c r="N21" s="106" t="s">
        <v>606</v>
      </c>
      <c r="O21" s="106" t="s">
        <v>607</v>
      </c>
      <c r="P21" s="106" t="s">
        <v>608</v>
      </c>
      <c r="Q21" s="106" t="s">
        <v>83</v>
      </c>
      <c r="R21" s="106" t="s">
        <v>498</v>
      </c>
      <c r="S21" s="106" t="s">
        <v>121</v>
      </c>
      <c r="T21" s="106" t="s">
        <v>609</v>
      </c>
      <c r="U21" s="106" t="s">
        <v>191</v>
      </c>
    </row>
    <row r="22" customFormat="false" ht="57.45" hidden="false" customHeight="false" outlineLevel="0" collapsed="false">
      <c r="A22" s="105" t="s">
        <v>32</v>
      </c>
      <c r="B22" s="106" t="s">
        <v>33</v>
      </c>
      <c r="C22" s="106" t="s">
        <v>602</v>
      </c>
      <c r="D22" s="106" t="s">
        <v>493</v>
      </c>
      <c r="E22" s="106" t="s">
        <v>494</v>
      </c>
      <c r="F22" s="106" t="s">
        <v>610</v>
      </c>
      <c r="G22" s="106" t="s">
        <v>75</v>
      </c>
      <c r="H22" s="106" t="s">
        <v>611</v>
      </c>
      <c r="I22" s="106" t="s">
        <v>186</v>
      </c>
      <c r="J22" s="106" t="s">
        <v>78</v>
      </c>
      <c r="K22" s="106" t="s">
        <v>79</v>
      </c>
      <c r="L22" s="106" t="s">
        <v>80</v>
      </c>
      <c r="M22" s="106" t="s">
        <v>605</v>
      </c>
      <c r="N22" s="106" t="s">
        <v>606</v>
      </c>
      <c r="O22" s="106" t="s">
        <v>607</v>
      </c>
      <c r="P22" s="106" t="s">
        <v>608</v>
      </c>
      <c r="Q22" s="106" t="s">
        <v>83</v>
      </c>
      <c r="R22" s="106" t="s">
        <v>498</v>
      </c>
      <c r="S22" s="106" t="s">
        <v>121</v>
      </c>
      <c r="T22" s="106" t="s">
        <v>612</v>
      </c>
      <c r="U22" s="106" t="s">
        <v>191</v>
      </c>
    </row>
    <row r="23" customFormat="false" ht="57.45" hidden="false" customHeight="false" outlineLevel="0" collapsed="false">
      <c r="A23" s="105" t="s">
        <v>32</v>
      </c>
      <c r="B23" s="106" t="s">
        <v>33</v>
      </c>
      <c r="C23" s="106" t="s">
        <v>613</v>
      </c>
      <c r="D23" s="106" t="s">
        <v>493</v>
      </c>
      <c r="E23" s="106" t="s">
        <v>494</v>
      </c>
      <c r="F23" s="106" t="s">
        <v>614</v>
      </c>
      <c r="G23" s="106" t="s">
        <v>75</v>
      </c>
      <c r="H23" s="106" t="s">
        <v>615</v>
      </c>
      <c r="I23" s="106" t="s">
        <v>91</v>
      </c>
      <c r="J23" s="106" t="s">
        <v>78</v>
      </c>
      <c r="K23" s="106" t="s">
        <v>79</v>
      </c>
      <c r="L23" s="106" t="s">
        <v>80</v>
      </c>
      <c r="M23" s="106" t="s">
        <v>616</v>
      </c>
      <c r="N23" s="106" t="s">
        <v>617</v>
      </c>
      <c r="O23" s="106" t="s">
        <v>618</v>
      </c>
      <c r="P23" s="106" t="s">
        <v>619</v>
      </c>
      <c r="Q23" s="106" t="s">
        <v>83</v>
      </c>
      <c r="R23" s="106" t="s">
        <v>498</v>
      </c>
      <c r="S23" s="106" t="s">
        <v>121</v>
      </c>
      <c r="T23" s="106" t="s">
        <v>620</v>
      </c>
      <c r="U23" s="106" t="s">
        <v>191</v>
      </c>
    </row>
    <row r="24" customFormat="false" ht="57.45" hidden="false" customHeight="false" outlineLevel="0" collapsed="false">
      <c r="A24" s="105" t="s">
        <v>32</v>
      </c>
      <c r="B24" s="106" t="s">
        <v>33</v>
      </c>
      <c r="C24" s="106" t="s">
        <v>613</v>
      </c>
      <c r="D24" s="106" t="s">
        <v>493</v>
      </c>
      <c r="E24" s="106" t="s">
        <v>494</v>
      </c>
      <c r="F24" s="106" t="s">
        <v>621</v>
      </c>
      <c r="G24" s="106" t="s">
        <v>75</v>
      </c>
      <c r="H24" s="106" t="s">
        <v>622</v>
      </c>
      <c r="I24" s="106" t="s">
        <v>91</v>
      </c>
      <c r="J24" s="106" t="s">
        <v>78</v>
      </c>
      <c r="K24" s="106" t="s">
        <v>79</v>
      </c>
      <c r="L24" s="106" t="s">
        <v>173</v>
      </c>
      <c r="M24" s="106" t="s">
        <v>616</v>
      </c>
      <c r="N24" s="106" t="s">
        <v>617</v>
      </c>
      <c r="O24" s="106" t="s">
        <v>618</v>
      </c>
      <c r="P24" s="106" t="s">
        <v>619</v>
      </c>
      <c r="Q24" s="106" t="s">
        <v>83</v>
      </c>
      <c r="R24" s="106" t="s">
        <v>498</v>
      </c>
      <c r="S24" s="106" t="s">
        <v>121</v>
      </c>
      <c r="T24" s="106" t="s">
        <v>620</v>
      </c>
      <c r="U24" s="106" t="s">
        <v>191</v>
      </c>
    </row>
    <row r="25" customFormat="false" ht="57.45" hidden="false" customHeight="false" outlineLevel="0" collapsed="false">
      <c r="A25" s="105" t="s">
        <v>32</v>
      </c>
      <c r="B25" s="106" t="s">
        <v>33</v>
      </c>
      <c r="C25" s="106" t="s">
        <v>623</v>
      </c>
      <c r="D25" s="106" t="s">
        <v>493</v>
      </c>
      <c r="E25" s="106" t="s">
        <v>494</v>
      </c>
      <c r="F25" s="106" t="s">
        <v>624</v>
      </c>
      <c r="G25" s="106" t="s">
        <v>75</v>
      </c>
      <c r="H25" s="106" t="s">
        <v>625</v>
      </c>
      <c r="I25" s="106" t="s">
        <v>91</v>
      </c>
      <c r="J25" s="106" t="s">
        <v>78</v>
      </c>
      <c r="K25" s="106" t="s">
        <v>79</v>
      </c>
      <c r="L25" s="106" t="s">
        <v>173</v>
      </c>
      <c r="M25" s="106" t="s">
        <v>626</v>
      </c>
      <c r="N25" s="106" t="s">
        <v>627</v>
      </c>
      <c r="O25" s="106" t="s">
        <v>628</v>
      </c>
      <c r="P25" s="106" t="s">
        <v>505</v>
      </c>
      <c r="Q25" s="106" t="s">
        <v>83</v>
      </c>
      <c r="R25" s="106" t="s">
        <v>498</v>
      </c>
      <c r="S25" s="106" t="s">
        <v>121</v>
      </c>
      <c r="T25" s="106" t="s">
        <v>629</v>
      </c>
      <c r="U25" s="106" t="s">
        <v>630</v>
      </c>
    </row>
    <row r="26" customFormat="false" ht="57.45" hidden="false" customHeight="false" outlineLevel="0" collapsed="false">
      <c r="A26" s="105" t="s">
        <v>32</v>
      </c>
      <c r="B26" s="106" t="s">
        <v>33</v>
      </c>
      <c r="C26" s="106" t="s">
        <v>623</v>
      </c>
      <c r="D26" s="106" t="s">
        <v>493</v>
      </c>
      <c r="E26" s="106" t="s">
        <v>494</v>
      </c>
      <c r="F26" s="106" t="s">
        <v>631</v>
      </c>
      <c r="G26" s="106" t="s">
        <v>75</v>
      </c>
      <c r="H26" s="106" t="s">
        <v>632</v>
      </c>
      <c r="I26" s="106" t="s">
        <v>77</v>
      </c>
      <c r="J26" s="106" t="s">
        <v>78</v>
      </c>
      <c r="K26" s="106" t="s">
        <v>79</v>
      </c>
      <c r="L26" s="106" t="s">
        <v>80</v>
      </c>
      <c r="M26" s="106" t="s">
        <v>626</v>
      </c>
      <c r="N26" s="106" t="s">
        <v>627</v>
      </c>
      <c r="O26" s="106" t="s">
        <v>628</v>
      </c>
      <c r="P26" s="106" t="s">
        <v>505</v>
      </c>
      <c r="Q26" s="106" t="s">
        <v>83</v>
      </c>
      <c r="R26" s="106" t="s">
        <v>498</v>
      </c>
      <c r="S26" s="106" t="s">
        <v>121</v>
      </c>
      <c r="T26" s="106" t="s">
        <v>629</v>
      </c>
      <c r="U26" s="106" t="s">
        <v>630</v>
      </c>
    </row>
    <row r="27" customFormat="false" ht="337.3" hidden="false" customHeight="false" outlineLevel="0" collapsed="false">
      <c r="A27" s="105" t="s">
        <v>32</v>
      </c>
      <c r="B27" s="106" t="s">
        <v>33</v>
      </c>
      <c r="C27" s="106" t="s">
        <v>633</v>
      </c>
      <c r="D27" s="106" t="s">
        <v>493</v>
      </c>
      <c r="E27" s="106" t="s">
        <v>494</v>
      </c>
      <c r="F27" s="106" t="s">
        <v>634</v>
      </c>
      <c r="G27" s="106" t="s">
        <v>75</v>
      </c>
      <c r="H27" s="106" t="s">
        <v>635</v>
      </c>
      <c r="I27" s="106" t="s">
        <v>78</v>
      </c>
      <c r="J27" s="106" t="s">
        <v>78</v>
      </c>
      <c r="K27" s="106" t="s">
        <v>78</v>
      </c>
      <c r="L27" s="106" t="s">
        <v>78</v>
      </c>
      <c r="M27" s="106" t="s">
        <v>636</v>
      </c>
      <c r="N27" s="106" t="s">
        <v>637</v>
      </c>
      <c r="O27" s="106" t="s">
        <v>638</v>
      </c>
      <c r="P27" s="106" t="s">
        <v>639</v>
      </c>
      <c r="Q27" s="106" t="s">
        <v>640</v>
      </c>
      <c r="R27" s="106" t="s">
        <v>641</v>
      </c>
      <c r="S27" s="106" t="s">
        <v>95</v>
      </c>
      <c r="T27" s="106" t="s">
        <v>642</v>
      </c>
      <c r="U27" s="106" t="s">
        <v>201</v>
      </c>
    </row>
    <row r="28" customFormat="false" ht="68.65" hidden="false" customHeight="false" outlineLevel="0" collapsed="false">
      <c r="A28" s="105" t="s">
        <v>32</v>
      </c>
      <c r="B28" s="106" t="s">
        <v>33</v>
      </c>
      <c r="C28" s="106" t="s">
        <v>1147</v>
      </c>
      <c r="D28" s="106" t="s">
        <v>1148</v>
      </c>
      <c r="E28" s="106" t="s">
        <v>1149</v>
      </c>
      <c r="F28" s="106" t="s">
        <v>1150</v>
      </c>
      <c r="G28" s="106" t="s">
        <v>1017</v>
      </c>
      <c r="H28" s="106" t="s">
        <v>1151</v>
      </c>
      <c r="I28" s="106" t="s">
        <v>1081</v>
      </c>
      <c r="J28" s="106" t="s">
        <v>1152</v>
      </c>
      <c r="K28" s="106" t="s">
        <v>78</v>
      </c>
      <c r="L28" s="106" t="s">
        <v>1153</v>
      </c>
      <c r="M28" s="106"/>
      <c r="N28" s="106" t="s">
        <v>1154</v>
      </c>
      <c r="O28" s="106" t="s">
        <v>1155</v>
      </c>
      <c r="P28" s="106" t="s">
        <v>545</v>
      </c>
      <c r="Q28" s="106" t="s">
        <v>83</v>
      </c>
      <c r="R28" s="106" t="s">
        <v>84</v>
      </c>
      <c r="S28" s="106" t="s">
        <v>121</v>
      </c>
      <c r="T28" s="106" t="s">
        <v>1156</v>
      </c>
      <c r="U28" s="106" t="s">
        <v>1157</v>
      </c>
    </row>
    <row r="29" customFormat="false" ht="57.45" hidden="false" customHeight="false" outlineLevel="0" collapsed="false">
      <c r="A29" s="105" t="s">
        <v>32</v>
      </c>
      <c r="B29" s="106" t="s">
        <v>33</v>
      </c>
      <c r="C29" s="106" t="s">
        <v>1147</v>
      </c>
      <c r="D29" s="106" t="s">
        <v>1148</v>
      </c>
      <c r="E29" s="106" t="s">
        <v>1149</v>
      </c>
      <c r="F29" s="106" t="s">
        <v>1158</v>
      </c>
      <c r="G29" s="106" t="s">
        <v>1027</v>
      </c>
      <c r="H29" s="106" t="s">
        <v>1159</v>
      </c>
      <c r="I29" s="106" t="s">
        <v>1160</v>
      </c>
      <c r="J29" s="106" t="s">
        <v>78</v>
      </c>
      <c r="K29" s="106" t="s">
        <v>78</v>
      </c>
      <c r="L29" s="106" t="s">
        <v>1058</v>
      </c>
      <c r="M29" s="106"/>
      <c r="N29" s="106" t="s">
        <v>1161</v>
      </c>
      <c r="O29" s="106" t="s">
        <v>1162</v>
      </c>
      <c r="P29" s="106" t="s">
        <v>505</v>
      </c>
      <c r="Q29" s="106" t="s">
        <v>83</v>
      </c>
      <c r="R29" s="106" t="s">
        <v>498</v>
      </c>
      <c r="S29" s="106" t="s">
        <v>121</v>
      </c>
      <c r="T29" s="106" t="s">
        <v>1163</v>
      </c>
      <c r="U29" s="106" t="s">
        <v>1157</v>
      </c>
    </row>
    <row r="30" customFormat="false" ht="57.45" hidden="false" customHeight="false" outlineLevel="0" collapsed="false">
      <c r="A30" s="105" t="s">
        <v>32</v>
      </c>
      <c r="B30" s="106" t="s">
        <v>33</v>
      </c>
      <c r="C30" s="106" t="s">
        <v>492</v>
      </c>
      <c r="D30" s="106" t="s">
        <v>1148</v>
      </c>
      <c r="E30" s="106" t="s">
        <v>1149</v>
      </c>
      <c r="F30" s="106" t="s">
        <v>1164</v>
      </c>
      <c r="G30" s="106" t="s">
        <v>1027</v>
      </c>
      <c r="H30" s="106" t="s">
        <v>1165</v>
      </c>
      <c r="I30" s="106" t="s">
        <v>1160</v>
      </c>
      <c r="J30" s="106" t="s">
        <v>78</v>
      </c>
      <c r="K30" s="106" t="s">
        <v>78</v>
      </c>
      <c r="L30" s="106" t="s">
        <v>1058</v>
      </c>
      <c r="M30" s="106"/>
      <c r="N30" s="106" t="s">
        <v>1166</v>
      </c>
      <c r="O30" s="106" t="s">
        <v>82</v>
      </c>
      <c r="P30" s="106" t="s">
        <v>78</v>
      </c>
      <c r="Q30" s="106" t="s">
        <v>83</v>
      </c>
      <c r="R30" s="106" t="s">
        <v>498</v>
      </c>
      <c r="S30" s="106" t="s">
        <v>85</v>
      </c>
      <c r="T30" s="106" t="s">
        <v>1167</v>
      </c>
      <c r="U30" s="106" t="s">
        <v>87</v>
      </c>
    </row>
    <row r="31" customFormat="false" ht="202.95" hidden="false" customHeight="false" outlineLevel="0" collapsed="false">
      <c r="A31" s="105" t="s">
        <v>32</v>
      </c>
      <c r="B31" s="106" t="s">
        <v>33</v>
      </c>
      <c r="C31" s="106" t="s">
        <v>1168</v>
      </c>
      <c r="D31" s="106" t="s">
        <v>1148</v>
      </c>
      <c r="E31" s="106" t="s">
        <v>1149</v>
      </c>
      <c r="F31" s="106" t="s">
        <v>1169</v>
      </c>
      <c r="G31" s="106" t="s">
        <v>1027</v>
      </c>
      <c r="H31" s="106" t="s">
        <v>1170</v>
      </c>
      <c r="I31" s="106" t="s">
        <v>1171</v>
      </c>
      <c r="J31" s="106" t="s">
        <v>78</v>
      </c>
      <c r="K31" s="106" t="s">
        <v>78</v>
      </c>
      <c r="L31" s="106" t="s">
        <v>1031</v>
      </c>
      <c r="M31" s="106"/>
      <c r="N31" s="106" t="s">
        <v>503</v>
      </c>
      <c r="O31" s="106" t="s">
        <v>1172</v>
      </c>
      <c r="P31" s="106" t="s">
        <v>505</v>
      </c>
      <c r="Q31" s="106" t="s">
        <v>83</v>
      </c>
      <c r="R31" s="106" t="s">
        <v>498</v>
      </c>
      <c r="S31" s="106" t="s">
        <v>121</v>
      </c>
      <c r="T31" s="106" t="s">
        <v>506</v>
      </c>
      <c r="U31" s="106" t="s">
        <v>1173</v>
      </c>
    </row>
    <row r="32" customFormat="false" ht="91" hidden="false" customHeight="false" outlineLevel="0" collapsed="false">
      <c r="A32" s="105" t="s">
        <v>32</v>
      </c>
      <c r="B32" s="106" t="s">
        <v>33</v>
      </c>
      <c r="C32" s="106" t="s">
        <v>1174</v>
      </c>
      <c r="D32" s="106" t="s">
        <v>1148</v>
      </c>
      <c r="E32" s="106" t="s">
        <v>1149</v>
      </c>
      <c r="F32" s="106" t="s">
        <v>1175</v>
      </c>
      <c r="G32" s="106" t="s">
        <v>1027</v>
      </c>
      <c r="H32" s="106" t="s">
        <v>1176</v>
      </c>
      <c r="I32" s="106" t="s">
        <v>1160</v>
      </c>
      <c r="J32" s="106" t="s">
        <v>78</v>
      </c>
      <c r="K32" s="106" t="s">
        <v>78</v>
      </c>
      <c r="L32" s="106" t="s">
        <v>1058</v>
      </c>
      <c r="M32" s="106"/>
      <c r="N32" s="106" t="s">
        <v>1177</v>
      </c>
      <c r="O32" s="106" t="s">
        <v>1178</v>
      </c>
      <c r="P32" s="106" t="s">
        <v>505</v>
      </c>
      <c r="Q32" s="106" t="s">
        <v>83</v>
      </c>
      <c r="R32" s="106" t="s">
        <v>498</v>
      </c>
      <c r="S32" s="106" t="s">
        <v>121</v>
      </c>
      <c r="T32" s="106" t="s">
        <v>1179</v>
      </c>
      <c r="U32" s="106" t="s">
        <v>658</v>
      </c>
    </row>
    <row r="33" customFormat="false" ht="124.6" hidden="false" customHeight="false" outlineLevel="0" collapsed="false">
      <c r="A33" s="105" t="s">
        <v>32</v>
      </c>
      <c r="B33" s="106" t="s">
        <v>33</v>
      </c>
      <c r="C33" s="106" t="s">
        <v>1180</v>
      </c>
      <c r="D33" s="106" t="s">
        <v>1148</v>
      </c>
      <c r="E33" s="106" t="s">
        <v>1149</v>
      </c>
      <c r="F33" s="106" t="s">
        <v>1181</v>
      </c>
      <c r="G33" s="106" t="s">
        <v>1027</v>
      </c>
      <c r="H33" s="106" t="s">
        <v>1182</v>
      </c>
      <c r="I33" s="106" t="s">
        <v>1019</v>
      </c>
      <c r="J33" s="106" t="s">
        <v>78</v>
      </c>
      <c r="K33" s="106" t="s">
        <v>78</v>
      </c>
      <c r="L33" s="106" t="s">
        <v>78</v>
      </c>
      <c r="M33" s="106"/>
      <c r="N33" s="106" t="s">
        <v>1183</v>
      </c>
      <c r="O33" s="106" t="s">
        <v>1184</v>
      </c>
      <c r="P33" s="106" t="s">
        <v>505</v>
      </c>
      <c r="Q33" s="106" t="s">
        <v>83</v>
      </c>
      <c r="R33" s="106" t="s">
        <v>498</v>
      </c>
      <c r="S33" s="106" t="s">
        <v>121</v>
      </c>
      <c r="T33" s="106" t="s">
        <v>1185</v>
      </c>
      <c r="U33" s="106" t="s">
        <v>912</v>
      </c>
    </row>
    <row r="34" customFormat="false" ht="68.65" hidden="false" customHeight="false" outlineLevel="0" collapsed="false">
      <c r="A34" s="105" t="s">
        <v>32</v>
      </c>
      <c r="B34" s="106" t="s">
        <v>33</v>
      </c>
      <c r="C34" s="106" t="s">
        <v>1174</v>
      </c>
      <c r="D34" s="106" t="s">
        <v>1148</v>
      </c>
      <c r="E34" s="106" t="s">
        <v>1149</v>
      </c>
      <c r="F34" s="106" t="s">
        <v>1186</v>
      </c>
      <c r="G34" s="106" t="s">
        <v>1027</v>
      </c>
      <c r="H34" s="106" t="s">
        <v>1187</v>
      </c>
      <c r="I34" s="106" t="s">
        <v>1019</v>
      </c>
      <c r="J34" s="106" t="s">
        <v>78</v>
      </c>
      <c r="K34" s="106" t="s">
        <v>78</v>
      </c>
      <c r="L34" s="106" t="s">
        <v>78</v>
      </c>
      <c r="M34" s="106"/>
      <c r="N34" s="106" t="s">
        <v>1188</v>
      </c>
      <c r="O34" s="106" t="s">
        <v>1189</v>
      </c>
      <c r="P34" s="106" t="s">
        <v>505</v>
      </c>
      <c r="Q34" s="106" t="s">
        <v>83</v>
      </c>
      <c r="R34" s="106" t="s">
        <v>498</v>
      </c>
      <c r="S34" s="106" t="s">
        <v>121</v>
      </c>
      <c r="T34" s="106" t="s">
        <v>1190</v>
      </c>
      <c r="U34" s="106" t="s">
        <v>658</v>
      </c>
    </row>
    <row r="35" customFormat="false" ht="68.65" hidden="false" customHeight="false" outlineLevel="0" collapsed="false">
      <c r="A35" s="105" t="s">
        <v>32</v>
      </c>
      <c r="B35" s="106" t="s">
        <v>33</v>
      </c>
      <c r="C35" s="106" t="s">
        <v>529</v>
      </c>
      <c r="D35" s="106" t="s">
        <v>1148</v>
      </c>
      <c r="E35" s="106" t="s">
        <v>1149</v>
      </c>
      <c r="F35" s="106" t="s">
        <v>1191</v>
      </c>
      <c r="G35" s="106" t="s">
        <v>1027</v>
      </c>
      <c r="H35" s="106" t="s">
        <v>1192</v>
      </c>
      <c r="I35" s="106" t="s">
        <v>1019</v>
      </c>
      <c r="J35" s="106" t="s">
        <v>78</v>
      </c>
      <c r="K35" s="106" t="s">
        <v>78</v>
      </c>
      <c r="L35" s="106" t="s">
        <v>78</v>
      </c>
      <c r="M35" s="106"/>
      <c r="N35" s="106" t="s">
        <v>537</v>
      </c>
      <c r="O35" s="106" t="s">
        <v>538</v>
      </c>
      <c r="P35" s="106" t="s">
        <v>505</v>
      </c>
      <c r="Q35" s="106" t="s">
        <v>83</v>
      </c>
      <c r="R35" s="106" t="s">
        <v>498</v>
      </c>
      <c r="S35" s="106" t="s">
        <v>121</v>
      </c>
      <c r="T35" s="106" t="s">
        <v>1193</v>
      </c>
      <c r="U35" s="106" t="s">
        <v>227</v>
      </c>
    </row>
    <row r="36" customFormat="false" ht="68.65" hidden="false" customHeight="false" outlineLevel="0" collapsed="false">
      <c r="A36" s="105" t="s">
        <v>32</v>
      </c>
      <c r="B36" s="106" t="s">
        <v>33</v>
      </c>
      <c r="C36" s="106" t="s">
        <v>540</v>
      </c>
      <c r="D36" s="106" t="s">
        <v>1148</v>
      </c>
      <c r="E36" s="106" t="s">
        <v>1149</v>
      </c>
      <c r="F36" s="106" t="s">
        <v>1194</v>
      </c>
      <c r="G36" s="106" t="s">
        <v>1027</v>
      </c>
      <c r="H36" s="106" t="s">
        <v>548</v>
      </c>
      <c r="I36" s="106" t="s">
        <v>1073</v>
      </c>
      <c r="J36" s="106" t="s">
        <v>78</v>
      </c>
      <c r="K36" s="106" t="s">
        <v>78</v>
      </c>
      <c r="L36" s="106" t="s">
        <v>1058</v>
      </c>
      <c r="M36" s="106" t="s">
        <v>543</v>
      </c>
      <c r="N36" s="106" t="s">
        <v>1195</v>
      </c>
      <c r="O36" s="106" t="s">
        <v>1196</v>
      </c>
      <c r="P36" s="106" t="s">
        <v>619</v>
      </c>
      <c r="Q36" s="106" t="s">
        <v>83</v>
      </c>
      <c r="R36" s="106" t="s">
        <v>498</v>
      </c>
      <c r="S36" s="106" t="s">
        <v>121</v>
      </c>
      <c r="T36" s="106" t="s">
        <v>546</v>
      </c>
      <c r="U36" s="106" t="s">
        <v>316</v>
      </c>
    </row>
    <row r="37" customFormat="false" ht="68.65" hidden="false" customHeight="false" outlineLevel="0" collapsed="false">
      <c r="A37" s="105" t="s">
        <v>32</v>
      </c>
      <c r="B37" s="106" t="s">
        <v>33</v>
      </c>
      <c r="C37" s="106" t="s">
        <v>549</v>
      </c>
      <c r="D37" s="106" t="s">
        <v>1148</v>
      </c>
      <c r="E37" s="106" t="s">
        <v>1149</v>
      </c>
      <c r="F37" s="106" t="s">
        <v>1197</v>
      </c>
      <c r="G37" s="106" t="s">
        <v>1027</v>
      </c>
      <c r="H37" s="106" t="s">
        <v>1198</v>
      </c>
      <c r="I37" s="106" t="s">
        <v>1199</v>
      </c>
      <c r="J37" s="106" t="s">
        <v>78</v>
      </c>
      <c r="K37" s="106" t="s">
        <v>78</v>
      </c>
      <c r="L37" s="106" t="s">
        <v>1200</v>
      </c>
      <c r="M37" s="106" t="s">
        <v>552</v>
      </c>
      <c r="N37" s="106" t="s">
        <v>1201</v>
      </c>
      <c r="O37" s="106" t="s">
        <v>1202</v>
      </c>
      <c r="P37" s="106" t="s">
        <v>505</v>
      </c>
      <c r="Q37" s="106" t="s">
        <v>83</v>
      </c>
      <c r="R37" s="106" t="s">
        <v>498</v>
      </c>
      <c r="S37" s="106" t="s">
        <v>121</v>
      </c>
      <c r="T37" s="106" t="s">
        <v>553</v>
      </c>
      <c r="U37" s="106" t="s">
        <v>300</v>
      </c>
    </row>
    <row r="38" customFormat="false" ht="57.45" hidden="false" customHeight="false" outlineLevel="0" collapsed="false">
      <c r="A38" s="105" t="s">
        <v>32</v>
      </c>
      <c r="B38" s="106" t="s">
        <v>33</v>
      </c>
      <c r="C38" s="106" t="s">
        <v>1203</v>
      </c>
      <c r="D38" s="106" t="s">
        <v>1148</v>
      </c>
      <c r="E38" s="106" t="s">
        <v>1149</v>
      </c>
      <c r="F38" s="106" t="s">
        <v>1204</v>
      </c>
      <c r="G38" s="106" t="s">
        <v>1027</v>
      </c>
      <c r="H38" s="106" t="s">
        <v>1205</v>
      </c>
      <c r="I38" s="106" t="s">
        <v>1199</v>
      </c>
      <c r="J38" s="106" t="s">
        <v>78</v>
      </c>
      <c r="K38" s="106" t="s">
        <v>78</v>
      </c>
      <c r="L38" s="106" t="s">
        <v>1058</v>
      </c>
      <c r="M38" s="106" t="s">
        <v>1206</v>
      </c>
      <c r="N38" s="106" t="s">
        <v>1207</v>
      </c>
      <c r="O38" s="106" t="s">
        <v>1208</v>
      </c>
      <c r="P38" s="106" t="s">
        <v>505</v>
      </c>
      <c r="Q38" s="106" t="s">
        <v>83</v>
      </c>
      <c r="R38" s="106" t="s">
        <v>498</v>
      </c>
      <c r="S38" s="106" t="s">
        <v>121</v>
      </c>
      <c r="T38" s="106" t="s">
        <v>1209</v>
      </c>
      <c r="U38" s="106" t="s">
        <v>316</v>
      </c>
    </row>
    <row r="39" customFormat="false" ht="57.45" hidden="false" customHeight="false" outlineLevel="0" collapsed="false">
      <c r="A39" s="105" t="s">
        <v>32</v>
      </c>
      <c r="B39" s="106" t="s">
        <v>33</v>
      </c>
      <c r="C39" s="106" t="s">
        <v>554</v>
      </c>
      <c r="D39" s="106" t="s">
        <v>1148</v>
      </c>
      <c r="E39" s="106" t="s">
        <v>1149</v>
      </c>
      <c r="F39" s="106" t="s">
        <v>1210</v>
      </c>
      <c r="G39" s="106" t="s">
        <v>1027</v>
      </c>
      <c r="H39" s="106" t="s">
        <v>560</v>
      </c>
      <c r="I39" s="106" t="s">
        <v>1019</v>
      </c>
      <c r="J39" s="106" t="s">
        <v>78</v>
      </c>
      <c r="K39" s="106" t="s">
        <v>78</v>
      </c>
      <c r="L39" s="106" t="s">
        <v>78</v>
      </c>
      <c r="M39" s="106" t="s">
        <v>557</v>
      </c>
      <c r="N39" s="106" t="s">
        <v>1201</v>
      </c>
      <c r="O39" s="106" t="s">
        <v>1202</v>
      </c>
      <c r="P39" s="106" t="s">
        <v>505</v>
      </c>
      <c r="Q39" s="106" t="s">
        <v>83</v>
      </c>
      <c r="R39" s="106" t="s">
        <v>498</v>
      </c>
      <c r="S39" s="106" t="s">
        <v>121</v>
      </c>
      <c r="T39" s="106" t="s">
        <v>561</v>
      </c>
      <c r="U39" s="106" t="s">
        <v>300</v>
      </c>
    </row>
    <row r="40" customFormat="false" ht="57.45" hidden="false" customHeight="false" outlineLevel="0" collapsed="false">
      <c r="A40" s="105" t="s">
        <v>32</v>
      </c>
      <c r="B40" s="106" t="s">
        <v>33</v>
      </c>
      <c r="C40" s="106" t="s">
        <v>569</v>
      </c>
      <c r="D40" s="106" t="s">
        <v>1148</v>
      </c>
      <c r="E40" s="106" t="s">
        <v>1149</v>
      </c>
      <c r="F40" s="106" t="s">
        <v>1211</v>
      </c>
      <c r="G40" s="106" t="s">
        <v>1017</v>
      </c>
      <c r="H40" s="106" t="s">
        <v>1212</v>
      </c>
      <c r="I40" s="106" t="s">
        <v>1019</v>
      </c>
      <c r="J40" s="106" t="s">
        <v>1213</v>
      </c>
      <c r="K40" s="106" t="s">
        <v>1214</v>
      </c>
      <c r="L40" s="106" t="s">
        <v>78</v>
      </c>
      <c r="M40" s="106" t="s">
        <v>572</v>
      </c>
      <c r="N40" s="106" t="s">
        <v>573</v>
      </c>
      <c r="O40" s="106" t="s">
        <v>574</v>
      </c>
      <c r="P40" s="106" t="s">
        <v>505</v>
      </c>
      <c r="Q40" s="106" t="s">
        <v>83</v>
      </c>
      <c r="R40" s="106" t="s">
        <v>498</v>
      </c>
      <c r="S40" s="106" t="s">
        <v>121</v>
      </c>
      <c r="T40" s="106" t="s">
        <v>575</v>
      </c>
      <c r="U40" s="106" t="s">
        <v>300</v>
      </c>
    </row>
    <row r="41" customFormat="false" ht="57.45" hidden="false" customHeight="false" outlineLevel="0" collapsed="false">
      <c r="A41" s="105" t="s">
        <v>32</v>
      </c>
      <c r="B41" s="106" t="s">
        <v>33</v>
      </c>
      <c r="C41" s="106" t="s">
        <v>576</v>
      </c>
      <c r="D41" s="106" t="s">
        <v>1148</v>
      </c>
      <c r="E41" s="106" t="s">
        <v>1149</v>
      </c>
      <c r="F41" s="106" t="s">
        <v>1215</v>
      </c>
      <c r="G41" s="106" t="s">
        <v>1027</v>
      </c>
      <c r="H41" s="106" t="s">
        <v>1216</v>
      </c>
      <c r="I41" s="106" t="s">
        <v>1171</v>
      </c>
      <c r="J41" s="106" t="s">
        <v>78</v>
      </c>
      <c r="K41" s="106" t="s">
        <v>1217</v>
      </c>
      <c r="L41" s="106" t="s">
        <v>1031</v>
      </c>
      <c r="M41" s="106" t="s">
        <v>579</v>
      </c>
      <c r="N41" s="106" t="s">
        <v>580</v>
      </c>
      <c r="O41" s="106" t="s">
        <v>581</v>
      </c>
      <c r="P41" s="106" t="s">
        <v>505</v>
      </c>
      <c r="Q41" s="106" t="s">
        <v>83</v>
      </c>
      <c r="R41" s="106" t="s">
        <v>498</v>
      </c>
      <c r="S41" s="106" t="s">
        <v>121</v>
      </c>
      <c r="T41" s="106" t="s">
        <v>582</v>
      </c>
      <c r="U41" s="106" t="s">
        <v>191</v>
      </c>
    </row>
    <row r="42" customFormat="false" ht="57.45" hidden="false" customHeight="false" outlineLevel="0" collapsed="false">
      <c r="A42" s="105" t="s">
        <v>32</v>
      </c>
      <c r="B42" s="106" t="s">
        <v>33</v>
      </c>
      <c r="C42" s="106" t="s">
        <v>1218</v>
      </c>
      <c r="D42" s="106" t="s">
        <v>1148</v>
      </c>
      <c r="E42" s="106" t="s">
        <v>1149</v>
      </c>
      <c r="F42" s="106" t="s">
        <v>1219</v>
      </c>
      <c r="G42" s="106" t="s">
        <v>1027</v>
      </c>
      <c r="H42" s="106" t="s">
        <v>1220</v>
      </c>
      <c r="I42" s="106" t="s">
        <v>1019</v>
      </c>
      <c r="J42" s="106" t="s">
        <v>78</v>
      </c>
      <c r="K42" s="106" t="s">
        <v>78</v>
      </c>
      <c r="L42" s="106" t="s">
        <v>78</v>
      </c>
      <c r="M42" s="106" t="s">
        <v>1221</v>
      </c>
      <c r="N42" s="106" t="s">
        <v>1222</v>
      </c>
      <c r="O42" s="106" t="s">
        <v>1223</v>
      </c>
      <c r="P42" s="106" t="s">
        <v>505</v>
      </c>
      <c r="Q42" s="106" t="s">
        <v>83</v>
      </c>
      <c r="R42" s="106" t="s">
        <v>498</v>
      </c>
      <c r="S42" s="106" t="s">
        <v>121</v>
      </c>
      <c r="T42" s="106" t="s">
        <v>1224</v>
      </c>
      <c r="U42" s="106" t="s">
        <v>316</v>
      </c>
    </row>
    <row r="43" customFormat="false" ht="57.45" hidden="false" customHeight="false" outlineLevel="0" collapsed="false">
      <c r="A43" s="105" t="s">
        <v>32</v>
      </c>
      <c r="B43" s="106" t="s">
        <v>33</v>
      </c>
      <c r="C43" s="106" t="s">
        <v>590</v>
      </c>
      <c r="D43" s="106" t="s">
        <v>1148</v>
      </c>
      <c r="E43" s="106" t="s">
        <v>1149</v>
      </c>
      <c r="F43" s="106" t="s">
        <v>1225</v>
      </c>
      <c r="G43" s="106" t="s">
        <v>1027</v>
      </c>
      <c r="H43" s="106" t="s">
        <v>600</v>
      </c>
      <c r="I43" s="106" t="s">
        <v>1144</v>
      </c>
      <c r="J43" s="106" t="s">
        <v>78</v>
      </c>
      <c r="K43" s="106" t="s">
        <v>1226</v>
      </c>
      <c r="L43" s="106" t="s">
        <v>1200</v>
      </c>
      <c r="M43" s="106" t="s">
        <v>593</v>
      </c>
      <c r="N43" s="106" t="s">
        <v>594</v>
      </c>
      <c r="O43" s="106" t="s">
        <v>595</v>
      </c>
      <c r="P43" s="106" t="s">
        <v>505</v>
      </c>
      <c r="Q43" s="106" t="s">
        <v>83</v>
      </c>
      <c r="R43" s="106" t="s">
        <v>498</v>
      </c>
      <c r="S43" s="106" t="s">
        <v>121</v>
      </c>
      <c r="T43" s="106" t="s">
        <v>596</v>
      </c>
      <c r="U43" s="106" t="s">
        <v>191</v>
      </c>
    </row>
    <row r="44" customFormat="false" ht="57.45" hidden="false" customHeight="false" outlineLevel="0" collapsed="false">
      <c r="A44" s="105" t="s">
        <v>32</v>
      </c>
      <c r="B44" s="106" t="s">
        <v>33</v>
      </c>
      <c r="C44" s="106" t="s">
        <v>602</v>
      </c>
      <c r="D44" s="106" t="s">
        <v>1148</v>
      </c>
      <c r="E44" s="106" t="s">
        <v>1227</v>
      </c>
      <c r="F44" s="106" t="s">
        <v>1228</v>
      </c>
      <c r="G44" s="106" t="s">
        <v>1072</v>
      </c>
      <c r="H44" s="106" t="s">
        <v>1229</v>
      </c>
      <c r="I44" s="106" t="s">
        <v>1073</v>
      </c>
      <c r="J44" s="106" t="s">
        <v>78</v>
      </c>
      <c r="K44" s="106" t="s">
        <v>1230</v>
      </c>
      <c r="L44" s="106" t="s">
        <v>1058</v>
      </c>
      <c r="M44" s="106" t="s">
        <v>605</v>
      </c>
      <c r="N44" s="106" t="s">
        <v>606</v>
      </c>
      <c r="O44" s="106" t="s">
        <v>607</v>
      </c>
      <c r="P44" s="106" t="s">
        <v>608</v>
      </c>
      <c r="Q44" s="106" t="s">
        <v>83</v>
      </c>
      <c r="R44" s="106" t="s">
        <v>498</v>
      </c>
      <c r="S44" s="106" t="s">
        <v>121</v>
      </c>
      <c r="T44" s="106" t="s">
        <v>609</v>
      </c>
      <c r="U44" s="106" t="s">
        <v>191</v>
      </c>
    </row>
    <row r="45" customFormat="false" ht="57.45" hidden="false" customHeight="false" outlineLevel="0" collapsed="false">
      <c r="A45" s="105" t="s">
        <v>32</v>
      </c>
      <c r="B45" s="106" t="s">
        <v>33</v>
      </c>
      <c r="C45" s="106" t="s">
        <v>613</v>
      </c>
      <c r="D45" s="106" t="s">
        <v>1148</v>
      </c>
      <c r="E45" s="106" t="s">
        <v>1149</v>
      </c>
      <c r="F45" s="106" t="s">
        <v>1231</v>
      </c>
      <c r="G45" s="106" t="s">
        <v>1027</v>
      </c>
      <c r="H45" s="106" t="s">
        <v>1232</v>
      </c>
      <c r="I45" s="106" t="s">
        <v>1019</v>
      </c>
      <c r="J45" s="106" t="s">
        <v>78</v>
      </c>
      <c r="K45" s="106" t="s">
        <v>78</v>
      </c>
      <c r="L45" s="106" t="s">
        <v>78</v>
      </c>
      <c r="M45" s="106" t="s">
        <v>616</v>
      </c>
      <c r="N45" s="106" t="s">
        <v>617</v>
      </c>
      <c r="O45" s="106" t="s">
        <v>618</v>
      </c>
      <c r="P45" s="106" t="s">
        <v>619</v>
      </c>
      <c r="Q45" s="106" t="s">
        <v>83</v>
      </c>
      <c r="R45" s="106" t="s">
        <v>498</v>
      </c>
      <c r="S45" s="106" t="s">
        <v>121</v>
      </c>
      <c r="T45" s="106" t="s">
        <v>1233</v>
      </c>
      <c r="U45" s="106" t="s">
        <v>191</v>
      </c>
    </row>
    <row r="46" customFormat="false" ht="57.45" hidden="false" customHeight="false" outlineLevel="0" collapsed="false">
      <c r="A46" s="105" t="s">
        <v>32</v>
      </c>
      <c r="B46" s="106" t="s">
        <v>33</v>
      </c>
      <c r="C46" s="106" t="s">
        <v>613</v>
      </c>
      <c r="D46" s="106" t="s">
        <v>1148</v>
      </c>
      <c r="E46" s="106" t="s">
        <v>1149</v>
      </c>
      <c r="F46" s="106" t="s">
        <v>1234</v>
      </c>
      <c r="G46" s="106" t="s">
        <v>1027</v>
      </c>
      <c r="H46" s="106" t="s">
        <v>622</v>
      </c>
      <c r="I46" s="106" t="s">
        <v>1171</v>
      </c>
      <c r="J46" s="106" t="s">
        <v>78</v>
      </c>
      <c r="K46" s="106" t="s">
        <v>78</v>
      </c>
      <c r="L46" s="106" t="s">
        <v>1074</v>
      </c>
      <c r="M46" s="106" t="s">
        <v>616</v>
      </c>
      <c r="N46" s="106" t="s">
        <v>617</v>
      </c>
      <c r="O46" s="106" t="s">
        <v>618</v>
      </c>
      <c r="P46" s="106" t="s">
        <v>619</v>
      </c>
      <c r="Q46" s="106" t="s">
        <v>83</v>
      </c>
      <c r="R46" s="106" t="s">
        <v>498</v>
      </c>
      <c r="S46" s="106" t="s">
        <v>121</v>
      </c>
      <c r="T46" s="106" t="s">
        <v>620</v>
      </c>
      <c r="U46" s="106" t="s">
        <v>191</v>
      </c>
    </row>
    <row r="47" customFormat="false" ht="57.45" hidden="false" customHeight="false" outlineLevel="0" collapsed="false">
      <c r="A47" s="105" t="s">
        <v>32</v>
      </c>
      <c r="B47" s="106" t="s">
        <v>33</v>
      </c>
      <c r="C47" s="106" t="s">
        <v>623</v>
      </c>
      <c r="D47" s="106" t="s">
        <v>1148</v>
      </c>
      <c r="E47" s="106" t="s">
        <v>1149</v>
      </c>
      <c r="F47" s="106" t="s">
        <v>1235</v>
      </c>
      <c r="G47" s="106" t="s">
        <v>1027</v>
      </c>
      <c r="H47" s="106" t="s">
        <v>1236</v>
      </c>
      <c r="I47" s="106" t="s">
        <v>1019</v>
      </c>
      <c r="J47" s="106" t="s">
        <v>78</v>
      </c>
      <c r="K47" s="106" t="s">
        <v>78</v>
      </c>
      <c r="L47" s="106" t="s">
        <v>78</v>
      </c>
      <c r="M47" s="106" t="s">
        <v>626</v>
      </c>
      <c r="N47" s="106" t="s">
        <v>627</v>
      </c>
      <c r="O47" s="106" t="s">
        <v>628</v>
      </c>
      <c r="P47" s="106" t="s">
        <v>505</v>
      </c>
      <c r="Q47" s="106" t="s">
        <v>83</v>
      </c>
      <c r="R47" s="106" t="s">
        <v>498</v>
      </c>
      <c r="S47" s="106" t="s">
        <v>121</v>
      </c>
      <c r="T47" s="106" t="s">
        <v>629</v>
      </c>
      <c r="U47" s="106" t="s">
        <v>630</v>
      </c>
    </row>
    <row r="48" customFormat="false" ht="337.3" hidden="false" customHeight="false" outlineLevel="0" collapsed="false">
      <c r="A48" s="105" t="s">
        <v>32</v>
      </c>
      <c r="B48" s="106" t="s">
        <v>33</v>
      </c>
      <c r="C48" s="106" t="s">
        <v>633</v>
      </c>
      <c r="D48" s="106" t="s">
        <v>1148</v>
      </c>
      <c r="E48" s="106" t="s">
        <v>1149</v>
      </c>
      <c r="F48" s="106" t="s">
        <v>1237</v>
      </c>
      <c r="G48" s="106" t="s">
        <v>1072</v>
      </c>
      <c r="H48" s="106" t="s">
        <v>1238</v>
      </c>
      <c r="I48" s="106" t="s">
        <v>1068</v>
      </c>
      <c r="J48" s="106" t="s">
        <v>78</v>
      </c>
      <c r="K48" s="106" t="s">
        <v>78</v>
      </c>
      <c r="L48" s="106" t="s">
        <v>1064</v>
      </c>
      <c r="M48" s="106" t="s">
        <v>636</v>
      </c>
      <c r="N48" s="106" t="s">
        <v>637</v>
      </c>
      <c r="O48" s="106" t="s">
        <v>638</v>
      </c>
      <c r="P48" s="106" t="s">
        <v>639</v>
      </c>
      <c r="Q48" s="106" t="s">
        <v>640</v>
      </c>
      <c r="R48" s="106" t="s">
        <v>498</v>
      </c>
      <c r="S48" s="106" t="s">
        <v>121</v>
      </c>
      <c r="T48" s="106" t="s">
        <v>1239</v>
      </c>
      <c r="U48" s="106" t="s">
        <v>1240</v>
      </c>
    </row>
    <row r="49" customFormat="false" ht="337.3" hidden="false" customHeight="false" outlineLevel="0" collapsed="false">
      <c r="A49" s="105" t="s">
        <v>32</v>
      </c>
      <c r="B49" s="106" t="s">
        <v>33</v>
      </c>
      <c r="C49" s="106" t="s">
        <v>633</v>
      </c>
      <c r="D49" s="106" t="s">
        <v>1148</v>
      </c>
      <c r="E49" s="106" t="s">
        <v>1149</v>
      </c>
      <c r="F49" s="106" t="s">
        <v>1241</v>
      </c>
      <c r="G49" s="106" t="s">
        <v>1027</v>
      </c>
      <c r="H49" s="106" t="s">
        <v>1242</v>
      </c>
      <c r="I49" s="106" t="s">
        <v>1243</v>
      </c>
      <c r="J49" s="106" t="s">
        <v>78</v>
      </c>
      <c r="K49" s="106" t="s">
        <v>78</v>
      </c>
      <c r="L49" s="106" t="s">
        <v>1096</v>
      </c>
      <c r="M49" s="106" t="s">
        <v>636</v>
      </c>
      <c r="N49" s="106" t="s">
        <v>637</v>
      </c>
      <c r="O49" s="106" t="s">
        <v>638</v>
      </c>
      <c r="P49" s="106" t="s">
        <v>639</v>
      </c>
      <c r="Q49" s="106" t="s">
        <v>640</v>
      </c>
      <c r="R49" s="106" t="s">
        <v>498</v>
      </c>
      <c r="S49" s="106" t="s">
        <v>121</v>
      </c>
      <c r="T49" s="106" t="s">
        <v>1244</v>
      </c>
      <c r="U49" s="106" t="s">
        <v>1240</v>
      </c>
    </row>
    <row r="50" customFormat="false" ht="68.65" hidden="false" customHeight="false" outlineLevel="0" collapsed="false">
      <c r="A50" s="105" t="s">
        <v>32</v>
      </c>
      <c r="B50" s="106" t="s">
        <v>33</v>
      </c>
      <c r="C50" s="106" t="s">
        <v>529</v>
      </c>
      <c r="D50" s="106" t="s">
        <v>1148</v>
      </c>
      <c r="E50" s="106" t="s">
        <v>1149</v>
      </c>
      <c r="F50" s="106" t="s">
        <v>1245</v>
      </c>
      <c r="G50" s="106" t="s">
        <v>1027</v>
      </c>
      <c r="H50" s="106" t="s">
        <v>1246</v>
      </c>
      <c r="I50" s="106" t="s">
        <v>1199</v>
      </c>
      <c r="J50" s="106" t="s">
        <v>78</v>
      </c>
      <c r="K50" s="106" t="s">
        <v>1247</v>
      </c>
      <c r="L50" s="106" t="s">
        <v>1058</v>
      </c>
      <c r="M50" s="106" t="s">
        <v>1248</v>
      </c>
      <c r="N50" s="106" t="s">
        <v>617</v>
      </c>
      <c r="O50" s="106" t="s">
        <v>1249</v>
      </c>
      <c r="P50" s="106" t="s">
        <v>619</v>
      </c>
      <c r="Q50" s="106" t="s">
        <v>1250</v>
      </c>
      <c r="R50" s="106" t="s">
        <v>498</v>
      </c>
      <c r="S50" s="106" t="s">
        <v>121</v>
      </c>
      <c r="T50" s="106" t="s">
        <v>1251</v>
      </c>
      <c r="U50" s="106" t="s">
        <v>316</v>
      </c>
    </row>
  </sheetData>
  <autoFilter ref="A1:U5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U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4"/>
    <col collapsed="false" customWidth="true" hidden="false" outlineLevel="0" max="6" min="6" style="0" width="16"/>
    <col collapsed="false" customWidth="true" hidden="false" outlineLevel="0" max="7" min="7" style="0" width="11"/>
    <col collapsed="false" customWidth="true" hidden="false" outlineLevel="0" max="8" min="8" style="0" width="60"/>
    <col collapsed="false" customWidth="true" hidden="false" outlineLevel="0" max="9" min="9" style="0" width="22"/>
    <col collapsed="false" customWidth="true" hidden="false" outlineLevel="0" max="11" min="10" style="0" width="24"/>
    <col collapsed="false" customWidth="true" hidden="false" outlineLevel="0" max="12" min="12" style="0" width="26"/>
    <col collapsed="false" customWidth="true" hidden="false" outlineLevel="0" max="13" min="13" style="0" width="11"/>
    <col collapsed="false" customWidth="true" hidden="false" outlineLevel="0" max="14" min="14" style="0" width="20"/>
    <col collapsed="false" customWidth="true" hidden="false" outlineLevel="0" max="15" min="15" style="0" width="30"/>
    <col collapsed="false" customWidth="true" hidden="false" outlineLevel="0" max="16" min="16" style="0" width="16"/>
    <col collapsed="false" customWidth="true" hidden="false" outlineLevel="0" max="18" min="17" style="0" width="18"/>
    <col collapsed="false" customWidth="true" hidden="false" outlineLevel="0" max="19" min="19" style="0" width="12"/>
    <col collapsed="false" customWidth="true" hidden="false" outlineLevel="0" max="20" min="20" style="0" width="40"/>
    <col collapsed="false" customWidth="true" hidden="false" outlineLevel="0" max="21" min="21" style="0" width="45"/>
  </cols>
  <sheetData>
    <row r="1" customFormat="false" ht="68.65" hidden="false" customHeight="false" outlineLevel="0" collapsed="false">
      <c r="A1" s="134" t="s">
        <v>0</v>
      </c>
      <c r="B1" s="134" t="s">
        <v>51</v>
      </c>
      <c r="C1" s="134" t="s">
        <v>52</v>
      </c>
      <c r="D1" s="134" t="s">
        <v>53</v>
      </c>
      <c r="E1" s="134" t="s">
        <v>54</v>
      </c>
      <c r="F1" s="134" t="s">
        <v>55</v>
      </c>
      <c r="G1" s="134" t="s">
        <v>56</v>
      </c>
      <c r="H1" s="134" t="s">
        <v>57</v>
      </c>
      <c r="I1" s="134" t="s">
        <v>58</v>
      </c>
      <c r="J1" s="134" t="s">
        <v>59</v>
      </c>
      <c r="K1" s="134" t="s">
        <v>60</v>
      </c>
      <c r="L1" s="134" t="s">
        <v>61</v>
      </c>
      <c r="M1" s="134" t="s">
        <v>62</v>
      </c>
      <c r="N1" s="134" t="s">
        <v>63</v>
      </c>
      <c r="O1" s="134" t="s">
        <v>64</v>
      </c>
      <c r="P1" s="134" t="s">
        <v>65</v>
      </c>
      <c r="Q1" s="134" t="s">
        <v>66</v>
      </c>
      <c r="R1" s="134" t="s">
        <v>67</v>
      </c>
      <c r="S1" s="134" t="s">
        <v>68</v>
      </c>
      <c r="T1" s="134" t="s">
        <v>69</v>
      </c>
      <c r="U1" s="134" t="s">
        <v>70</v>
      </c>
    </row>
    <row r="2" customFormat="false" ht="57.45" hidden="false" customHeight="false" outlineLevel="0" collapsed="false">
      <c r="A2" s="107" t="s">
        <v>34</v>
      </c>
      <c r="B2" s="108" t="s">
        <v>35</v>
      </c>
      <c r="C2" s="108" t="s">
        <v>643</v>
      </c>
      <c r="D2" s="108" t="s">
        <v>644</v>
      </c>
      <c r="E2" s="108" t="s">
        <v>645</v>
      </c>
      <c r="F2" s="108" t="s">
        <v>646</v>
      </c>
      <c r="G2" s="108" t="s">
        <v>75</v>
      </c>
      <c r="H2" s="108" t="s">
        <v>647</v>
      </c>
      <c r="I2" s="108" t="s">
        <v>367</v>
      </c>
      <c r="J2" s="108" t="s">
        <v>78</v>
      </c>
      <c r="K2" s="108" t="s">
        <v>79</v>
      </c>
      <c r="L2" s="108" t="s">
        <v>80</v>
      </c>
      <c r="M2" s="108"/>
      <c r="N2" s="108" t="s">
        <v>648</v>
      </c>
      <c r="O2" s="108" t="s">
        <v>82</v>
      </c>
      <c r="P2" s="108" t="s">
        <v>78</v>
      </c>
      <c r="Q2" s="108" t="s">
        <v>83</v>
      </c>
      <c r="R2" s="108" t="s">
        <v>84</v>
      </c>
      <c r="S2" s="108" t="s">
        <v>649</v>
      </c>
      <c r="T2" s="108" t="s">
        <v>650</v>
      </c>
      <c r="U2" s="108" t="s">
        <v>87</v>
      </c>
    </row>
    <row r="3" customFormat="false" ht="79.85" hidden="false" customHeight="false" outlineLevel="0" collapsed="false">
      <c r="A3" s="107" t="s">
        <v>34</v>
      </c>
      <c r="B3" s="108" t="s">
        <v>35</v>
      </c>
      <c r="C3" s="108" t="s">
        <v>651</v>
      </c>
      <c r="D3" s="108" t="s">
        <v>644</v>
      </c>
      <c r="E3" s="108" t="s">
        <v>645</v>
      </c>
      <c r="F3" s="108" t="s">
        <v>652</v>
      </c>
      <c r="G3" s="108" t="s">
        <v>75</v>
      </c>
      <c r="H3" s="108" t="s">
        <v>653</v>
      </c>
      <c r="I3" s="108" t="s">
        <v>181</v>
      </c>
      <c r="J3" s="108" t="s">
        <v>78</v>
      </c>
      <c r="K3" s="108" t="s">
        <v>79</v>
      </c>
      <c r="L3" s="108" t="s">
        <v>80</v>
      </c>
      <c r="M3" s="108"/>
      <c r="N3" s="108" t="s">
        <v>654</v>
      </c>
      <c r="O3" s="108" t="s">
        <v>655</v>
      </c>
      <c r="P3" s="108" t="s">
        <v>656</v>
      </c>
      <c r="Q3" s="108" t="s">
        <v>83</v>
      </c>
      <c r="R3" s="108" t="s">
        <v>84</v>
      </c>
      <c r="S3" s="108" t="s">
        <v>121</v>
      </c>
      <c r="T3" s="108" t="s">
        <v>657</v>
      </c>
      <c r="U3" s="108" t="s">
        <v>658</v>
      </c>
    </row>
    <row r="4" customFormat="false" ht="135.8" hidden="false" customHeight="false" outlineLevel="0" collapsed="false">
      <c r="A4" s="107" t="s">
        <v>34</v>
      </c>
      <c r="B4" s="108" t="s">
        <v>35</v>
      </c>
      <c r="C4" s="108" t="s">
        <v>643</v>
      </c>
      <c r="D4" s="108" t="s">
        <v>644</v>
      </c>
      <c r="E4" s="108" t="s">
        <v>645</v>
      </c>
      <c r="F4" s="108" t="s">
        <v>659</v>
      </c>
      <c r="G4" s="108" t="s">
        <v>75</v>
      </c>
      <c r="H4" s="108" t="s">
        <v>660</v>
      </c>
      <c r="I4" s="108" t="s">
        <v>661</v>
      </c>
      <c r="J4" s="108" t="s">
        <v>662</v>
      </c>
      <c r="K4" s="108" t="s">
        <v>79</v>
      </c>
      <c r="L4" s="108" t="s">
        <v>80</v>
      </c>
      <c r="M4" s="108"/>
      <c r="N4" s="108" t="s">
        <v>663</v>
      </c>
      <c r="O4" s="108" t="s">
        <v>82</v>
      </c>
      <c r="P4" s="108" t="s">
        <v>78</v>
      </c>
      <c r="Q4" s="108" t="s">
        <v>83</v>
      </c>
      <c r="R4" s="108" t="s">
        <v>408</v>
      </c>
      <c r="S4" s="108" t="s">
        <v>649</v>
      </c>
      <c r="T4" s="108" t="s">
        <v>664</v>
      </c>
      <c r="U4" s="108" t="s">
        <v>87</v>
      </c>
    </row>
    <row r="5" customFormat="false" ht="158.2" hidden="false" customHeight="false" outlineLevel="0" collapsed="false">
      <c r="A5" s="107" t="s">
        <v>34</v>
      </c>
      <c r="B5" s="108" t="s">
        <v>35</v>
      </c>
      <c r="C5" s="108" t="s">
        <v>643</v>
      </c>
      <c r="D5" s="108" t="s">
        <v>644</v>
      </c>
      <c r="E5" s="108" t="s">
        <v>645</v>
      </c>
      <c r="F5" s="108" t="s">
        <v>665</v>
      </c>
      <c r="G5" s="108" t="s">
        <v>75</v>
      </c>
      <c r="H5" s="108" t="s">
        <v>666</v>
      </c>
      <c r="I5" s="108" t="s">
        <v>661</v>
      </c>
      <c r="J5" s="108" t="s">
        <v>78</v>
      </c>
      <c r="K5" s="108" t="s">
        <v>79</v>
      </c>
      <c r="L5" s="108" t="s">
        <v>403</v>
      </c>
      <c r="M5" s="108"/>
      <c r="N5" s="108" t="s">
        <v>667</v>
      </c>
      <c r="O5" s="108" t="s">
        <v>82</v>
      </c>
      <c r="P5" s="108" t="s">
        <v>78</v>
      </c>
      <c r="Q5" s="108" t="s">
        <v>83</v>
      </c>
      <c r="R5" s="108" t="s">
        <v>408</v>
      </c>
      <c r="S5" s="108" t="s">
        <v>649</v>
      </c>
      <c r="T5" s="108" t="s">
        <v>668</v>
      </c>
      <c r="U5" s="108" t="s">
        <v>87</v>
      </c>
    </row>
    <row r="6" customFormat="false" ht="57.45" hidden="false" customHeight="false" outlineLevel="0" collapsed="false">
      <c r="A6" s="107" t="s">
        <v>34</v>
      </c>
      <c r="B6" s="108" t="s">
        <v>35</v>
      </c>
      <c r="C6" s="108" t="s">
        <v>643</v>
      </c>
      <c r="D6" s="108" t="s">
        <v>644</v>
      </c>
      <c r="E6" s="108" t="s">
        <v>645</v>
      </c>
      <c r="F6" s="108" t="s">
        <v>669</v>
      </c>
      <c r="G6" s="108" t="s">
        <v>75</v>
      </c>
      <c r="H6" s="108" t="s">
        <v>670</v>
      </c>
      <c r="I6" s="108" t="s">
        <v>181</v>
      </c>
      <c r="J6" s="108" t="s">
        <v>78</v>
      </c>
      <c r="K6" s="108" t="s">
        <v>79</v>
      </c>
      <c r="L6" s="108" t="s">
        <v>80</v>
      </c>
      <c r="M6" s="108"/>
      <c r="N6" s="108" t="s">
        <v>671</v>
      </c>
      <c r="O6" s="108" t="s">
        <v>82</v>
      </c>
      <c r="P6" s="108" t="s">
        <v>78</v>
      </c>
      <c r="Q6" s="108" t="s">
        <v>83</v>
      </c>
      <c r="R6" s="108" t="s">
        <v>84</v>
      </c>
      <c r="S6" s="108" t="s">
        <v>649</v>
      </c>
      <c r="T6" s="108" t="s">
        <v>672</v>
      </c>
      <c r="U6" s="108" t="s">
        <v>87</v>
      </c>
    </row>
    <row r="7" customFormat="false" ht="57.45" hidden="false" customHeight="false" outlineLevel="0" collapsed="false">
      <c r="A7" s="107" t="s">
        <v>34</v>
      </c>
      <c r="B7" s="108" t="s">
        <v>35</v>
      </c>
      <c r="C7" s="108" t="s">
        <v>673</v>
      </c>
      <c r="D7" s="108" t="s">
        <v>644</v>
      </c>
      <c r="E7" s="108" t="s">
        <v>645</v>
      </c>
      <c r="F7" s="108" t="s">
        <v>674</v>
      </c>
      <c r="G7" s="108" t="s">
        <v>75</v>
      </c>
      <c r="H7" s="108" t="s">
        <v>675</v>
      </c>
      <c r="I7" s="108" t="s">
        <v>186</v>
      </c>
      <c r="J7" s="108" t="s">
        <v>78</v>
      </c>
      <c r="K7" s="108" t="s">
        <v>79</v>
      </c>
      <c r="L7" s="108" t="s">
        <v>80</v>
      </c>
      <c r="M7" s="108" t="s">
        <v>676</v>
      </c>
      <c r="N7" s="108"/>
      <c r="O7" s="108" t="s">
        <v>82</v>
      </c>
      <c r="P7" s="108" t="s">
        <v>78</v>
      </c>
      <c r="Q7" s="108" t="s">
        <v>83</v>
      </c>
      <c r="R7" s="108" t="s">
        <v>84</v>
      </c>
      <c r="S7" s="108" t="s">
        <v>85</v>
      </c>
      <c r="T7" s="108" t="s">
        <v>677</v>
      </c>
      <c r="U7" s="108" t="s">
        <v>97</v>
      </c>
    </row>
    <row r="8" customFormat="false" ht="57.45" hidden="false" customHeight="false" outlineLevel="0" collapsed="false">
      <c r="A8" s="107" t="s">
        <v>34</v>
      </c>
      <c r="B8" s="108" t="s">
        <v>35</v>
      </c>
      <c r="C8" s="108" t="s">
        <v>678</v>
      </c>
      <c r="D8" s="108" t="s">
        <v>644</v>
      </c>
      <c r="E8" s="108" t="s">
        <v>645</v>
      </c>
      <c r="F8" s="108" t="s">
        <v>679</v>
      </c>
      <c r="G8" s="108" t="s">
        <v>75</v>
      </c>
      <c r="H8" s="108" t="s">
        <v>680</v>
      </c>
      <c r="I8" s="108" t="s">
        <v>186</v>
      </c>
      <c r="J8" s="108" t="s">
        <v>78</v>
      </c>
      <c r="K8" s="108" t="s">
        <v>79</v>
      </c>
      <c r="L8" s="108" t="s">
        <v>681</v>
      </c>
      <c r="M8" s="108" t="s">
        <v>682</v>
      </c>
      <c r="N8" s="108" t="s">
        <v>683</v>
      </c>
      <c r="O8" s="108" t="s">
        <v>684</v>
      </c>
      <c r="P8" s="108" t="s">
        <v>189</v>
      </c>
      <c r="Q8" s="108" t="s">
        <v>83</v>
      </c>
      <c r="R8" s="108" t="s">
        <v>84</v>
      </c>
      <c r="S8" s="108" t="s">
        <v>121</v>
      </c>
      <c r="T8" s="108" t="s">
        <v>685</v>
      </c>
      <c r="U8" s="108" t="s">
        <v>191</v>
      </c>
    </row>
    <row r="9" customFormat="false" ht="57.45" hidden="false" customHeight="false" outlineLevel="0" collapsed="false">
      <c r="A9" s="107" t="s">
        <v>34</v>
      </c>
      <c r="B9" s="108" t="s">
        <v>35</v>
      </c>
      <c r="C9" s="108" t="s">
        <v>686</v>
      </c>
      <c r="D9" s="108" t="s">
        <v>644</v>
      </c>
      <c r="E9" s="108" t="s">
        <v>645</v>
      </c>
      <c r="F9" s="108" t="s">
        <v>687</v>
      </c>
      <c r="G9" s="108" t="s">
        <v>75</v>
      </c>
      <c r="H9" s="108" t="s">
        <v>688</v>
      </c>
      <c r="I9" s="108" t="s">
        <v>689</v>
      </c>
      <c r="J9" s="108" t="s">
        <v>690</v>
      </c>
      <c r="K9" s="108" t="s">
        <v>79</v>
      </c>
      <c r="L9" s="108" t="s">
        <v>80</v>
      </c>
      <c r="M9" s="108" t="s">
        <v>691</v>
      </c>
      <c r="N9" s="108" t="s">
        <v>683</v>
      </c>
      <c r="O9" s="108" t="s">
        <v>684</v>
      </c>
      <c r="P9" s="108" t="s">
        <v>189</v>
      </c>
      <c r="Q9" s="108" t="s">
        <v>83</v>
      </c>
      <c r="R9" s="108" t="s">
        <v>84</v>
      </c>
      <c r="S9" s="108" t="s">
        <v>121</v>
      </c>
      <c r="T9" s="108" t="s">
        <v>692</v>
      </c>
      <c r="U9" s="108" t="s">
        <v>191</v>
      </c>
    </row>
    <row r="10" customFormat="false" ht="57.45" hidden="false" customHeight="false" outlineLevel="0" collapsed="false">
      <c r="A10" s="107" t="s">
        <v>34</v>
      </c>
      <c r="B10" s="108" t="s">
        <v>35</v>
      </c>
      <c r="C10" s="108" t="s">
        <v>693</v>
      </c>
      <c r="D10" s="108" t="s">
        <v>644</v>
      </c>
      <c r="E10" s="108" t="s">
        <v>645</v>
      </c>
      <c r="F10" s="108" t="s">
        <v>694</v>
      </c>
      <c r="G10" s="108" t="s">
        <v>75</v>
      </c>
      <c r="H10" s="108" t="s">
        <v>695</v>
      </c>
      <c r="I10" s="108" t="s">
        <v>373</v>
      </c>
      <c r="J10" s="108" t="s">
        <v>78</v>
      </c>
      <c r="K10" s="108" t="s">
        <v>79</v>
      </c>
      <c r="L10" s="108" t="s">
        <v>80</v>
      </c>
      <c r="M10" s="108" t="s">
        <v>696</v>
      </c>
      <c r="N10" s="108" t="s">
        <v>697</v>
      </c>
      <c r="O10" s="108" t="s">
        <v>698</v>
      </c>
      <c r="P10" s="108" t="s">
        <v>699</v>
      </c>
      <c r="Q10" s="108" t="s">
        <v>83</v>
      </c>
      <c r="R10" s="108" t="s">
        <v>84</v>
      </c>
      <c r="S10" s="108" t="s">
        <v>121</v>
      </c>
      <c r="T10" s="108" t="s">
        <v>700</v>
      </c>
      <c r="U10" s="108" t="s">
        <v>316</v>
      </c>
    </row>
    <row r="11" customFormat="false" ht="113.4" hidden="false" customHeight="false" outlineLevel="0" collapsed="false">
      <c r="A11" s="107" t="s">
        <v>34</v>
      </c>
      <c r="B11" s="108" t="s">
        <v>35</v>
      </c>
      <c r="C11" s="108" t="s">
        <v>701</v>
      </c>
      <c r="D11" s="108" t="s">
        <v>644</v>
      </c>
      <c r="E11" s="108" t="s">
        <v>645</v>
      </c>
      <c r="F11" s="108" t="s">
        <v>702</v>
      </c>
      <c r="G11" s="108" t="s">
        <v>75</v>
      </c>
      <c r="H11" s="108" t="s">
        <v>703</v>
      </c>
      <c r="I11" s="108" t="s">
        <v>186</v>
      </c>
      <c r="J11" s="108" t="s">
        <v>78</v>
      </c>
      <c r="K11" s="108" t="s">
        <v>79</v>
      </c>
      <c r="L11" s="108" t="s">
        <v>80</v>
      </c>
      <c r="M11" s="108" t="s">
        <v>704</v>
      </c>
      <c r="N11" s="108" t="s">
        <v>705</v>
      </c>
      <c r="O11" s="108" t="s">
        <v>706</v>
      </c>
      <c r="P11" s="108" t="s">
        <v>707</v>
      </c>
      <c r="Q11" s="108" t="s">
        <v>83</v>
      </c>
      <c r="R11" s="108" t="s">
        <v>84</v>
      </c>
      <c r="S11" s="108" t="s">
        <v>121</v>
      </c>
      <c r="T11" s="108" t="s">
        <v>708</v>
      </c>
      <c r="U11" s="108" t="s">
        <v>272</v>
      </c>
    </row>
    <row r="12" customFormat="false" ht="57.45" hidden="false" customHeight="false" outlineLevel="0" collapsed="false">
      <c r="A12" s="107" t="s">
        <v>34</v>
      </c>
      <c r="B12" s="108" t="s">
        <v>35</v>
      </c>
      <c r="C12" s="108" t="s">
        <v>709</v>
      </c>
      <c r="D12" s="108" t="s">
        <v>644</v>
      </c>
      <c r="E12" s="108" t="s">
        <v>645</v>
      </c>
      <c r="F12" s="108" t="s">
        <v>710</v>
      </c>
      <c r="G12" s="108" t="s">
        <v>75</v>
      </c>
      <c r="H12" s="108" t="s">
        <v>711</v>
      </c>
      <c r="I12" s="108" t="s">
        <v>661</v>
      </c>
      <c r="J12" s="108" t="s">
        <v>78</v>
      </c>
      <c r="K12" s="108" t="s">
        <v>79</v>
      </c>
      <c r="L12" s="108" t="s">
        <v>80</v>
      </c>
      <c r="M12" s="108" t="s">
        <v>712</v>
      </c>
      <c r="N12" s="108" t="s">
        <v>713</v>
      </c>
      <c r="O12" s="108" t="s">
        <v>714</v>
      </c>
      <c r="P12" s="108" t="s">
        <v>715</v>
      </c>
      <c r="Q12" s="108" t="s">
        <v>83</v>
      </c>
      <c r="R12" s="108" t="s">
        <v>84</v>
      </c>
      <c r="S12" s="108" t="s">
        <v>121</v>
      </c>
      <c r="T12" s="108" t="s">
        <v>716</v>
      </c>
      <c r="U12" s="108" t="s">
        <v>191</v>
      </c>
    </row>
    <row r="13" customFormat="false" ht="57.45" hidden="false" customHeight="false" outlineLevel="0" collapsed="false">
      <c r="A13" s="107" t="s">
        <v>34</v>
      </c>
      <c r="B13" s="108" t="s">
        <v>35</v>
      </c>
      <c r="C13" s="108" t="s">
        <v>643</v>
      </c>
      <c r="D13" s="108" t="s">
        <v>1252</v>
      </c>
      <c r="E13" s="108" t="s">
        <v>1253</v>
      </c>
      <c r="F13" s="108" t="s">
        <v>1254</v>
      </c>
      <c r="G13" s="108" t="s">
        <v>1017</v>
      </c>
      <c r="H13" s="108" t="s">
        <v>1255</v>
      </c>
      <c r="I13" s="108" t="s">
        <v>1019</v>
      </c>
      <c r="J13" s="108" t="s">
        <v>78</v>
      </c>
      <c r="K13" s="108" t="s">
        <v>1256</v>
      </c>
      <c r="L13" s="108" t="s">
        <v>78</v>
      </c>
      <c r="M13" s="108"/>
      <c r="N13" s="108" t="s">
        <v>1257</v>
      </c>
      <c r="O13" s="108" t="s">
        <v>82</v>
      </c>
      <c r="P13" s="108" t="s">
        <v>78</v>
      </c>
      <c r="Q13" s="108" t="s">
        <v>83</v>
      </c>
      <c r="R13" s="108" t="s">
        <v>84</v>
      </c>
      <c r="S13" s="108" t="s">
        <v>85</v>
      </c>
      <c r="T13" s="108" t="s">
        <v>1258</v>
      </c>
      <c r="U13" s="108" t="s">
        <v>87</v>
      </c>
    </row>
    <row r="14" customFormat="false" ht="68.65" hidden="false" customHeight="false" outlineLevel="0" collapsed="false">
      <c r="A14" s="107" t="s">
        <v>34</v>
      </c>
      <c r="B14" s="108" t="s">
        <v>35</v>
      </c>
      <c r="C14" s="108" t="s">
        <v>643</v>
      </c>
      <c r="D14" s="108" t="s">
        <v>1252</v>
      </c>
      <c r="E14" s="108" t="s">
        <v>1253</v>
      </c>
      <c r="F14" s="108" t="s">
        <v>1259</v>
      </c>
      <c r="G14" s="108" t="s">
        <v>1027</v>
      </c>
      <c r="H14" s="108" t="s">
        <v>1260</v>
      </c>
      <c r="I14" s="108" t="s">
        <v>1019</v>
      </c>
      <c r="J14" s="108" t="s">
        <v>78</v>
      </c>
      <c r="K14" s="108" t="s">
        <v>78</v>
      </c>
      <c r="L14" s="108" t="s">
        <v>78</v>
      </c>
      <c r="M14" s="108"/>
      <c r="N14" s="108" t="s">
        <v>663</v>
      </c>
      <c r="O14" s="108" t="s">
        <v>82</v>
      </c>
      <c r="P14" s="108" t="s">
        <v>78</v>
      </c>
      <c r="Q14" s="108" t="s">
        <v>83</v>
      </c>
      <c r="R14" s="108" t="s">
        <v>408</v>
      </c>
      <c r="S14" s="108" t="s">
        <v>649</v>
      </c>
      <c r="T14" s="108" t="s">
        <v>1261</v>
      </c>
      <c r="U14" s="108" t="s">
        <v>87</v>
      </c>
    </row>
    <row r="15" customFormat="false" ht="57.45" hidden="false" customHeight="false" outlineLevel="0" collapsed="false">
      <c r="A15" s="107" t="s">
        <v>34</v>
      </c>
      <c r="B15" s="108" t="s">
        <v>35</v>
      </c>
      <c r="C15" s="108" t="s">
        <v>673</v>
      </c>
      <c r="D15" s="108" t="s">
        <v>1252</v>
      </c>
      <c r="E15" s="108" t="s">
        <v>1253</v>
      </c>
      <c r="F15" s="108" t="s">
        <v>1262</v>
      </c>
      <c r="G15" s="108" t="s">
        <v>1027</v>
      </c>
      <c r="H15" s="108" t="s">
        <v>675</v>
      </c>
      <c r="I15" s="108" t="s">
        <v>1019</v>
      </c>
      <c r="J15" s="108" t="s">
        <v>78</v>
      </c>
      <c r="K15" s="108" t="s">
        <v>78</v>
      </c>
      <c r="L15" s="108" t="s">
        <v>78</v>
      </c>
      <c r="M15" s="108" t="s">
        <v>676</v>
      </c>
      <c r="N15" s="108"/>
      <c r="O15" s="108" t="s">
        <v>82</v>
      </c>
      <c r="P15" s="108" t="s">
        <v>78</v>
      </c>
      <c r="Q15" s="108" t="s">
        <v>83</v>
      </c>
      <c r="R15" s="108" t="s">
        <v>84</v>
      </c>
      <c r="S15" s="108" t="s">
        <v>85</v>
      </c>
      <c r="T15" s="108" t="s">
        <v>677</v>
      </c>
      <c r="U15" s="108" t="s">
        <v>97</v>
      </c>
    </row>
    <row r="16" customFormat="false" ht="57.45" hidden="false" customHeight="false" outlineLevel="0" collapsed="false">
      <c r="A16" s="107" t="s">
        <v>34</v>
      </c>
      <c r="B16" s="108" t="s">
        <v>35</v>
      </c>
      <c r="C16" s="108" t="s">
        <v>678</v>
      </c>
      <c r="D16" s="108" t="s">
        <v>1252</v>
      </c>
      <c r="E16" s="108" t="s">
        <v>1253</v>
      </c>
      <c r="F16" s="108" t="s">
        <v>1263</v>
      </c>
      <c r="G16" s="108" t="s">
        <v>1027</v>
      </c>
      <c r="H16" s="108" t="s">
        <v>680</v>
      </c>
      <c r="I16" s="108" t="s">
        <v>1264</v>
      </c>
      <c r="J16" s="108" t="s">
        <v>78</v>
      </c>
      <c r="K16" s="108" t="s">
        <v>78</v>
      </c>
      <c r="L16" s="108" t="s">
        <v>1265</v>
      </c>
      <c r="M16" s="108" t="s">
        <v>682</v>
      </c>
      <c r="N16" s="108" t="s">
        <v>683</v>
      </c>
      <c r="O16" s="108" t="s">
        <v>684</v>
      </c>
      <c r="P16" s="108" t="s">
        <v>189</v>
      </c>
      <c r="Q16" s="108" t="s">
        <v>83</v>
      </c>
      <c r="R16" s="108" t="s">
        <v>84</v>
      </c>
      <c r="S16" s="108" t="s">
        <v>121</v>
      </c>
      <c r="T16" s="108" t="s">
        <v>685</v>
      </c>
      <c r="U16" s="108" t="s">
        <v>191</v>
      </c>
    </row>
    <row r="17" customFormat="false" ht="57.45" hidden="false" customHeight="false" outlineLevel="0" collapsed="false">
      <c r="A17" s="107" t="s">
        <v>34</v>
      </c>
      <c r="B17" s="108" t="s">
        <v>35</v>
      </c>
      <c r="C17" s="108" t="s">
        <v>678</v>
      </c>
      <c r="D17" s="108" t="s">
        <v>1252</v>
      </c>
      <c r="E17" s="108" t="s">
        <v>1253</v>
      </c>
      <c r="F17" s="108" t="s">
        <v>1266</v>
      </c>
      <c r="G17" s="108" t="s">
        <v>1027</v>
      </c>
      <c r="H17" s="108" t="s">
        <v>1267</v>
      </c>
      <c r="I17" s="108" t="s">
        <v>1019</v>
      </c>
      <c r="J17" s="108" t="s">
        <v>78</v>
      </c>
      <c r="K17" s="108" t="s">
        <v>1268</v>
      </c>
      <c r="L17" s="108" t="s">
        <v>1115</v>
      </c>
      <c r="M17" s="108" t="s">
        <v>682</v>
      </c>
      <c r="N17" s="108" t="s">
        <v>683</v>
      </c>
      <c r="O17" s="108" t="s">
        <v>684</v>
      </c>
      <c r="P17" s="108" t="s">
        <v>189</v>
      </c>
      <c r="Q17" s="108" t="s">
        <v>83</v>
      </c>
      <c r="R17" s="108" t="s">
        <v>84</v>
      </c>
      <c r="S17" s="108" t="s">
        <v>121</v>
      </c>
      <c r="T17" s="108" t="s">
        <v>1269</v>
      </c>
      <c r="U17" s="108" t="s">
        <v>191</v>
      </c>
    </row>
    <row r="18" customFormat="false" ht="57.45" hidden="false" customHeight="false" outlineLevel="0" collapsed="false">
      <c r="A18" s="107" t="s">
        <v>34</v>
      </c>
      <c r="B18" s="108" t="s">
        <v>35</v>
      </c>
      <c r="C18" s="108" t="s">
        <v>686</v>
      </c>
      <c r="D18" s="108" t="s">
        <v>1252</v>
      </c>
      <c r="E18" s="108" t="s">
        <v>1253</v>
      </c>
      <c r="F18" s="108" t="s">
        <v>1270</v>
      </c>
      <c r="G18" s="108" t="s">
        <v>1027</v>
      </c>
      <c r="H18" s="108" t="s">
        <v>1271</v>
      </c>
      <c r="I18" s="108" t="s">
        <v>1019</v>
      </c>
      <c r="J18" s="108" t="s">
        <v>1152</v>
      </c>
      <c r="K18" s="108" t="s">
        <v>78</v>
      </c>
      <c r="L18" s="108" t="s">
        <v>78</v>
      </c>
      <c r="M18" s="108" t="s">
        <v>691</v>
      </c>
      <c r="N18" s="108" t="s">
        <v>683</v>
      </c>
      <c r="O18" s="108" t="s">
        <v>684</v>
      </c>
      <c r="P18" s="108" t="s">
        <v>189</v>
      </c>
      <c r="Q18" s="108" t="s">
        <v>83</v>
      </c>
      <c r="R18" s="108" t="s">
        <v>84</v>
      </c>
      <c r="S18" s="108" t="s">
        <v>121</v>
      </c>
      <c r="T18" s="108" t="s">
        <v>1272</v>
      </c>
      <c r="U18" s="108" t="s">
        <v>191</v>
      </c>
    </row>
    <row r="19" customFormat="false" ht="57.45" hidden="false" customHeight="false" outlineLevel="0" collapsed="false">
      <c r="A19" s="107" t="s">
        <v>34</v>
      </c>
      <c r="B19" s="108" t="s">
        <v>35</v>
      </c>
      <c r="C19" s="108" t="s">
        <v>693</v>
      </c>
      <c r="D19" s="108" t="s">
        <v>1252</v>
      </c>
      <c r="E19" s="108" t="s">
        <v>1253</v>
      </c>
      <c r="F19" s="108" t="s">
        <v>1273</v>
      </c>
      <c r="G19" s="108" t="s">
        <v>1027</v>
      </c>
      <c r="H19" s="108" t="s">
        <v>695</v>
      </c>
      <c r="I19" s="108" t="s">
        <v>1264</v>
      </c>
      <c r="J19" s="108" t="s">
        <v>78</v>
      </c>
      <c r="K19" s="108" t="s">
        <v>78</v>
      </c>
      <c r="L19" s="108" t="s">
        <v>1274</v>
      </c>
      <c r="M19" s="108" t="s">
        <v>696</v>
      </c>
      <c r="N19" s="108"/>
      <c r="O19" s="108" t="s">
        <v>82</v>
      </c>
      <c r="P19" s="108" t="s">
        <v>78</v>
      </c>
      <c r="Q19" s="108" t="s">
        <v>83</v>
      </c>
      <c r="R19" s="108" t="s">
        <v>84</v>
      </c>
      <c r="S19" s="108" t="s">
        <v>85</v>
      </c>
      <c r="T19" s="108" t="s">
        <v>700</v>
      </c>
      <c r="U19" s="108" t="s">
        <v>97</v>
      </c>
    </row>
    <row r="20" customFormat="false" ht="57.45" hidden="false" customHeight="false" outlineLevel="0" collapsed="false">
      <c r="A20" s="107" t="s">
        <v>34</v>
      </c>
      <c r="B20" s="108" t="s">
        <v>35</v>
      </c>
      <c r="C20" s="108" t="s">
        <v>693</v>
      </c>
      <c r="D20" s="108" t="s">
        <v>1252</v>
      </c>
      <c r="E20" s="108" t="s">
        <v>1253</v>
      </c>
      <c r="F20" s="108" t="s">
        <v>1275</v>
      </c>
      <c r="G20" s="108" t="s">
        <v>1027</v>
      </c>
      <c r="H20" s="108" t="s">
        <v>1276</v>
      </c>
      <c r="I20" s="108" t="s">
        <v>1019</v>
      </c>
      <c r="J20" s="108" t="s">
        <v>1277</v>
      </c>
      <c r="K20" s="108" t="s">
        <v>1278</v>
      </c>
      <c r="L20" s="108" t="s">
        <v>78</v>
      </c>
      <c r="M20" s="108" t="s">
        <v>696</v>
      </c>
      <c r="N20" s="108"/>
      <c r="O20" s="108" t="s">
        <v>82</v>
      </c>
      <c r="P20" s="108" t="s">
        <v>78</v>
      </c>
      <c r="Q20" s="108" t="s">
        <v>83</v>
      </c>
      <c r="R20" s="108" t="s">
        <v>84</v>
      </c>
      <c r="S20" s="108" t="s">
        <v>85</v>
      </c>
      <c r="T20" s="108" t="s">
        <v>1279</v>
      </c>
      <c r="U20" s="108" t="s">
        <v>97</v>
      </c>
    </row>
    <row r="21" customFormat="false" ht="57.45" hidden="false" customHeight="false" outlineLevel="0" collapsed="false">
      <c r="A21" s="107" t="s">
        <v>34</v>
      </c>
      <c r="B21" s="108" t="s">
        <v>35</v>
      </c>
      <c r="C21" s="108" t="s">
        <v>701</v>
      </c>
      <c r="D21" s="108" t="s">
        <v>1252</v>
      </c>
      <c r="E21" s="108" t="s">
        <v>1253</v>
      </c>
      <c r="F21" s="108" t="s">
        <v>1280</v>
      </c>
      <c r="G21" s="108" t="s">
        <v>1017</v>
      </c>
      <c r="H21" s="108" t="s">
        <v>1281</v>
      </c>
      <c r="I21" s="108" t="s">
        <v>1019</v>
      </c>
      <c r="J21" s="108" t="s">
        <v>78</v>
      </c>
      <c r="K21" s="108" t="s">
        <v>78</v>
      </c>
      <c r="L21" s="108" t="s">
        <v>1021</v>
      </c>
      <c r="M21" s="108" t="s">
        <v>704</v>
      </c>
      <c r="N21" s="108"/>
      <c r="O21" s="108" t="s">
        <v>82</v>
      </c>
      <c r="P21" s="108" t="s">
        <v>78</v>
      </c>
      <c r="Q21" s="108" t="s">
        <v>83</v>
      </c>
      <c r="R21" s="108" t="s">
        <v>84</v>
      </c>
      <c r="S21" s="108" t="s">
        <v>85</v>
      </c>
      <c r="T21" s="108" t="s">
        <v>1282</v>
      </c>
      <c r="U21" s="108" t="s">
        <v>97</v>
      </c>
    </row>
  </sheetData>
  <autoFilter ref="A1:U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U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4"/>
    <col collapsed="false" customWidth="true" hidden="false" outlineLevel="0" max="6" min="6" style="0" width="16"/>
    <col collapsed="false" customWidth="true" hidden="false" outlineLevel="0" max="7" min="7" style="0" width="11"/>
    <col collapsed="false" customWidth="true" hidden="false" outlineLevel="0" max="8" min="8" style="0" width="60"/>
    <col collapsed="false" customWidth="true" hidden="false" outlineLevel="0" max="9" min="9" style="0" width="22"/>
    <col collapsed="false" customWidth="true" hidden="false" outlineLevel="0" max="11" min="10" style="0" width="24"/>
    <col collapsed="false" customWidth="true" hidden="false" outlineLevel="0" max="12" min="12" style="0" width="26"/>
    <col collapsed="false" customWidth="true" hidden="false" outlineLevel="0" max="13" min="13" style="0" width="11"/>
    <col collapsed="false" customWidth="true" hidden="false" outlineLevel="0" max="14" min="14" style="0" width="20"/>
    <col collapsed="false" customWidth="true" hidden="false" outlineLevel="0" max="15" min="15" style="0" width="30"/>
    <col collapsed="false" customWidth="true" hidden="false" outlineLevel="0" max="16" min="16" style="0" width="16"/>
    <col collapsed="false" customWidth="true" hidden="false" outlineLevel="0" max="18" min="17" style="0" width="18"/>
    <col collapsed="false" customWidth="true" hidden="false" outlineLevel="0" max="19" min="19" style="0" width="12"/>
    <col collapsed="false" customWidth="true" hidden="false" outlineLevel="0" max="20" min="20" style="0" width="40"/>
    <col collapsed="false" customWidth="true" hidden="false" outlineLevel="0" max="21" min="21" style="0" width="45"/>
  </cols>
  <sheetData>
    <row r="1" customFormat="false" ht="68.65" hidden="false" customHeight="false" outlineLevel="0" collapsed="false">
      <c r="A1" s="135" t="s">
        <v>0</v>
      </c>
      <c r="B1" s="135" t="s">
        <v>51</v>
      </c>
      <c r="C1" s="135" t="s">
        <v>52</v>
      </c>
      <c r="D1" s="135" t="s">
        <v>53</v>
      </c>
      <c r="E1" s="135" t="s">
        <v>54</v>
      </c>
      <c r="F1" s="135" t="s">
        <v>55</v>
      </c>
      <c r="G1" s="135" t="s">
        <v>56</v>
      </c>
      <c r="H1" s="135" t="s">
        <v>57</v>
      </c>
      <c r="I1" s="135" t="s">
        <v>58</v>
      </c>
      <c r="J1" s="135" t="s">
        <v>59</v>
      </c>
      <c r="K1" s="135" t="s">
        <v>60</v>
      </c>
      <c r="L1" s="135" t="s">
        <v>61</v>
      </c>
      <c r="M1" s="135" t="s">
        <v>62</v>
      </c>
      <c r="N1" s="135" t="s">
        <v>63</v>
      </c>
      <c r="O1" s="135" t="s">
        <v>64</v>
      </c>
      <c r="P1" s="135" t="s">
        <v>65</v>
      </c>
      <c r="Q1" s="135" t="s">
        <v>66</v>
      </c>
      <c r="R1" s="135" t="s">
        <v>67</v>
      </c>
      <c r="S1" s="135" t="s">
        <v>68</v>
      </c>
      <c r="T1" s="135" t="s">
        <v>69</v>
      </c>
      <c r="U1" s="135" t="s">
        <v>70</v>
      </c>
    </row>
    <row r="2" customFormat="false" ht="57.45" hidden="false" customHeight="false" outlineLevel="0" collapsed="false">
      <c r="A2" s="109" t="s">
        <v>36</v>
      </c>
      <c r="B2" s="110" t="s">
        <v>37</v>
      </c>
      <c r="C2" s="110" t="s">
        <v>717</v>
      </c>
      <c r="D2" s="110" t="s">
        <v>718</v>
      </c>
      <c r="E2" s="110" t="s">
        <v>719</v>
      </c>
      <c r="F2" s="110" t="s">
        <v>720</v>
      </c>
      <c r="G2" s="110" t="s">
        <v>75</v>
      </c>
      <c r="H2" s="110" t="s">
        <v>721</v>
      </c>
      <c r="I2" s="110" t="s">
        <v>320</v>
      </c>
      <c r="J2" s="110" t="s">
        <v>78</v>
      </c>
      <c r="K2" s="110" t="s">
        <v>79</v>
      </c>
      <c r="L2" s="110" t="s">
        <v>80</v>
      </c>
      <c r="M2" s="110" t="s">
        <v>722</v>
      </c>
      <c r="N2" s="110" t="s">
        <v>723</v>
      </c>
      <c r="O2" s="110" t="s">
        <v>724</v>
      </c>
      <c r="P2" s="110" t="s">
        <v>189</v>
      </c>
      <c r="Q2" s="110" t="s">
        <v>83</v>
      </c>
      <c r="R2" s="110" t="s">
        <v>84</v>
      </c>
      <c r="S2" s="110" t="s">
        <v>121</v>
      </c>
      <c r="T2" s="110" t="s">
        <v>725</v>
      </c>
      <c r="U2" s="110" t="s">
        <v>191</v>
      </c>
    </row>
    <row r="3" customFormat="false" ht="57.45" hidden="false" customHeight="false" outlineLevel="0" collapsed="false">
      <c r="A3" s="109" t="s">
        <v>36</v>
      </c>
      <c r="B3" s="110" t="s">
        <v>37</v>
      </c>
      <c r="C3" s="110" t="s">
        <v>726</v>
      </c>
      <c r="D3" s="110" t="s">
        <v>718</v>
      </c>
      <c r="E3" s="110" t="s">
        <v>719</v>
      </c>
      <c r="F3" s="110" t="s">
        <v>727</v>
      </c>
      <c r="G3" s="110" t="s">
        <v>75</v>
      </c>
      <c r="H3" s="110" t="s">
        <v>728</v>
      </c>
      <c r="I3" s="110" t="s">
        <v>77</v>
      </c>
      <c r="J3" s="110" t="s">
        <v>78</v>
      </c>
      <c r="K3" s="110" t="s">
        <v>79</v>
      </c>
      <c r="L3" s="110" t="s">
        <v>80</v>
      </c>
      <c r="M3" s="110" t="s">
        <v>729</v>
      </c>
      <c r="N3" s="110" t="s">
        <v>730</v>
      </c>
      <c r="O3" s="110" t="s">
        <v>731</v>
      </c>
      <c r="P3" s="110" t="s">
        <v>189</v>
      </c>
      <c r="Q3" s="110" t="s">
        <v>83</v>
      </c>
      <c r="R3" s="110" t="s">
        <v>84</v>
      </c>
      <c r="S3" s="110" t="s">
        <v>121</v>
      </c>
      <c r="T3" s="110" t="s">
        <v>732</v>
      </c>
      <c r="U3" s="110" t="s">
        <v>191</v>
      </c>
    </row>
    <row r="4" customFormat="false" ht="57.45" hidden="false" customHeight="false" outlineLevel="0" collapsed="false">
      <c r="A4" s="109" t="s">
        <v>36</v>
      </c>
      <c r="B4" s="110" t="s">
        <v>37</v>
      </c>
      <c r="C4" s="110" t="s">
        <v>726</v>
      </c>
      <c r="D4" s="110" t="s">
        <v>718</v>
      </c>
      <c r="E4" s="110" t="s">
        <v>719</v>
      </c>
      <c r="F4" s="110" t="s">
        <v>733</v>
      </c>
      <c r="G4" s="110" t="s">
        <v>75</v>
      </c>
      <c r="H4" s="110" t="s">
        <v>734</v>
      </c>
      <c r="I4" s="110" t="s">
        <v>735</v>
      </c>
      <c r="J4" s="110" t="s">
        <v>78</v>
      </c>
      <c r="K4" s="110" t="s">
        <v>79</v>
      </c>
      <c r="L4" s="110" t="s">
        <v>173</v>
      </c>
      <c r="M4" s="110" t="s">
        <v>729</v>
      </c>
      <c r="N4" s="110" t="s">
        <v>730</v>
      </c>
      <c r="O4" s="110" t="s">
        <v>731</v>
      </c>
      <c r="P4" s="110" t="s">
        <v>189</v>
      </c>
      <c r="Q4" s="110" t="s">
        <v>83</v>
      </c>
      <c r="R4" s="110" t="s">
        <v>84</v>
      </c>
      <c r="S4" s="110" t="s">
        <v>121</v>
      </c>
      <c r="T4" s="110" t="s">
        <v>736</v>
      </c>
      <c r="U4" s="110" t="s">
        <v>191</v>
      </c>
    </row>
    <row r="5" customFormat="false" ht="57.45" hidden="false" customHeight="false" outlineLevel="0" collapsed="false">
      <c r="A5" s="109" t="s">
        <v>36</v>
      </c>
      <c r="B5" s="110" t="s">
        <v>37</v>
      </c>
      <c r="C5" s="110" t="s">
        <v>737</v>
      </c>
      <c r="D5" s="110" t="s">
        <v>718</v>
      </c>
      <c r="E5" s="110" t="s">
        <v>719</v>
      </c>
      <c r="F5" s="110" t="s">
        <v>738</v>
      </c>
      <c r="G5" s="110" t="s">
        <v>75</v>
      </c>
      <c r="H5" s="110" t="s">
        <v>739</v>
      </c>
      <c r="I5" s="110" t="s">
        <v>740</v>
      </c>
      <c r="J5" s="110" t="s">
        <v>741</v>
      </c>
      <c r="K5" s="110" t="s">
        <v>79</v>
      </c>
      <c r="L5" s="110" t="s">
        <v>517</v>
      </c>
      <c r="M5" s="110" t="s">
        <v>742</v>
      </c>
      <c r="N5" s="110" t="s">
        <v>743</v>
      </c>
      <c r="O5" s="110" t="s">
        <v>744</v>
      </c>
      <c r="P5" s="110" t="s">
        <v>189</v>
      </c>
      <c r="Q5" s="110" t="s">
        <v>83</v>
      </c>
      <c r="R5" s="110" t="s">
        <v>84</v>
      </c>
      <c r="S5" s="110" t="s">
        <v>121</v>
      </c>
      <c r="T5" s="110" t="s">
        <v>745</v>
      </c>
      <c r="U5" s="110" t="s">
        <v>316</v>
      </c>
    </row>
    <row r="6" customFormat="false" ht="57.45" hidden="false" customHeight="false" outlineLevel="0" collapsed="false">
      <c r="A6" s="109" t="s">
        <v>36</v>
      </c>
      <c r="B6" s="110" t="s">
        <v>37</v>
      </c>
      <c r="C6" s="110" t="s">
        <v>737</v>
      </c>
      <c r="D6" s="110" t="s">
        <v>718</v>
      </c>
      <c r="E6" s="110" t="s">
        <v>719</v>
      </c>
      <c r="F6" s="110" t="s">
        <v>746</v>
      </c>
      <c r="G6" s="110" t="s">
        <v>75</v>
      </c>
      <c r="H6" s="110" t="s">
        <v>747</v>
      </c>
      <c r="I6" s="110" t="s">
        <v>661</v>
      </c>
      <c r="J6" s="110" t="s">
        <v>78</v>
      </c>
      <c r="K6" s="110" t="s">
        <v>79</v>
      </c>
      <c r="L6" s="110" t="s">
        <v>80</v>
      </c>
      <c r="M6" s="110" t="s">
        <v>742</v>
      </c>
      <c r="N6" s="110" t="s">
        <v>743</v>
      </c>
      <c r="O6" s="110" t="s">
        <v>744</v>
      </c>
      <c r="P6" s="110" t="s">
        <v>189</v>
      </c>
      <c r="Q6" s="110" t="s">
        <v>83</v>
      </c>
      <c r="R6" s="110" t="s">
        <v>84</v>
      </c>
      <c r="S6" s="110" t="s">
        <v>121</v>
      </c>
      <c r="T6" s="110" t="s">
        <v>748</v>
      </c>
      <c r="U6" s="110" t="s">
        <v>316</v>
      </c>
    </row>
    <row r="7" customFormat="false" ht="57.45" hidden="false" customHeight="false" outlineLevel="0" collapsed="false">
      <c r="A7" s="109" t="s">
        <v>36</v>
      </c>
      <c r="B7" s="110" t="s">
        <v>37</v>
      </c>
      <c r="C7" s="110" t="s">
        <v>749</v>
      </c>
      <c r="D7" s="110" t="s">
        <v>718</v>
      </c>
      <c r="E7" s="110" t="s">
        <v>719</v>
      </c>
      <c r="F7" s="110" t="s">
        <v>750</v>
      </c>
      <c r="G7" s="110" t="s">
        <v>75</v>
      </c>
      <c r="H7" s="110" t="s">
        <v>751</v>
      </c>
      <c r="I7" s="110" t="s">
        <v>752</v>
      </c>
      <c r="J7" s="110" t="s">
        <v>78</v>
      </c>
      <c r="K7" s="110" t="s">
        <v>79</v>
      </c>
      <c r="L7" s="110" t="s">
        <v>403</v>
      </c>
      <c r="M7" s="110" t="s">
        <v>753</v>
      </c>
      <c r="N7" s="110" t="s">
        <v>754</v>
      </c>
      <c r="O7" s="110" t="s">
        <v>755</v>
      </c>
      <c r="P7" s="110" t="s">
        <v>189</v>
      </c>
      <c r="Q7" s="110" t="s">
        <v>83</v>
      </c>
      <c r="R7" s="110" t="s">
        <v>84</v>
      </c>
      <c r="S7" s="110" t="s">
        <v>121</v>
      </c>
      <c r="T7" s="110" t="s">
        <v>756</v>
      </c>
      <c r="U7" s="110" t="s">
        <v>191</v>
      </c>
    </row>
    <row r="8" customFormat="false" ht="57.45" hidden="false" customHeight="false" outlineLevel="0" collapsed="false">
      <c r="A8" s="109" t="s">
        <v>36</v>
      </c>
      <c r="B8" s="110" t="s">
        <v>37</v>
      </c>
      <c r="C8" s="110" t="s">
        <v>737</v>
      </c>
      <c r="D8" s="110" t="s">
        <v>1283</v>
      </c>
      <c r="E8" s="110" t="s">
        <v>1284</v>
      </c>
      <c r="F8" s="110" t="s">
        <v>1285</v>
      </c>
      <c r="G8" s="110" t="s">
        <v>1027</v>
      </c>
      <c r="H8" s="110" t="s">
        <v>1286</v>
      </c>
      <c r="I8" s="110" t="s">
        <v>1264</v>
      </c>
      <c r="J8" s="110" t="s">
        <v>78</v>
      </c>
      <c r="K8" s="110" t="s">
        <v>78</v>
      </c>
      <c r="L8" s="110" t="s">
        <v>1031</v>
      </c>
      <c r="M8" s="110" t="s">
        <v>742</v>
      </c>
      <c r="N8" s="110" t="s">
        <v>743</v>
      </c>
      <c r="O8" s="110" t="s">
        <v>744</v>
      </c>
      <c r="P8" s="110" t="s">
        <v>189</v>
      </c>
      <c r="Q8" s="110" t="s">
        <v>83</v>
      </c>
      <c r="R8" s="110" t="s">
        <v>84</v>
      </c>
      <c r="S8" s="110" t="s">
        <v>121</v>
      </c>
      <c r="T8" s="110" t="s">
        <v>1287</v>
      </c>
      <c r="U8" s="110" t="s">
        <v>316</v>
      </c>
    </row>
    <row r="9" customFormat="false" ht="57.45" hidden="false" customHeight="false" outlineLevel="0" collapsed="false">
      <c r="A9" s="109" t="s">
        <v>36</v>
      </c>
      <c r="B9" s="110" t="s">
        <v>37</v>
      </c>
      <c r="C9" s="110" t="s">
        <v>749</v>
      </c>
      <c r="D9" s="110" t="s">
        <v>1283</v>
      </c>
      <c r="E9" s="110" t="s">
        <v>1284</v>
      </c>
      <c r="F9" s="110" t="s">
        <v>1288</v>
      </c>
      <c r="G9" s="110" t="s">
        <v>1027</v>
      </c>
      <c r="H9" s="110" t="s">
        <v>1289</v>
      </c>
      <c r="I9" s="110" t="s">
        <v>1019</v>
      </c>
      <c r="J9" s="110" t="s">
        <v>1290</v>
      </c>
      <c r="K9" s="110" t="s">
        <v>78</v>
      </c>
      <c r="L9" s="110" t="s">
        <v>1021</v>
      </c>
      <c r="M9" s="110" t="s">
        <v>753</v>
      </c>
      <c r="N9" s="110" t="s">
        <v>754</v>
      </c>
      <c r="O9" s="110" t="s">
        <v>755</v>
      </c>
      <c r="P9" s="110" t="s">
        <v>189</v>
      </c>
      <c r="Q9" s="110" t="s">
        <v>83</v>
      </c>
      <c r="R9" s="110" t="s">
        <v>84</v>
      </c>
      <c r="S9" s="110" t="s">
        <v>121</v>
      </c>
      <c r="T9" s="110" t="s">
        <v>1291</v>
      </c>
      <c r="U9" s="110" t="s">
        <v>191</v>
      </c>
    </row>
  </sheetData>
  <autoFilter ref="A1:U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7C61"/>
    <pageSetUpPr fitToPage="false"/>
  </sheetPr>
  <dimension ref="A1:U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4"/>
    <col collapsed="false" customWidth="true" hidden="false" outlineLevel="0" max="6" min="6" style="0" width="16"/>
    <col collapsed="false" customWidth="true" hidden="false" outlineLevel="0" max="7" min="7" style="0" width="11"/>
    <col collapsed="false" customWidth="true" hidden="false" outlineLevel="0" max="8" min="8" style="0" width="60"/>
    <col collapsed="false" customWidth="true" hidden="false" outlineLevel="0" max="9" min="9" style="0" width="22"/>
    <col collapsed="false" customWidth="true" hidden="false" outlineLevel="0" max="11" min="10" style="0" width="24"/>
    <col collapsed="false" customWidth="true" hidden="false" outlineLevel="0" max="12" min="12" style="0" width="26"/>
    <col collapsed="false" customWidth="true" hidden="false" outlineLevel="0" max="13" min="13" style="0" width="11"/>
    <col collapsed="false" customWidth="true" hidden="false" outlineLevel="0" max="14" min="14" style="0" width="20"/>
    <col collapsed="false" customWidth="true" hidden="false" outlineLevel="0" max="15" min="15" style="0" width="30"/>
    <col collapsed="false" customWidth="true" hidden="false" outlineLevel="0" max="16" min="16" style="0" width="16"/>
    <col collapsed="false" customWidth="true" hidden="false" outlineLevel="0" max="18" min="17" style="0" width="18"/>
    <col collapsed="false" customWidth="true" hidden="false" outlineLevel="0" max="19" min="19" style="0" width="12"/>
    <col collapsed="false" customWidth="true" hidden="false" outlineLevel="0" max="20" min="20" style="0" width="40"/>
    <col collapsed="false" customWidth="true" hidden="false" outlineLevel="0" max="21" min="21" style="0" width="45"/>
  </cols>
  <sheetData>
    <row r="1" customFormat="false" ht="68.65" hidden="false" customHeight="false" outlineLevel="0" collapsed="false">
      <c r="A1" s="136" t="s">
        <v>0</v>
      </c>
      <c r="B1" s="136" t="s">
        <v>51</v>
      </c>
      <c r="C1" s="136" t="s">
        <v>52</v>
      </c>
      <c r="D1" s="136" t="s">
        <v>53</v>
      </c>
      <c r="E1" s="136" t="s">
        <v>54</v>
      </c>
      <c r="F1" s="136" t="s">
        <v>55</v>
      </c>
      <c r="G1" s="136" t="s">
        <v>56</v>
      </c>
      <c r="H1" s="136" t="s">
        <v>57</v>
      </c>
      <c r="I1" s="136" t="s">
        <v>58</v>
      </c>
      <c r="J1" s="136" t="s">
        <v>59</v>
      </c>
      <c r="K1" s="136" t="s">
        <v>60</v>
      </c>
      <c r="L1" s="136" t="s">
        <v>61</v>
      </c>
      <c r="M1" s="136" t="s">
        <v>62</v>
      </c>
      <c r="N1" s="136" t="s">
        <v>63</v>
      </c>
      <c r="O1" s="136" t="s">
        <v>64</v>
      </c>
      <c r="P1" s="136" t="s">
        <v>65</v>
      </c>
      <c r="Q1" s="136" t="s">
        <v>66</v>
      </c>
      <c r="R1" s="136" t="s">
        <v>67</v>
      </c>
      <c r="S1" s="136" t="s">
        <v>68</v>
      </c>
      <c r="T1" s="136" t="s">
        <v>69</v>
      </c>
      <c r="U1" s="136" t="s">
        <v>70</v>
      </c>
    </row>
    <row r="2" customFormat="false" ht="91" hidden="false" customHeight="false" outlineLevel="0" collapsed="false">
      <c r="A2" s="111" t="s">
        <v>38</v>
      </c>
      <c r="B2" s="112" t="s">
        <v>39</v>
      </c>
      <c r="C2" s="112" t="s">
        <v>757</v>
      </c>
      <c r="D2" s="112" t="s">
        <v>758</v>
      </c>
      <c r="E2" s="112" t="s">
        <v>759</v>
      </c>
      <c r="F2" s="112" t="s">
        <v>760</v>
      </c>
      <c r="G2" s="112" t="s">
        <v>75</v>
      </c>
      <c r="H2" s="112" t="s">
        <v>761</v>
      </c>
      <c r="I2" s="112" t="s">
        <v>367</v>
      </c>
      <c r="J2" s="112" t="s">
        <v>78</v>
      </c>
      <c r="K2" s="112" t="s">
        <v>79</v>
      </c>
      <c r="L2" s="112" t="s">
        <v>80</v>
      </c>
      <c r="M2" s="112"/>
      <c r="N2" s="112" t="s">
        <v>762</v>
      </c>
      <c r="O2" s="112" t="s">
        <v>763</v>
      </c>
      <c r="P2" s="112" t="s">
        <v>189</v>
      </c>
      <c r="Q2" s="112" t="s">
        <v>83</v>
      </c>
      <c r="R2" s="112" t="s">
        <v>84</v>
      </c>
      <c r="S2" s="112" t="s">
        <v>121</v>
      </c>
      <c r="T2" s="112" t="s">
        <v>764</v>
      </c>
      <c r="U2" s="112" t="s">
        <v>765</v>
      </c>
    </row>
    <row r="3" customFormat="false" ht="57.45" hidden="false" customHeight="false" outlineLevel="0" collapsed="false">
      <c r="A3" s="111" t="s">
        <v>38</v>
      </c>
      <c r="B3" s="112" t="s">
        <v>39</v>
      </c>
      <c r="C3" s="112" t="s">
        <v>766</v>
      </c>
      <c r="D3" s="112" t="s">
        <v>758</v>
      </c>
      <c r="E3" s="112" t="s">
        <v>759</v>
      </c>
      <c r="F3" s="112" t="s">
        <v>767</v>
      </c>
      <c r="G3" s="112" t="s">
        <v>75</v>
      </c>
      <c r="H3" s="112" t="s">
        <v>768</v>
      </c>
      <c r="I3" s="112" t="s">
        <v>181</v>
      </c>
      <c r="J3" s="112" t="s">
        <v>78</v>
      </c>
      <c r="K3" s="112" t="s">
        <v>79</v>
      </c>
      <c r="L3" s="112" t="s">
        <v>80</v>
      </c>
      <c r="M3" s="112"/>
      <c r="N3" s="112" t="s">
        <v>769</v>
      </c>
      <c r="O3" s="112" t="s">
        <v>770</v>
      </c>
      <c r="P3" s="112" t="s">
        <v>189</v>
      </c>
      <c r="Q3" s="112" t="s">
        <v>83</v>
      </c>
      <c r="R3" s="112" t="s">
        <v>84</v>
      </c>
      <c r="S3" s="112" t="s">
        <v>121</v>
      </c>
      <c r="T3" s="112" t="s">
        <v>771</v>
      </c>
      <c r="U3" s="112" t="s">
        <v>772</v>
      </c>
    </row>
    <row r="4" customFormat="false" ht="57.45" hidden="false" customHeight="false" outlineLevel="0" collapsed="false">
      <c r="A4" s="111" t="s">
        <v>38</v>
      </c>
      <c r="B4" s="112" t="s">
        <v>39</v>
      </c>
      <c r="C4" s="112" t="s">
        <v>773</v>
      </c>
      <c r="D4" s="112" t="s">
        <v>758</v>
      </c>
      <c r="E4" s="112" t="s">
        <v>759</v>
      </c>
      <c r="F4" s="112" t="s">
        <v>774</v>
      </c>
      <c r="G4" s="112" t="s">
        <v>75</v>
      </c>
      <c r="H4" s="112" t="s">
        <v>775</v>
      </c>
      <c r="I4" s="112" t="s">
        <v>367</v>
      </c>
      <c r="J4" s="112" t="s">
        <v>78</v>
      </c>
      <c r="K4" s="112" t="s">
        <v>79</v>
      </c>
      <c r="L4" s="112" t="s">
        <v>80</v>
      </c>
      <c r="M4" s="112"/>
      <c r="N4" s="112" t="s">
        <v>776</v>
      </c>
      <c r="O4" s="112" t="s">
        <v>777</v>
      </c>
      <c r="P4" s="112" t="s">
        <v>189</v>
      </c>
      <c r="Q4" s="112" t="s">
        <v>83</v>
      </c>
      <c r="R4" s="112" t="s">
        <v>84</v>
      </c>
      <c r="S4" s="112" t="s">
        <v>121</v>
      </c>
      <c r="T4" s="112" t="s">
        <v>778</v>
      </c>
      <c r="U4" s="112" t="s">
        <v>227</v>
      </c>
    </row>
    <row r="5" customFormat="false" ht="57.45" hidden="false" customHeight="false" outlineLevel="0" collapsed="false">
      <c r="A5" s="111" t="s">
        <v>38</v>
      </c>
      <c r="B5" s="112" t="s">
        <v>39</v>
      </c>
      <c r="C5" s="112" t="s">
        <v>773</v>
      </c>
      <c r="D5" s="112" t="s">
        <v>758</v>
      </c>
      <c r="E5" s="112" t="s">
        <v>759</v>
      </c>
      <c r="F5" s="112" t="s">
        <v>779</v>
      </c>
      <c r="G5" s="112" t="s">
        <v>75</v>
      </c>
      <c r="H5" s="112" t="s">
        <v>780</v>
      </c>
      <c r="I5" s="112" t="s">
        <v>367</v>
      </c>
      <c r="J5" s="112" t="s">
        <v>78</v>
      </c>
      <c r="K5" s="112" t="s">
        <v>79</v>
      </c>
      <c r="L5" s="112" t="s">
        <v>80</v>
      </c>
      <c r="M5" s="112"/>
      <c r="N5" s="112" t="s">
        <v>776</v>
      </c>
      <c r="O5" s="112" t="s">
        <v>777</v>
      </c>
      <c r="P5" s="112" t="s">
        <v>189</v>
      </c>
      <c r="Q5" s="112" t="s">
        <v>83</v>
      </c>
      <c r="R5" s="112" t="s">
        <v>84</v>
      </c>
      <c r="S5" s="112" t="s">
        <v>121</v>
      </c>
      <c r="T5" s="112" t="s">
        <v>781</v>
      </c>
      <c r="U5" s="112" t="s">
        <v>227</v>
      </c>
    </row>
    <row r="6" customFormat="false" ht="57.45" hidden="false" customHeight="false" outlineLevel="0" collapsed="false">
      <c r="A6" s="111" t="s">
        <v>38</v>
      </c>
      <c r="B6" s="112" t="s">
        <v>39</v>
      </c>
      <c r="C6" s="112" t="s">
        <v>782</v>
      </c>
      <c r="D6" s="112" t="s">
        <v>758</v>
      </c>
      <c r="E6" s="112" t="s">
        <v>759</v>
      </c>
      <c r="F6" s="112" t="s">
        <v>783</v>
      </c>
      <c r="G6" s="112" t="s">
        <v>75</v>
      </c>
      <c r="H6" s="112" t="s">
        <v>784</v>
      </c>
      <c r="I6" s="112" t="s">
        <v>181</v>
      </c>
      <c r="J6" s="112" t="s">
        <v>78</v>
      </c>
      <c r="K6" s="112" t="s">
        <v>79</v>
      </c>
      <c r="L6" s="112" t="s">
        <v>80</v>
      </c>
      <c r="M6" s="112"/>
      <c r="N6" s="112" t="s">
        <v>785</v>
      </c>
      <c r="O6" s="112" t="s">
        <v>786</v>
      </c>
      <c r="P6" s="112" t="s">
        <v>189</v>
      </c>
      <c r="Q6" s="112" t="s">
        <v>83</v>
      </c>
      <c r="R6" s="112" t="s">
        <v>84</v>
      </c>
      <c r="S6" s="112" t="s">
        <v>121</v>
      </c>
      <c r="T6" s="112" t="s">
        <v>787</v>
      </c>
      <c r="U6" s="112" t="s">
        <v>772</v>
      </c>
    </row>
    <row r="7" customFormat="false" ht="180.55" hidden="false" customHeight="false" outlineLevel="0" collapsed="false">
      <c r="A7" s="111" t="s">
        <v>38</v>
      </c>
      <c r="B7" s="112" t="s">
        <v>39</v>
      </c>
      <c r="C7" s="112" t="s">
        <v>788</v>
      </c>
      <c r="D7" s="112" t="s">
        <v>758</v>
      </c>
      <c r="E7" s="112" t="s">
        <v>759</v>
      </c>
      <c r="F7" s="112" t="s">
        <v>789</v>
      </c>
      <c r="G7" s="112" t="s">
        <v>75</v>
      </c>
      <c r="H7" s="112" t="s">
        <v>790</v>
      </c>
      <c r="I7" s="112" t="s">
        <v>91</v>
      </c>
      <c r="J7" s="112" t="s">
        <v>78</v>
      </c>
      <c r="K7" s="112" t="s">
        <v>79</v>
      </c>
      <c r="L7" s="112" t="s">
        <v>80</v>
      </c>
      <c r="M7" s="112" t="s">
        <v>791</v>
      </c>
      <c r="N7" s="112" t="s">
        <v>792</v>
      </c>
      <c r="O7" s="112" t="s">
        <v>793</v>
      </c>
      <c r="P7" s="112" t="s">
        <v>189</v>
      </c>
      <c r="Q7" s="112" t="s">
        <v>83</v>
      </c>
      <c r="R7" s="112" t="s">
        <v>84</v>
      </c>
      <c r="S7" s="112" t="s">
        <v>121</v>
      </c>
      <c r="T7" s="112" t="s">
        <v>794</v>
      </c>
      <c r="U7" s="112" t="s">
        <v>795</v>
      </c>
    </row>
    <row r="8" customFormat="false" ht="202.95" hidden="false" customHeight="false" outlineLevel="0" collapsed="false">
      <c r="A8" s="111" t="s">
        <v>38</v>
      </c>
      <c r="B8" s="112" t="s">
        <v>39</v>
      </c>
      <c r="C8" s="112" t="s">
        <v>796</v>
      </c>
      <c r="D8" s="112" t="s">
        <v>758</v>
      </c>
      <c r="E8" s="112" t="s">
        <v>759</v>
      </c>
      <c r="F8" s="112" t="s">
        <v>797</v>
      </c>
      <c r="G8" s="112" t="s">
        <v>75</v>
      </c>
      <c r="H8" s="112" t="s">
        <v>798</v>
      </c>
      <c r="I8" s="112" t="s">
        <v>799</v>
      </c>
      <c r="J8" s="112" t="s">
        <v>78</v>
      </c>
      <c r="K8" s="112" t="s">
        <v>79</v>
      </c>
      <c r="L8" s="112" t="s">
        <v>80</v>
      </c>
      <c r="M8" s="112" t="s">
        <v>800</v>
      </c>
      <c r="N8" s="112" t="s">
        <v>801</v>
      </c>
      <c r="O8" s="112" t="s">
        <v>802</v>
      </c>
      <c r="P8" s="112" t="s">
        <v>189</v>
      </c>
      <c r="Q8" s="112" t="s">
        <v>83</v>
      </c>
      <c r="R8" s="112" t="s">
        <v>84</v>
      </c>
      <c r="S8" s="112" t="s">
        <v>121</v>
      </c>
      <c r="T8" s="112" t="s">
        <v>803</v>
      </c>
      <c r="U8" s="112" t="s">
        <v>804</v>
      </c>
    </row>
    <row r="9" customFormat="false" ht="202.95" hidden="false" customHeight="false" outlineLevel="0" collapsed="false">
      <c r="A9" s="111" t="s">
        <v>38</v>
      </c>
      <c r="B9" s="112" t="s">
        <v>39</v>
      </c>
      <c r="C9" s="112" t="s">
        <v>796</v>
      </c>
      <c r="D9" s="112" t="s">
        <v>758</v>
      </c>
      <c r="E9" s="112" t="s">
        <v>759</v>
      </c>
      <c r="F9" s="112" t="s">
        <v>805</v>
      </c>
      <c r="G9" s="112" t="s">
        <v>75</v>
      </c>
      <c r="H9" s="112" t="s">
        <v>806</v>
      </c>
      <c r="I9" s="112" t="s">
        <v>186</v>
      </c>
      <c r="J9" s="112" t="s">
        <v>807</v>
      </c>
      <c r="K9" s="112" t="s">
        <v>79</v>
      </c>
      <c r="L9" s="112" t="s">
        <v>80</v>
      </c>
      <c r="M9" s="112" t="s">
        <v>800</v>
      </c>
      <c r="N9" s="112" t="s">
        <v>801</v>
      </c>
      <c r="O9" s="112" t="s">
        <v>802</v>
      </c>
      <c r="P9" s="112" t="s">
        <v>189</v>
      </c>
      <c r="Q9" s="112" t="s">
        <v>83</v>
      </c>
      <c r="R9" s="112" t="s">
        <v>84</v>
      </c>
      <c r="S9" s="112" t="s">
        <v>121</v>
      </c>
      <c r="T9" s="112" t="s">
        <v>808</v>
      </c>
      <c r="U9" s="112" t="s">
        <v>804</v>
      </c>
    </row>
    <row r="10" customFormat="false" ht="57.45" hidden="false" customHeight="false" outlineLevel="0" collapsed="false">
      <c r="A10" s="111" t="s">
        <v>38</v>
      </c>
      <c r="B10" s="112" t="s">
        <v>39</v>
      </c>
      <c r="C10" s="112" t="s">
        <v>809</v>
      </c>
      <c r="D10" s="112" t="s">
        <v>758</v>
      </c>
      <c r="E10" s="112" t="s">
        <v>759</v>
      </c>
      <c r="F10" s="112" t="s">
        <v>810</v>
      </c>
      <c r="G10" s="112" t="s">
        <v>75</v>
      </c>
      <c r="H10" s="112" t="s">
        <v>811</v>
      </c>
      <c r="I10" s="112" t="s">
        <v>139</v>
      </c>
      <c r="J10" s="112" t="s">
        <v>78</v>
      </c>
      <c r="K10" s="112" t="s">
        <v>79</v>
      </c>
      <c r="L10" s="112" t="s">
        <v>80</v>
      </c>
      <c r="M10" s="112" t="s">
        <v>812</v>
      </c>
      <c r="N10" s="112" t="s">
        <v>813</v>
      </c>
      <c r="O10" s="112" t="s">
        <v>814</v>
      </c>
      <c r="P10" s="112" t="s">
        <v>189</v>
      </c>
      <c r="Q10" s="112" t="s">
        <v>83</v>
      </c>
      <c r="R10" s="112" t="s">
        <v>84</v>
      </c>
      <c r="S10" s="112" t="s">
        <v>121</v>
      </c>
      <c r="T10" s="112" t="s">
        <v>815</v>
      </c>
      <c r="U10" s="112" t="s">
        <v>316</v>
      </c>
    </row>
    <row r="11" customFormat="false" ht="57.45" hidden="false" customHeight="false" outlineLevel="0" collapsed="false">
      <c r="A11" s="111" t="s">
        <v>38</v>
      </c>
      <c r="B11" s="112" t="s">
        <v>39</v>
      </c>
      <c r="C11" s="112" t="s">
        <v>816</v>
      </c>
      <c r="D11" s="112" t="s">
        <v>758</v>
      </c>
      <c r="E11" s="112" t="s">
        <v>759</v>
      </c>
      <c r="F11" s="112" t="s">
        <v>817</v>
      </c>
      <c r="G11" s="112" t="s">
        <v>75</v>
      </c>
      <c r="H11" s="112" t="s">
        <v>818</v>
      </c>
      <c r="I11" s="112" t="s">
        <v>819</v>
      </c>
      <c r="J11" s="112" t="s">
        <v>78</v>
      </c>
      <c r="K11" s="112" t="s">
        <v>79</v>
      </c>
      <c r="L11" s="112" t="s">
        <v>601</v>
      </c>
      <c r="M11" s="112" t="s">
        <v>820</v>
      </c>
      <c r="N11" s="112" t="s">
        <v>821</v>
      </c>
      <c r="O11" s="112" t="s">
        <v>822</v>
      </c>
      <c r="P11" s="112" t="s">
        <v>189</v>
      </c>
      <c r="Q11" s="112" t="s">
        <v>83</v>
      </c>
      <c r="R11" s="112" t="s">
        <v>84</v>
      </c>
      <c r="S11" s="112" t="s">
        <v>121</v>
      </c>
      <c r="T11" s="112" t="s">
        <v>823</v>
      </c>
      <c r="U11" s="112" t="s">
        <v>300</v>
      </c>
    </row>
    <row r="12" customFormat="false" ht="57.45" hidden="false" customHeight="false" outlineLevel="0" collapsed="false">
      <c r="A12" s="111" t="s">
        <v>38</v>
      </c>
      <c r="B12" s="112" t="s">
        <v>39</v>
      </c>
      <c r="C12" s="112" t="s">
        <v>816</v>
      </c>
      <c r="D12" s="112" t="s">
        <v>758</v>
      </c>
      <c r="E12" s="112" t="s">
        <v>759</v>
      </c>
      <c r="F12" s="112" t="s">
        <v>824</v>
      </c>
      <c r="G12" s="112" t="s">
        <v>75</v>
      </c>
      <c r="H12" s="112" t="s">
        <v>825</v>
      </c>
      <c r="I12" s="112" t="s">
        <v>826</v>
      </c>
      <c r="J12" s="112" t="s">
        <v>78</v>
      </c>
      <c r="K12" s="112" t="s">
        <v>79</v>
      </c>
      <c r="L12" s="112" t="s">
        <v>173</v>
      </c>
      <c r="M12" s="112" t="s">
        <v>820</v>
      </c>
      <c r="N12" s="112" t="s">
        <v>821</v>
      </c>
      <c r="O12" s="112" t="s">
        <v>822</v>
      </c>
      <c r="P12" s="112" t="s">
        <v>189</v>
      </c>
      <c r="Q12" s="112" t="s">
        <v>83</v>
      </c>
      <c r="R12" s="112" t="s">
        <v>84</v>
      </c>
      <c r="S12" s="112" t="s">
        <v>121</v>
      </c>
      <c r="T12" s="112" t="s">
        <v>827</v>
      </c>
      <c r="U12" s="112" t="s">
        <v>300</v>
      </c>
    </row>
    <row r="13" customFormat="false" ht="57.45" hidden="false" customHeight="false" outlineLevel="0" collapsed="false">
      <c r="A13" s="111" t="s">
        <v>38</v>
      </c>
      <c r="B13" s="112" t="s">
        <v>39</v>
      </c>
      <c r="C13" s="112" t="s">
        <v>816</v>
      </c>
      <c r="D13" s="112" t="s">
        <v>758</v>
      </c>
      <c r="E13" s="112" t="s">
        <v>759</v>
      </c>
      <c r="F13" s="112" t="s">
        <v>828</v>
      </c>
      <c r="G13" s="112" t="s">
        <v>75</v>
      </c>
      <c r="H13" s="112" t="s">
        <v>829</v>
      </c>
      <c r="I13" s="112" t="s">
        <v>127</v>
      </c>
      <c r="J13" s="112" t="s">
        <v>78</v>
      </c>
      <c r="K13" s="112" t="s">
        <v>79</v>
      </c>
      <c r="L13" s="112" t="s">
        <v>173</v>
      </c>
      <c r="M13" s="112" t="s">
        <v>820</v>
      </c>
      <c r="N13" s="112" t="s">
        <v>821</v>
      </c>
      <c r="O13" s="112" t="s">
        <v>822</v>
      </c>
      <c r="P13" s="112" t="s">
        <v>189</v>
      </c>
      <c r="Q13" s="112" t="s">
        <v>83</v>
      </c>
      <c r="R13" s="112" t="s">
        <v>84</v>
      </c>
      <c r="S13" s="112" t="s">
        <v>121</v>
      </c>
      <c r="T13" s="112" t="s">
        <v>830</v>
      </c>
      <c r="U13" s="112" t="s">
        <v>300</v>
      </c>
    </row>
    <row r="14" customFormat="false" ht="79.85" hidden="false" customHeight="false" outlineLevel="0" collapsed="false">
      <c r="A14" s="111" t="s">
        <v>38</v>
      </c>
      <c r="B14" s="112" t="s">
        <v>39</v>
      </c>
      <c r="C14" s="112" t="s">
        <v>831</v>
      </c>
      <c r="D14" s="112" t="s">
        <v>758</v>
      </c>
      <c r="E14" s="112" t="s">
        <v>759</v>
      </c>
      <c r="F14" s="112" t="s">
        <v>832</v>
      </c>
      <c r="G14" s="112" t="s">
        <v>75</v>
      </c>
      <c r="H14" s="112" t="s">
        <v>833</v>
      </c>
      <c r="I14" s="112" t="s">
        <v>186</v>
      </c>
      <c r="J14" s="112" t="s">
        <v>78</v>
      </c>
      <c r="K14" s="112" t="s">
        <v>79</v>
      </c>
      <c r="L14" s="112" t="s">
        <v>80</v>
      </c>
      <c r="M14" s="112" t="s">
        <v>834</v>
      </c>
      <c r="N14" s="112" t="s">
        <v>835</v>
      </c>
      <c r="O14" s="112" t="s">
        <v>836</v>
      </c>
      <c r="P14" s="112" t="s">
        <v>189</v>
      </c>
      <c r="Q14" s="112" t="s">
        <v>837</v>
      </c>
      <c r="R14" s="112" t="s">
        <v>84</v>
      </c>
      <c r="S14" s="112" t="s">
        <v>121</v>
      </c>
      <c r="T14" s="112" t="s">
        <v>838</v>
      </c>
      <c r="U14" s="112" t="s">
        <v>839</v>
      </c>
    </row>
    <row r="15" customFormat="false" ht="102.2" hidden="false" customHeight="false" outlineLevel="0" collapsed="false">
      <c r="A15" s="111" t="s">
        <v>38</v>
      </c>
      <c r="B15" s="112" t="s">
        <v>39</v>
      </c>
      <c r="C15" s="112" t="s">
        <v>840</v>
      </c>
      <c r="D15" s="112" t="s">
        <v>758</v>
      </c>
      <c r="E15" s="112" t="s">
        <v>759</v>
      </c>
      <c r="F15" s="112" t="s">
        <v>841</v>
      </c>
      <c r="G15" s="112" t="s">
        <v>75</v>
      </c>
      <c r="H15" s="112" t="s">
        <v>842</v>
      </c>
      <c r="I15" s="112" t="s">
        <v>78</v>
      </c>
      <c r="J15" s="112" t="s">
        <v>78</v>
      </c>
      <c r="K15" s="112" t="s">
        <v>78</v>
      </c>
      <c r="L15" s="112" t="s">
        <v>78</v>
      </c>
      <c r="M15" s="112" t="s">
        <v>843</v>
      </c>
      <c r="N15" s="112" t="s">
        <v>844</v>
      </c>
      <c r="O15" s="112" t="s">
        <v>845</v>
      </c>
      <c r="P15" s="112" t="s">
        <v>189</v>
      </c>
      <c r="Q15" s="112" t="s">
        <v>83</v>
      </c>
      <c r="R15" s="112" t="s">
        <v>84</v>
      </c>
      <c r="S15" s="112" t="s">
        <v>95</v>
      </c>
      <c r="T15" s="112" t="s">
        <v>200</v>
      </c>
      <c r="U15" s="112" t="s">
        <v>201</v>
      </c>
    </row>
    <row r="16" customFormat="false" ht="57.45" hidden="false" customHeight="false" outlineLevel="0" collapsed="false">
      <c r="A16" s="111" t="s">
        <v>38</v>
      </c>
      <c r="B16" s="112" t="s">
        <v>39</v>
      </c>
      <c r="C16" s="112" t="s">
        <v>1292</v>
      </c>
      <c r="D16" s="112" t="s">
        <v>1293</v>
      </c>
      <c r="E16" s="112" t="s">
        <v>1294</v>
      </c>
      <c r="F16" s="112" t="s">
        <v>1295</v>
      </c>
      <c r="G16" s="112" t="s">
        <v>1027</v>
      </c>
      <c r="H16" s="112" t="s">
        <v>1296</v>
      </c>
      <c r="I16" s="112" t="s">
        <v>1019</v>
      </c>
      <c r="J16" s="112" t="s">
        <v>78</v>
      </c>
      <c r="K16" s="112" t="s">
        <v>78</v>
      </c>
      <c r="L16" s="112" t="s">
        <v>78</v>
      </c>
      <c r="M16" s="112"/>
      <c r="N16" s="112" t="s">
        <v>1297</v>
      </c>
      <c r="O16" s="112" t="s">
        <v>1298</v>
      </c>
      <c r="P16" s="112" t="s">
        <v>189</v>
      </c>
      <c r="Q16" s="112" t="s">
        <v>1299</v>
      </c>
      <c r="R16" s="112" t="s">
        <v>84</v>
      </c>
      <c r="S16" s="112" t="s">
        <v>121</v>
      </c>
      <c r="T16" s="112" t="s">
        <v>1300</v>
      </c>
      <c r="U16" s="112" t="s">
        <v>235</v>
      </c>
    </row>
    <row r="17" customFormat="false" ht="57.45" hidden="false" customHeight="false" outlineLevel="0" collapsed="false">
      <c r="A17" s="111" t="s">
        <v>38</v>
      </c>
      <c r="B17" s="112" t="s">
        <v>39</v>
      </c>
      <c r="C17" s="112" t="s">
        <v>1292</v>
      </c>
      <c r="D17" s="112" t="s">
        <v>1293</v>
      </c>
      <c r="E17" s="112" t="s">
        <v>1294</v>
      </c>
      <c r="F17" s="112" t="s">
        <v>1301</v>
      </c>
      <c r="G17" s="112" t="s">
        <v>1027</v>
      </c>
      <c r="H17" s="112" t="s">
        <v>1302</v>
      </c>
      <c r="I17" s="112" t="s">
        <v>1019</v>
      </c>
      <c r="J17" s="112" t="s">
        <v>78</v>
      </c>
      <c r="K17" s="112" t="s">
        <v>78</v>
      </c>
      <c r="L17" s="112" t="s">
        <v>1021</v>
      </c>
      <c r="M17" s="112"/>
      <c r="N17" s="112" t="s">
        <v>1297</v>
      </c>
      <c r="O17" s="112" t="s">
        <v>1298</v>
      </c>
      <c r="P17" s="112" t="s">
        <v>189</v>
      </c>
      <c r="Q17" s="112" t="s">
        <v>1299</v>
      </c>
      <c r="R17" s="112" t="s">
        <v>84</v>
      </c>
      <c r="S17" s="112" t="s">
        <v>121</v>
      </c>
      <c r="T17" s="112" t="s">
        <v>1303</v>
      </c>
      <c r="U17" s="112" t="s">
        <v>235</v>
      </c>
    </row>
    <row r="18" customFormat="false" ht="91" hidden="false" customHeight="false" outlineLevel="0" collapsed="false">
      <c r="A18" s="111" t="s">
        <v>38</v>
      </c>
      <c r="B18" s="112" t="s">
        <v>39</v>
      </c>
      <c r="C18" s="112" t="s">
        <v>1304</v>
      </c>
      <c r="D18" s="112" t="s">
        <v>1293</v>
      </c>
      <c r="E18" s="112" t="s">
        <v>1294</v>
      </c>
      <c r="F18" s="112" t="s">
        <v>1305</v>
      </c>
      <c r="G18" s="112" t="s">
        <v>1027</v>
      </c>
      <c r="H18" s="112" t="s">
        <v>1306</v>
      </c>
      <c r="I18" s="112" t="s">
        <v>1160</v>
      </c>
      <c r="J18" s="112" t="s">
        <v>78</v>
      </c>
      <c r="K18" s="112" t="s">
        <v>78</v>
      </c>
      <c r="L18" s="112" t="s">
        <v>1058</v>
      </c>
      <c r="M18" s="112"/>
      <c r="N18" s="112" t="s">
        <v>1307</v>
      </c>
      <c r="O18" s="112" t="s">
        <v>1308</v>
      </c>
      <c r="P18" s="112" t="s">
        <v>189</v>
      </c>
      <c r="Q18" s="112" t="s">
        <v>1309</v>
      </c>
      <c r="R18" s="112" t="s">
        <v>84</v>
      </c>
      <c r="S18" s="112" t="s">
        <v>121</v>
      </c>
      <c r="T18" s="112" t="s">
        <v>1310</v>
      </c>
      <c r="U18" s="112" t="s">
        <v>1311</v>
      </c>
    </row>
    <row r="19" customFormat="false" ht="91" hidden="false" customHeight="false" outlineLevel="0" collapsed="false">
      <c r="A19" s="111" t="s">
        <v>38</v>
      </c>
      <c r="B19" s="112" t="s">
        <v>39</v>
      </c>
      <c r="C19" s="112" t="s">
        <v>757</v>
      </c>
      <c r="D19" s="112" t="s">
        <v>1293</v>
      </c>
      <c r="E19" s="112" t="s">
        <v>1294</v>
      </c>
      <c r="F19" s="112" t="s">
        <v>1312</v>
      </c>
      <c r="G19" s="112" t="s">
        <v>1027</v>
      </c>
      <c r="H19" s="112" t="s">
        <v>761</v>
      </c>
      <c r="I19" s="112" t="s">
        <v>1160</v>
      </c>
      <c r="J19" s="112" t="s">
        <v>78</v>
      </c>
      <c r="K19" s="112" t="s">
        <v>78</v>
      </c>
      <c r="L19" s="112" t="s">
        <v>1058</v>
      </c>
      <c r="M19" s="112"/>
      <c r="N19" s="112" t="s">
        <v>762</v>
      </c>
      <c r="O19" s="112" t="s">
        <v>763</v>
      </c>
      <c r="P19" s="112" t="s">
        <v>189</v>
      </c>
      <c r="Q19" s="112" t="s">
        <v>83</v>
      </c>
      <c r="R19" s="112" t="s">
        <v>84</v>
      </c>
      <c r="S19" s="112" t="s">
        <v>121</v>
      </c>
      <c r="T19" s="112" t="s">
        <v>764</v>
      </c>
      <c r="U19" s="112" t="s">
        <v>765</v>
      </c>
    </row>
    <row r="20" customFormat="false" ht="57.45" hidden="false" customHeight="false" outlineLevel="0" collapsed="false">
      <c r="A20" s="111" t="s">
        <v>38</v>
      </c>
      <c r="B20" s="112" t="s">
        <v>39</v>
      </c>
      <c r="C20" s="112" t="s">
        <v>773</v>
      </c>
      <c r="D20" s="112" t="s">
        <v>1293</v>
      </c>
      <c r="E20" s="112" t="s">
        <v>1294</v>
      </c>
      <c r="F20" s="112" t="s">
        <v>1313</v>
      </c>
      <c r="G20" s="112" t="s">
        <v>1027</v>
      </c>
      <c r="H20" s="112" t="s">
        <v>1314</v>
      </c>
      <c r="I20" s="112" t="s">
        <v>1019</v>
      </c>
      <c r="J20" s="112" t="s">
        <v>78</v>
      </c>
      <c r="K20" s="112" t="s">
        <v>78</v>
      </c>
      <c r="L20" s="112" t="s">
        <v>1315</v>
      </c>
      <c r="M20" s="112"/>
      <c r="N20" s="112" t="s">
        <v>769</v>
      </c>
      <c r="O20" s="112" t="s">
        <v>1316</v>
      </c>
      <c r="P20" s="112" t="s">
        <v>189</v>
      </c>
      <c r="Q20" s="112" t="s">
        <v>83</v>
      </c>
      <c r="R20" s="112" t="s">
        <v>84</v>
      </c>
      <c r="S20" s="112" t="s">
        <v>121</v>
      </c>
      <c r="T20" s="112" t="s">
        <v>1317</v>
      </c>
      <c r="U20" s="112" t="s">
        <v>227</v>
      </c>
    </row>
    <row r="21" customFormat="false" ht="102.2" hidden="false" customHeight="false" outlineLevel="0" collapsed="false">
      <c r="A21" s="111" t="s">
        <v>38</v>
      </c>
      <c r="B21" s="112" t="s">
        <v>39</v>
      </c>
      <c r="C21" s="112" t="s">
        <v>1318</v>
      </c>
      <c r="D21" s="112" t="s">
        <v>1293</v>
      </c>
      <c r="E21" s="112" t="s">
        <v>1294</v>
      </c>
      <c r="F21" s="112" t="s">
        <v>1319</v>
      </c>
      <c r="G21" s="112" t="s">
        <v>1027</v>
      </c>
      <c r="H21" s="112" t="s">
        <v>1320</v>
      </c>
      <c r="I21" s="112" t="s">
        <v>1160</v>
      </c>
      <c r="J21" s="112" t="s">
        <v>78</v>
      </c>
      <c r="K21" s="112" t="s">
        <v>78</v>
      </c>
      <c r="L21" s="112" t="s">
        <v>1115</v>
      </c>
      <c r="M21" s="112"/>
      <c r="N21" s="112" t="s">
        <v>1321</v>
      </c>
      <c r="O21" s="112" t="s">
        <v>1322</v>
      </c>
      <c r="P21" s="112" t="s">
        <v>189</v>
      </c>
      <c r="Q21" s="112" t="s">
        <v>83</v>
      </c>
      <c r="R21" s="112" t="s">
        <v>84</v>
      </c>
      <c r="S21" s="112" t="s">
        <v>121</v>
      </c>
      <c r="T21" s="112" t="s">
        <v>1323</v>
      </c>
      <c r="U21" s="112" t="s">
        <v>522</v>
      </c>
    </row>
    <row r="22" customFormat="false" ht="79.85" hidden="false" customHeight="false" outlineLevel="0" collapsed="false">
      <c r="A22" s="111" t="s">
        <v>38</v>
      </c>
      <c r="B22" s="112" t="s">
        <v>39</v>
      </c>
      <c r="C22" s="112" t="s">
        <v>1324</v>
      </c>
      <c r="D22" s="112" t="s">
        <v>1293</v>
      </c>
      <c r="E22" s="112" t="s">
        <v>1294</v>
      </c>
      <c r="F22" s="112" t="s">
        <v>1325</v>
      </c>
      <c r="G22" s="112" t="s">
        <v>1027</v>
      </c>
      <c r="H22" s="112" t="s">
        <v>1326</v>
      </c>
      <c r="I22" s="112" t="s">
        <v>1160</v>
      </c>
      <c r="J22" s="112" t="s">
        <v>1327</v>
      </c>
      <c r="K22" s="112" t="s">
        <v>78</v>
      </c>
      <c r="L22" s="112" t="s">
        <v>1058</v>
      </c>
      <c r="M22" s="112"/>
      <c r="N22" s="112" t="s">
        <v>1328</v>
      </c>
      <c r="O22" s="112" t="s">
        <v>1329</v>
      </c>
      <c r="P22" s="112" t="s">
        <v>189</v>
      </c>
      <c r="Q22" s="112" t="s">
        <v>1330</v>
      </c>
      <c r="R22" s="112" t="s">
        <v>84</v>
      </c>
      <c r="S22" s="112" t="s">
        <v>121</v>
      </c>
      <c r="T22" s="112" t="s">
        <v>1331</v>
      </c>
      <c r="U22" s="112" t="s">
        <v>446</v>
      </c>
    </row>
    <row r="23" customFormat="false" ht="202.95" hidden="false" customHeight="false" outlineLevel="0" collapsed="false">
      <c r="A23" s="111" t="s">
        <v>38</v>
      </c>
      <c r="B23" s="112" t="s">
        <v>39</v>
      </c>
      <c r="C23" s="112" t="s">
        <v>796</v>
      </c>
      <c r="D23" s="112" t="s">
        <v>1293</v>
      </c>
      <c r="E23" s="112" t="s">
        <v>1332</v>
      </c>
      <c r="F23" s="112" t="s">
        <v>1333</v>
      </c>
      <c r="G23" s="112" t="s">
        <v>1027</v>
      </c>
      <c r="H23" s="112" t="s">
        <v>1334</v>
      </c>
      <c r="I23" s="112" t="s">
        <v>1057</v>
      </c>
      <c r="J23" s="112" t="s">
        <v>1335</v>
      </c>
      <c r="K23" s="112" t="s">
        <v>1336</v>
      </c>
      <c r="L23" s="112" t="s">
        <v>1058</v>
      </c>
      <c r="M23" s="112" t="s">
        <v>800</v>
      </c>
      <c r="N23" s="112" t="s">
        <v>1337</v>
      </c>
      <c r="O23" s="112" t="s">
        <v>1338</v>
      </c>
      <c r="P23" s="112" t="s">
        <v>189</v>
      </c>
      <c r="Q23" s="112" t="s">
        <v>83</v>
      </c>
      <c r="R23" s="112" t="s">
        <v>84</v>
      </c>
      <c r="S23" s="112" t="s">
        <v>121</v>
      </c>
      <c r="T23" s="112" t="s">
        <v>1339</v>
      </c>
      <c r="U23" s="112" t="s">
        <v>1340</v>
      </c>
    </row>
    <row r="24" customFormat="false" ht="202.95" hidden="false" customHeight="false" outlineLevel="0" collapsed="false">
      <c r="A24" s="111" t="s">
        <v>38</v>
      </c>
      <c r="B24" s="112" t="s">
        <v>39</v>
      </c>
      <c r="C24" s="112" t="s">
        <v>796</v>
      </c>
      <c r="D24" s="112" t="s">
        <v>1293</v>
      </c>
      <c r="E24" s="112" t="s">
        <v>1332</v>
      </c>
      <c r="F24" s="112" t="s">
        <v>1341</v>
      </c>
      <c r="G24" s="112" t="s">
        <v>1027</v>
      </c>
      <c r="H24" s="112" t="s">
        <v>1342</v>
      </c>
      <c r="I24" s="112" t="s">
        <v>1045</v>
      </c>
      <c r="J24" s="112" t="s">
        <v>78</v>
      </c>
      <c r="K24" s="112" t="s">
        <v>1343</v>
      </c>
      <c r="L24" s="112" t="s">
        <v>1344</v>
      </c>
      <c r="M24" s="112" t="s">
        <v>800</v>
      </c>
      <c r="N24" s="112" t="s">
        <v>1337</v>
      </c>
      <c r="O24" s="112" t="s">
        <v>1338</v>
      </c>
      <c r="P24" s="112" t="s">
        <v>189</v>
      </c>
      <c r="Q24" s="112" t="s">
        <v>83</v>
      </c>
      <c r="R24" s="112" t="s">
        <v>84</v>
      </c>
      <c r="S24" s="112" t="s">
        <v>95</v>
      </c>
      <c r="T24" s="112" t="s">
        <v>1345</v>
      </c>
      <c r="U24" s="112" t="s">
        <v>1340</v>
      </c>
    </row>
    <row r="25" customFormat="false" ht="113.4" hidden="false" customHeight="false" outlineLevel="0" collapsed="false">
      <c r="A25" s="111" t="s">
        <v>38</v>
      </c>
      <c r="B25" s="112" t="s">
        <v>39</v>
      </c>
      <c r="C25" s="112" t="s">
        <v>840</v>
      </c>
      <c r="D25" s="112" t="s">
        <v>1293</v>
      </c>
      <c r="E25" s="112" t="s">
        <v>1294</v>
      </c>
      <c r="F25" s="112" t="s">
        <v>1346</v>
      </c>
      <c r="G25" s="112" t="s">
        <v>1027</v>
      </c>
      <c r="H25" s="112" t="s">
        <v>1347</v>
      </c>
      <c r="I25" s="112" t="s">
        <v>1019</v>
      </c>
      <c r="J25" s="112" t="s">
        <v>78</v>
      </c>
      <c r="K25" s="112" t="s">
        <v>78</v>
      </c>
      <c r="L25" s="112" t="s">
        <v>78</v>
      </c>
      <c r="M25" s="112" t="s">
        <v>843</v>
      </c>
      <c r="N25" s="112" t="s">
        <v>1348</v>
      </c>
      <c r="O25" s="112" t="s">
        <v>1349</v>
      </c>
      <c r="P25" s="112" t="s">
        <v>189</v>
      </c>
      <c r="Q25" s="112" t="s">
        <v>83</v>
      </c>
      <c r="R25" s="112" t="s">
        <v>84</v>
      </c>
      <c r="S25" s="112" t="s">
        <v>121</v>
      </c>
      <c r="T25" s="112" t="s">
        <v>1350</v>
      </c>
      <c r="U25" s="112" t="s">
        <v>1351</v>
      </c>
    </row>
    <row r="26" customFormat="false" ht="57.45" hidden="false" customHeight="false" outlineLevel="0" collapsed="false">
      <c r="A26" s="111" t="s">
        <v>38</v>
      </c>
      <c r="B26" s="112" t="s">
        <v>39</v>
      </c>
      <c r="C26" s="112" t="s">
        <v>809</v>
      </c>
      <c r="D26" s="112" t="s">
        <v>1293</v>
      </c>
      <c r="E26" s="112" t="s">
        <v>1332</v>
      </c>
      <c r="F26" s="112" t="s">
        <v>1352</v>
      </c>
      <c r="G26" s="112" t="s">
        <v>1027</v>
      </c>
      <c r="H26" s="112" t="s">
        <v>1353</v>
      </c>
      <c r="I26" s="112" t="s">
        <v>1354</v>
      </c>
      <c r="J26" s="112" t="s">
        <v>78</v>
      </c>
      <c r="K26" s="112" t="s">
        <v>78</v>
      </c>
      <c r="L26" s="112" t="s">
        <v>1058</v>
      </c>
      <c r="M26" s="112" t="s">
        <v>812</v>
      </c>
      <c r="N26" s="112" t="s">
        <v>813</v>
      </c>
      <c r="O26" s="112" t="s">
        <v>814</v>
      </c>
      <c r="P26" s="112" t="s">
        <v>189</v>
      </c>
      <c r="Q26" s="112" t="s">
        <v>83</v>
      </c>
      <c r="R26" s="112" t="s">
        <v>84</v>
      </c>
      <c r="S26" s="112" t="s">
        <v>121</v>
      </c>
      <c r="T26" s="112" t="s">
        <v>1355</v>
      </c>
      <c r="U26" s="112" t="s">
        <v>316</v>
      </c>
    </row>
    <row r="27" customFormat="false" ht="57.45" hidden="false" customHeight="false" outlineLevel="0" collapsed="false">
      <c r="A27" s="111" t="s">
        <v>38</v>
      </c>
      <c r="B27" s="112" t="s">
        <v>39</v>
      </c>
      <c r="C27" s="112" t="s">
        <v>809</v>
      </c>
      <c r="D27" s="112" t="s">
        <v>1293</v>
      </c>
      <c r="E27" s="112" t="s">
        <v>1294</v>
      </c>
      <c r="F27" s="112" t="s">
        <v>1356</v>
      </c>
      <c r="G27" s="112" t="s">
        <v>1027</v>
      </c>
      <c r="H27" s="112" t="s">
        <v>1357</v>
      </c>
      <c r="I27" s="112" t="s">
        <v>1057</v>
      </c>
      <c r="J27" s="112" t="s">
        <v>78</v>
      </c>
      <c r="K27" s="112" t="s">
        <v>1358</v>
      </c>
      <c r="L27" s="112" t="s">
        <v>1058</v>
      </c>
      <c r="M27" s="112" t="s">
        <v>812</v>
      </c>
      <c r="N27" s="112" t="s">
        <v>813</v>
      </c>
      <c r="O27" s="112" t="s">
        <v>814</v>
      </c>
      <c r="P27" s="112" t="s">
        <v>189</v>
      </c>
      <c r="Q27" s="112" t="s">
        <v>83</v>
      </c>
      <c r="R27" s="112" t="s">
        <v>84</v>
      </c>
      <c r="S27" s="112" t="s">
        <v>121</v>
      </c>
      <c r="T27" s="112" t="s">
        <v>1359</v>
      </c>
      <c r="U27" s="112" t="s">
        <v>316</v>
      </c>
    </row>
    <row r="28" customFormat="false" ht="57.45" hidden="false" customHeight="false" outlineLevel="0" collapsed="false">
      <c r="A28" s="111" t="s">
        <v>38</v>
      </c>
      <c r="B28" s="112" t="s">
        <v>39</v>
      </c>
      <c r="C28" s="112" t="s">
        <v>809</v>
      </c>
      <c r="D28" s="112" t="s">
        <v>1293</v>
      </c>
      <c r="E28" s="112" t="s">
        <v>1294</v>
      </c>
      <c r="F28" s="112" t="s">
        <v>1360</v>
      </c>
      <c r="G28" s="112" t="s">
        <v>1027</v>
      </c>
      <c r="H28" s="112" t="s">
        <v>1361</v>
      </c>
      <c r="I28" s="112" t="s">
        <v>1160</v>
      </c>
      <c r="J28" s="112" t="s">
        <v>78</v>
      </c>
      <c r="K28" s="112" t="s">
        <v>78</v>
      </c>
      <c r="L28" s="112" t="s">
        <v>1058</v>
      </c>
      <c r="M28" s="112" t="s">
        <v>812</v>
      </c>
      <c r="N28" s="112" t="s">
        <v>813</v>
      </c>
      <c r="O28" s="112" t="s">
        <v>814</v>
      </c>
      <c r="P28" s="112" t="s">
        <v>189</v>
      </c>
      <c r="Q28" s="112" t="s">
        <v>83</v>
      </c>
      <c r="R28" s="112" t="s">
        <v>84</v>
      </c>
      <c r="S28" s="112" t="s">
        <v>121</v>
      </c>
      <c r="T28" s="112" t="s">
        <v>1362</v>
      </c>
      <c r="U28" s="112" t="s">
        <v>316</v>
      </c>
    </row>
    <row r="29" customFormat="false" ht="57.45" hidden="false" customHeight="false" outlineLevel="0" collapsed="false">
      <c r="A29" s="111" t="s">
        <v>38</v>
      </c>
      <c r="B29" s="112" t="s">
        <v>39</v>
      </c>
      <c r="C29" s="112" t="s">
        <v>816</v>
      </c>
      <c r="D29" s="112" t="s">
        <v>1293</v>
      </c>
      <c r="E29" s="112" t="s">
        <v>1294</v>
      </c>
      <c r="F29" s="112" t="s">
        <v>1363</v>
      </c>
      <c r="G29" s="112" t="s">
        <v>1027</v>
      </c>
      <c r="H29" s="112" t="s">
        <v>829</v>
      </c>
      <c r="I29" s="112" t="s">
        <v>1019</v>
      </c>
      <c r="J29" s="112" t="s">
        <v>78</v>
      </c>
      <c r="K29" s="112" t="s">
        <v>1364</v>
      </c>
      <c r="L29" s="112" t="s">
        <v>1074</v>
      </c>
      <c r="M29" s="112" t="s">
        <v>820</v>
      </c>
      <c r="N29" s="112" t="s">
        <v>821</v>
      </c>
      <c r="O29" s="112" t="s">
        <v>822</v>
      </c>
      <c r="P29" s="112" t="s">
        <v>189</v>
      </c>
      <c r="Q29" s="112" t="s">
        <v>83</v>
      </c>
      <c r="R29" s="112" t="s">
        <v>84</v>
      </c>
      <c r="S29" s="112" t="s">
        <v>121</v>
      </c>
      <c r="T29" s="112" t="s">
        <v>830</v>
      </c>
      <c r="U29" s="112" t="s">
        <v>300</v>
      </c>
    </row>
    <row r="30" customFormat="false" ht="57.45" hidden="false" customHeight="false" outlineLevel="0" collapsed="false">
      <c r="A30" s="111" t="s">
        <v>38</v>
      </c>
      <c r="B30" s="112" t="s">
        <v>39</v>
      </c>
      <c r="C30" s="112" t="s">
        <v>816</v>
      </c>
      <c r="D30" s="112" t="s">
        <v>1293</v>
      </c>
      <c r="E30" s="112" t="s">
        <v>1332</v>
      </c>
      <c r="F30" s="112" t="s">
        <v>1365</v>
      </c>
      <c r="G30" s="112" t="s">
        <v>1027</v>
      </c>
      <c r="H30" s="112" t="s">
        <v>1366</v>
      </c>
      <c r="I30" s="112" t="s">
        <v>1057</v>
      </c>
      <c r="J30" s="112" t="s">
        <v>78</v>
      </c>
      <c r="K30" s="112" t="s">
        <v>78</v>
      </c>
      <c r="L30" s="112" t="s">
        <v>1058</v>
      </c>
      <c r="M30" s="112" t="s">
        <v>820</v>
      </c>
      <c r="N30" s="112" t="s">
        <v>821</v>
      </c>
      <c r="O30" s="112" t="s">
        <v>822</v>
      </c>
      <c r="P30" s="112" t="s">
        <v>189</v>
      </c>
      <c r="Q30" s="112" t="s">
        <v>83</v>
      </c>
      <c r="R30" s="112" t="s">
        <v>84</v>
      </c>
      <c r="S30" s="112" t="s">
        <v>121</v>
      </c>
      <c r="T30" s="112" t="s">
        <v>1367</v>
      </c>
      <c r="U30" s="112" t="s">
        <v>300</v>
      </c>
    </row>
    <row r="31" customFormat="false" ht="68.65" hidden="false" customHeight="false" outlineLevel="0" collapsed="false">
      <c r="A31" s="111" t="s">
        <v>38</v>
      </c>
      <c r="B31" s="112" t="s">
        <v>39</v>
      </c>
      <c r="C31" s="112" t="s">
        <v>831</v>
      </c>
      <c r="D31" s="112" t="s">
        <v>1293</v>
      </c>
      <c r="E31" s="112" t="s">
        <v>1294</v>
      </c>
      <c r="F31" s="112" t="s">
        <v>1368</v>
      </c>
      <c r="G31" s="112" t="s">
        <v>1017</v>
      </c>
      <c r="H31" s="112" t="s">
        <v>1369</v>
      </c>
      <c r="I31" s="112" t="s">
        <v>1019</v>
      </c>
      <c r="J31" s="112" t="s">
        <v>78</v>
      </c>
      <c r="K31" s="112" t="s">
        <v>1256</v>
      </c>
      <c r="L31" s="112" t="s">
        <v>78</v>
      </c>
      <c r="M31" s="112" t="s">
        <v>834</v>
      </c>
      <c r="N31" s="112" t="s">
        <v>1370</v>
      </c>
      <c r="O31" s="112" t="s">
        <v>1371</v>
      </c>
      <c r="P31" s="112" t="s">
        <v>189</v>
      </c>
      <c r="Q31" s="112" t="s">
        <v>837</v>
      </c>
      <c r="R31" s="112" t="s">
        <v>84</v>
      </c>
      <c r="S31" s="112" t="s">
        <v>121</v>
      </c>
      <c r="T31" s="112" t="s">
        <v>1372</v>
      </c>
      <c r="U31" s="112" t="s">
        <v>123</v>
      </c>
    </row>
    <row r="32" customFormat="false" ht="57.45" hidden="false" customHeight="false" outlineLevel="0" collapsed="false">
      <c r="A32" s="111" t="s">
        <v>38</v>
      </c>
      <c r="B32" s="112" t="s">
        <v>39</v>
      </c>
      <c r="C32" s="112" t="s">
        <v>1373</v>
      </c>
      <c r="D32" s="112" t="s">
        <v>1293</v>
      </c>
      <c r="E32" s="112" t="s">
        <v>1294</v>
      </c>
      <c r="F32" s="112" t="s">
        <v>1374</v>
      </c>
      <c r="G32" s="112" t="s">
        <v>1072</v>
      </c>
      <c r="H32" s="112" t="s">
        <v>1375</v>
      </c>
      <c r="I32" s="112" t="s">
        <v>1068</v>
      </c>
      <c r="J32" s="112" t="s">
        <v>78</v>
      </c>
      <c r="K32" s="112" t="s">
        <v>78</v>
      </c>
      <c r="L32" s="112" t="s">
        <v>1058</v>
      </c>
      <c r="M32" s="112" t="s">
        <v>1376</v>
      </c>
      <c r="N32" s="112" t="s">
        <v>1377</v>
      </c>
      <c r="O32" s="112" t="s">
        <v>1378</v>
      </c>
      <c r="P32" s="112" t="s">
        <v>189</v>
      </c>
      <c r="Q32" s="112" t="s">
        <v>83</v>
      </c>
      <c r="R32" s="112" t="s">
        <v>84</v>
      </c>
      <c r="S32" s="112" t="s">
        <v>121</v>
      </c>
      <c r="T32" s="112" t="s">
        <v>1379</v>
      </c>
      <c r="U32" s="112" t="s">
        <v>191</v>
      </c>
    </row>
    <row r="33" customFormat="false" ht="57.45" hidden="false" customHeight="false" outlineLevel="0" collapsed="false">
      <c r="A33" s="111" t="s">
        <v>38</v>
      </c>
      <c r="B33" s="112" t="s">
        <v>39</v>
      </c>
      <c r="C33" s="112" t="s">
        <v>1373</v>
      </c>
      <c r="D33" s="112" t="s">
        <v>1293</v>
      </c>
      <c r="E33" s="112" t="s">
        <v>1294</v>
      </c>
      <c r="F33" s="112" t="s">
        <v>1380</v>
      </c>
      <c r="G33" s="112" t="s">
        <v>1027</v>
      </c>
      <c r="H33" s="112" t="s">
        <v>1381</v>
      </c>
      <c r="I33" s="112" t="s">
        <v>1160</v>
      </c>
      <c r="J33" s="112" t="s">
        <v>78</v>
      </c>
      <c r="K33" s="112" t="s">
        <v>78</v>
      </c>
      <c r="L33" s="112" t="s">
        <v>1058</v>
      </c>
      <c r="M33" s="112" t="s">
        <v>1376</v>
      </c>
      <c r="N33" s="112" t="s">
        <v>1377</v>
      </c>
      <c r="O33" s="112" t="s">
        <v>1378</v>
      </c>
      <c r="P33" s="112" t="s">
        <v>189</v>
      </c>
      <c r="Q33" s="112" t="s">
        <v>83</v>
      </c>
      <c r="R33" s="112" t="s">
        <v>84</v>
      </c>
      <c r="S33" s="112" t="s">
        <v>121</v>
      </c>
      <c r="T33" s="112" t="s">
        <v>1382</v>
      </c>
      <c r="U33" s="112" t="s">
        <v>191</v>
      </c>
    </row>
    <row r="34" customFormat="false" ht="68.65" hidden="false" customHeight="false" outlineLevel="0" collapsed="false">
      <c r="A34" s="111" t="s">
        <v>38</v>
      </c>
      <c r="B34" s="112" t="s">
        <v>39</v>
      </c>
      <c r="C34" s="112" t="s">
        <v>1373</v>
      </c>
      <c r="D34" s="112" t="s">
        <v>1293</v>
      </c>
      <c r="E34" s="112" t="s">
        <v>1294</v>
      </c>
      <c r="F34" s="112" t="s">
        <v>1383</v>
      </c>
      <c r="G34" s="112" t="s">
        <v>1072</v>
      </c>
      <c r="H34" s="112" t="s">
        <v>1384</v>
      </c>
      <c r="I34" s="112" t="s">
        <v>1385</v>
      </c>
      <c r="J34" s="112" t="s">
        <v>78</v>
      </c>
      <c r="K34" s="112" t="s">
        <v>78</v>
      </c>
      <c r="L34" s="112" t="s">
        <v>1031</v>
      </c>
      <c r="M34" s="112" t="s">
        <v>1376</v>
      </c>
      <c r="N34" s="112" t="s">
        <v>1377</v>
      </c>
      <c r="O34" s="112" t="s">
        <v>1378</v>
      </c>
      <c r="P34" s="112" t="s">
        <v>189</v>
      </c>
      <c r="Q34" s="112" t="s">
        <v>83</v>
      </c>
      <c r="R34" s="112" t="s">
        <v>84</v>
      </c>
      <c r="S34" s="112" t="s">
        <v>121</v>
      </c>
      <c r="T34" s="112" t="s">
        <v>1386</v>
      </c>
      <c r="U34" s="112" t="s">
        <v>191</v>
      </c>
    </row>
    <row r="35" customFormat="false" ht="57.45" hidden="false" customHeight="false" outlineLevel="0" collapsed="false">
      <c r="A35" s="111" t="s">
        <v>38</v>
      </c>
      <c r="B35" s="112" t="s">
        <v>39</v>
      </c>
      <c r="C35" s="112" t="s">
        <v>1373</v>
      </c>
      <c r="D35" s="112" t="s">
        <v>1293</v>
      </c>
      <c r="E35" s="112" t="s">
        <v>1387</v>
      </c>
      <c r="F35" s="112" t="s">
        <v>1388</v>
      </c>
      <c r="G35" s="112" t="s">
        <v>1027</v>
      </c>
      <c r="H35" s="112" t="s">
        <v>1389</v>
      </c>
      <c r="I35" s="112" t="s">
        <v>1354</v>
      </c>
      <c r="J35" s="112" t="s">
        <v>1390</v>
      </c>
      <c r="K35" s="112" t="s">
        <v>78</v>
      </c>
      <c r="L35" s="112" t="s">
        <v>1115</v>
      </c>
      <c r="M35" s="112" t="s">
        <v>1376</v>
      </c>
      <c r="N35" s="112" t="s">
        <v>1377</v>
      </c>
      <c r="O35" s="112" t="s">
        <v>1378</v>
      </c>
      <c r="P35" s="112" t="s">
        <v>189</v>
      </c>
      <c r="Q35" s="112" t="s">
        <v>83</v>
      </c>
      <c r="R35" s="112" t="s">
        <v>84</v>
      </c>
      <c r="S35" s="112" t="s">
        <v>121</v>
      </c>
      <c r="T35" s="112" t="s">
        <v>1391</v>
      </c>
      <c r="U35" s="112" t="s">
        <v>191</v>
      </c>
    </row>
    <row r="36" customFormat="false" ht="180.55" hidden="false" customHeight="false" outlineLevel="0" collapsed="false">
      <c r="A36" s="111" t="s">
        <v>38</v>
      </c>
      <c r="B36" s="112" t="s">
        <v>39</v>
      </c>
      <c r="C36" s="112" t="s">
        <v>788</v>
      </c>
      <c r="D36" s="112" t="s">
        <v>1293</v>
      </c>
      <c r="E36" s="112" t="s">
        <v>1294</v>
      </c>
      <c r="F36" s="112" t="s">
        <v>1392</v>
      </c>
      <c r="G36" s="112" t="s">
        <v>1027</v>
      </c>
      <c r="H36" s="112" t="s">
        <v>1393</v>
      </c>
      <c r="I36" s="112" t="s">
        <v>78</v>
      </c>
      <c r="J36" s="112" t="s">
        <v>78</v>
      </c>
      <c r="K36" s="112" t="s">
        <v>78</v>
      </c>
      <c r="L36" s="112" t="s">
        <v>78</v>
      </c>
      <c r="M36" s="112" t="s">
        <v>791</v>
      </c>
      <c r="N36" s="112" t="s">
        <v>792</v>
      </c>
      <c r="O36" s="112" t="s">
        <v>793</v>
      </c>
      <c r="P36" s="112" t="s">
        <v>189</v>
      </c>
      <c r="Q36" s="112" t="s">
        <v>83</v>
      </c>
      <c r="R36" s="112" t="s">
        <v>84</v>
      </c>
      <c r="S36" s="112" t="s">
        <v>95</v>
      </c>
      <c r="T36" s="112" t="s">
        <v>200</v>
      </c>
      <c r="U36" s="112" t="s">
        <v>201</v>
      </c>
    </row>
  </sheetData>
  <autoFilter ref="A1:U3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F6B7A"/>
    <pageSetUpPr fitToPage="false"/>
  </sheetPr>
  <dimension ref="A1:U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4"/>
    <col collapsed="false" customWidth="true" hidden="false" outlineLevel="0" max="6" min="6" style="0" width="16"/>
    <col collapsed="false" customWidth="true" hidden="false" outlineLevel="0" max="7" min="7" style="0" width="11"/>
    <col collapsed="false" customWidth="true" hidden="false" outlineLevel="0" max="8" min="8" style="0" width="60"/>
    <col collapsed="false" customWidth="true" hidden="false" outlineLevel="0" max="9" min="9" style="0" width="22"/>
    <col collapsed="false" customWidth="true" hidden="false" outlineLevel="0" max="11" min="10" style="0" width="24"/>
    <col collapsed="false" customWidth="true" hidden="false" outlineLevel="0" max="12" min="12" style="0" width="26"/>
    <col collapsed="false" customWidth="true" hidden="false" outlineLevel="0" max="13" min="13" style="0" width="11"/>
    <col collapsed="false" customWidth="true" hidden="false" outlineLevel="0" max="14" min="14" style="0" width="20"/>
    <col collapsed="false" customWidth="true" hidden="false" outlineLevel="0" max="15" min="15" style="0" width="30"/>
    <col collapsed="false" customWidth="true" hidden="false" outlineLevel="0" max="16" min="16" style="0" width="16"/>
    <col collapsed="false" customWidth="true" hidden="false" outlineLevel="0" max="18" min="17" style="0" width="18"/>
    <col collapsed="false" customWidth="true" hidden="false" outlineLevel="0" max="19" min="19" style="0" width="12"/>
    <col collapsed="false" customWidth="true" hidden="false" outlineLevel="0" max="20" min="20" style="0" width="40"/>
    <col collapsed="false" customWidth="true" hidden="false" outlineLevel="0" max="21" min="21" style="0" width="45"/>
  </cols>
  <sheetData>
    <row r="1" customFormat="false" ht="68.65" hidden="false" customHeight="false" outlineLevel="0" collapsed="false">
      <c r="A1" s="137" t="s">
        <v>0</v>
      </c>
      <c r="B1" s="137" t="s">
        <v>51</v>
      </c>
      <c r="C1" s="137" t="s">
        <v>52</v>
      </c>
      <c r="D1" s="137" t="s">
        <v>53</v>
      </c>
      <c r="E1" s="137" t="s">
        <v>54</v>
      </c>
      <c r="F1" s="137" t="s">
        <v>55</v>
      </c>
      <c r="G1" s="137" t="s">
        <v>56</v>
      </c>
      <c r="H1" s="137" t="s">
        <v>57</v>
      </c>
      <c r="I1" s="137" t="s">
        <v>58</v>
      </c>
      <c r="J1" s="137" t="s">
        <v>59</v>
      </c>
      <c r="K1" s="137" t="s">
        <v>60</v>
      </c>
      <c r="L1" s="137" t="s">
        <v>61</v>
      </c>
      <c r="M1" s="137" t="s">
        <v>62</v>
      </c>
      <c r="N1" s="137" t="s">
        <v>63</v>
      </c>
      <c r="O1" s="137" t="s">
        <v>64</v>
      </c>
      <c r="P1" s="137" t="s">
        <v>65</v>
      </c>
      <c r="Q1" s="137" t="s">
        <v>66</v>
      </c>
      <c r="R1" s="137" t="s">
        <v>67</v>
      </c>
      <c r="S1" s="137" t="s">
        <v>68</v>
      </c>
      <c r="T1" s="137" t="s">
        <v>69</v>
      </c>
      <c r="U1" s="137" t="s">
        <v>70</v>
      </c>
    </row>
    <row r="2" customFormat="false" ht="57.45" hidden="false" customHeight="false" outlineLevel="0" collapsed="false">
      <c r="A2" s="113" t="s">
        <v>40</v>
      </c>
      <c r="B2" s="114" t="s">
        <v>41</v>
      </c>
      <c r="C2" s="114" t="s">
        <v>846</v>
      </c>
      <c r="D2" s="114" t="s">
        <v>847</v>
      </c>
      <c r="E2" s="114" t="s">
        <v>848</v>
      </c>
      <c r="F2" s="114" t="s">
        <v>849</v>
      </c>
      <c r="G2" s="114" t="s">
        <v>75</v>
      </c>
      <c r="H2" s="114" t="s">
        <v>850</v>
      </c>
      <c r="I2" s="114" t="s">
        <v>851</v>
      </c>
      <c r="J2" s="114" t="s">
        <v>78</v>
      </c>
      <c r="K2" s="114" t="s">
        <v>79</v>
      </c>
      <c r="L2" s="114" t="s">
        <v>173</v>
      </c>
      <c r="M2" s="114" t="s">
        <v>852</v>
      </c>
      <c r="N2" s="114" t="s">
        <v>853</v>
      </c>
      <c r="O2" s="114" t="s">
        <v>854</v>
      </c>
      <c r="P2" s="114" t="s">
        <v>189</v>
      </c>
      <c r="Q2" s="114" t="s">
        <v>83</v>
      </c>
      <c r="R2" s="114" t="s">
        <v>408</v>
      </c>
      <c r="S2" s="114" t="s">
        <v>121</v>
      </c>
      <c r="T2" s="114" t="s">
        <v>855</v>
      </c>
      <c r="U2" s="114" t="s">
        <v>191</v>
      </c>
    </row>
  </sheetData>
  <autoFilter ref="A1:U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2A2A"/>
    <pageSetUpPr fitToPage="false"/>
  </sheetPr>
  <dimension ref="A1:U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4"/>
    <col collapsed="false" customWidth="true" hidden="false" outlineLevel="0" max="6" min="6" style="0" width="16"/>
    <col collapsed="false" customWidth="true" hidden="false" outlineLevel="0" max="7" min="7" style="0" width="11"/>
    <col collapsed="false" customWidth="true" hidden="false" outlineLevel="0" max="8" min="8" style="0" width="60"/>
    <col collapsed="false" customWidth="true" hidden="false" outlineLevel="0" max="9" min="9" style="0" width="22"/>
    <col collapsed="false" customWidth="true" hidden="false" outlineLevel="0" max="11" min="10" style="0" width="24"/>
    <col collapsed="false" customWidth="true" hidden="false" outlineLevel="0" max="12" min="12" style="0" width="26"/>
    <col collapsed="false" customWidth="true" hidden="false" outlineLevel="0" max="13" min="13" style="0" width="11"/>
    <col collapsed="false" customWidth="true" hidden="false" outlineLevel="0" max="14" min="14" style="0" width="20"/>
    <col collapsed="false" customWidth="true" hidden="false" outlineLevel="0" max="15" min="15" style="0" width="30"/>
    <col collapsed="false" customWidth="true" hidden="false" outlineLevel="0" max="16" min="16" style="0" width="16"/>
    <col collapsed="false" customWidth="true" hidden="false" outlineLevel="0" max="18" min="17" style="0" width="18"/>
    <col collapsed="false" customWidth="true" hidden="false" outlineLevel="0" max="19" min="19" style="0" width="12"/>
    <col collapsed="false" customWidth="true" hidden="false" outlineLevel="0" max="20" min="20" style="0" width="40"/>
    <col collapsed="false" customWidth="true" hidden="false" outlineLevel="0" max="21" min="21" style="0" width="45"/>
  </cols>
  <sheetData>
    <row r="1" customFormat="false" ht="68.65" hidden="false" customHeight="false" outlineLevel="0" collapsed="false">
      <c r="A1" s="138" t="s">
        <v>0</v>
      </c>
      <c r="B1" s="138" t="s">
        <v>51</v>
      </c>
      <c r="C1" s="138" t="s">
        <v>52</v>
      </c>
      <c r="D1" s="138" t="s">
        <v>53</v>
      </c>
      <c r="E1" s="138" t="s">
        <v>54</v>
      </c>
      <c r="F1" s="138" t="s">
        <v>55</v>
      </c>
      <c r="G1" s="138" t="s">
        <v>56</v>
      </c>
      <c r="H1" s="138" t="s">
        <v>57</v>
      </c>
      <c r="I1" s="138" t="s">
        <v>58</v>
      </c>
      <c r="J1" s="138" t="s">
        <v>59</v>
      </c>
      <c r="K1" s="138" t="s">
        <v>60</v>
      </c>
      <c r="L1" s="138" t="s">
        <v>61</v>
      </c>
      <c r="M1" s="138" t="s">
        <v>62</v>
      </c>
      <c r="N1" s="138" t="s">
        <v>63</v>
      </c>
      <c r="O1" s="138" t="s">
        <v>64</v>
      </c>
      <c r="P1" s="138" t="s">
        <v>65</v>
      </c>
      <c r="Q1" s="138" t="s">
        <v>66</v>
      </c>
      <c r="R1" s="138" t="s">
        <v>67</v>
      </c>
      <c r="S1" s="138" t="s">
        <v>68</v>
      </c>
      <c r="T1" s="138" t="s">
        <v>69</v>
      </c>
      <c r="U1" s="138" t="s">
        <v>70</v>
      </c>
    </row>
    <row r="2" customFormat="false" ht="57.45" hidden="false" customHeight="false" outlineLevel="0" collapsed="false">
      <c r="A2" s="115" t="s">
        <v>42</v>
      </c>
      <c r="B2" s="116" t="s">
        <v>43</v>
      </c>
      <c r="C2" s="116" t="s">
        <v>856</v>
      </c>
      <c r="D2" s="116" t="s">
        <v>857</v>
      </c>
      <c r="E2" s="116" t="s">
        <v>858</v>
      </c>
      <c r="F2" s="116" t="s">
        <v>859</v>
      </c>
      <c r="G2" s="116" t="s">
        <v>75</v>
      </c>
      <c r="H2" s="116" t="s">
        <v>860</v>
      </c>
      <c r="I2" s="116" t="s">
        <v>395</v>
      </c>
      <c r="J2" s="116" t="s">
        <v>78</v>
      </c>
      <c r="K2" s="116" t="s">
        <v>79</v>
      </c>
      <c r="L2" s="116" t="s">
        <v>80</v>
      </c>
      <c r="M2" s="116" t="s">
        <v>861</v>
      </c>
      <c r="N2" s="116" t="s">
        <v>862</v>
      </c>
      <c r="O2" s="116" t="s">
        <v>863</v>
      </c>
      <c r="P2" s="116" t="s">
        <v>864</v>
      </c>
      <c r="Q2" s="116" t="s">
        <v>83</v>
      </c>
      <c r="R2" s="116" t="s">
        <v>408</v>
      </c>
      <c r="S2" s="116" t="s">
        <v>121</v>
      </c>
      <c r="T2" s="116" t="s">
        <v>865</v>
      </c>
      <c r="U2" s="116" t="s">
        <v>300</v>
      </c>
    </row>
    <row r="3" customFormat="false" ht="46.25" hidden="false" customHeight="false" outlineLevel="0" collapsed="false">
      <c r="A3" s="115" t="s">
        <v>42</v>
      </c>
      <c r="B3" s="116" t="s">
        <v>43</v>
      </c>
      <c r="C3" s="116" t="s">
        <v>856</v>
      </c>
      <c r="D3" s="116" t="s">
        <v>1394</v>
      </c>
      <c r="E3" s="116" t="s">
        <v>1395</v>
      </c>
      <c r="F3" s="116" t="s">
        <v>1396</v>
      </c>
      <c r="G3" s="116" t="s">
        <v>1027</v>
      </c>
      <c r="H3" s="116" t="s">
        <v>1397</v>
      </c>
      <c r="I3" s="116" t="s">
        <v>78</v>
      </c>
      <c r="J3" s="116" t="s">
        <v>78</v>
      </c>
      <c r="K3" s="116" t="s">
        <v>78</v>
      </c>
      <c r="L3" s="116" t="s">
        <v>78</v>
      </c>
      <c r="M3" s="116" t="s">
        <v>861</v>
      </c>
      <c r="N3" s="116" t="s">
        <v>862</v>
      </c>
      <c r="O3" s="116" t="s">
        <v>863</v>
      </c>
      <c r="P3" s="116" t="s">
        <v>864</v>
      </c>
      <c r="Q3" s="116" t="s">
        <v>83</v>
      </c>
      <c r="R3" s="116" t="s">
        <v>408</v>
      </c>
      <c r="S3" s="116" t="s">
        <v>95</v>
      </c>
      <c r="T3" s="116" t="s">
        <v>200</v>
      </c>
      <c r="U3" s="116" t="s">
        <v>201</v>
      </c>
    </row>
  </sheetData>
  <autoFilter ref="A1:U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03C31"/>
    <pageSetUpPr fitToPage="false"/>
  </sheetPr>
  <dimension ref="A1:U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4"/>
    <col collapsed="false" customWidth="true" hidden="false" outlineLevel="0" max="6" min="6" style="0" width="16"/>
    <col collapsed="false" customWidth="true" hidden="false" outlineLevel="0" max="7" min="7" style="0" width="11"/>
    <col collapsed="false" customWidth="true" hidden="false" outlineLevel="0" max="8" min="8" style="0" width="60"/>
    <col collapsed="false" customWidth="true" hidden="false" outlineLevel="0" max="9" min="9" style="0" width="22"/>
    <col collapsed="false" customWidth="true" hidden="false" outlineLevel="0" max="11" min="10" style="0" width="24"/>
    <col collapsed="false" customWidth="true" hidden="false" outlineLevel="0" max="12" min="12" style="0" width="26"/>
    <col collapsed="false" customWidth="true" hidden="false" outlineLevel="0" max="13" min="13" style="0" width="11"/>
    <col collapsed="false" customWidth="true" hidden="false" outlineLevel="0" max="14" min="14" style="0" width="20"/>
    <col collapsed="false" customWidth="true" hidden="false" outlineLevel="0" max="15" min="15" style="0" width="30"/>
    <col collapsed="false" customWidth="true" hidden="false" outlineLevel="0" max="16" min="16" style="0" width="16"/>
    <col collapsed="false" customWidth="true" hidden="false" outlineLevel="0" max="18" min="17" style="0" width="18"/>
    <col collapsed="false" customWidth="true" hidden="false" outlineLevel="0" max="19" min="19" style="0" width="12"/>
    <col collapsed="false" customWidth="true" hidden="false" outlineLevel="0" max="20" min="20" style="0" width="40"/>
    <col collapsed="false" customWidth="true" hidden="false" outlineLevel="0" max="21" min="21" style="0" width="45"/>
  </cols>
  <sheetData>
    <row r="1" customFormat="false" ht="68.65" hidden="false" customHeight="false" outlineLevel="0" collapsed="false">
      <c r="A1" s="139" t="s">
        <v>0</v>
      </c>
      <c r="B1" s="139" t="s">
        <v>51</v>
      </c>
      <c r="C1" s="139" t="s">
        <v>52</v>
      </c>
      <c r="D1" s="139" t="s">
        <v>53</v>
      </c>
      <c r="E1" s="139" t="s">
        <v>54</v>
      </c>
      <c r="F1" s="139" t="s">
        <v>55</v>
      </c>
      <c r="G1" s="139" t="s">
        <v>56</v>
      </c>
      <c r="H1" s="139" t="s">
        <v>57</v>
      </c>
      <c r="I1" s="139" t="s">
        <v>58</v>
      </c>
      <c r="J1" s="139" t="s">
        <v>59</v>
      </c>
      <c r="K1" s="139" t="s">
        <v>60</v>
      </c>
      <c r="L1" s="139" t="s">
        <v>61</v>
      </c>
      <c r="M1" s="139" t="s">
        <v>62</v>
      </c>
      <c r="N1" s="139" t="s">
        <v>63</v>
      </c>
      <c r="O1" s="139" t="s">
        <v>64</v>
      </c>
      <c r="P1" s="139" t="s">
        <v>65</v>
      </c>
      <c r="Q1" s="139" t="s">
        <v>66</v>
      </c>
      <c r="R1" s="139" t="s">
        <v>67</v>
      </c>
      <c r="S1" s="139" t="s">
        <v>68</v>
      </c>
      <c r="T1" s="139" t="s">
        <v>69</v>
      </c>
      <c r="U1" s="139" t="s">
        <v>70</v>
      </c>
    </row>
    <row r="2" customFormat="false" ht="68.65" hidden="false" customHeight="false" outlineLevel="0" collapsed="false">
      <c r="A2" s="117" t="s">
        <v>44</v>
      </c>
      <c r="B2" s="118" t="s">
        <v>45</v>
      </c>
      <c r="C2" s="118" t="s">
        <v>866</v>
      </c>
      <c r="D2" s="118" t="s">
        <v>867</v>
      </c>
      <c r="E2" s="118" t="s">
        <v>868</v>
      </c>
      <c r="F2" s="118" t="s">
        <v>869</v>
      </c>
      <c r="G2" s="118" t="s">
        <v>75</v>
      </c>
      <c r="H2" s="118" t="s">
        <v>870</v>
      </c>
      <c r="I2" s="118" t="s">
        <v>181</v>
      </c>
      <c r="J2" s="118" t="s">
        <v>78</v>
      </c>
      <c r="K2" s="118" t="s">
        <v>79</v>
      </c>
      <c r="L2" s="118" t="s">
        <v>80</v>
      </c>
      <c r="M2" s="118"/>
      <c r="N2" s="118" t="s">
        <v>206</v>
      </c>
      <c r="O2" s="118" t="s">
        <v>871</v>
      </c>
      <c r="P2" s="118" t="s">
        <v>346</v>
      </c>
      <c r="Q2" s="118" t="s">
        <v>83</v>
      </c>
      <c r="R2" s="118" t="s">
        <v>408</v>
      </c>
      <c r="S2" s="118" t="s">
        <v>121</v>
      </c>
      <c r="T2" s="118" t="s">
        <v>872</v>
      </c>
      <c r="U2" s="118" t="s">
        <v>772</v>
      </c>
    </row>
    <row r="3" customFormat="false" ht="68.65" hidden="false" customHeight="false" outlineLevel="0" collapsed="false">
      <c r="A3" s="117" t="s">
        <v>44</v>
      </c>
      <c r="B3" s="118" t="s">
        <v>45</v>
      </c>
      <c r="C3" s="118" t="s">
        <v>873</v>
      </c>
      <c r="D3" s="118" t="s">
        <v>867</v>
      </c>
      <c r="E3" s="118" t="s">
        <v>868</v>
      </c>
      <c r="F3" s="118" t="s">
        <v>874</v>
      </c>
      <c r="G3" s="118" t="s">
        <v>75</v>
      </c>
      <c r="H3" s="118" t="s">
        <v>875</v>
      </c>
      <c r="I3" s="118" t="s">
        <v>402</v>
      </c>
      <c r="J3" s="118" t="s">
        <v>78</v>
      </c>
      <c r="K3" s="118" t="s">
        <v>79</v>
      </c>
      <c r="L3" s="118" t="s">
        <v>80</v>
      </c>
      <c r="M3" s="118" t="s">
        <v>876</v>
      </c>
      <c r="N3" s="118" t="s">
        <v>877</v>
      </c>
      <c r="O3" s="118" t="s">
        <v>878</v>
      </c>
      <c r="P3" s="118" t="s">
        <v>346</v>
      </c>
      <c r="Q3" s="118" t="s">
        <v>83</v>
      </c>
      <c r="R3" s="118" t="s">
        <v>408</v>
      </c>
      <c r="S3" s="118" t="s">
        <v>121</v>
      </c>
      <c r="T3" s="118" t="s">
        <v>879</v>
      </c>
      <c r="U3" s="118" t="s">
        <v>316</v>
      </c>
    </row>
    <row r="4" customFormat="false" ht="113.4" hidden="false" customHeight="false" outlineLevel="0" collapsed="false">
      <c r="A4" s="117" t="s">
        <v>44</v>
      </c>
      <c r="B4" s="118" t="s">
        <v>45</v>
      </c>
      <c r="C4" s="118" t="s">
        <v>880</v>
      </c>
      <c r="D4" s="118" t="s">
        <v>867</v>
      </c>
      <c r="E4" s="118" t="s">
        <v>868</v>
      </c>
      <c r="F4" s="118" t="s">
        <v>881</v>
      </c>
      <c r="G4" s="118" t="s">
        <v>75</v>
      </c>
      <c r="H4" s="118" t="s">
        <v>882</v>
      </c>
      <c r="I4" s="118" t="s">
        <v>851</v>
      </c>
      <c r="J4" s="118" t="s">
        <v>78</v>
      </c>
      <c r="K4" s="118" t="s">
        <v>79</v>
      </c>
      <c r="L4" s="118" t="s">
        <v>883</v>
      </c>
      <c r="M4" s="118" t="s">
        <v>884</v>
      </c>
      <c r="N4" s="118" t="s">
        <v>885</v>
      </c>
      <c r="O4" s="118" t="s">
        <v>886</v>
      </c>
      <c r="P4" s="118" t="s">
        <v>346</v>
      </c>
      <c r="Q4" s="118" t="s">
        <v>482</v>
      </c>
      <c r="R4" s="118" t="s">
        <v>408</v>
      </c>
      <c r="S4" s="118" t="s">
        <v>121</v>
      </c>
      <c r="T4" s="118" t="s">
        <v>887</v>
      </c>
      <c r="U4" s="118" t="s">
        <v>888</v>
      </c>
    </row>
    <row r="5" customFormat="false" ht="147" hidden="false" customHeight="false" outlineLevel="0" collapsed="false">
      <c r="A5" s="117" t="s">
        <v>44</v>
      </c>
      <c r="B5" s="118" t="s">
        <v>45</v>
      </c>
      <c r="C5" s="118" t="s">
        <v>1398</v>
      </c>
      <c r="D5" s="118" t="s">
        <v>1399</v>
      </c>
      <c r="E5" s="118" t="s">
        <v>1400</v>
      </c>
      <c r="F5" s="118" t="s">
        <v>1401</v>
      </c>
      <c r="G5" s="118" t="s">
        <v>1027</v>
      </c>
      <c r="H5" s="118" t="s">
        <v>1402</v>
      </c>
      <c r="I5" s="118" t="s">
        <v>1057</v>
      </c>
      <c r="J5" s="118" t="s">
        <v>78</v>
      </c>
      <c r="K5" s="118" t="s">
        <v>1403</v>
      </c>
      <c r="L5" s="118" t="s">
        <v>1031</v>
      </c>
      <c r="M5" s="118"/>
      <c r="N5" s="118" t="s">
        <v>1404</v>
      </c>
      <c r="O5" s="118" t="s">
        <v>1405</v>
      </c>
      <c r="P5" s="118" t="s">
        <v>189</v>
      </c>
      <c r="Q5" s="118" t="s">
        <v>83</v>
      </c>
      <c r="R5" s="118" t="s">
        <v>408</v>
      </c>
      <c r="S5" s="118" t="s">
        <v>121</v>
      </c>
      <c r="T5" s="118" t="s">
        <v>1406</v>
      </c>
      <c r="U5" s="118" t="s">
        <v>1157</v>
      </c>
    </row>
    <row r="6" customFormat="false" ht="68.65" hidden="false" customHeight="false" outlineLevel="0" collapsed="false">
      <c r="A6" s="117" t="s">
        <v>44</v>
      </c>
      <c r="B6" s="118" t="s">
        <v>45</v>
      </c>
      <c r="C6" s="118" t="s">
        <v>873</v>
      </c>
      <c r="D6" s="118" t="s">
        <v>1399</v>
      </c>
      <c r="E6" s="118" t="s">
        <v>1407</v>
      </c>
      <c r="F6" s="118" t="s">
        <v>1408</v>
      </c>
      <c r="G6" s="118" t="s">
        <v>1027</v>
      </c>
      <c r="H6" s="118" t="s">
        <v>875</v>
      </c>
      <c r="I6" s="118" t="s">
        <v>1171</v>
      </c>
      <c r="J6" s="118" t="s">
        <v>78</v>
      </c>
      <c r="K6" s="118" t="s">
        <v>1409</v>
      </c>
      <c r="L6" s="118" t="s">
        <v>1058</v>
      </c>
      <c r="M6" s="118" t="s">
        <v>876</v>
      </c>
      <c r="N6" s="118" t="s">
        <v>877</v>
      </c>
      <c r="O6" s="118" t="s">
        <v>878</v>
      </c>
      <c r="P6" s="118" t="s">
        <v>346</v>
      </c>
      <c r="Q6" s="118" t="s">
        <v>83</v>
      </c>
      <c r="R6" s="118" t="s">
        <v>408</v>
      </c>
      <c r="S6" s="118" t="s">
        <v>121</v>
      </c>
      <c r="T6" s="118" t="s">
        <v>879</v>
      </c>
      <c r="U6" s="118" t="s">
        <v>316</v>
      </c>
    </row>
    <row r="7" customFormat="false" ht="68.65" hidden="false" customHeight="false" outlineLevel="0" collapsed="false">
      <c r="A7" s="117" t="s">
        <v>44</v>
      </c>
      <c r="B7" s="118" t="s">
        <v>45</v>
      </c>
      <c r="C7" s="118" t="s">
        <v>880</v>
      </c>
      <c r="D7" s="118" t="s">
        <v>1399</v>
      </c>
      <c r="E7" s="118" t="s">
        <v>1407</v>
      </c>
      <c r="F7" s="118" t="s">
        <v>1410</v>
      </c>
      <c r="G7" s="118" t="s">
        <v>1027</v>
      </c>
      <c r="H7" s="118" t="s">
        <v>1411</v>
      </c>
      <c r="I7" s="118" t="s">
        <v>78</v>
      </c>
      <c r="J7" s="118" t="s">
        <v>78</v>
      </c>
      <c r="K7" s="118" t="s">
        <v>78</v>
      </c>
      <c r="L7" s="118" t="s">
        <v>78</v>
      </c>
      <c r="M7" s="118" t="s">
        <v>884</v>
      </c>
      <c r="N7" s="118" t="s">
        <v>1412</v>
      </c>
      <c r="O7" s="118" t="s">
        <v>1413</v>
      </c>
      <c r="P7" s="118" t="s">
        <v>346</v>
      </c>
      <c r="Q7" s="118" t="s">
        <v>482</v>
      </c>
      <c r="R7" s="118" t="s">
        <v>1414</v>
      </c>
      <c r="S7" s="118" t="s">
        <v>95</v>
      </c>
      <c r="T7" s="118" t="s">
        <v>200</v>
      </c>
      <c r="U7" s="118" t="s">
        <v>201</v>
      </c>
    </row>
  </sheetData>
  <autoFilter ref="A1:U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B2D5C"/>
    <pageSetUpPr fitToPage="false"/>
  </sheetPr>
  <dimension ref="A1:U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4"/>
    <col collapsed="false" customWidth="true" hidden="false" outlineLevel="0" max="6" min="6" style="0" width="16"/>
    <col collapsed="false" customWidth="true" hidden="false" outlineLevel="0" max="7" min="7" style="0" width="11"/>
    <col collapsed="false" customWidth="true" hidden="false" outlineLevel="0" max="8" min="8" style="0" width="60"/>
    <col collapsed="false" customWidth="true" hidden="false" outlineLevel="0" max="9" min="9" style="0" width="22"/>
    <col collapsed="false" customWidth="true" hidden="false" outlineLevel="0" max="11" min="10" style="0" width="24"/>
    <col collapsed="false" customWidth="true" hidden="false" outlineLevel="0" max="12" min="12" style="0" width="26"/>
    <col collapsed="false" customWidth="true" hidden="false" outlineLevel="0" max="13" min="13" style="0" width="11"/>
    <col collapsed="false" customWidth="true" hidden="false" outlineLevel="0" max="14" min="14" style="0" width="20"/>
    <col collapsed="false" customWidth="true" hidden="false" outlineLevel="0" max="15" min="15" style="0" width="30"/>
    <col collapsed="false" customWidth="true" hidden="false" outlineLevel="0" max="16" min="16" style="0" width="16"/>
    <col collapsed="false" customWidth="true" hidden="false" outlineLevel="0" max="18" min="17" style="0" width="18"/>
    <col collapsed="false" customWidth="true" hidden="false" outlineLevel="0" max="19" min="19" style="0" width="12"/>
    <col collapsed="false" customWidth="true" hidden="false" outlineLevel="0" max="20" min="20" style="0" width="40"/>
    <col collapsed="false" customWidth="true" hidden="false" outlineLevel="0" max="21" min="21" style="0" width="45"/>
  </cols>
  <sheetData>
    <row r="1" customFormat="false" ht="68.65" hidden="false" customHeight="false" outlineLevel="0" collapsed="false">
      <c r="A1" s="140" t="s">
        <v>0</v>
      </c>
      <c r="B1" s="140" t="s">
        <v>51</v>
      </c>
      <c r="C1" s="140" t="s">
        <v>52</v>
      </c>
      <c r="D1" s="140" t="s">
        <v>53</v>
      </c>
      <c r="E1" s="140" t="s">
        <v>54</v>
      </c>
      <c r="F1" s="140" t="s">
        <v>55</v>
      </c>
      <c r="G1" s="140" t="s">
        <v>56</v>
      </c>
      <c r="H1" s="140" t="s">
        <v>57</v>
      </c>
      <c r="I1" s="140" t="s">
        <v>58</v>
      </c>
      <c r="J1" s="140" t="s">
        <v>59</v>
      </c>
      <c r="K1" s="140" t="s">
        <v>60</v>
      </c>
      <c r="L1" s="140" t="s">
        <v>61</v>
      </c>
      <c r="M1" s="140" t="s">
        <v>62</v>
      </c>
      <c r="N1" s="140" t="s">
        <v>63</v>
      </c>
      <c r="O1" s="140" t="s">
        <v>64</v>
      </c>
      <c r="P1" s="140" t="s">
        <v>65</v>
      </c>
      <c r="Q1" s="140" t="s">
        <v>66</v>
      </c>
      <c r="R1" s="140" t="s">
        <v>67</v>
      </c>
      <c r="S1" s="140" t="s">
        <v>68</v>
      </c>
      <c r="T1" s="140" t="s">
        <v>69</v>
      </c>
      <c r="U1" s="140" t="s">
        <v>70</v>
      </c>
    </row>
    <row r="2" customFormat="false" ht="57.45" hidden="false" customHeight="false" outlineLevel="0" collapsed="false">
      <c r="A2" s="119" t="s">
        <v>46</v>
      </c>
      <c r="B2" s="120" t="s">
        <v>47</v>
      </c>
      <c r="C2" s="120" t="s">
        <v>889</v>
      </c>
      <c r="D2" s="120" t="s">
        <v>890</v>
      </c>
      <c r="E2" s="120" t="s">
        <v>891</v>
      </c>
      <c r="F2" s="120" t="s">
        <v>892</v>
      </c>
      <c r="G2" s="120" t="s">
        <v>75</v>
      </c>
      <c r="H2" s="120" t="s">
        <v>893</v>
      </c>
      <c r="I2" s="120" t="s">
        <v>186</v>
      </c>
      <c r="J2" s="120" t="s">
        <v>78</v>
      </c>
      <c r="K2" s="120" t="s">
        <v>79</v>
      </c>
      <c r="L2" s="120" t="s">
        <v>80</v>
      </c>
      <c r="M2" s="120" t="s">
        <v>894</v>
      </c>
      <c r="N2" s="120" t="s">
        <v>895</v>
      </c>
      <c r="O2" s="120" t="s">
        <v>896</v>
      </c>
      <c r="P2" s="120" t="s">
        <v>189</v>
      </c>
      <c r="Q2" s="120" t="s">
        <v>83</v>
      </c>
      <c r="R2" s="120" t="s">
        <v>408</v>
      </c>
      <c r="S2" s="120" t="s">
        <v>121</v>
      </c>
      <c r="T2" s="120" t="s">
        <v>897</v>
      </c>
      <c r="U2" s="120" t="s">
        <v>300</v>
      </c>
    </row>
    <row r="3" customFormat="false" ht="57.45" hidden="false" customHeight="false" outlineLevel="0" collapsed="false">
      <c r="A3" s="119" t="s">
        <v>46</v>
      </c>
      <c r="B3" s="120" t="s">
        <v>47</v>
      </c>
      <c r="C3" s="120" t="s">
        <v>889</v>
      </c>
      <c r="D3" s="120" t="s">
        <v>890</v>
      </c>
      <c r="E3" s="120" t="s">
        <v>891</v>
      </c>
      <c r="F3" s="120" t="s">
        <v>898</v>
      </c>
      <c r="G3" s="120" t="s">
        <v>75</v>
      </c>
      <c r="H3" s="120" t="s">
        <v>899</v>
      </c>
      <c r="I3" s="120" t="s">
        <v>186</v>
      </c>
      <c r="J3" s="120" t="s">
        <v>78</v>
      </c>
      <c r="K3" s="120" t="s">
        <v>79</v>
      </c>
      <c r="L3" s="120" t="s">
        <v>80</v>
      </c>
      <c r="M3" s="120" t="s">
        <v>894</v>
      </c>
      <c r="N3" s="120" t="s">
        <v>895</v>
      </c>
      <c r="O3" s="120" t="s">
        <v>896</v>
      </c>
      <c r="P3" s="120" t="s">
        <v>189</v>
      </c>
      <c r="Q3" s="120" t="s">
        <v>83</v>
      </c>
      <c r="R3" s="120" t="s">
        <v>408</v>
      </c>
      <c r="S3" s="120" t="s">
        <v>121</v>
      </c>
      <c r="T3" s="120" t="s">
        <v>900</v>
      </c>
      <c r="U3" s="120" t="s">
        <v>300</v>
      </c>
    </row>
    <row r="4" customFormat="false" ht="57.45" hidden="false" customHeight="false" outlineLevel="0" collapsed="false">
      <c r="A4" s="119" t="s">
        <v>46</v>
      </c>
      <c r="B4" s="120" t="s">
        <v>47</v>
      </c>
      <c r="C4" s="120" t="s">
        <v>889</v>
      </c>
      <c r="D4" s="120" t="s">
        <v>890</v>
      </c>
      <c r="E4" s="120" t="s">
        <v>891</v>
      </c>
      <c r="F4" s="120" t="s">
        <v>901</v>
      </c>
      <c r="G4" s="120" t="s">
        <v>75</v>
      </c>
      <c r="H4" s="120" t="s">
        <v>902</v>
      </c>
      <c r="I4" s="120" t="s">
        <v>91</v>
      </c>
      <c r="J4" s="120" t="s">
        <v>78</v>
      </c>
      <c r="K4" s="120" t="s">
        <v>79</v>
      </c>
      <c r="L4" s="120" t="s">
        <v>173</v>
      </c>
      <c r="M4" s="120" t="s">
        <v>894</v>
      </c>
      <c r="N4" s="120" t="s">
        <v>895</v>
      </c>
      <c r="O4" s="120" t="s">
        <v>896</v>
      </c>
      <c r="P4" s="120" t="s">
        <v>189</v>
      </c>
      <c r="Q4" s="120" t="s">
        <v>83</v>
      </c>
      <c r="R4" s="120" t="s">
        <v>408</v>
      </c>
      <c r="S4" s="120" t="s">
        <v>121</v>
      </c>
      <c r="T4" s="120" t="s">
        <v>903</v>
      </c>
      <c r="U4" s="120" t="s">
        <v>300</v>
      </c>
    </row>
    <row r="5" customFormat="false" ht="147" hidden="false" customHeight="false" outlineLevel="0" collapsed="false">
      <c r="A5" s="119" t="s">
        <v>46</v>
      </c>
      <c r="B5" s="120" t="s">
        <v>47</v>
      </c>
      <c r="C5" s="120" t="s">
        <v>889</v>
      </c>
      <c r="D5" s="120" t="s">
        <v>1415</v>
      </c>
      <c r="E5" s="120" t="s">
        <v>1416</v>
      </c>
      <c r="F5" s="120" t="s">
        <v>1417</v>
      </c>
      <c r="G5" s="120" t="s">
        <v>1027</v>
      </c>
      <c r="H5" s="120" t="s">
        <v>1418</v>
      </c>
      <c r="I5" s="120" t="s">
        <v>1019</v>
      </c>
      <c r="J5" s="120" t="s">
        <v>78</v>
      </c>
      <c r="K5" s="120" t="s">
        <v>78</v>
      </c>
      <c r="L5" s="120" t="s">
        <v>78</v>
      </c>
      <c r="M5" s="120" t="s">
        <v>894</v>
      </c>
      <c r="N5" s="120" t="s">
        <v>895</v>
      </c>
      <c r="O5" s="120" t="s">
        <v>896</v>
      </c>
      <c r="P5" s="120" t="s">
        <v>189</v>
      </c>
      <c r="Q5" s="120" t="s">
        <v>83</v>
      </c>
      <c r="R5" s="120" t="s">
        <v>408</v>
      </c>
      <c r="S5" s="120" t="s">
        <v>121</v>
      </c>
      <c r="T5" s="120" t="s">
        <v>1419</v>
      </c>
      <c r="U5" s="120" t="s">
        <v>300</v>
      </c>
    </row>
    <row r="6" customFormat="false" ht="57.45" hidden="false" customHeight="false" outlineLevel="0" collapsed="false">
      <c r="A6" s="119" t="s">
        <v>46</v>
      </c>
      <c r="B6" s="120" t="s">
        <v>47</v>
      </c>
      <c r="C6" s="120" t="s">
        <v>889</v>
      </c>
      <c r="D6" s="120" t="s">
        <v>1415</v>
      </c>
      <c r="E6" s="120" t="s">
        <v>1416</v>
      </c>
      <c r="F6" s="120" t="s">
        <v>1420</v>
      </c>
      <c r="G6" s="120" t="s">
        <v>1027</v>
      </c>
      <c r="H6" s="120" t="s">
        <v>902</v>
      </c>
      <c r="I6" s="120" t="s">
        <v>1019</v>
      </c>
      <c r="J6" s="120" t="s">
        <v>78</v>
      </c>
      <c r="K6" s="120" t="s">
        <v>78</v>
      </c>
      <c r="L6" s="120" t="s">
        <v>1074</v>
      </c>
      <c r="M6" s="120" t="s">
        <v>894</v>
      </c>
      <c r="N6" s="120" t="s">
        <v>895</v>
      </c>
      <c r="O6" s="120" t="s">
        <v>896</v>
      </c>
      <c r="P6" s="120" t="s">
        <v>189</v>
      </c>
      <c r="Q6" s="120" t="s">
        <v>83</v>
      </c>
      <c r="R6" s="120" t="s">
        <v>408</v>
      </c>
      <c r="S6" s="120" t="s">
        <v>121</v>
      </c>
      <c r="T6" s="120" t="s">
        <v>903</v>
      </c>
      <c r="U6" s="120" t="s">
        <v>300</v>
      </c>
    </row>
  </sheetData>
  <autoFilter ref="A1:U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5F73"/>
    <pageSetUpPr fitToPage="false"/>
  </sheetPr>
  <dimension ref="A1:U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4"/>
    <col collapsed="false" customWidth="true" hidden="false" outlineLevel="0" max="6" min="6" style="0" width="16"/>
    <col collapsed="false" customWidth="true" hidden="false" outlineLevel="0" max="7" min="7" style="0" width="11"/>
    <col collapsed="false" customWidth="true" hidden="false" outlineLevel="0" max="8" min="8" style="0" width="60"/>
    <col collapsed="false" customWidth="true" hidden="false" outlineLevel="0" max="9" min="9" style="0" width="22"/>
    <col collapsed="false" customWidth="true" hidden="false" outlineLevel="0" max="11" min="10" style="0" width="24"/>
    <col collapsed="false" customWidth="true" hidden="false" outlineLevel="0" max="12" min="12" style="0" width="26"/>
    <col collapsed="false" customWidth="true" hidden="false" outlineLevel="0" max="13" min="13" style="0" width="11"/>
    <col collapsed="false" customWidth="true" hidden="false" outlineLevel="0" max="14" min="14" style="0" width="20"/>
    <col collapsed="false" customWidth="true" hidden="false" outlineLevel="0" max="15" min="15" style="0" width="30"/>
    <col collapsed="false" customWidth="true" hidden="false" outlineLevel="0" max="16" min="16" style="0" width="16"/>
    <col collapsed="false" customWidth="true" hidden="false" outlineLevel="0" max="18" min="17" style="0" width="18"/>
    <col collapsed="false" customWidth="true" hidden="false" outlineLevel="0" max="19" min="19" style="0" width="12"/>
    <col collapsed="false" customWidth="true" hidden="false" outlineLevel="0" max="20" min="20" style="0" width="40"/>
    <col collapsed="false" customWidth="true" hidden="false" outlineLevel="0" max="21" min="21" style="0" width="45"/>
  </cols>
  <sheetData>
    <row r="1" customFormat="false" ht="68.65" hidden="false" customHeight="false" outlineLevel="0" collapsed="false">
      <c r="A1" s="141" t="s">
        <v>0</v>
      </c>
      <c r="B1" s="141" t="s">
        <v>51</v>
      </c>
      <c r="C1" s="141" t="s">
        <v>52</v>
      </c>
      <c r="D1" s="141" t="s">
        <v>53</v>
      </c>
      <c r="E1" s="141" t="s">
        <v>54</v>
      </c>
      <c r="F1" s="141" t="s">
        <v>55</v>
      </c>
      <c r="G1" s="141" t="s">
        <v>56</v>
      </c>
      <c r="H1" s="141" t="s">
        <v>57</v>
      </c>
      <c r="I1" s="141" t="s">
        <v>58</v>
      </c>
      <c r="J1" s="141" t="s">
        <v>59</v>
      </c>
      <c r="K1" s="141" t="s">
        <v>60</v>
      </c>
      <c r="L1" s="141" t="s">
        <v>61</v>
      </c>
      <c r="M1" s="141" t="s">
        <v>62</v>
      </c>
      <c r="N1" s="141" t="s">
        <v>63</v>
      </c>
      <c r="O1" s="141" t="s">
        <v>64</v>
      </c>
      <c r="P1" s="141" t="s">
        <v>65</v>
      </c>
      <c r="Q1" s="141" t="s">
        <v>66</v>
      </c>
      <c r="R1" s="141" t="s">
        <v>67</v>
      </c>
      <c r="S1" s="141" t="s">
        <v>68</v>
      </c>
      <c r="T1" s="141" t="s">
        <v>69</v>
      </c>
      <c r="U1" s="141" t="s">
        <v>70</v>
      </c>
    </row>
    <row r="2" customFormat="false" ht="202.95" hidden="false" customHeight="false" outlineLevel="0" collapsed="false">
      <c r="A2" s="121" t="s">
        <v>48</v>
      </c>
      <c r="B2" s="122" t="s">
        <v>49</v>
      </c>
      <c r="C2" s="122" t="s">
        <v>904</v>
      </c>
      <c r="D2" s="122" t="s">
        <v>905</v>
      </c>
      <c r="E2" s="122" t="s">
        <v>906</v>
      </c>
      <c r="F2" s="122" t="s">
        <v>907</v>
      </c>
      <c r="G2" s="122" t="s">
        <v>75</v>
      </c>
      <c r="H2" s="122" t="s">
        <v>908</v>
      </c>
      <c r="I2" s="122" t="s">
        <v>367</v>
      </c>
      <c r="J2" s="122" t="s">
        <v>78</v>
      </c>
      <c r="K2" s="122" t="s">
        <v>79</v>
      </c>
      <c r="L2" s="122" t="s">
        <v>80</v>
      </c>
      <c r="M2" s="122"/>
      <c r="N2" s="122" t="s">
        <v>909</v>
      </c>
      <c r="O2" s="122" t="s">
        <v>910</v>
      </c>
      <c r="P2" s="122" t="s">
        <v>444</v>
      </c>
      <c r="Q2" s="122" t="s">
        <v>83</v>
      </c>
      <c r="R2" s="122" t="s">
        <v>408</v>
      </c>
      <c r="S2" s="122" t="s">
        <v>121</v>
      </c>
      <c r="T2" s="122" t="s">
        <v>911</v>
      </c>
      <c r="U2" s="122" t="s">
        <v>912</v>
      </c>
    </row>
    <row r="3" customFormat="false" ht="102.2" hidden="false" customHeight="false" outlineLevel="0" collapsed="false">
      <c r="A3" s="121" t="s">
        <v>48</v>
      </c>
      <c r="B3" s="122" t="s">
        <v>49</v>
      </c>
      <c r="C3" s="122" t="s">
        <v>913</v>
      </c>
      <c r="D3" s="122" t="s">
        <v>905</v>
      </c>
      <c r="E3" s="122" t="s">
        <v>906</v>
      </c>
      <c r="F3" s="122" t="s">
        <v>914</v>
      </c>
      <c r="G3" s="122" t="s">
        <v>75</v>
      </c>
      <c r="H3" s="122" t="s">
        <v>915</v>
      </c>
      <c r="I3" s="122" t="s">
        <v>367</v>
      </c>
      <c r="J3" s="122" t="s">
        <v>78</v>
      </c>
      <c r="K3" s="122" t="s">
        <v>79</v>
      </c>
      <c r="L3" s="122" t="s">
        <v>80</v>
      </c>
      <c r="M3" s="122"/>
      <c r="N3" s="122" t="s">
        <v>916</v>
      </c>
      <c r="O3" s="122" t="s">
        <v>917</v>
      </c>
      <c r="P3" s="122" t="s">
        <v>918</v>
      </c>
      <c r="Q3" s="122" t="s">
        <v>83</v>
      </c>
      <c r="R3" s="122" t="s">
        <v>408</v>
      </c>
      <c r="S3" s="122" t="s">
        <v>121</v>
      </c>
      <c r="T3" s="122" t="s">
        <v>919</v>
      </c>
      <c r="U3" s="122" t="s">
        <v>235</v>
      </c>
    </row>
    <row r="4" customFormat="false" ht="68.65" hidden="false" customHeight="false" outlineLevel="0" collapsed="false">
      <c r="A4" s="121" t="s">
        <v>48</v>
      </c>
      <c r="B4" s="122" t="s">
        <v>49</v>
      </c>
      <c r="C4" s="122" t="s">
        <v>913</v>
      </c>
      <c r="D4" s="122" t="s">
        <v>905</v>
      </c>
      <c r="E4" s="122" t="s">
        <v>906</v>
      </c>
      <c r="F4" s="122" t="s">
        <v>920</v>
      </c>
      <c r="G4" s="122" t="s">
        <v>75</v>
      </c>
      <c r="H4" s="122" t="s">
        <v>921</v>
      </c>
      <c r="I4" s="122" t="s">
        <v>450</v>
      </c>
      <c r="J4" s="122" t="s">
        <v>78</v>
      </c>
      <c r="K4" s="122" t="s">
        <v>79</v>
      </c>
      <c r="L4" s="122" t="s">
        <v>80</v>
      </c>
      <c r="M4" s="122"/>
      <c r="N4" s="122" t="s">
        <v>916</v>
      </c>
      <c r="O4" s="122" t="s">
        <v>917</v>
      </c>
      <c r="P4" s="122" t="s">
        <v>918</v>
      </c>
      <c r="Q4" s="122" t="s">
        <v>83</v>
      </c>
      <c r="R4" s="122" t="s">
        <v>408</v>
      </c>
      <c r="S4" s="122" t="s">
        <v>121</v>
      </c>
      <c r="T4" s="122" t="s">
        <v>922</v>
      </c>
      <c r="U4" s="122" t="s">
        <v>235</v>
      </c>
    </row>
    <row r="5" customFormat="false" ht="102.2" hidden="false" customHeight="false" outlineLevel="0" collapsed="false">
      <c r="A5" s="121" t="s">
        <v>48</v>
      </c>
      <c r="B5" s="122" t="s">
        <v>49</v>
      </c>
      <c r="C5" s="122" t="s">
        <v>923</v>
      </c>
      <c r="D5" s="122" t="s">
        <v>905</v>
      </c>
      <c r="E5" s="122" t="s">
        <v>906</v>
      </c>
      <c r="F5" s="122" t="s">
        <v>924</v>
      </c>
      <c r="G5" s="122" t="s">
        <v>75</v>
      </c>
      <c r="H5" s="122" t="s">
        <v>925</v>
      </c>
      <c r="I5" s="122" t="s">
        <v>367</v>
      </c>
      <c r="J5" s="122" t="s">
        <v>78</v>
      </c>
      <c r="K5" s="122" t="s">
        <v>79</v>
      </c>
      <c r="L5" s="122" t="s">
        <v>80</v>
      </c>
      <c r="M5" s="122"/>
      <c r="N5" s="122" t="s">
        <v>926</v>
      </c>
      <c r="O5" s="122" t="s">
        <v>927</v>
      </c>
      <c r="P5" s="122" t="s">
        <v>918</v>
      </c>
      <c r="Q5" s="122" t="s">
        <v>83</v>
      </c>
      <c r="R5" s="122" t="s">
        <v>408</v>
      </c>
      <c r="S5" s="122" t="s">
        <v>121</v>
      </c>
      <c r="T5" s="122" t="s">
        <v>928</v>
      </c>
      <c r="U5" s="122" t="s">
        <v>772</v>
      </c>
    </row>
    <row r="6" customFormat="false" ht="57.45" hidden="false" customHeight="false" outlineLevel="0" collapsed="false">
      <c r="A6" s="121" t="s">
        <v>48</v>
      </c>
      <c r="B6" s="122" t="s">
        <v>49</v>
      </c>
      <c r="C6" s="122" t="s">
        <v>929</v>
      </c>
      <c r="D6" s="122" t="s">
        <v>905</v>
      </c>
      <c r="E6" s="122" t="s">
        <v>906</v>
      </c>
      <c r="F6" s="122" t="s">
        <v>930</v>
      </c>
      <c r="G6" s="122" t="s">
        <v>75</v>
      </c>
      <c r="H6" s="122" t="s">
        <v>931</v>
      </c>
      <c r="I6" s="122" t="s">
        <v>186</v>
      </c>
      <c r="J6" s="122" t="s">
        <v>78</v>
      </c>
      <c r="K6" s="122" t="s">
        <v>79</v>
      </c>
      <c r="L6" s="122" t="s">
        <v>80</v>
      </c>
      <c r="M6" s="122"/>
      <c r="N6" s="122" t="s">
        <v>932</v>
      </c>
      <c r="O6" s="122" t="s">
        <v>933</v>
      </c>
      <c r="P6" s="122" t="s">
        <v>639</v>
      </c>
      <c r="Q6" s="122" t="s">
        <v>83</v>
      </c>
      <c r="R6" s="122" t="s">
        <v>498</v>
      </c>
      <c r="S6" s="122" t="s">
        <v>121</v>
      </c>
      <c r="T6" s="122" t="s">
        <v>934</v>
      </c>
      <c r="U6" s="122" t="s">
        <v>235</v>
      </c>
    </row>
    <row r="7" customFormat="false" ht="102.2" hidden="false" customHeight="false" outlineLevel="0" collapsed="false">
      <c r="A7" s="121" t="s">
        <v>48</v>
      </c>
      <c r="B7" s="122" t="s">
        <v>49</v>
      </c>
      <c r="C7" s="122" t="s">
        <v>935</v>
      </c>
      <c r="D7" s="122" t="s">
        <v>905</v>
      </c>
      <c r="E7" s="122" t="s">
        <v>906</v>
      </c>
      <c r="F7" s="122" t="s">
        <v>936</v>
      </c>
      <c r="G7" s="122" t="s">
        <v>75</v>
      </c>
      <c r="H7" s="122" t="s">
        <v>937</v>
      </c>
      <c r="I7" s="122" t="s">
        <v>186</v>
      </c>
      <c r="J7" s="122" t="s">
        <v>78</v>
      </c>
      <c r="K7" s="122" t="s">
        <v>79</v>
      </c>
      <c r="L7" s="122" t="s">
        <v>173</v>
      </c>
      <c r="M7" s="122" t="s">
        <v>938</v>
      </c>
      <c r="N7" s="122" t="s">
        <v>862</v>
      </c>
      <c r="O7" s="122" t="s">
        <v>939</v>
      </c>
      <c r="P7" s="122" t="s">
        <v>864</v>
      </c>
      <c r="Q7" s="122" t="s">
        <v>83</v>
      </c>
      <c r="R7" s="122" t="s">
        <v>408</v>
      </c>
      <c r="S7" s="122" t="s">
        <v>121</v>
      </c>
      <c r="T7" s="122" t="s">
        <v>940</v>
      </c>
      <c r="U7" s="122" t="s">
        <v>316</v>
      </c>
    </row>
    <row r="8" customFormat="false" ht="79.85" hidden="false" customHeight="false" outlineLevel="0" collapsed="false">
      <c r="A8" s="121" t="s">
        <v>48</v>
      </c>
      <c r="B8" s="122" t="s">
        <v>49</v>
      </c>
      <c r="C8" s="122" t="s">
        <v>941</v>
      </c>
      <c r="D8" s="122" t="s">
        <v>905</v>
      </c>
      <c r="E8" s="122" t="s">
        <v>906</v>
      </c>
      <c r="F8" s="122" t="s">
        <v>942</v>
      </c>
      <c r="G8" s="122" t="s">
        <v>75</v>
      </c>
      <c r="H8" s="122" t="s">
        <v>943</v>
      </c>
      <c r="I8" s="122" t="s">
        <v>181</v>
      </c>
      <c r="J8" s="122" t="s">
        <v>78</v>
      </c>
      <c r="K8" s="122" t="s">
        <v>79</v>
      </c>
      <c r="L8" s="122" t="s">
        <v>80</v>
      </c>
      <c r="M8" s="122" t="s">
        <v>944</v>
      </c>
      <c r="N8" s="122" t="s">
        <v>945</v>
      </c>
      <c r="O8" s="122" t="s">
        <v>946</v>
      </c>
      <c r="P8" s="122" t="s">
        <v>407</v>
      </c>
      <c r="Q8" s="122" t="s">
        <v>83</v>
      </c>
      <c r="R8" s="122" t="s">
        <v>408</v>
      </c>
      <c r="S8" s="122" t="s">
        <v>121</v>
      </c>
      <c r="T8" s="122" t="s">
        <v>947</v>
      </c>
      <c r="U8" s="122" t="s">
        <v>316</v>
      </c>
    </row>
    <row r="9" customFormat="false" ht="79.85" hidden="false" customHeight="false" outlineLevel="0" collapsed="false">
      <c r="A9" s="121" t="s">
        <v>48</v>
      </c>
      <c r="B9" s="122" t="s">
        <v>49</v>
      </c>
      <c r="C9" s="122" t="s">
        <v>941</v>
      </c>
      <c r="D9" s="122" t="s">
        <v>905</v>
      </c>
      <c r="E9" s="122" t="s">
        <v>906</v>
      </c>
      <c r="F9" s="122" t="s">
        <v>948</v>
      </c>
      <c r="G9" s="122" t="s">
        <v>75</v>
      </c>
      <c r="H9" s="122" t="s">
        <v>949</v>
      </c>
      <c r="I9" s="122" t="s">
        <v>950</v>
      </c>
      <c r="J9" s="122" t="s">
        <v>78</v>
      </c>
      <c r="K9" s="122" t="s">
        <v>79</v>
      </c>
      <c r="L9" s="122" t="s">
        <v>80</v>
      </c>
      <c r="M9" s="122" t="s">
        <v>944</v>
      </c>
      <c r="N9" s="122" t="s">
        <v>945</v>
      </c>
      <c r="O9" s="122" t="s">
        <v>946</v>
      </c>
      <c r="P9" s="122" t="s">
        <v>407</v>
      </c>
      <c r="Q9" s="122" t="s">
        <v>83</v>
      </c>
      <c r="R9" s="122" t="s">
        <v>408</v>
      </c>
      <c r="S9" s="122" t="s">
        <v>121</v>
      </c>
      <c r="T9" s="122" t="s">
        <v>951</v>
      </c>
      <c r="U9" s="122" t="s">
        <v>316</v>
      </c>
    </row>
    <row r="10" customFormat="false" ht="57.45" hidden="false" customHeight="false" outlineLevel="0" collapsed="false">
      <c r="A10" s="121" t="s">
        <v>48</v>
      </c>
      <c r="B10" s="122" t="s">
        <v>49</v>
      </c>
      <c r="C10" s="122" t="s">
        <v>952</v>
      </c>
      <c r="D10" s="122" t="s">
        <v>905</v>
      </c>
      <c r="E10" s="122" t="s">
        <v>906</v>
      </c>
      <c r="F10" s="122" t="s">
        <v>953</v>
      </c>
      <c r="G10" s="122" t="s">
        <v>75</v>
      </c>
      <c r="H10" s="122" t="s">
        <v>954</v>
      </c>
      <c r="I10" s="122" t="s">
        <v>851</v>
      </c>
      <c r="J10" s="122" t="s">
        <v>78</v>
      </c>
      <c r="K10" s="122" t="s">
        <v>79</v>
      </c>
      <c r="L10" s="122" t="s">
        <v>403</v>
      </c>
      <c r="M10" s="122" t="s">
        <v>955</v>
      </c>
      <c r="N10" s="122" t="s">
        <v>956</v>
      </c>
      <c r="O10" s="122" t="s">
        <v>957</v>
      </c>
      <c r="P10" s="122" t="s">
        <v>189</v>
      </c>
      <c r="Q10" s="122" t="s">
        <v>83</v>
      </c>
      <c r="R10" s="122" t="s">
        <v>408</v>
      </c>
      <c r="S10" s="122" t="s">
        <v>121</v>
      </c>
      <c r="T10" s="122" t="s">
        <v>958</v>
      </c>
      <c r="U10" s="122" t="s">
        <v>191</v>
      </c>
    </row>
    <row r="11" customFormat="false" ht="180.55" hidden="false" customHeight="false" outlineLevel="0" collapsed="false">
      <c r="A11" s="121" t="s">
        <v>48</v>
      </c>
      <c r="B11" s="122" t="s">
        <v>49</v>
      </c>
      <c r="C11" s="122" t="s">
        <v>959</v>
      </c>
      <c r="D11" s="122" t="s">
        <v>905</v>
      </c>
      <c r="E11" s="122" t="s">
        <v>906</v>
      </c>
      <c r="F11" s="122" t="s">
        <v>960</v>
      </c>
      <c r="G11" s="122" t="s">
        <v>75</v>
      </c>
      <c r="H11" s="122" t="s">
        <v>961</v>
      </c>
      <c r="I11" s="122" t="s">
        <v>77</v>
      </c>
      <c r="J11" s="122" t="s">
        <v>78</v>
      </c>
      <c r="K11" s="122" t="s">
        <v>79</v>
      </c>
      <c r="L11" s="122" t="s">
        <v>173</v>
      </c>
      <c r="M11" s="122" t="s">
        <v>962</v>
      </c>
      <c r="N11" s="122" t="s">
        <v>963</v>
      </c>
      <c r="O11" s="122" t="s">
        <v>964</v>
      </c>
      <c r="P11" s="122" t="s">
        <v>639</v>
      </c>
      <c r="Q11" s="122" t="s">
        <v>83</v>
      </c>
      <c r="R11" s="122" t="s">
        <v>408</v>
      </c>
      <c r="S11" s="122" t="s">
        <v>121</v>
      </c>
      <c r="T11" s="122" t="s">
        <v>965</v>
      </c>
      <c r="U11" s="122" t="s">
        <v>966</v>
      </c>
    </row>
    <row r="12" customFormat="false" ht="180.55" hidden="false" customHeight="false" outlineLevel="0" collapsed="false">
      <c r="A12" s="121" t="s">
        <v>48</v>
      </c>
      <c r="B12" s="122" t="s">
        <v>49</v>
      </c>
      <c r="C12" s="122" t="s">
        <v>959</v>
      </c>
      <c r="D12" s="122" t="s">
        <v>905</v>
      </c>
      <c r="E12" s="122" t="s">
        <v>906</v>
      </c>
      <c r="F12" s="122" t="s">
        <v>967</v>
      </c>
      <c r="G12" s="122" t="s">
        <v>75</v>
      </c>
      <c r="H12" s="122" t="s">
        <v>968</v>
      </c>
      <c r="I12" s="122" t="s">
        <v>77</v>
      </c>
      <c r="J12" s="122" t="s">
        <v>969</v>
      </c>
      <c r="K12" s="122" t="s">
        <v>79</v>
      </c>
      <c r="L12" s="122" t="s">
        <v>173</v>
      </c>
      <c r="M12" s="122" t="s">
        <v>962</v>
      </c>
      <c r="N12" s="122" t="s">
        <v>963</v>
      </c>
      <c r="O12" s="122" t="s">
        <v>964</v>
      </c>
      <c r="P12" s="122" t="s">
        <v>639</v>
      </c>
      <c r="Q12" s="122" t="s">
        <v>83</v>
      </c>
      <c r="R12" s="122" t="s">
        <v>408</v>
      </c>
      <c r="S12" s="122" t="s">
        <v>121</v>
      </c>
      <c r="T12" s="122" t="s">
        <v>970</v>
      </c>
      <c r="U12" s="122" t="s">
        <v>966</v>
      </c>
    </row>
    <row r="13" customFormat="false" ht="57.45" hidden="false" customHeight="false" outlineLevel="0" collapsed="false">
      <c r="A13" s="121" t="s">
        <v>48</v>
      </c>
      <c r="B13" s="122" t="s">
        <v>49</v>
      </c>
      <c r="C13" s="122" t="s">
        <v>971</v>
      </c>
      <c r="D13" s="122" t="s">
        <v>905</v>
      </c>
      <c r="E13" s="122" t="s">
        <v>906</v>
      </c>
      <c r="F13" s="122" t="s">
        <v>972</v>
      </c>
      <c r="G13" s="122" t="s">
        <v>75</v>
      </c>
      <c r="H13" s="122" t="s">
        <v>973</v>
      </c>
      <c r="I13" s="122" t="s">
        <v>77</v>
      </c>
      <c r="J13" s="122" t="s">
        <v>974</v>
      </c>
      <c r="K13" s="122" t="s">
        <v>79</v>
      </c>
      <c r="L13" s="122" t="s">
        <v>80</v>
      </c>
      <c r="M13" s="122" t="s">
        <v>975</v>
      </c>
      <c r="N13" s="122" t="s">
        <v>976</v>
      </c>
      <c r="O13" s="122" t="s">
        <v>977</v>
      </c>
      <c r="P13" s="122" t="s">
        <v>918</v>
      </c>
      <c r="Q13" s="122" t="s">
        <v>83</v>
      </c>
      <c r="R13" s="122" t="s">
        <v>408</v>
      </c>
      <c r="S13" s="122" t="s">
        <v>121</v>
      </c>
      <c r="T13" s="122" t="s">
        <v>978</v>
      </c>
      <c r="U13" s="122" t="s">
        <v>300</v>
      </c>
    </row>
    <row r="14" customFormat="false" ht="91" hidden="false" customHeight="false" outlineLevel="0" collapsed="false">
      <c r="A14" s="121" t="s">
        <v>48</v>
      </c>
      <c r="B14" s="122" t="s">
        <v>49</v>
      </c>
      <c r="C14" s="122" t="s">
        <v>971</v>
      </c>
      <c r="D14" s="122" t="s">
        <v>905</v>
      </c>
      <c r="E14" s="122" t="s">
        <v>906</v>
      </c>
      <c r="F14" s="122" t="s">
        <v>979</v>
      </c>
      <c r="G14" s="122" t="s">
        <v>75</v>
      </c>
      <c r="H14" s="122" t="s">
        <v>980</v>
      </c>
      <c r="I14" s="122" t="s">
        <v>77</v>
      </c>
      <c r="J14" s="122" t="s">
        <v>78</v>
      </c>
      <c r="K14" s="122" t="s">
        <v>79</v>
      </c>
      <c r="L14" s="122" t="s">
        <v>80</v>
      </c>
      <c r="M14" s="122" t="s">
        <v>975</v>
      </c>
      <c r="N14" s="122" t="s">
        <v>976</v>
      </c>
      <c r="O14" s="122" t="s">
        <v>977</v>
      </c>
      <c r="P14" s="122" t="s">
        <v>918</v>
      </c>
      <c r="Q14" s="122" t="s">
        <v>83</v>
      </c>
      <c r="R14" s="122" t="s">
        <v>408</v>
      </c>
      <c r="S14" s="122" t="s">
        <v>121</v>
      </c>
      <c r="T14" s="122" t="s">
        <v>981</v>
      </c>
      <c r="U14" s="122" t="s">
        <v>300</v>
      </c>
    </row>
    <row r="15" customFormat="false" ht="91" hidden="false" customHeight="false" outlineLevel="0" collapsed="false">
      <c r="A15" s="121" t="s">
        <v>48</v>
      </c>
      <c r="B15" s="122" t="s">
        <v>49</v>
      </c>
      <c r="C15" s="122" t="s">
        <v>971</v>
      </c>
      <c r="D15" s="122" t="s">
        <v>905</v>
      </c>
      <c r="E15" s="122" t="s">
        <v>906</v>
      </c>
      <c r="F15" s="122" t="s">
        <v>982</v>
      </c>
      <c r="G15" s="122" t="s">
        <v>75</v>
      </c>
      <c r="H15" s="122" t="s">
        <v>983</v>
      </c>
      <c r="I15" s="122" t="s">
        <v>77</v>
      </c>
      <c r="J15" s="122" t="s">
        <v>78</v>
      </c>
      <c r="K15" s="122" t="s">
        <v>79</v>
      </c>
      <c r="L15" s="122" t="s">
        <v>80</v>
      </c>
      <c r="M15" s="122" t="s">
        <v>975</v>
      </c>
      <c r="N15" s="122" t="s">
        <v>976</v>
      </c>
      <c r="O15" s="122" t="s">
        <v>977</v>
      </c>
      <c r="P15" s="122" t="s">
        <v>918</v>
      </c>
      <c r="Q15" s="122" t="s">
        <v>83</v>
      </c>
      <c r="R15" s="122" t="s">
        <v>408</v>
      </c>
      <c r="S15" s="122" t="s">
        <v>121</v>
      </c>
      <c r="T15" s="122" t="s">
        <v>984</v>
      </c>
      <c r="U15" s="122" t="s">
        <v>300</v>
      </c>
    </row>
    <row r="16" customFormat="false" ht="68.65" hidden="false" customHeight="false" outlineLevel="0" collapsed="false">
      <c r="A16" s="121" t="s">
        <v>48</v>
      </c>
      <c r="B16" s="122" t="s">
        <v>49</v>
      </c>
      <c r="C16" s="122" t="s">
        <v>971</v>
      </c>
      <c r="D16" s="122" t="s">
        <v>905</v>
      </c>
      <c r="E16" s="122" t="s">
        <v>906</v>
      </c>
      <c r="F16" s="122" t="s">
        <v>985</v>
      </c>
      <c r="G16" s="122" t="s">
        <v>75</v>
      </c>
      <c r="H16" s="122" t="s">
        <v>986</v>
      </c>
      <c r="I16" s="122" t="s">
        <v>77</v>
      </c>
      <c r="J16" s="122" t="s">
        <v>78</v>
      </c>
      <c r="K16" s="122" t="s">
        <v>79</v>
      </c>
      <c r="L16" s="122" t="s">
        <v>403</v>
      </c>
      <c r="M16" s="122" t="s">
        <v>975</v>
      </c>
      <c r="N16" s="122" t="s">
        <v>976</v>
      </c>
      <c r="O16" s="122" t="s">
        <v>977</v>
      </c>
      <c r="P16" s="122" t="s">
        <v>918</v>
      </c>
      <c r="Q16" s="122" t="s">
        <v>83</v>
      </c>
      <c r="R16" s="122" t="s">
        <v>408</v>
      </c>
      <c r="S16" s="122" t="s">
        <v>121</v>
      </c>
      <c r="T16" s="122" t="s">
        <v>987</v>
      </c>
      <c r="U16" s="122" t="s">
        <v>300</v>
      </c>
    </row>
    <row r="17" customFormat="false" ht="68.65" hidden="false" customHeight="false" outlineLevel="0" collapsed="false">
      <c r="A17" s="121" t="s">
        <v>48</v>
      </c>
      <c r="B17" s="122" t="s">
        <v>49</v>
      </c>
      <c r="C17" s="122" t="s">
        <v>971</v>
      </c>
      <c r="D17" s="122" t="s">
        <v>905</v>
      </c>
      <c r="E17" s="122" t="s">
        <v>906</v>
      </c>
      <c r="F17" s="122" t="s">
        <v>988</v>
      </c>
      <c r="G17" s="122" t="s">
        <v>75</v>
      </c>
      <c r="H17" s="122" t="s">
        <v>989</v>
      </c>
      <c r="I17" s="122" t="s">
        <v>990</v>
      </c>
      <c r="J17" s="122" t="s">
        <v>78</v>
      </c>
      <c r="K17" s="122" t="s">
        <v>79</v>
      </c>
      <c r="L17" s="122" t="s">
        <v>173</v>
      </c>
      <c r="M17" s="122" t="s">
        <v>975</v>
      </c>
      <c r="N17" s="122" t="s">
        <v>976</v>
      </c>
      <c r="O17" s="122" t="s">
        <v>977</v>
      </c>
      <c r="P17" s="122" t="s">
        <v>918</v>
      </c>
      <c r="Q17" s="122" t="s">
        <v>83</v>
      </c>
      <c r="R17" s="122" t="s">
        <v>408</v>
      </c>
      <c r="S17" s="122" t="s">
        <v>121</v>
      </c>
      <c r="T17" s="122" t="s">
        <v>991</v>
      </c>
      <c r="U17" s="122" t="s">
        <v>300</v>
      </c>
    </row>
    <row r="18" customFormat="false" ht="57.45" hidden="false" customHeight="false" outlineLevel="0" collapsed="false">
      <c r="A18" s="121" t="s">
        <v>48</v>
      </c>
      <c r="B18" s="122" t="s">
        <v>49</v>
      </c>
      <c r="C18" s="122" t="s">
        <v>992</v>
      </c>
      <c r="D18" s="122" t="s">
        <v>905</v>
      </c>
      <c r="E18" s="122" t="s">
        <v>906</v>
      </c>
      <c r="F18" s="122" t="s">
        <v>993</v>
      </c>
      <c r="G18" s="122" t="s">
        <v>75</v>
      </c>
      <c r="H18" s="122" t="s">
        <v>994</v>
      </c>
      <c r="I18" s="122" t="s">
        <v>995</v>
      </c>
      <c r="J18" s="122" t="s">
        <v>78</v>
      </c>
      <c r="K18" s="122" t="s">
        <v>79</v>
      </c>
      <c r="L18" s="122" t="s">
        <v>403</v>
      </c>
      <c r="M18" s="122" t="s">
        <v>996</v>
      </c>
      <c r="N18" s="122"/>
      <c r="O18" s="122" t="s">
        <v>997</v>
      </c>
      <c r="P18" s="122" t="s">
        <v>189</v>
      </c>
      <c r="Q18" s="122" t="s">
        <v>83</v>
      </c>
      <c r="R18" s="122" t="s">
        <v>408</v>
      </c>
      <c r="S18" s="122" t="s">
        <v>121</v>
      </c>
      <c r="T18" s="122" t="s">
        <v>998</v>
      </c>
      <c r="U18" s="122" t="s">
        <v>191</v>
      </c>
    </row>
    <row r="19" customFormat="false" ht="191.75" hidden="false" customHeight="false" outlineLevel="0" collapsed="false">
      <c r="A19" s="121" t="s">
        <v>48</v>
      </c>
      <c r="B19" s="122" t="s">
        <v>49</v>
      </c>
      <c r="C19" s="122" t="s">
        <v>999</v>
      </c>
      <c r="D19" s="122" t="s">
        <v>905</v>
      </c>
      <c r="E19" s="122" t="s">
        <v>906</v>
      </c>
      <c r="F19" s="122" t="s">
        <v>1000</v>
      </c>
      <c r="G19" s="122" t="s">
        <v>75</v>
      </c>
      <c r="H19" s="122" t="s">
        <v>1001</v>
      </c>
      <c r="I19" s="122" t="s">
        <v>1002</v>
      </c>
      <c r="J19" s="122" t="s">
        <v>78</v>
      </c>
      <c r="K19" s="122" t="s">
        <v>79</v>
      </c>
      <c r="L19" s="122" t="s">
        <v>80</v>
      </c>
      <c r="M19" s="122" t="s">
        <v>1003</v>
      </c>
      <c r="N19" s="122" t="s">
        <v>1004</v>
      </c>
      <c r="O19" s="122" t="s">
        <v>1005</v>
      </c>
      <c r="P19" s="122" t="s">
        <v>1006</v>
      </c>
      <c r="Q19" s="122" t="s">
        <v>83</v>
      </c>
      <c r="R19" s="122" t="s">
        <v>408</v>
      </c>
      <c r="S19" s="122" t="s">
        <v>121</v>
      </c>
      <c r="T19" s="122" t="s">
        <v>1007</v>
      </c>
      <c r="U19" s="122" t="s">
        <v>1008</v>
      </c>
    </row>
    <row r="20" customFormat="false" ht="46.25" hidden="false" customHeight="false" outlineLevel="0" collapsed="false">
      <c r="A20" s="121" t="s">
        <v>48</v>
      </c>
      <c r="B20" s="122" t="s">
        <v>49</v>
      </c>
      <c r="C20" s="122" t="s">
        <v>1009</v>
      </c>
      <c r="D20" s="122" t="s">
        <v>905</v>
      </c>
      <c r="E20" s="122" t="s">
        <v>906</v>
      </c>
      <c r="F20" s="122" t="s">
        <v>1010</v>
      </c>
      <c r="G20" s="122" t="s">
        <v>75</v>
      </c>
      <c r="H20" s="122" t="s">
        <v>1011</v>
      </c>
      <c r="I20" s="122" t="s">
        <v>78</v>
      </c>
      <c r="J20" s="122" t="s">
        <v>78</v>
      </c>
      <c r="K20" s="122" t="s">
        <v>78</v>
      </c>
      <c r="L20" s="122" t="s">
        <v>78</v>
      </c>
      <c r="M20" s="122" t="s">
        <v>1012</v>
      </c>
      <c r="N20" s="122" t="s">
        <v>862</v>
      </c>
      <c r="O20" s="122" t="s">
        <v>1013</v>
      </c>
      <c r="P20" s="122" t="s">
        <v>864</v>
      </c>
      <c r="Q20" s="122" t="s">
        <v>83</v>
      </c>
      <c r="R20" s="122" t="s">
        <v>408</v>
      </c>
      <c r="S20" s="122" t="s">
        <v>95</v>
      </c>
      <c r="T20" s="122" t="s">
        <v>200</v>
      </c>
      <c r="U20" s="122" t="s">
        <v>201</v>
      </c>
    </row>
    <row r="21" customFormat="false" ht="158.2" hidden="false" customHeight="false" outlineLevel="0" collapsed="false">
      <c r="A21" s="121" t="s">
        <v>48</v>
      </c>
      <c r="B21" s="122" t="s">
        <v>49</v>
      </c>
      <c r="C21" s="122" t="s">
        <v>1421</v>
      </c>
      <c r="D21" s="122" t="s">
        <v>1422</v>
      </c>
      <c r="E21" s="122" t="s">
        <v>1423</v>
      </c>
      <c r="F21" s="122" t="s">
        <v>1424</v>
      </c>
      <c r="G21" s="122" t="s">
        <v>1027</v>
      </c>
      <c r="H21" s="122" t="s">
        <v>441</v>
      </c>
      <c r="I21" s="122" t="s">
        <v>1160</v>
      </c>
      <c r="J21" s="122" t="s">
        <v>78</v>
      </c>
      <c r="K21" s="122" t="s">
        <v>78</v>
      </c>
      <c r="L21" s="122" t="s">
        <v>1058</v>
      </c>
      <c r="M21" s="122"/>
      <c r="N21" s="122" t="s">
        <v>442</v>
      </c>
      <c r="O21" s="122" t="s">
        <v>1425</v>
      </c>
      <c r="P21" s="122" t="s">
        <v>444</v>
      </c>
      <c r="Q21" s="122" t="s">
        <v>83</v>
      </c>
      <c r="R21" s="122" t="s">
        <v>408</v>
      </c>
      <c r="S21" s="122" t="s">
        <v>121</v>
      </c>
      <c r="T21" s="122" t="s">
        <v>445</v>
      </c>
      <c r="U21" s="122" t="s">
        <v>658</v>
      </c>
    </row>
    <row r="22" customFormat="false" ht="214.15" hidden="false" customHeight="false" outlineLevel="0" collapsed="false">
      <c r="A22" s="121" t="s">
        <v>48</v>
      </c>
      <c r="B22" s="122" t="s">
        <v>49</v>
      </c>
      <c r="C22" s="122" t="s">
        <v>1426</v>
      </c>
      <c r="D22" s="122" t="s">
        <v>1422</v>
      </c>
      <c r="E22" s="122" t="s">
        <v>1427</v>
      </c>
      <c r="F22" s="122" t="s">
        <v>1428</v>
      </c>
      <c r="G22" s="122" t="s">
        <v>1072</v>
      </c>
      <c r="H22" s="122" t="s">
        <v>1429</v>
      </c>
      <c r="I22" s="122" t="s">
        <v>1068</v>
      </c>
      <c r="J22" s="122" t="s">
        <v>78</v>
      </c>
      <c r="K22" s="122" t="s">
        <v>78</v>
      </c>
      <c r="L22" s="122" t="s">
        <v>1058</v>
      </c>
      <c r="M22" s="122"/>
      <c r="N22" s="122" t="s">
        <v>1430</v>
      </c>
      <c r="O22" s="122" t="s">
        <v>1431</v>
      </c>
      <c r="P22" s="122" t="s">
        <v>1432</v>
      </c>
      <c r="Q22" s="122" t="s">
        <v>83</v>
      </c>
      <c r="R22" s="122" t="s">
        <v>408</v>
      </c>
      <c r="S22" s="122" t="s">
        <v>121</v>
      </c>
      <c r="T22" s="122" t="s">
        <v>1433</v>
      </c>
      <c r="U22" s="122" t="s">
        <v>522</v>
      </c>
    </row>
    <row r="23" customFormat="false" ht="102.2" hidden="false" customHeight="false" outlineLevel="0" collapsed="false">
      <c r="A23" s="121" t="s">
        <v>48</v>
      </c>
      <c r="B23" s="122" t="s">
        <v>49</v>
      </c>
      <c r="C23" s="122" t="s">
        <v>1434</v>
      </c>
      <c r="D23" s="122" t="s">
        <v>1422</v>
      </c>
      <c r="E23" s="122" t="s">
        <v>1423</v>
      </c>
      <c r="F23" s="122" t="s">
        <v>1435</v>
      </c>
      <c r="G23" s="122" t="s">
        <v>1027</v>
      </c>
      <c r="H23" s="122" t="s">
        <v>915</v>
      </c>
      <c r="I23" s="122" t="s">
        <v>1160</v>
      </c>
      <c r="J23" s="122" t="s">
        <v>78</v>
      </c>
      <c r="K23" s="122" t="s">
        <v>1436</v>
      </c>
      <c r="L23" s="122" t="s">
        <v>1058</v>
      </c>
      <c r="M23" s="122"/>
      <c r="N23" s="122" t="s">
        <v>916</v>
      </c>
      <c r="O23" s="122" t="s">
        <v>1437</v>
      </c>
      <c r="P23" s="122" t="s">
        <v>918</v>
      </c>
      <c r="Q23" s="122" t="s">
        <v>83</v>
      </c>
      <c r="R23" s="122" t="s">
        <v>408</v>
      </c>
      <c r="S23" s="122" t="s">
        <v>121</v>
      </c>
      <c r="T23" s="122" t="s">
        <v>919</v>
      </c>
      <c r="U23" s="122" t="s">
        <v>227</v>
      </c>
    </row>
    <row r="24" customFormat="false" ht="147" hidden="false" customHeight="false" outlineLevel="0" collapsed="false">
      <c r="A24" s="121" t="s">
        <v>48</v>
      </c>
      <c r="B24" s="122" t="s">
        <v>49</v>
      </c>
      <c r="C24" s="122" t="s">
        <v>1434</v>
      </c>
      <c r="D24" s="122" t="s">
        <v>1422</v>
      </c>
      <c r="E24" s="122" t="s">
        <v>1423</v>
      </c>
      <c r="F24" s="122" t="s">
        <v>1438</v>
      </c>
      <c r="G24" s="122" t="s">
        <v>1027</v>
      </c>
      <c r="H24" s="122" t="s">
        <v>1439</v>
      </c>
      <c r="I24" s="122" t="s">
        <v>1160</v>
      </c>
      <c r="J24" s="122" t="s">
        <v>1440</v>
      </c>
      <c r="K24" s="122" t="s">
        <v>78</v>
      </c>
      <c r="L24" s="122" t="s">
        <v>1058</v>
      </c>
      <c r="M24" s="122"/>
      <c r="N24" s="122" t="s">
        <v>1441</v>
      </c>
      <c r="O24" s="122" t="s">
        <v>1437</v>
      </c>
      <c r="P24" s="122" t="s">
        <v>918</v>
      </c>
      <c r="Q24" s="122" t="s">
        <v>83</v>
      </c>
      <c r="R24" s="122" t="s">
        <v>408</v>
      </c>
      <c r="S24" s="122" t="s">
        <v>121</v>
      </c>
      <c r="T24" s="122" t="s">
        <v>1442</v>
      </c>
      <c r="U24" s="122" t="s">
        <v>227</v>
      </c>
    </row>
    <row r="25" customFormat="false" ht="79.85" hidden="false" customHeight="false" outlineLevel="0" collapsed="false">
      <c r="A25" s="121" t="s">
        <v>48</v>
      </c>
      <c r="B25" s="122" t="s">
        <v>49</v>
      </c>
      <c r="C25" s="122" t="s">
        <v>941</v>
      </c>
      <c r="D25" s="122" t="s">
        <v>1422</v>
      </c>
      <c r="E25" s="122" t="s">
        <v>1443</v>
      </c>
      <c r="F25" s="122" t="s">
        <v>1444</v>
      </c>
      <c r="G25" s="122" t="s">
        <v>1027</v>
      </c>
      <c r="H25" s="122" t="s">
        <v>949</v>
      </c>
      <c r="I25" s="122" t="s">
        <v>1445</v>
      </c>
      <c r="J25" s="122" t="s">
        <v>78</v>
      </c>
      <c r="K25" s="122" t="s">
        <v>78</v>
      </c>
      <c r="L25" s="122" t="s">
        <v>1031</v>
      </c>
      <c r="M25" s="122" t="s">
        <v>944</v>
      </c>
      <c r="N25" s="122" t="s">
        <v>945</v>
      </c>
      <c r="O25" s="122" t="s">
        <v>1446</v>
      </c>
      <c r="P25" s="122" t="s">
        <v>407</v>
      </c>
      <c r="Q25" s="122" t="s">
        <v>83</v>
      </c>
      <c r="R25" s="122" t="s">
        <v>408</v>
      </c>
      <c r="S25" s="122" t="s">
        <v>121</v>
      </c>
      <c r="T25" s="122" t="s">
        <v>951</v>
      </c>
      <c r="U25" s="122" t="s">
        <v>191</v>
      </c>
    </row>
    <row r="26" customFormat="false" ht="158.2" hidden="false" customHeight="false" outlineLevel="0" collapsed="false">
      <c r="A26" s="121" t="s">
        <v>48</v>
      </c>
      <c r="B26" s="122" t="s">
        <v>49</v>
      </c>
      <c r="C26" s="122" t="s">
        <v>959</v>
      </c>
      <c r="D26" s="122" t="s">
        <v>1422</v>
      </c>
      <c r="E26" s="122" t="s">
        <v>1447</v>
      </c>
      <c r="F26" s="122" t="s">
        <v>1448</v>
      </c>
      <c r="G26" s="122" t="s">
        <v>1027</v>
      </c>
      <c r="H26" s="122" t="s">
        <v>1449</v>
      </c>
      <c r="I26" s="122" t="s">
        <v>1354</v>
      </c>
      <c r="J26" s="122" t="s">
        <v>78</v>
      </c>
      <c r="K26" s="122" t="s">
        <v>1450</v>
      </c>
      <c r="L26" s="122" t="s">
        <v>1074</v>
      </c>
      <c r="M26" s="122" t="s">
        <v>962</v>
      </c>
      <c r="N26" s="122" t="s">
        <v>1451</v>
      </c>
      <c r="O26" s="122" t="s">
        <v>1452</v>
      </c>
      <c r="P26" s="122" t="s">
        <v>639</v>
      </c>
      <c r="Q26" s="122" t="s">
        <v>83</v>
      </c>
      <c r="R26" s="122" t="s">
        <v>408</v>
      </c>
      <c r="S26" s="122" t="s">
        <v>121</v>
      </c>
      <c r="T26" s="122" t="s">
        <v>1453</v>
      </c>
      <c r="U26" s="122" t="s">
        <v>1025</v>
      </c>
    </row>
    <row r="27" customFormat="false" ht="57.45" hidden="false" customHeight="false" outlineLevel="0" collapsed="false">
      <c r="A27" s="121" t="s">
        <v>48</v>
      </c>
      <c r="B27" s="122" t="s">
        <v>49</v>
      </c>
      <c r="C27" s="122" t="s">
        <v>971</v>
      </c>
      <c r="D27" s="122" t="s">
        <v>1422</v>
      </c>
      <c r="E27" s="122" t="s">
        <v>1454</v>
      </c>
      <c r="F27" s="122" t="s">
        <v>1455</v>
      </c>
      <c r="G27" s="122" t="s">
        <v>1027</v>
      </c>
      <c r="H27" s="122" t="s">
        <v>973</v>
      </c>
      <c r="I27" s="122" t="s">
        <v>1045</v>
      </c>
      <c r="J27" s="122" t="s">
        <v>974</v>
      </c>
      <c r="K27" s="122" t="s">
        <v>1456</v>
      </c>
      <c r="L27" s="122" t="s">
        <v>1058</v>
      </c>
      <c r="M27" s="122" t="s">
        <v>975</v>
      </c>
      <c r="N27" s="122" t="s">
        <v>976</v>
      </c>
      <c r="O27" s="122" t="s">
        <v>977</v>
      </c>
      <c r="P27" s="122" t="s">
        <v>918</v>
      </c>
      <c r="Q27" s="122" t="s">
        <v>83</v>
      </c>
      <c r="R27" s="122" t="s">
        <v>408</v>
      </c>
      <c r="S27" s="122" t="s">
        <v>121</v>
      </c>
      <c r="T27" s="122" t="s">
        <v>978</v>
      </c>
      <c r="U27" s="122" t="s">
        <v>300</v>
      </c>
    </row>
    <row r="28" customFormat="false" ht="68.65" hidden="false" customHeight="false" outlineLevel="0" collapsed="false">
      <c r="A28" s="121" t="s">
        <v>48</v>
      </c>
      <c r="B28" s="122" t="s">
        <v>49</v>
      </c>
      <c r="C28" s="122" t="s">
        <v>971</v>
      </c>
      <c r="D28" s="122" t="s">
        <v>1422</v>
      </c>
      <c r="E28" s="122" t="s">
        <v>1427</v>
      </c>
      <c r="F28" s="122" t="s">
        <v>1457</v>
      </c>
      <c r="G28" s="122" t="s">
        <v>1027</v>
      </c>
      <c r="H28" s="122" t="s">
        <v>989</v>
      </c>
      <c r="I28" s="122" t="s">
        <v>1073</v>
      </c>
      <c r="J28" s="122" t="s">
        <v>78</v>
      </c>
      <c r="K28" s="122" t="s">
        <v>78</v>
      </c>
      <c r="L28" s="122" t="s">
        <v>1074</v>
      </c>
      <c r="M28" s="122" t="s">
        <v>975</v>
      </c>
      <c r="N28" s="122" t="s">
        <v>976</v>
      </c>
      <c r="O28" s="122" t="s">
        <v>977</v>
      </c>
      <c r="P28" s="122" t="s">
        <v>918</v>
      </c>
      <c r="Q28" s="122" t="s">
        <v>83</v>
      </c>
      <c r="R28" s="122" t="s">
        <v>408</v>
      </c>
      <c r="S28" s="122" t="s">
        <v>121</v>
      </c>
      <c r="T28" s="122" t="s">
        <v>991</v>
      </c>
      <c r="U28" s="122" t="s">
        <v>300</v>
      </c>
    </row>
    <row r="29" customFormat="false" ht="57.45" hidden="false" customHeight="false" outlineLevel="0" collapsed="false">
      <c r="A29" s="121" t="s">
        <v>48</v>
      </c>
      <c r="B29" s="122" t="s">
        <v>49</v>
      </c>
      <c r="C29" s="122" t="s">
        <v>992</v>
      </c>
      <c r="D29" s="122" t="s">
        <v>1422</v>
      </c>
      <c r="E29" s="122" t="s">
        <v>1427</v>
      </c>
      <c r="F29" s="122" t="s">
        <v>1458</v>
      </c>
      <c r="G29" s="122" t="s">
        <v>1027</v>
      </c>
      <c r="H29" s="122" t="s">
        <v>994</v>
      </c>
      <c r="I29" s="122" t="s">
        <v>1073</v>
      </c>
      <c r="J29" s="122" t="s">
        <v>78</v>
      </c>
      <c r="K29" s="122" t="s">
        <v>78</v>
      </c>
      <c r="L29" s="122" t="s">
        <v>1064</v>
      </c>
      <c r="M29" s="122" t="s">
        <v>996</v>
      </c>
      <c r="N29" s="122"/>
      <c r="O29" s="122" t="s">
        <v>997</v>
      </c>
      <c r="P29" s="122" t="s">
        <v>189</v>
      </c>
      <c r="Q29" s="122" t="s">
        <v>83</v>
      </c>
      <c r="R29" s="122" t="s">
        <v>408</v>
      </c>
      <c r="S29" s="122" t="s">
        <v>121</v>
      </c>
      <c r="T29" s="122" t="s">
        <v>998</v>
      </c>
      <c r="U29" s="122" t="s">
        <v>191</v>
      </c>
    </row>
    <row r="30" customFormat="false" ht="113.4" hidden="false" customHeight="false" outlineLevel="0" collapsed="false">
      <c r="A30" s="121" t="s">
        <v>48</v>
      </c>
      <c r="B30" s="122" t="s">
        <v>49</v>
      </c>
      <c r="C30" s="122" t="s">
        <v>999</v>
      </c>
      <c r="D30" s="122" t="s">
        <v>1422</v>
      </c>
      <c r="E30" s="122" t="s">
        <v>1423</v>
      </c>
      <c r="F30" s="122" t="s">
        <v>1459</v>
      </c>
      <c r="G30" s="122" t="s">
        <v>1027</v>
      </c>
      <c r="H30" s="122" t="s">
        <v>1460</v>
      </c>
      <c r="I30" s="122" t="s">
        <v>1171</v>
      </c>
      <c r="J30" s="122" t="s">
        <v>78</v>
      </c>
      <c r="K30" s="122" t="s">
        <v>78</v>
      </c>
      <c r="L30" s="122" t="s">
        <v>1115</v>
      </c>
      <c r="M30" s="122" t="s">
        <v>1003</v>
      </c>
      <c r="N30" s="122" t="s">
        <v>1461</v>
      </c>
      <c r="O30" s="122" t="s">
        <v>1462</v>
      </c>
      <c r="P30" s="122" t="s">
        <v>1006</v>
      </c>
      <c r="Q30" s="122" t="s">
        <v>83</v>
      </c>
      <c r="R30" s="122" t="s">
        <v>408</v>
      </c>
      <c r="S30" s="122" t="s">
        <v>121</v>
      </c>
      <c r="T30" s="122" t="s">
        <v>1463</v>
      </c>
      <c r="U30" s="122" t="s">
        <v>272</v>
      </c>
    </row>
    <row r="31" customFormat="false" ht="113.4" hidden="false" customHeight="false" outlineLevel="0" collapsed="false">
      <c r="A31" s="121" t="s">
        <v>48</v>
      </c>
      <c r="B31" s="122" t="s">
        <v>49</v>
      </c>
      <c r="C31" s="122" t="s">
        <v>999</v>
      </c>
      <c r="D31" s="122" t="s">
        <v>1422</v>
      </c>
      <c r="E31" s="122" t="s">
        <v>1423</v>
      </c>
      <c r="F31" s="122" t="s">
        <v>1464</v>
      </c>
      <c r="G31" s="122" t="s">
        <v>1027</v>
      </c>
      <c r="H31" s="122" t="s">
        <v>1465</v>
      </c>
      <c r="I31" s="122" t="s">
        <v>1171</v>
      </c>
      <c r="J31" s="122" t="s">
        <v>78</v>
      </c>
      <c r="K31" s="122" t="s">
        <v>1466</v>
      </c>
      <c r="L31" s="122" t="s">
        <v>1058</v>
      </c>
      <c r="M31" s="122" t="s">
        <v>1003</v>
      </c>
      <c r="N31" s="122" t="s">
        <v>1461</v>
      </c>
      <c r="O31" s="122" t="s">
        <v>1462</v>
      </c>
      <c r="P31" s="122" t="s">
        <v>1006</v>
      </c>
      <c r="Q31" s="122" t="s">
        <v>83</v>
      </c>
      <c r="R31" s="122" t="s">
        <v>408</v>
      </c>
      <c r="S31" s="122" t="s">
        <v>121</v>
      </c>
      <c r="T31" s="122" t="s">
        <v>1467</v>
      </c>
      <c r="U31" s="122" t="s">
        <v>272</v>
      </c>
    </row>
    <row r="32" customFormat="false" ht="113.4" hidden="false" customHeight="false" outlineLevel="0" collapsed="false">
      <c r="A32" s="121" t="s">
        <v>48</v>
      </c>
      <c r="B32" s="122" t="s">
        <v>49</v>
      </c>
      <c r="C32" s="122" t="s">
        <v>999</v>
      </c>
      <c r="D32" s="122" t="s">
        <v>1422</v>
      </c>
      <c r="E32" s="122" t="s">
        <v>1427</v>
      </c>
      <c r="F32" s="122" t="s">
        <v>1468</v>
      </c>
      <c r="G32" s="122" t="s">
        <v>1027</v>
      </c>
      <c r="H32" s="122" t="s">
        <v>1001</v>
      </c>
      <c r="I32" s="122" t="s">
        <v>1073</v>
      </c>
      <c r="J32" s="122" t="s">
        <v>78</v>
      </c>
      <c r="K32" s="122" t="s">
        <v>78</v>
      </c>
      <c r="L32" s="122" t="s">
        <v>1058</v>
      </c>
      <c r="M32" s="122" t="s">
        <v>1003</v>
      </c>
      <c r="N32" s="122" t="s">
        <v>1461</v>
      </c>
      <c r="O32" s="122" t="s">
        <v>1462</v>
      </c>
      <c r="P32" s="122" t="s">
        <v>1006</v>
      </c>
      <c r="Q32" s="122" t="s">
        <v>83</v>
      </c>
      <c r="R32" s="122" t="s">
        <v>408</v>
      </c>
      <c r="S32" s="122" t="s">
        <v>121</v>
      </c>
      <c r="T32" s="122" t="s">
        <v>1007</v>
      </c>
      <c r="U32" s="122" t="s">
        <v>272</v>
      </c>
    </row>
    <row r="33" customFormat="false" ht="46.25" hidden="false" customHeight="false" outlineLevel="0" collapsed="false">
      <c r="A33" s="121" t="s">
        <v>48</v>
      </c>
      <c r="B33" s="122" t="s">
        <v>49</v>
      </c>
      <c r="C33" s="122" t="s">
        <v>1009</v>
      </c>
      <c r="D33" s="122" t="s">
        <v>1422</v>
      </c>
      <c r="E33" s="122" t="s">
        <v>1423</v>
      </c>
      <c r="F33" s="122" t="s">
        <v>1469</v>
      </c>
      <c r="G33" s="122" t="s">
        <v>1027</v>
      </c>
      <c r="H33" s="122" t="s">
        <v>1011</v>
      </c>
      <c r="I33" s="122" t="s">
        <v>78</v>
      </c>
      <c r="J33" s="122" t="s">
        <v>78</v>
      </c>
      <c r="K33" s="122" t="s">
        <v>78</v>
      </c>
      <c r="L33" s="122" t="s">
        <v>78</v>
      </c>
      <c r="M33" s="122" t="s">
        <v>1012</v>
      </c>
      <c r="N33" s="122" t="s">
        <v>862</v>
      </c>
      <c r="O33" s="122" t="s">
        <v>1013</v>
      </c>
      <c r="P33" s="122" t="s">
        <v>864</v>
      </c>
      <c r="Q33" s="122" t="s">
        <v>83</v>
      </c>
      <c r="R33" s="122" t="s">
        <v>408</v>
      </c>
      <c r="S33" s="122" t="s">
        <v>95</v>
      </c>
      <c r="T33" s="122" t="s">
        <v>200</v>
      </c>
      <c r="U33" s="122" t="s">
        <v>201</v>
      </c>
    </row>
  </sheetData>
  <autoFilter ref="A1:U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0"/>
  </cols>
  <sheetData>
    <row r="1" customFormat="false" ht="90.25" hidden="false" customHeight="false" outlineLevel="0" collapsed="false">
      <c r="A1" s="81" t="s">
        <v>1470</v>
      </c>
      <c r="B1" s="142"/>
    </row>
    <row r="2" customFormat="false" ht="23.85" hidden="false" customHeight="false" outlineLevel="0" collapsed="false">
      <c r="A2" s="142" t="s">
        <v>189</v>
      </c>
      <c r="B2" s="142" t="s">
        <v>1471</v>
      </c>
    </row>
    <row r="3" customFormat="false" ht="23.85" hidden="false" customHeight="false" outlineLevel="0" collapsed="false">
      <c r="A3" s="142" t="s">
        <v>715</v>
      </c>
      <c r="B3" s="142" t="s">
        <v>1472</v>
      </c>
    </row>
    <row r="4" customFormat="false" ht="23.85" hidden="false" customHeight="false" outlineLevel="0" collapsed="false">
      <c r="A4" s="142" t="s">
        <v>1473</v>
      </c>
      <c r="B4" s="142" t="s">
        <v>1474</v>
      </c>
    </row>
    <row r="5" customFormat="false" ht="23.85" hidden="false" customHeight="false" outlineLevel="0" collapsed="false">
      <c r="A5" s="142" t="s">
        <v>707</v>
      </c>
      <c r="B5" s="142" t="s">
        <v>1475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2026-09-30T14:54:01Z</dcterms:created>
  <dc:creator>openpyxl</dc:creator>
  <dc:description/>
  <dc:language>en-US</dc:language>
  <cp:lastModifiedBy/>
  <dcterms:modified xsi:type="dcterms:W3CDTF">2026-09-30T14:54:02Z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