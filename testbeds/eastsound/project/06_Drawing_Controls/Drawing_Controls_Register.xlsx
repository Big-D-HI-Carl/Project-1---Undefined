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gister" sheetId="2" state="visible" r:id="rId4"/>
    <sheet name="Rescan &amp; Upload" sheetId="3" state="visible" r:id="rId5"/>
  </sheets>
  <definedNames>
    <definedName function="false" hidden="true" localSheetId="1" name="_xlnm._FilterDatabase" vbProcedure="false">Register!$A$1:$S$99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<sst xmlns="http://schemas.openxmlformats.org/spreadsheetml/2006/main" count="1618" uniqueCount="449">
  <si>
    <t xml:space="preserve">Drawing Controls Register — Eastsound WWTP Upgrade Phase I</t>
  </si>
  <si>
    <t xml:space="preserve">97 sheets: the 96 on the cover index plus C1.6A (issued by Add. 4), and one referenced sheet that does not exist (C8.1). Titles, availability, Add. 4 status and read methods come from 01 rev1; findings from the lane Issues files; the four resplit images were crawled in the Civil &amp; Site resplit pass.</t>
  </si>
  <si>
    <t xml:space="preserve">Measure</t>
  </si>
  <si>
    <t xml:space="preserve">Count (formula)</t>
  </si>
  <si>
    <t xml:space="preserve">Sheets in the register (97 + C8.1 reference)</t>
  </si>
  <si>
    <t xml:space="preserve">Available in the drawing files</t>
  </si>
  <si>
    <t xml:space="preserve">Resplit image in Project files — crawled</t>
  </si>
  <si>
    <t xml:space="preserve">Missing — not in the library</t>
  </si>
  <si>
    <t xml:space="preserve">Reissued by Add. 4</t>
  </si>
  <si>
    <t xml:space="preserve">Issued by Add. 4 (new sheet)</t>
  </si>
  <si>
    <t xml:space="preserve">Cited by an Add. 4 clarification only</t>
  </si>
  <si>
    <t xml:space="preserve">Title differs from cover index — substantive</t>
  </si>
  <si>
    <t xml:space="preserve">Title differs — wording</t>
  </si>
  <si>
    <t xml:space="preserve">Title differs — cosmetic</t>
  </si>
  <si>
    <t xml:space="preserve">Values unreadable or low-confidence at stored resolution</t>
  </si>
  <si>
    <t xml:space="preserve">Read-method index fixes (no rescan)</t>
  </si>
  <si>
    <t xml:space="preserve">Sheets needing a rescan or better copy</t>
  </si>
  <si>
    <t xml:space="preserve">Sheets needing upload from the source set</t>
  </si>
  <si>
    <t xml:space="preserve">Set p.</t>
  </si>
  <si>
    <t xml:space="preserve">Sheet</t>
  </si>
  <si>
    <t xml:space="preserve">Title (title block)</t>
  </si>
  <si>
    <t xml:space="preserve">Cover-index title</t>
  </si>
  <si>
    <t xml:space="preserve">Title check</t>
  </si>
  <si>
    <t xml:space="preserve">Discipline</t>
  </si>
  <si>
    <t xml:space="preserve">Lane</t>
  </si>
  <si>
    <t xml:space="preserve">File</t>
  </si>
  <si>
    <t xml:space="preserve">PDF p.</t>
  </si>
  <si>
    <t xml:space="preserve">Availability</t>
  </si>
  <si>
    <t xml:space="preserve">Addendum 4</t>
  </si>
  <si>
    <t xml:space="preserve">Read method (01)</t>
  </si>
  <si>
    <t xml:space="preserve">Read-method finding</t>
  </si>
  <si>
    <t xml:space="preserve">Legibility (about 80 dpi)</t>
  </si>
  <si>
    <t xml:space="preserve">Other controls notes</t>
  </si>
  <si>
    <t xml:space="preserve">Ledger rows citing it</t>
  </si>
  <si>
    <t xml:space="preserve">Exceptions citing it</t>
  </si>
  <si>
    <t xml:space="preserve">Action</t>
  </si>
  <si>
    <t xml:space="preserve">Tag</t>
  </si>
  <si>
    <t xml:space="preserve">G0.1</t>
  </si>
  <si>
    <t xml:space="preserve">COVER SHEET</t>
  </si>
  <si>
    <t xml:space="preserve">Same as title block</t>
  </si>
  <si>
    <t xml:space="preserve">Match</t>
  </si>
  <si>
    <t xml:space="preserve">General</t>
  </si>
  <si>
    <t xml:space="preserve">Civil &amp; Site (adj.)</t>
  </si>
  <si>
    <t xml:space="preserve">plans_1.pdf</t>
  </si>
  <si>
    <t xml:space="preserve">1</t>
  </si>
  <si>
    <t xml:space="preserve">Available</t>
  </si>
  <si>
    <t xml:space="preserve">—</t>
  </si>
  <si>
    <t xml:space="preserve">Text</t>
  </si>
  <si>
    <t xml:space="preserve">None</t>
  </si>
  <si>
    <t xml:space="preserve">Verified</t>
  </si>
  <si>
    <t xml:space="preserve">G0.2</t>
  </si>
  <si>
    <t xml:space="preserve">LEGEND AND ABBREVIATIONS - CIVIL &amp; ARCHITECTURAL</t>
  </si>
  <si>
    <t xml:space="preserve">LEGEND &amp; ABBREVIATIONS - CIVIL &amp; ARCHITECTURAL</t>
  </si>
  <si>
    <t xml:space="preserve">Cosmetic (&amp; vs and)</t>
  </si>
  <si>
    <t xml:space="preserve">2</t>
  </si>
  <si>
    <t xml:space="preserve">Flagged Text, needs a visual pass: Legends are graphics only (Civil &amp; Site design gap)</t>
  </si>
  <si>
    <t xml:space="preserve">Title differs from the cover index (01 log #7)</t>
  </si>
  <si>
    <t xml:space="preserve">Index fix: flag Text + Visual (no rescan; lane already read it visually)</t>
  </si>
  <si>
    <t xml:space="preserve">G0.3</t>
  </si>
  <si>
    <t xml:space="preserve">NOTES &amp; SPECIFICATIONS</t>
  </si>
  <si>
    <t xml:space="preserve">3</t>
  </si>
  <si>
    <t xml:space="preserve">#14, #68, #70, #142, #154, #259</t>
  </si>
  <si>
    <t xml:space="preserve">G0.4</t>
  </si>
  <si>
    <t xml:space="preserve">W.A.C. 332-130 COMPLIANCE SHEET</t>
  </si>
  <si>
    <t xml:space="preserve">4</t>
  </si>
  <si>
    <t xml:space="preserve">G0.5</t>
  </si>
  <si>
    <t xml:space="preserve">PROCESS SCHEMATIC</t>
  </si>
  <si>
    <t xml:space="preserve">Process &amp; Mechanical (adj.)</t>
  </si>
  <si>
    <t xml:space="preserve">5</t>
  </si>
  <si>
    <t xml:space="preserve">Visual</t>
  </si>
  <si>
    <t xml:space="preserve">Revision triangle number reads 6 — Process &amp; Mechanical note for G0.5</t>
  </si>
  <si>
    <t xml:space="preserve">#4, #7, #8, #9, #10, #29, #30, #37, #54, #56, #59, #60 …</t>
  </si>
  <si>
    <t xml:space="preserve">Higher-resolution copy (native PDF) for the unreadable value</t>
  </si>
  <si>
    <t xml:space="preserve">Unresolved</t>
  </si>
  <si>
    <t xml:space="preserve">G0.6</t>
  </si>
  <si>
    <t xml:space="preserve">HYDRAULIC PROFILE</t>
  </si>
  <si>
    <t xml:space="preserve">6</t>
  </si>
  <si>
    <t xml:space="preserve">G0.7</t>
  </si>
  <si>
    <t xml:space="preserve">DESIGN CRITERIA</t>
  </si>
  <si>
    <t xml:space="preserve">7</t>
  </si>
  <si>
    <t xml:space="preserve">#7, #8, #9, #10, #11, #29, #30, #32, #36, #45, #54, #59 …</t>
  </si>
  <si>
    <t xml:space="preserve">C0.1</t>
  </si>
  <si>
    <t xml:space="preserve">EXISTING CONDITIONS</t>
  </si>
  <si>
    <t xml:space="preserve">Civil</t>
  </si>
  <si>
    <t xml:space="preserve">Civil &amp; Site</t>
  </si>
  <si>
    <t xml:space="preserve">8</t>
  </si>
  <si>
    <t xml:space="preserve">Visual (rev1)</t>
  </si>
  <si>
    <t xml:space="preserve">Low-confidence read: second easement number (Civil &amp; Site Known Issues K-03)</t>
  </si>
  <si>
    <t xml:space="preserve">#28</t>
  </si>
  <si>
    <t xml:space="preserve">C0.2</t>
  </si>
  <si>
    <t xml:space="preserve">T.E.S.C. NARRATIVE</t>
  </si>
  <si>
    <t xml:space="preserve">plans_2Part-1.pdf</t>
  </si>
  <si>
    <t xml:space="preserve">#15, #69, #71</t>
  </si>
  <si>
    <t xml:space="preserve">C0.3</t>
  </si>
  <si>
    <t xml:space="preserve">T.E.S.C. PLAN (cover index)</t>
  </si>
  <si>
    <t xml:space="preserve">Resplit title block reads "T.E.S.C. PLAN"</t>
  </si>
  <si>
    <t xml:space="preserve">not in library</t>
  </si>
  <si>
    <t xml:space="preserve">Not in the drawing files; resplit image in Project files (Missing_Pages_Page_001.png), page 10 of 96 — crawled in the Civil &amp; Site resplit pass</t>
  </si>
  <si>
    <t xml:space="preserve">Set on upload</t>
  </si>
  <si>
    <t xml:space="preserve">#71</t>
  </si>
  <si>
    <t xml:space="preserve">Verified-Visual</t>
  </si>
  <si>
    <t xml:space="preserve">C0.4</t>
  </si>
  <si>
    <t xml:space="preserve">T.E.S.C. DETAILS</t>
  </si>
  <si>
    <t xml:space="preserve">plans_2Part-3.pdf</t>
  </si>
  <si>
    <t xml:space="preserve">C0.5</t>
  </si>
  <si>
    <t xml:space="preserve">DEMOLITION PLAN</t>
  </si>
  <si>
    <t xml:space="preserve">plans_2Part-4.pdf</t>
  </si>
  <si>
    <t xml:space="preserve">Cited — Add. 4 p.1, Clarification 1</t>
  </si>
  <si>
    <t xml:space="preserve">Low-confidence read: SSMH 1286 label under the X (Civil &amp; Site Known Issues K-03)</t>
  </si>
  <si>
    <t xml:space="preserve">#28, #68, #74, #77, #143, #144, #147, #150, #151, #163</t>
  </si>
  <si>
    <t xml:space="preserve">C0.6</t>
  </si>
  <si>
    <t xml:space="preserve">STAGING PLAN</t>
  </si>
  <si>
    <t xml:space="preserve">plans_2Part-5.pdf</t>
  </si>
  <si>
    <t xml:space="preserve">C0.7</t>
  </si>
  <si>
    <t xml:space="preserve">WWTP INTERIM PLAN OF OPERATION (cover index)</t>
  </si>
  <si>
    <t xml:space="preserve">Not checked (sheet missing)</t>
  </si>
  <si>
    <t xml:space="preserve">#74</t>
  </si>
  <si>
    <t xml:space="preserve">Get the sheet from the source set (upload)</t>
  </si>
  <si>
    <t xml:space="preserve">C1.1</t>
  </si>
  <si>
    <t xml:space="preserve">SITE PIPING PLAN WITH GENERAL NOTES (cover index)</t>
  </si>
  <si>
    <t xml:space="preserve">#53, #231</t>
  </si>
  <si>
    <t xml:space="preserve">C1.2</t>
  </si>
  <si>
    <t xml:space="preserve">SITE DIMENSIONAL PLAN (cover index)</t>
  </si>
  <si>
    <t xml:space="preserve">C1.3</t>
  </si>
  <si>
    <t xml:space="preserve">SITE PIPING PLAN WITH PIPING ID</t>
  </si>
  <si>
    <t xml:space="preserve">plans_3Part-1.pdf</t>
  </si>
  <si>
    <t xml:space="preserve">Reissued — Add. 4 p.7 governs</t>
  </si>
  <si>
    <t xml:space="preserve">Flagged Text, needs a visual pass: Text layer is mostly repeated labels (Civil &amp; Site design gap)</t>
  </si>
  <si>
    <t xml:space="preserve">Reissue keeps the base title block (01 log #12)</t>
  </si>
  <si>
    <t xml:space="preserve">#4, #16, #17, #50, #51, #52, #79, #80, #81, #82, #83, #84 …</t>
  </si>
  <si>
    <t xml:space="preserve">C1.4</t>
  </si>
  <si>
    <t xml:space="preserve">SITE PIPING PLAN WITH BURIED VALVE ID</t>
  </si>
  <si>
    <t xml:space="preserve">plans_3Part-2.pdf</t>
  </si>
  <si>
    <t xml:space="preserve">#4, #99, #177</t>
  </si>
  <si>
    <t xml:space="preserve">C1.5</t>
  </si>
  <si>
    <t xml:space="preserve">SITE PIPING PLAN WITH PIPE ELEVATIONS</t>
  </si>
  <si>
    <t xml:space="preserve">plans_3Part-3.pdf</t>
  </si>
  <si>
    <t xml:space="preserve">C2.1</t>
  </si>
  <si>
    <t xml:space="preserve">GRADING &amp; STORM DRAINAGE PLAN (cover index)</t>
  </si>
  <si>
    <t xml:space="preserve">Resplit title block reads "GRADING &amp; STORM DRAINAGE PLAN"</t>
  </si>
  <si>
    <t xml:space="preserve">Not in the drawing files; resplit image in Project files (Missing_Pages_Page_002.png), page 20 of 96 — crawled in the Civil &amp; Site resplit pass</t>
  </si>
  <si>
    <t xml:space="preserve">C2.2</t>
  </si>
  <si>
    <t xml:space="preserve">STORM DRAINAGE PLAN &amp; PROFILE</t>
  </si>
  <si>
    <t xml:space="preserve">plans_3Part-5.pdf</t>
  </si>
  <si>
    <t xml:space="preserve">#3</t>
  </si>
  <si>
    <t xml:space="preserve">C2.3</t>
  </si>
  <si>
    <t xml:space="preserve">STORM DRAINAGE PLAN &amp; PROFILES (cover index)</t>
  </si>
  <si>
    <t xml:space="preserve">Resplit title block reads "STORM DRAINAGE PLAN &amp; PROFILES"</t>
  </si>
  <si>
    <t xml:space="preserve">Not in the drawing files; resplit image in Project files (Missing_Pages_Page_003.png), page 22 of 96 — crawled in the Civil &amp; Site resplit pass</t>
  </si>
  <si>
    <t xml:space="preserve">C2.4</t>
  </si>
  <si>
    <t xml:space="preserve">STORM DRAINAGE PLAN &amp; PROFILES</t>
  </si>
  <si>
    <t xml:space="preserve">plans_3Part-7.pdf</t>
  </si>
  <si>
    <t xml:space="preserve">C2.5</t>
  </si>
  <si>
    <t xml:space="preserve">RETAINING WALL PLAN &amp; PROFILE</t>
  </si>
  <si>
    <t xml:space="preserve">plans_3Part-8.pdf</t>
  </si>
  <si>
    <t xml:space="preserve">Fence height in Keyed Note 4 reads 6" — Civil &amp; Site CS-12</t>
  </si>
  <si>
    <t xml:space="preserve">#147</t>
  </si>
  <si>
    <t xml:space="preserve">C2.6</t>
  </si>
  <si>
    <t xml:space="preserve">PAVING PLAN (cover index)</t>
  </si>
  <si>
    <t xml:space="preserve">Resplit title block reads "PAVING PLAN"</t>
  </si>
  <si>
    <t xml:space="preserve">Not in the drawing files; resplit image in Project files (Missing_Pages_Page_004.png), page 25 of 96 — crawled in the Civil &amp; Site resplit pass</t>
  </si>
  <si>
    <t xml:space="preserve">#73, #96, #97, #131</t>
  </si>
  <si>
    <t xml:space="preserve">C3.1</t>
  </si>
  <si>
    <t xml:space="preserve">INFLUENT FLOW SPLITTER SITE PLAN</t>
  </si>
  <si>
    <t xml:space="preserve">Process &amp; Mechanical</t>
  </si>
  <si>
    <t xml:space="preserve">plans_4Part-2.pdf</t>
  </si>
  <si>
    <t xml:space="preserve">#5, #6, #7, #8, #9, #44, #75, #76, #77, #79, #80, #81 …</t>
  </si>
  <si>
    <t xml:space="preserve">C3.2</t>
  </si>
  <si>
    <t xml:space="preserve">INFLUENT FLOW SPLITTER ELEVATIONS</t>
  </si>
  <si>
    <t xml:space="preserve">plans_4Part-3.pdf</t>
  </si>
  <si>
    <t xml:space="preserve">#75, #76, #79, #80, #81, #86, #103, #144, #157, #160, #237</t>
  </si>
  <si>
    <t xml:space="preserve">C3.3</t>
  </si>
  <si>
    <t xml:space="preserve">TRAIN 3 PLAN</t>
  </si>
  <si>
    <t xml:space="preserve">plans_4Part-4.pdf</t>
  </si>
  <si>
    <t xml:space="preserve">#1, #2, #29, #30, #32, #33, #34, #35, #81, #84, #85, #93 …</t>
  </si>
  <si>
    <t xml:space="preserve">C3.4</t>
  </si>
  <si>
    <t xml:space="preserve">TRAIN 3 SECTION A</t>
  </si>
  <si>
    <t xml:space="preserve">plans_4Part-5.pdf</t>
  </si>
  <si>
    <t xml:space="preserve">#29, #30, #32, #33, #34, #85</t>
  </si>
  <si>
    <t xml:space="preserve">C3.5</t>
  </si>
  <si>
    <t xml:space="preserve">TRAIN 3 SECTION B</t>
  </si>
  <si>
    <t xml:space="preserve">plans_4Part-6.pdf</t>
  </si>
  <si>
    <t xml:space="preserve">#29, #30, #33, #34, #81, #84, #93, #232</t>
  </si>
  <si>
    <t xml:space="preserve">C4.1</t>
  </si>
  <si>
    <t xml:space="preserve">INFLUENT PUMP STATION</t>
  </si>
  <si>
    <t xml:space="preserve">plans_4Part-7.pdf</t>
  </si>
  <si>
    <t xml:space="preserve">#4, #36, #37, #38, #39, #40, #41, #86, #87, #89, #130, #166 …</t>
  </si>
  <si>
    <t xml:space="preserve">C4.2</t>
  </si>
  <si>
    <t xml:space="preserve">2W PUMP STATION PLAN &amp; PROFILE</t>
  </si>
  <si>
    <t xml:space="preserve">plans_4Part-8.pdf</t>
  </si>
  <si>
    <t xml:space="preserve">#45, #46, #47, #50, #168, #169, #183, #222, #240</t>
  </si>
  <si>
    <t xml:space="preserve">C4.3</t>
  </si>
  <si>
    <t xml:space="preserve">2W EQUIPMENT LAYOUT</t>
  </si>
  <si>
    <t xml:space="preserve">plans_5.pdf</t>
  </si>
  <si>
    <t xml:space="preserve">#25, #48, #183, #227</t>
  </si>
  <si>
    <t xml:space="preserve">C5.1</t>
  </si>
  <si>
    <t xml:space="preserve">UV DISINFECTION CHAMBER &amp; DIGESTER PLAN</t>
  </si>
  <si>
    <t xml:space="preserve">Flagged Text, needs a visual pass: Content is image-only (Process &amp; Mechanical log)</t>
  </si>
  <si>
    <t xml:space="preserve">#54, #55, #56, #57, #88, #89, #90, #91, #94, #104, #105, #166 …</t>
  </si>
  <si>
    <t xml:space="preserve">C5.2</t>
  </si>
  <si>
    <t xml:space="preserve">UV DISINFECTION CHAMBER &amp; DIGESTER SECTION "A"</t>
  </si>
  <si>
    <t xml:space="preserve">#54, #55, #56, #57, #88, #92, #94, #104, #105</t>
  </si>
  <si>
    <t xml:space="preserve">C5.3</t>
  </si>
  <si>
    <t xml:space="preserve">UV DISINFECTION CHAMBER &amp; DIGESTER SECTION "B"</t>
  </si>
  <si>
    <t xml:space="preserve">#54, #55, #56, #57, #58, #88, #89, #90, #91, #92, #94, #104 …</t>
  </si>
  <si>
    <t xml:space="preserve">C5.4</t>
  </si>
  <si>
    <t xml:space="preserve">UV DISINFECTION EQUIPMENT</t>
  </si>
  <si>
    <t xml:space="preserve">UV module callout "4-64" and "6 required / bank" not fully legible — Process &amp; Mechanical Issue 13</t>
  </si>
  <si>
    <t xml:space="preserve">#54, #55, #234</t>
  </si>
  <si>
    <t xml:space="preserve">C6.1</t>
  </si>
  <si>
    <t xml:space="preserve">ROTARY FAN PRESS SYSTEM</t>
  </si>
  <si>
    <t xml:space="preserve">#63, #64, #89, #106, #191</t>
  </si>
  <si>
    <t xml:space="preserve">C6.2</t>
  </si>
  <si>
    <t xml:space="preserve">SLUDGE PUMP AND VALVING AREA</t>
  </si>
  <si>
    <t xml:space="preserve">SLUDGE PUMP &amp; VALVING AREA</t>
  </si>
  <si>
    <t xml:space="preserve">Title differs from the cover index (01 log #8)</t>
  </si>
  <si>
    <t xml:space="preserve">#12, #43, #59, #60, #61, #85, #90, #91, #101, #102, #106, #107 …</t>
  </si>
  <si>
    <t xml:space="preserve">C6.3</t>
  </si>
  <si>
    <t xml:space="preserve">DIGESTER BLOWER</t>
  </si>
  <si>
    <t xml:space="preserve">#19, #50, #94, #173, #185, #202</t>
  </si>
  <si>
    <t xml:space="preserve">C6.4</t>
  </si>
  <si>
    <t xml:space="preserve">BIOLOGICAL TREATMENT BLOWERS</t>
  </si>
  <si>
    <t xml:space="preserve">plans_6.pdf</t>
  </si>
  <si>
    <t xml:space="preserve">Reissued — Add. 4 p.6 governs</t>
  </si>
  <si>
    <t xml:space="preserve">#18, #19, #25, #50, #51, #93, #146, #185, #202, #224, #227, #231 …</t>
  </si>
  <si>
    <t xml:space="preserve">C6.5</t>
  </si>
  <si>
    <t xml:space="preserve">BIOLOGICAL TREATMENT BLOWER ELEVATION</t>
  </si>
  <si>
    <t xml:space="preserve">#18, #93, #108, #109, #202, #224, #231, #233</t>
  </si>
  <si>
    <t xml:space="preserve">C7.1</t>
  </si>
  <si>
    <t xml:space="preserve">CIVIL DETAILS</t>
  </si>
  <si>
    <t xml:space="preserve">#4, #52, #96</t>
  </si>
  <si>
    <t xml:space="preserve">C7.2</t>
  </si>
  <si>
    <t xml:space="preserve">#97, #160, #168</t>
  </si>
  <si>
    <t xml:space="preserve">C7.3</t>
  </si>
  <si>
    <t xml:space="preserve">#73, #98, #99, #177</t>
  </si>
  <si>
    <t xml:space="preserve">C7.4</t>
  </si>
  <si>
    <t xml:space="preserve">Duplicate copy at plans_7 pp.1–3; the plans_6 copy is indexed (01)</t>
  </si>
  <si>
    <t xml:space="preserve">#73, #97, #148, #152, #160, #173, #240</t>
  </si>
  <si>
    <t xml:space="preserve">C7.5</t>
  </si>
  <si>
    <t xml:space="preserve">#4, #52, #53, #168</t>
  </si>
  <si>
    <t xml:space="preserve">C7.6</t>
  </si>
  <si>
    <t xml:space="preserve">#11, #16, #17, #49, #95, #100, #149</t>
  </si>
  <si>
    <t xml:space="preserve">C7.7</t>
  </si>
  <si>
    <t xml:space="preserve">CIVIL DETAILS (cover index)</t>
  </si>
  <si>
    <t xml:space="preserve">C7.8</t>
  </si>
  <si>
    <t xml:space="preserve">C7.9</t>
  </si>
  <si>
    <t xml:space="preserve">FLOW METER &amp; VALVE VAULT DETAILS (cover index)</t>
  </si>
  <si>
    <t xml:space="preserve">#44, #156</t>
  </si>
  <si>
    <t xml:space="preserve">C7.10</t>
  </si>
  <si>
    <t xml:space="preserve">FLOW METER &amp; VALVE VAULT DETAILS</t>
  </si>
  <si>
    <t xml:space="preserve">plans_7.pdf</t>
  </si>
  <si>
    <t xml:space="preserve">#5, #6, #7, #8, #81, #149, #156</t>
  </si>
  <si>
    <t xml:space="preserve">A1.1</t>
  </si>
  <si>
    <t xml:space="preserve">BLOWER BUILDING PLAN</t>
  </si>
  <si>
    <t xml:space="preserve">Architectural</t>
  </si>
  <si>
    <t xml:space="preserve">Structural &amp; Building</t>
  </si>
  <si>
    <t xml:space="preserve">Reissued — Add. 4 p.4 governs</t>
  </si>
  <si>
    <t xml:space="preserve">Door 101B height illegible in the door schedule (same on the Add. 4 p.4 reissue) — Structural &amp; Building Issues §2 #1</t>
  </si>
  <si>
    <t xml:space="preserve">Add. 4 p.4 reissue shows no new revision entry</t>
  </si>
  <si>
    <t xml:space="preserve">#18, #20, #21, #22, #23, #24, #25, #145, #146, #170, #175, #195 …</t>
  </si>
  <si>
    <t xml:space="preserve">A1.2</t>
  </si>
  <si>
    <t xml:space="preserve">BLOWER BUILDING EXTERIOR ELEVATIONS 1</t>
  </si>
  <si>
    <t xml:space="preserve">Reissued — Add. 4 p.5 governs</t>
  </si>
  <si>
    <t xml:space="preserve">Add. 4 p.5 reissue shows no new revision entry</t>
  </si>
  <si>
    <t xml:space="preserve">#20, #21, #22, #145, #146, #170, #175, #217, #228</t>
  </si>
  <si>
    <t xml:space="preserve">A1.3</t>
  </si>
  <si>
    <t xml:space="preserve">BUILDING DETAILS</t>
  </si>
  <si>
    <t xml:space="preserve">#18, #26, #27, #28, #200, #224, #229, #230, #231</t>
  </si>
  <si>
    <t xml:space="preserve">S1.1</t>
  </si>
  <si>
    <t xml:space="preserve">STRUCTURAL NOTES</t>
  </si>
  <si>
    <t xml:space="preserve">Structural</t>
  </si>
  <si>
    <t xml:space="preserve">Page total reads "OF 98" at stored resolution; all other sheets read 96 (01 log #10, low priority)</t>
  </si>
  <si>
    <t xml:space="preserve">#29, #56, #222, #256</t>
  </si>
  <si>
    <t xml:space="preserve">S2.1</t>
  </si>
  <si>
    <t xml:space="preserve">TRAIN 3 PLANS &amp; SECTION</t>
  </si>
  <si>
    <t xml:space="preserve">plans_8.pdf</t>
  </si>
  <si>
    <t xml:space="preserve">#29, #34, #158, #232</t>
  </si>
  <si>
    <t xml:space="preserve">S2.2</t>
  </si>
  <si>
    <t xml:space="preserve">UV DISINFECTION CHAMBER &amp; DIGESTER PLAN &amp; SECTIONS</t>
  </si>
  <si>
    <t xml:space="preserve">UV DISINFECTION &amp; DIGESTER PLAN &amp; SECTIONS</t>
  </si>
  <si>
    <t xml:space="preserve">Wording differs</t>
  </si>
  <si>
    <t xml:space="preserve">Low-confidence read: mat slab spacing (#6 @ 10" vs @ 12") — confirm on the native sheet before any RFI (Structural &amp; Building Known Issues 1)</t>
  </si>
  <si>
    <t xml:space="preserve">Title differs from the cover index (01 log #2); Page total reads "OF 98" at stored resolution; all other sheets read 96 (01 log #10, low priority)</t>
  </si>
  <si>
    <t xml:space="preserve">#56, #57, #166, #220, #234</t>
  </si>
  <si>
    <t xml:space="preserve">S2.3</t>
  </si>
  <si>
    <t xml:space="preserve">BLOWER BUILDING FOUNDATION PLAN &amp; DETAILS</t>
  </si>
  <si>
    <t xml:space="preserve">Reissued — Add. 4 p.9 governs</t>
  </si>
  <si>
    <t xml:space="preserve">Perimeter grade beam bar size illegible on the base sheet and the Add. 4 p.9 reissue — Structural &amp; Building Issues §2 #6</t>
  </si>
  <si>
    <t xml:space="preserve">Add. 4 p.9 revision block shows revision 3 "Blower Building" TH 2/8/23 (Structural &amp; Building, Verified-Visual); Page total reads "OF 98" at stored resolution; all other sheets read 96 (01 log #10, low priority)</t>
  </si>
  <si>
    <t xml:space="preserve">#128, #145, #170, #185, #217, #233, #239</t>
  </si>
  <si>
    <t xml:space="preserve">S2.4</t>
  </si>
  <si>
    <t xml:space="preserve">PUMP STATION LID, GENERATOR PAD, &amp; FLOW SPLITTER PAD</t>
  </si>
  <si>
    <t xml:space="preserve">Low-confidence read: hatch openings and thickened-edge depth — confirm on the native sheet before any RFI (Structural &amp; Building Known Issues 1)</t>
  </si>
  <si>
    <t xml:space="preserve">#37, #38, #65, #75, #76, #103, #151, #157, #166, #201, #222, #223 …</t>
  </si>
  <si>
    <t xml:space="preserve">S4.1</t>
  </si>
  <si>
    <t xml:space="preserve">TYP STRUCTURAL DETAILS</t>
  </si>
  <si>
    <t xml:space="preserve">Reissued — Add. 4 p.10 governs; Detail 8 cited p.3</t>
  </si>
  <si>
    <t xml:space="preserve">Add. 4 p.10 revision block shows revision 3 "Blower Building" TH 2/8/23 (Structural &amp; Building, Verified-Visual); Page total reads "OF 98" at stored resolution; all other sheets read 96 (01 log #10, low priority)</t>
  </si>
  <si>
    <t xml:space="preserve">#29, #56, #78, #217, #238</t>
  </si>
  <si>
    <t xml:space="preserve">E0.1</t>
  </si>
  <si>
    <t xml:space="preserve">ELECTRICAL SYMBOLS AND ABBREVIATIONS</t>
  </si>
  <si>
    <t xml:space="preserve">Electrical</t>
  </si>
  <si>
    <t xml:space="preserve">Electrical &amp; Controls</t>
  </si>
  <si>
    <t xml:space="preserve">#258</t>
  </si>
  <si>
    <t xml:space="preserve">E0.2</t>
  </si>
  <si>
    <t xml:space="preserve">ELECTRICAL DEMOLITION SITE PLAN AND ONE LINE DIAGRAM</t>
  </si>
  <si>
    <t xml:space="preserve">#28, #194, #200</t>
  </si>
  <si>
    <t xml:space="preserve">E0.3</t>
  </si>
  <si>
    <t xml:space="preserve">OVERALL ELECTRICAL SITE PLAN</t>
  </si>
  <si>
    <t xml:space="preserve">E0.4</t>
  </si>
  <si>
    <t xml:space="preserve">AREA CLASSIFICATION SITE PLAN</t>
  </si>
  <si>
    <t xml:space="preserve">AREA CLASSIFICATION PLAN</t>
  </si>
  <si>
    <t xml:space="preserve">plans_9.pdf</t>
  </si>
  <si>
    <t xml:space="preserve">Title differs from the cover index (01 log #3); E0.1 sheet index matches the cover index (Electrical &amp; Controls, Verified)</t>
  </si>
  <si>
    <t xml:space="preserve">#194, #196, #205</t>
  </si>
  <si>
    <t xml:space="preserve">E1.1</t>
  </si>
  <si>
    <t xml:space="preserve">ELECTRIC SERVICE AREA PLAN</t>
  </si>
  <si>
    <t xml:space="preserve">ELECTRICAL SERVICE AREA PLAN</t>
  </si>
  <si>
    <t xml:space="preserve">Flagged Text, needs a visual pass: Text layer mis-associates tags (TS reads as a transfer switch; it is the transformer) (Electrical &amp; Controls log)</t>
  </si>
  <si>
    <t xml:space="preserve">Title differs from the cover index (01 log #4); E0.1 sheet index matches the cover index (Electrical &amp; Controls, Verified)</t>
  </si>
  <si>
    <t xml:space="preserve">#23, #65, #66, #201, #223</t>
  </si>
  <si>
    <t xml:space="preserve">E2.1</t>
  </si>
  <si>
    <t xml:space="preserve">BLOWER BUILDING POWER, CONTROL AND GROUNDING PLAN</t>
  </si>
  <si>
    <t xml:space="preserve">#18, #19, #23, #24, #48, #118, #199, #202, #213</t>
  </si>
  <si>
    <t xml:space="preserve">E2.2</t>
  </si>
  <si>
    <t xml:space="preserve">BLOWER BUILDING LIGHTING AND HVAC PLAN</t>
  </si>
  <si>
    <t xml:space="preserve">Light fixture L1 catalog number not legible (L1 (Blower Building)) — Electrical &amp; Controls Ledger</t>
  </si>
  <si>
    <t xml:space="preserve">#20, #21, #22, #23, #24, #119, #121, #123, #192, #199, #203</t>
  </si>
  <si>
    <t xml:space="preserve">E3.1</t>
  </si>
  <si>
    <t xml:space="preserve">TRAIN NO.3 ELECTRICAL PLAN AND ELEVATION</t>
  </si>
  <si>
    <t xml:space="preserve">TRAIN CELL NO.3 ELECTRICAL PLAN AND ELEVATION</t>
  </si>
  <si>
    <t xml:space="preserve">Title differs from the cover index (01 log #5); E0.1 sheet index matches the title block (Electrical &amp; Controls, Verified)</t>
  </si>
  <si>
    <t xml:space="preserve">#1, #2, #31, #32, #33, #35, #204</t>
  </si>
  <si>
    <t xml:space="preserve">E4.1</t>
  </si>
  <si>
    <t xml:space="preserve">INFLUENT PUMP STATION, WAS, DEWATERING ELECTRICAL PLAN</t>
  </si>
  <si>
    <t xml:space="preserve">#3, #7, #8, #9, #12, #13, #26, #36, #39, #40, #43, #59 …</t>
  </si>
  <si>
    <t xml:space="preserve">E4.2</t>
  </si>
  <si>
    <t xml:space="preserve">INFLUENT PUMP STATION ELECTRICAL PLAN AND ELEVATION</t>
  </si>
  <si>
    <t xml:space="preserve">#36, #39, #40, #207</t>
  </si>
  <si>
    <t xml:space="preserve">E4.3</t>
  </si>
  <si>
    <t xml:space="preserve">2W PUMP STATION ELECTRICAL PLAN AND ELEVATION</t>
  </si>
  <si>
    <t xml:space="preserve">#11, #16, #17, #45, #46, #49, #95, #100, #124, #167, #193, #199 …</t>
  </si>
  <si>
    <t xml:space="preserve">E5.1</t>
  </si>
  <si>
    <t xml:space="preserve">UV DISINFECTION CHAMBER &amp; DIGESTER ELECTRICAL PLAN AND ELEVATION</t>
  </si>
  <si>
    <t xml:space="preserve">UV DISINFECTION &amp; CLARIFIER ELECTRICAL PLAN AND ELEVATION</t>
  </si>
  <si>
    <t xml:space="preserve">Substantive difference</t>
  </si>
  <si>
    <t xml:space="preserve">plans_10.pdf</t>
  </si>
  <si>
    <t xml:space="preserve">Title differs from the cover index (01 log #1); E0.1 sheet index matches the title block (Electrical &amp; Controls, Verified)</t>
  </si>
  <si>
    <t xml:space="preserve">#10, #54, #55, #58, #209, #212, #258</t>
  </si>
  <si>
    <t xml:space="preserve">E6.1</t>
  </si>
  <si>
    <t xml:space="preserve">ELECTRICAL ONE LINE DIAGRAM AND LOAD CALCULATIONS</t>
  </si>
  <si>
    <t xml:space="preserve">Flagged Text, needs a visual pass: Load tables are image-only (Electrical &amp; Controls log)</t>
  </si>
  <si>
    <t xml:space="preserve">#3, #18, #19, #23, #31, #36, #45, #59, #60, #61, #62, #63 …</t>
  </si>
  <si>
    <t xml:space="preserve">E6.2</t>
  </si>
  <si>
    <t xml:space="preserve">ELECTRICAL PANEL SCHEDULES</t>
  </si>
  <si>
    <t xml:space="preserve">#13, #16, #17, #20, #23, #24, #26, #54, #55, #64, #95, #121 …</t>
  </si>
  <si>
    <t xml:space="preserve">E6.3</t>
  </si>
  <si>
    <t xml:space="preserve">CONDUIT AND CONDUCTOR SCHEDULES</t>
  </si>
  <si>
    <t xml:space="preserve">#2, #3, #7, #8, #9, #10, #11, #12, #13, #16, #17, #18 …</t>
  </si>
  <si>
    <t xml:space="preserve">E7.0</t>
  </si>
  <si>
    <t xml:space="preserve">CONTROL SYSTEM OVERVIEW</t>
  </si>
  <si>
    <t xml:space="preserve">Text layer order misassigns PLC I/O points (reported on E7.3–E7.5; applied to the E7 series, Inferred) (Electrical &amp; Controls log)</t>
  </si>
  <si>
    <t xml:space="preserve">#7, #8, #9, #10, #11, #23, #24, #43, #63, #120, #184, #197</t>
  </si>
  <si>
    <t xml:space="preserve">E7.1</t>
  </si>
  <si>
    <t xml:space="preserve">MAIN PLC CONTROL PANEL ELEVATION</t>
  </si>
  <si>
    <t xml:space="preserve">#18, #19, #24, #58, #127, #213, #214</t>
  </si>
  <si>
    <t xml:space="preserve">E7.2</t>
  </si>
  <si>
    <t xml:space="preserve">MAIN PLC CONTROL PANEL - POWER WIRING DIAGRAM</t>
  </si>
  <si>
    <t xml:space="preserve">#18, #19, #24, #127, #214</t>
  </si>
  <si>
    <t xml:space="preserve">E7.3</t>
  </si>
  <si>
    <t xml:space="preserve">MAIN PLC CONTROL PANEL - DIGITAL INPUTS</t>
  </si>
  <si>
    <t xml:space="preserve">#3, #18, #19, #24, #31, #45, #46, #54, #59, #60, #61, #65 …</t>
  </si>
  <si>
    <t xml:space="preserve">E7.4</t>
  </si>
  <si>
    <t xml:space="preserve">MAIN PLC CONTROL PANEL - DIGITAL OUTPUTS</t>
  </si>
  <si>
    <t xml:space="preserve">plans_11.pdf</t>
  </si>
  <si>
    <t xml:space="preserve">#3, #18, #19, #24, #45, #49, #59, #60, #61, #100</t>
  </si>
  <si>
    <t xml:space="preserve">E7.5</t>
  </si>
  <si>
    <t xml:space="preserve">MAIN PLC CONTROL PANEL - ANALOG INPUTS - SHEET 1</t>
  </si>
  <si>
    <t xml:space="preserve">#24, #48, #54, #58</t>
  </si>
  <si>
    <t xml:space="preserve">E7.6</t>
  </si>
  <si>
    <t xml:space="preserve">MAIN PLC CONTROL PANEL - ANALOG INPUTS - SHEET 2</t>
  </si>
  <si>
    <t xml:space="preserve">#1, #2, #24, #35, #125, #126, #197</t>
  </si>
  <si>
    <t xml:space="preserve">E7.7</t>
  </si>
  <si>
    <t xml:space="preserve">MAIN PLC CONTROL PANEL - ANALOG OUTPUTS</t>
  </si>
  <si>
    <t xml:space="preserve">#24, #121, #123</t>
  </si>
  <si>
    <t xml:space="preserve">E8.1</t>
  </si>
  <si>
    <t xml:space="preserve">INFLUENT PUMP STATION CONTROL PANEL ELEVATIONS</t>
  </si>
  <si>
    <t xml:space="preserve">#7, #8, #9, #36, #39, #40, #42, #120, #167, #197, #213, #214</t>
  </si>
  <si>
    <t xml:space="preserve">E8.2</t>
  </si>
  <si>
    <t xml:space="preserve">INFLUENT PUMP STATION CONTROL PANEL-POWER WIRING DIAGRAM</t>
  </si>
  <si>
    <t xml:space="preserve">INFLUENT PUMP STATION CONTROL PANEL - POWER WIRING DIAGRAMS</t>
  </si>
  <si>
    <t xml:space="preserve">Title differs from the cover index (01 log #6); E0.1 sheet index matches the cover index (Electrical &amp; Controls, Verified)</t>
  </si>
  <si>
    <t xml:space="preserve">#36</t>
  </si>
  <si>
    <t xml:space="preserve">E8.3</t>
  </si>
  <si>
    <t xml:space="preserve">INFLUENT PUMP STATION CONTROL PANEL - DIGITAL INPUTS</t>
  </si>
  <si>
    <t xml:space="preserve">#26, #36, #40</t>
  </si>
  <si>
    <t xml:space="preserve">E8.4</t>
  </si>
  <si>
    <t xml:space="preserve">INFLUENT PUMP STATION CONTROL PANEL - DIGITAL OUTPUTS</t>
  </si>
  <si>
    <t xml:space="preserve">#12, #36, #107, #196</t>
  </si>
  <si>
    <t xml:space="preserve">E8.5</t>
  </si>
  <si>
    <t xml:space="preserve">INFLUENT PUMP STATION CONTROL PANEL - ANALOG INPUTS</t>
  </si>
  <si>
    <t xml:space="preserve">plans_12.pdf</t>
  </si>
  <si>
    <t xml:space="preserve">#39</t>
  </si>
  <si>
    <t xml:space="preserve">E8.6</t>
  </si>
  <si>
    <t xml:space="preserve">INFLUENT PUMP STATION CONTROL PANEL - ANALOG OUTPUTS</t>
  </si>
  <si>
    <t xml:space="preserve">#13, #64, #122, #167</t>
  </si>
  <si>
    <t xml:space="preserve">E9.1</t>
  </si>
  <si>
    <t xml:space="preserve">BLOWER BUILDING MOTOR CONTROL CENTER ELEVATION</t>
  </si>
  <si>
    <t xml:space="preserve">Cited — Add. 4 p.1, Clarification 4</t>
  </si>
  <si>
    <t xml:space="preserve">#3, #18, #19, #23, #31, #45, #59, #60, #61, #63, #125, #126 …</t>
  </si>
  <si>
    <t xml:space="preserve">E9.2</t>
  </si>
  <si>
    <t xml:space="preserve">BLOWER BUILDING MOTOR CONTROL CENTER - VFD WIRING DIAGRAMS</t>
  </si>
  <si>
    <t xml:space="preserve">#18, #19, #23, #215</t>
  </si>
  <si>
    <t xml:space="preserve">E9.3</t>
  </si>
  <si>
    <t xml:space="preserve">VENTILATION CONTROL PANEL ELEVATION AND WIRING DIAGRAM</t>
  </si>
  <si>
    <t xml:space="preserve">#26, #175, #186, #196, #203, #205, #228</t>
  </si>
  <si>
    <t xml:space="preserve">E10.1</t>
  </si>
  <si>
    <t xml:space="preserve">ELECTRICAL DETAILS - SHEET 1</t>
  </si>
  <si>
    <t xml:space="preserve">#39, #40</t>
  </si>
  <si>
    <t xml:space="preserve">E10.2</t>
  </si>
  <si>
    <t xml:space="preserve">ELECTRICAL DETAILS - SHEET 2</t>
  </si>
  <si>
    <t xml:space="preserve">#7, #8, #9, #10, #11, #43, #64, #120, #121, #184, #197, #216</t>
  </si>
  <si>
    <t xml:space="preserve">E10.3</t>
  </si>
  <si>
    <t xml:space="preserve">STANDBY DIESEL GENERATOR ELEVATIONS</t>
  </si>
  <si>
    <t xml:space="preserve">#65, #198, #236</t>
  </si>
  <si>
    <t xml:space="preserve">Add.</t>
  </si>
  <si>
    <t xml:space="preserve">C1.6A</t>
  </si>
  <si>
    <t xml:space="preserve">BURIED PIPING IN BUILDING</t>
  </si>
  <si>
    <t xml:space="preserve">addendum-no4-eswd.pdf</t>
  </si>
  <si>
    <t xml:space="preserve">Issued by Add. 4 p.8 (governs)</t>
  </si>
  <si>
    <t xml:space="preserve">Issued by Add. 4; page "XX of 96"; note "SEE ADDENDUM #3" — base issue not in the library; Not on the cover index (01 log #11)</t>
  </si>
  <si>
    <t xml:space="preserve">#50, #51, #78, #83, #85, #89, #90, #91, #94, #171, #194, #238</t>
  </si>
  <si>
    <t xml:space="preserve">C8.1</t>
  </si>
  <si>
    <t xml:space="preserve">(referenced, not in the set)</t>
  </si>
  <si>
    <t xml:space="preserve">Referenced by 08 70 00 ¶2.07 A (exterior door stop detail); no such sheet in the set</t>
  </si>
  <si>
    <t xml:space="preserve">Structural &amp; Building Issues §2 #12</t>
  </si>
  <si>
    <t xml:space="preserve">Engineer to issue the sheet or delete the reference</t>
  </si>
  <si>
    <t xml:space="preserve">Title</t>
  </si>
  <si>
    <t xml:space="preserve">What it resolves</t>
  </si>
  <si>
    <t xml:space="preserve">Source</t>
  </si>
  <si>
    <t xml:space="preserve">Upload — not in the library</t>
  </si>
  <si>
    <t xml:space="preserve">Unblocks 2 Ledger rows; lanes carry cover-index titles only</t>
  </si>
  <si>
    <t xml:space="preserve">01 log #9; SETUP_Resplit_List_rev1.md</t>
  </si>
  <si>
    <t xml:space="preserve">Unblocks 0 Ledger rows; lanes carry cover-index titles only</t>
  </si>
  <si>
    <t xml:space="preserve">Rescan / native PDF — unreadable or low-confidence value</t>
  </si>
  <si>
    <t xml:space="preserve">Lane Issues</t>
  </si>
  <si>
    <t xml:space="preserve">Index fix only — no rescan</t>
  </si>
  <si>
    <t xml:space="preserve">Lane design-gap logs</t>
  </si>
  <si>
    <t xml:space="preserve">Engineer — phantom reference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</si>
</sst>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E699"/>
        <bgColor rgb="FFF8CBAD"/>
      </patternFill>
    </fill>
    <fill>
      <patternFill patternType="solid">
        <fgColor rgb="FFE2EFDA"/>
        <bgColor rgb="FFDDEBF7"/>
      </patternFill>
    </fill>
    <fill>
      <patternFill patternType="solid">
        <fgColor rgb="FFBDD7EE"/>
        <bgColor rgb="FF99CCFF"/>
      </patternFill>
    </fill>
    <fill>
      <patternFill patternType="solid">
        <fgColor rgb="FFDDEBF7"/>
        <bgColor rgb="FFE2EFDA"/>
      </patternFill>
    </fill>
    <fill>
      <patternFill patternType="solid">
        <fgColor rgb="FFF8CBAD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6.1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/>
    </row>
    <row r="5" customFormat="false" ht="15" hidden="false" customHeight="false" outlineLevel="0" collapsed="false">
      <c r="A5" s="4" t="s">
        <v>4</v>
      </c>
      <c r="B5" s="4" t="n">
        <f aca="false">COUNTA(Register!$B$2:$B$99)</f>
        <v>98</v>
      </c>
      <c r="C5" s="4"/>
    </row>
    <row r="6" customFormat="false" ht="15" hidden="false" customHeight="false" outlineLevel="0" collapsed="false">
      <c r="A6" s="4" t="s">
        <v>5</v>
      </c>
      <c r="B6" s="4" t="n">
        <f aca="false">COUNTIF(Register!$J$2:$J$99,"Available")</f>
        <v>87</v>
      </c>
      <c r="C6" s="4"/>
    </row>
    <row r="7" customFormat="false" ht="15" hidden="false" customHeight="false" outlineLevel="0" collapsed="false">
      <c r="A7" s="4" t="s">
        <v>6</v>
      </c>
      <c r="B7" s="4" t="n">
        <f aca="false">COUNTIF(Register!$J$2:$J$99,"Not in the drawing files*")</f>
        <v>4</v>
      </c>
      <c r="C7" s="4"/>
    </row>
    <row r="8" customFormat="false" ht="15" hidden="false" customHeight="false" outlineLevel="0" collapsed="false">
      <c r="A8" s="4" t="s">
        <v>7</v>
      </c>
      <c r="B8" s="4" t="n">
        <f aca="false">COUNTIF(Register!$J$2:$J$99,"Missing*")</f>
        <v>6</v>
      </c>
      <c r="C8" s="4"/>
    </row>
    <row r="9" customFormat="false" ht="15" hidden="false" customHeight="false" outlineLevel="0" collapsed="false">
      <c r="A9" s="4" t="s">
        <v>8</v>
      </c>
      <c r="B9" s="4" t="n">
        <f aca="false">COUNTIF(Register!$K$2:$K$99,"Reissued*")</f>
        <v>6</v>
      </c>
      <c r="C9" s="4"/>
    </row>
    <row r="10" customFormat="false" ht="15" hidden="false" customHeight="false" outlineLevel="0" collapsed="false">
      <c r="A10" s="4" t="s">
        <v>9</v>
      </c>
      <c r="B10" s="4" t="n">
        <f aca="false">COUNTIF(Register!$K$2:$K$99,"Issued by*")</f>
        <v>1</v>
      </c>
      <c r="C10" s="4"/>
    </row>
    <row r="11" customFormat="false" ht="15" hidden="false" customHeight="false" outlineLevel="0" collapsed="false">
      <c r="A11" s="4" t="s">
        <v>10</v>
      </c>
      <c r="B11" s="4" t="n">
        <f aca="false">COUNTIF(Register!$K$2:$K$99,"Cited*")</f>
        <v>3</v>
      </c>
      <c r="C11" s="4"/>
    </row>
    <row r="12" customFormat="false" ht="15" hidden="false" customHeight="false" outlineLevel="0" collapsed="false">
      <c r="A12" s="4" t="s">
        <v>11</v>
      </c>
      <c r="B12" s="4" t="n">
        <f aca="false">COUNTIF(Register!$E$2:$E$99,"Substantive*")</f>
        <v>1</v>
      </c>
      <c r="C12" s="4"/>
    </row>
    <row r="13" customFormat="false" ht="15" hidden="false" customHeight="false" outlineLevel="0" collapsed="false">
      <c r="A13" s="4" t="s">
        <v>12</v>
      </c>
      <c r="B13" s="4" t="n">
        <f aca="false">COUNTIF(Register!$E$2:$E$99,"Wording*")</f>
        <v>5</v>
      </c>
      <c r="C13" s="4"/>
    </row>
    <row r="14" customFormat="false" ht="15" hidden="false" customHeight="false" outlineLevel="0" collapsed="false">
      <c r="A14" s="4" t="s">
        <v>13</v>
      </c>
      <c r="B14" s="4" t="n">
        <f aca="false">COUNTIF(Register!$E$2:$E$99,"Cosmetic*")</f>
        <v>2</v>
      </c>
      <c r="C14" s="4"/>
    </row>
    <row r="15" customFormat="false" ht="15" hidden="false" customHeight="false" outlineLevel="0" collapsed="false">
      <c r="A15" s="4" t="s">
        <v>14</v>
      </c>
      <c r="B15" s="4" t="n">
        <f aca="false">COUNTIF(Register!$N$2:$N$99,"?*")</f>
        <v>10</v>
      </c>
      <c r="C15" s="4"/>
    </row>
    <row r="16" customFormat="false" ht="15" hidden="false" customHeight="false" outlineLevel="0" collapsed="false">
      <c r="A16" s="4" t="s">
        <v>15</v>
      </c>
      <c r="B16" s="4" t="n">
        <f aca="false">COUNTIF(Register!$M$2:$M$99,"?*")</f>
        <v>16</v>
      </c>
      <c r="C16" s="4"/>
    </row>
    <row r="17" customFormat="false" ht="15" hidden="false" customHeight="false" outlineLevel="0" collapsed="false">
      <c r="A17" s="4" t="s">
        <v>16</v>
      </c>
      <c r="B17" s="4" t="n">
        <f aca="false">COUNTIF(Register!$R$2:$R$99,"*Higher-resolution*")</f>
        <v>10</v>
      </c>
      <c r="C17" s="4"/>
    </row>
    <row r="18" customFormat="false" ht="15" hidden="false" customHeight="false" outlineLevel="0" collapsed="false">
      <c r="A18" s="4" t="s">
        <v>17</v>
      </c>
      <c r="B18" s="4" t="n">
        <f aca="false">COUNTIF(Register!$R$2:$R$99,"*Get the sheet*")</f>
        <v>6</v>
      </c>
      <c r="C18" s="4"/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"/>
    <col collapsed="false" customWidth="true" hidden="false" outlineLevel="0" max="10" min="10" style="0" width="30"/>
    <col collapsed="false" customWidth="true" hidden="false" outlineLevel="0" max="11" min="11" style="0" width="22"/>
    <col collapsed="false" customWidth="true" hidden="false" outlineLevel="0" max="12" min="12" style="0" width="10"/>
    <col collapsed="false" customWidth="true" hidden="false" outlineLevel="0" max="13" min="13" style="0" width="30"/>
    <col collapsed="false" customWidth="true" hidden="false" outlineLevel="0" max="14" min="14" style="0" width="34"/>
    <col collapsed="false" customWidth="true" hidden="false" outlineLevel="0" max="15" min="15" style="0" width="44"/>
    <col collapsed="false" customWidth="true" hidden="false" outlineLevel="0" max="16" min="16" style="0" width="9"/>
    <col collapsed="false" customWidth="true" hidden="false" outlineLevel="0" max="17" min="17" style="0" width="16"/>
    <col collapsed="false" customWidth="true" hidden="false" outlineLevel="0" max="18" min="18" style="0" width="34"/>
    <col collapsed="false" customWidth="true" hidden="false" outlineLevel="0" max="19" min="19" style="0" width="12"/>
  </cols>
  <sheetData>
    <row r="1" customFormat="false" ht="43.25" hidden="false" customHeight="false" outlineLevel="0" collapsed="false">
      <c r="A1" s="5" t="s">
        <v>18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  <c r="H1" s="5" t="s">
        <v>25</v>
      </c>
      <c r="I1" s="5" t="s">
        <v>26</v>
      </c>
      <c r="J1" s="5" t="s">
        <v>27</v>
      </c>
      <c r="K1" s="5" t="s">
        <v>28</v>
      </c>
      <c r="L1" s="5" t="s">
        <v>29</v>
      </c>
      <c r="M1" s="5" t="s">
        <v>30</v>
      </c>
      <c r="N1" s="5" t="s">
        <v>31</v>
      </c>
      <c r="O1" s="5" t="s">
        <v>32</v>
      </c>
      <c r="P1" s="5" t="s">
        <v>33</v>
      </c>
      <c r="Q1" s="5" t="s">
        <v>34</v>
      </c>
      <c r="R1" s="5" t="s">
        <v>35</v>
      </c>
      <c r="S1" s="5" t="s">
        <v>36</v>
      </c>
    </row>
    <row r="2" customFormat="false" ht="15" hidden="false" customHeight="false" outlineLevel="0" collapsed="false">
      <c r="A2" s="6" t="n">
        <v>1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/>
      <c r="N2" s="6"/>
      <c r="O2" s="6"/>
      <c r="P2" s="6" t="n">
        <v>0</v>
      </c>
      <c r="Q2" s="6"/>
      <c r="R2" s="6" t="s">
        <v>48</v>
      </c>
      <c r="S2" s="6" t="s">
        <v>49</v>
      </c>
    </row>
    <row r="3" customFormat="false" ht="32.8" hidden="false" customHeight="false" outlineLevel="0" collapsed="false">
      <c r="A3" s="6" t="n">
        <v>2</v>
      </c>
      <c r="B3" s="6" t="s">
        <v>50</v>
      </c>
      <c r="C3" s="6" t="s">
        <v>51</v>
      </c>
      <c r="D3" s="6" t="s">
        <v>52</v>
      </c>
      <c r="E3" s="7" t="s">
        <v>53</v>
      </c>
      <c r="F3" s="6" t="s">
        <v>41</v>
      </c>
      <c r="G3" s="6" t="s">
        <v>42</v>
      </c>
      <c r="H3" s="6" t="s">
        <v>43</v>
      </c>
      <c r="I3" s="6" t="s">
        <v>54</v>
      </c>
      <c r="J3" s="6" t="s">
        <v>45</v>
      </c>
      <c r="K3" s="6" t="s">
        <v>46</v>
      </c>
      <c r="L3" s="6" t="s">
        <v>47</v>
      </c>
      <c r="M3" s="6" t="s">
        <v>55</v>
      </c>
      <c r="N3" s="6"/>
      <c r="O3" s="6" t="s">
        <v>56</v>
      </c>
      <c r="P3" s="6" t="n">
        <v>0</v>
      </c>
      <c r="Q3" s="6"/>
      <c r="R3" s="8" t="s">
        <v>57</v>
      </c>
      <c r="S3" s="6" t="s">
        <v>49</v>
      </c>
    </row>
    <row r="4" customFormat="false" ht="22.35" hidden="false" customHeight="false" outlineLevel="0" collapsed="false">
      <c r="A4" s="6" t="n">
        <v>3</v>
      </c>
      <c r="B4" s="6" t="s">
        <v>58</v>
      </c>
      <c r="C4" s="6" t="s">
        <v>59</v>
      </c>
      <c r="D4" s="6" t="s">
        <v>39</v>
      </c>
      <c r="E4" s="6" t="s">
        <v>40</v>
      </c>
      <c r="F4" s="6" t="s">
        <v>41</v>
      </c>
      <c r="G4" s="6" t="s">
        <v>42</v>
      </c>
      <c r="H4" s="6" t="s">
        <v>43</v>
      </c>
      <c r="I4" s="6" t="s">
        <v>60</v>
      </c>
      <c r="J4" s="6" t="s">
        <v>45</v>
      </c>
      <c r="K4" s="6" t="s">
        <v>46</v>
      </c>
      <c r="L4" s="6" t="s">
        <v>47</v>
      </c>
      <c r="M4" s="6"/>
      <c r="N4" s="6"/>
      <c r="O4" s="6"/>
      <c r="P4" s="6" t="n">
        <v>3</v>
      </c>
      <c r="Q4" s="6" t="s">
        <v>61</v>
      </c>
      <c r="R4" s="6" t="s">
        <v>48</v>
      </c>
      <c r="S4" s="6" t="s">
        <v>49</v>
      </c>
    </row>
    <row r="5" customFormat="false" ht="15" hidden="false" customHeight="false" outlineLevel="0" collapsed="false">
      <c r="A5" s="6" t="n">
        <v>4</v>
      </c>
      <c r="B5" s="6" t="s">
        <v>62</v>
      </c>
      <c r="C5" s="6" t="s">
        <v>63</v>
      </c>
      <c r="D5" s="6" t="s">
        <v>39</v>
      </c>
      <c r="E5" s="6" t="s">
        <v>40</v>
      </c>
      <c r="F5" s="6" t="s">
        <v>41</v>
      </c>
      <c r="G5" s="6" t="s">
        <v>42</v>
      </c>
      <c r="H5" s="6" t="s">
        <v>43</v>
      </c>
      <c r="I5" s="6" t="s">
        <v>64</v>
      </c>
      <c r="J5" s="6" t="s">
        <v>45</v>
      </c>
      <c r="K5" s="6" t="s">
        <v>46</v>
      </c>
      <c r="L5" s="6" t="s">
        <v>47</v>
      </c>
      <c r="M5" s="6"/>
      <c r="N5" s="6"/>
      <c r="O5" s="6"/>
      <c r="P5" s="6" t="n">
        <v>0</v>
      </c>
      <c r="Q5" s="6"/>
      <c r="R5" s="6" t="s">
        <v>48</v>
      </c>
      <c r="S5" s="6" t="s">
        <v>49</v>
      </c>
    </row>
    <row r="6" customFormat="false" ht="32.8" hidden="false" customHeight="false" outlineLevel="0" collapsed="false">
      <c r="A6" s="6" t="n">
        <v>5</v>
      </c>
      <c r="B6" s="6" t="s">
        <v>65</v>
      </c>
      <c r="C6" s="6" t="s">
        <v>66</v>
      </c>
      <c r="D6" s="6" t="s">
        <v>39</v>
      </c>
      <c r="E6" s="6" t="s">
        <v>40</v>
      </c>
      <c r="F6" s="6" t="s">
        <v>41</v>
      </c>
      <c r="G6" s="6" t="s">
        <v>67</v>
      </c>
      <c r="H6" s="6" t="s">
        <v>43</v>
      </c>
      <c r="I6" s="6" t="s">
        <v>68</v>
      </c>
      <c r="J6" s="6" t="s">
        <v>45</v>
      </c>
      <c r="K6" s="6" t="s">
        <v>46</v>
      </c>
      <c r="L6" s="6" t="s">
        <v>69</v>
      </c>
      <c r="M6" s="6"/>
      <c r="N6" s="6" t="s">
        <v>70</v>
      </c>
      <c r="O6" s="6"/>
      <c r="P6" s="6" t="n">
        <v>38</v>
      </c>
      <c r="Q6" s="6" t="s">
        <v>71</v>
      </c>
      <c r="R6" s="7" t="s">
        <v>72</v>
      </c>
      <c r="S6" s="6" t="s">
        <v>73</v>
      </c>
    </row>
    <row r="7" customFormat="false" ht="32.8" hidden="false" customHeight="false" outlineLevel="0" collapsed="false">
      <c r="A7" s="6" t="n">
        <v>6</v>
      </c>
      <c r="B7" s="6" t="s">
        <v>74</v>
      </c>
      <c r="C7" s="6" t="s">
        <v>75</v>
      </c>
      <c r="D7" s="6" t="s">
        <v>39</v>
      </c>
      <c r="E7" s="6" t="s">
        <v>40</v>
      </c>
      <c r="F7" s="6" t="s">
        <v>41</v>
      </c>
      <c r="G7" s="6" t="s">
        <v>67</v>
      </c>
      <c r="H7" s="6" t="s">
        <v>43</v>
      </c>
      <c r="I7" s="6" t="s">
        <v>76</v>
      </c>
      <c r="J7" s="6" t="s">
        <v>45</v>
      </c>
      <c r="K7" s="6" t="s">
        <v>46</v>
      </c>
      <c r="L7" s="6" t="s">
        <v>69</v>
      </c>
      <c r="M7" s="6"/>
      <c r="N7" s="6"/>
      <c r="O7" s="6"/>
      <c r="P7" s="6" t="n">
        <v>20</v>
      </c>
      <c r="Q7" s="6" t="s">
        <v>71</v>
      </c>
      <c r="R7" s="6" t="s">
        <v>48</v>
      </c>
      <c r="S7" s="6" t="s">
        <v>49</v>
      </c>
    </row>
    <row r="8" customFormat="false" ht="32.8" hidden="false" customHeight="false" outlineLevel="0" collapsed="false">
      <c r="A8" s="6" t="n">
        <v>7</v>
      </c>
      <c r="B8" s="6" t="s">
        <v>77</v>
      </c>
      <c r="C8" s="6" t="s">
        <v>78</v>
      </c>
      <c r="D8" s="6" t="s">
        <v>39</v>
      </c>
      <c r="E8" s="6" t="s">
        <v>40</v>
      </c>
      <c r="F8" s="6" t="s">
        <v>41</v>
      </c>
      <c r="G8" s="6" t="s">
        <v>67</v>
      </c>
      <c r="H8" s="6" t="s">
        <v>43</v>
      </c>
      <c r="I8" s="6" t="s">
        <v>79</v>
      </c>
      <c r="J8" s="6" t="s">
        <v>45</v>
      </c>
      <c r="K8" s="6" t="s">
        <v>46</v>
      </c>
      <c r="L8" s="6" t="s">
        <v>47</v>
      </c>
      <c r="M8" s="6"/>
      <c r="N8" s="6"/>
      <c r="O8" s="6"/>
      <c r="P8" s="6" t="n">
        <v>22</v>
      </c>
      <c r="Q8" s="6" t="s">
        <v>80</v>
      </c>
      <c r="R8" s="6" t="s">
        <v>48</v>
      </c>
      <c r="S8" s="6" t="s">
        <v>49</v>
      </c>
    </row>
    <row r="9" customFormat="false" ht="22.35" hidden="false" customHeight="false" outlineLevel="0" collapsed="false">
      <c r="A9" s="6" t="n">
        <v>8</v>
      </c>
      <c r="B9" s="6" t="s">
        <v>81</v>
      </c>
      <c r="C9" s="6" t="s">
        <v>82</v>
      </c>
      <c r="D9" s="6" t="s">
        <v>39</v>
      </c>
      <c r="E9" s="6" t="s">
        <v>40</v>
      </c>
      <c r="F9" s="6" t="s">
        <v>83</v>
      </c>
      <c r="G9" s="6" t="s">
        <v>84</v>
      </c>
      <c r="H9" s="6" t="s">
        <v>43</v>
      </c>
      <c r="I9" s="6" t="s">
        <v>85</v>
      </c>
      <c r="J9" s="6" t="s">
        <v>45</v>
      </c>
      <c r="K9" s="6" t="s">
        <v>46</v>
      </c>
      <c r="L9" s="6" t="s">
        <v>86</v>
      </c>
      <c r="M9" s="6"/>
      <c r="N9" s="6" t="s">
        <v>87</v>
      </c>
      <c r="O9" s="6"/>
      <c r="P9" s="6" t="n">
        <v>4</v>
      </c>
      <c r="Q9" s="6" t="s">
        <v>88</v>
      </c>
      <c r="R9" s="7" t="s">
        <v>72</v>
      </c>
      <c r="S9" s="6" t="s">
        <v>73</v>
      </c>
    </row>
    <row r="10" customFormat="false" ht="15" hidden="false" customHeight="false" outlineLevel="0" collapsed="false">
      <c r="A10" s="6" t="n">
        <v>9</v>
      </c>
      <c r="B10" s="6" t="s">
        <v>89</v>
      </c>
      <c r="C10" s="6" t="s">
        <v>90</v>
      </c>
      <c r="D10" s="6" t="s">
        <v>39</v>
      </c>
      <c r="E10" s="6" t="s">
        <v>40</v>
      </c>
      <c r="F10" s="6" t="s">
        <v>83</v>
      </c>
      <c r="G10" s="6" t="s">
        <v>84</v>
      </c>
      <c r="H10" s="6" t="s">
        <v>91</v>
      </c>
      <c r="I10" s="6" t="s">
        <v>44</v>
      </c>
      <c r="J10" s="6" t="s">
        <v>45</v>
      </c>
      <c r="K10" s="6" t="s">
        <v>46</v>
      </c>
      <c r="L10" s="6" t="s">
        <v>69</v>
      </c>
      <c r="M10" s="6"/>
      <c r="N10" s="6"/>
      <c r="O10" s="6"/>
      <c r="P10" s="6" t="n">
        <v>6</v>
      </c>
      <c r="Q10" s="6" t="s">
        <v>92</v>
      </c>
      <c r="R10" s="6" t="s">
        <v>48</v>
      </c>
      <c r="S10" s="6" t="s">
        <v>49</v>
      </c>
    </row>
    <row r="11" customFormat="false" ht="53.7" hidden="false" customHeight="false" outlineLevel="0" collapsed="false">
      <c r="A11" s="6" t="n">
        <v>10</v>
      </c>
      <c r="B11" s="6" t="s">
        <v>93</v>
      </c>
      <c r="C11" s="6" t="s">
        <v>94</v>
      </c>
      <c r="D11" s="6" t="s">
        <v>39</v>
      </c>
      <c r="E11" s="6" t="s">
        <v>95</v>
      </c>
      <c r="F11" s="6" t="s">
        <v>83</v>
      </c>
      <c r="G11" s="6" t="s">
        <v>84</v>
      </c>
      <c r="H11" s="6" t="s">
        <v>96</v>
      </c>
      <c r="I11" s="6" t="s">
        <v>46</v>
      </c>
      <c r="J11" s="9" t="s">
        <v>97</v>
      </c>
      <c r="K11" s="6" t="s">
        <v>46</v>
      </c>
      <c r="L11" s="6" t="s">
        <v>98</v>
      </c>
      <c r="M11" s="6"/>
      <c r="N11" s="6"/>
      <c r="O11" s="6"/>
      <c r="P11" s="6" t="n">
        <v>7</v>
      </c>
      <c r="Q11" s="6" t="s">
        <v>99</v>
      </c>
      <c r="R11" s="6" t="s">
        <v>48</v>
      </c>
      <c r="S11" s="6" t="s">
        <v>100</v>
      </c>
    </row>
    <row r="12" customFormat="false" ht="15" hidden="false" customHeight="false" outlineLevel="0" collapsed="false">
      <c r="A12" s="6" t="n">
        <v>11</v>
      </c>
      <c r="B12" s="6" t="s">
        <v>101</v>
      </c>
      <c r="C12" s="6" t="s">
        <v>102</v>
      </c>
      <c r="D12" s="6" t="s">
        <v>39</v>
      </c>
      <c r="E12" s="6" t="s">
        <v>40</v>
      </c>
      <c r="F12" s="6" t="s">
        <v>83</v>
      </c>
      <c r="G12" s="6" t="s">
        <v>84</v>
      </c>
      <c r="H12" s="6" t="s">
        <v>103</v>
      </c>
      <c r="I12" s="6" t="s">
        <v>44</v>
      </c>
      <c r="J12" s="6" t="s">
        <v>45</v>
      </c>
      <c r="K12" s="6" t="s">
        <v>46</v>
      </c>
      <c r="L12" s="6" t="s">
        <v>86</v>
      </c>
      <c r="M12" s="6"/>
      <c r="N12" s="6"/>
      <c r="O12" s="6"/>
      <c r="P12" s="6" t="n">
        <v>6</v>
      </c>
      <c r="Q12" s="6" t="s">
        <v>99</v>
      </c>
      <c r="R12" s="6" t="s">
        <v>48</v>
      </c>
      <c r="S12" s="6" t="s">
        <v>49</v>
      </c>
    </row>
    <row r="13" customFormat="false" ht="32.8" hidden="false" customHeight="false" outlineLevel="0" collapsed="false">
      <c r="A13" s="6" t="n">
        <v>12</v>
      </c>
      <c r="B13" s="6" t="s">
        <v>104</v>
      </c>
      <c r="C13" s="6" t="s">
        <v>105</v>
      </c>
      <c r="D13" s="6" t="s">
        <v>39</v>
      </c>
      <c r="E13" s="6" t="s">
        <v>40</v>
      </c>
      <c r="F13" s="6" t="s">
        <v>83</v>
      </c>
      <c r="G13" s="6" t="s">
        <v>84</v>
      </c>
      <c r="H13" s="6" t="s">
        <v>106</v>
      </c>
      <c r="I13" s="6" t="s">
        <v>44</v>
      </c>
      <c r="J13" s="6" t="s">
        <v>45</v>
      </c>
      <c r="K13" s="10" t="s">
        <v>107</v>
      </c>
      <c r="L13" s="6" t="s">
        <v>69</v>
      </c>
      <c r="M13" s="6"/>
      <c r="N13" s="6" t="s">
        <v>108</v>
      </c>
      <c r="O13" s="6"/>
      <c r="P13" s="6" t="n">
        <v>24</v>
      </c>
      <c r="Q13" s="6" t="s">
        <v>109</v>
      </c>
      <c r="R13" s="7" t="s">
        <v>72</v>
      </c>
      <c r="S13" s="6" t="s">
        <v>73</v>
      </c>
    </row>
    <row r="14" customFormat="false" ht="15" hidden="false" customHeight="false" outlineLevel="0" collapsed="false">
      <c r="A14" s="6" t="n">
        <v>13</v>
      </c>
      <c r="B14" s="6" t="s">
        <v>110</v>
      </c>
      <c r="C14" s="6" t="s">
        <v>111</v>
      </c>
      <c r="D14" s="6" t="s">
        <v>39</v>
      </c>
      <c r="E14" s="6" t="s">
        <v>40</v>
      </c>
      <c r="F14" s="6" t="s">
        <v>83</v>
      </c>
      <c r="G14" s="6" t="s">
        <v>84</v>
      </c>
      <c r="H14" s="6" t="s">
        <v>112</v>
      </c>
      <c r="I14" s="6" t="s">
        <v>44</v>
      </c>
      <c r="J14" s="6" t="s">
        <v>45</v>
      </c>
      <c r="K14" s="6" t="s">
        <v>46</v>
      </c>
      <c r="L14" s="6" t="s">
        <v>69</v>
      </c>
      <c r="M14" s="6"/>
      <c r="N14" s="6"/>
      <c r="O14" s="6"/>
      <c r="P14" s="6" t="n">
        <v>2</v>
      </c>
      <c r="Q14" s="6" t="s">
        <v>99</v>
      </c>
      <c r="R14" s="6" t="s">
        <v>48</v>
      </c>
      <c r="S14" s="6" t="s">
        <v>49</v>
      </c>
    </row>
    <row r="15" customFormat="false" ht="22.35" hidden="false" customHeight="false" outlineLevel="0" collapsed="false">
      <c r="A15" s="6" t="n">
        <v>14</v>
      </c>
      <c r="B15" s="6" t="s">
        <v>113</v>
      </c>
      <c r="C15" s="6" t="s">
        <v>114</v>
      </c>
      <c r="D15" s="6" t="s">
        <v>39</v>
      </c>
      <c r="E15" s="6" t="s">
        <v>115</v>
      </c>
      <c r="F15" s="6" t="s">
        <v>83</v>
      </c>
      <c r="G15" s="6" t="s">
        <v>84</v>
      </c>
      <c r="H15" s="6" t="s">
        <v>96</v>
      </c>
      <c r="I15" s="6" t="s">
        <v>46</v>
      </c>
      <c r="J15" s="11" t="s">
        <v>7</v>
      </c>
      <c r="K15" s="6" t="s">
        <v>46</v>
      </c>
      <c r="L15" s="6" t="s">
        <v>98</v>
      </c>
      <c r="M15" s="6"/>
      <c r="N15" s="6"/>
      <c r="O15" s="6"/>
      <c r="P15" s="6" t="n">
        <v>2</v>
      </c>
      <c r="Q15" s="6" t="s">
        <v>116</v>
      </c>
      <c r="R15" s="11" t="s">
        <v>117</v>
      </c>
      <c r="S15" s="6" t="s">
        <v>73</v>
      </c>
    </row>
    <row r="16" customFormat="false" ht="22.35" hidden="false" customHeight="false" outlineLevel="0" collapsed="false">
      <c r="A16" s="6" t="n">
        <v>15</v>
      </c>
      <c r="B16" s="6" t="s">
        <v>118</v>
      </c>
      <c r="C16" s="6" t="s">
        <v>119</v>
      </c>
      <c r="D16" s="6" t="s">
        <v>39</v>
      </c>
      <c r="E16" s="6" t="s">
        <v>115</v>
      </c>
      <c r="F16" s="6" t="s">
        <v>83</v>
      </c>
      <c r="G16" s="6" t="s">
        <v>84</v>
      </c>
      <c r="H16" s="6" t="s">
        <v>96</v>
      </c>
      <c r="I16" s="6" t="s">
        <v>46</v>
      </c>
      <c r="J16" s="11" t="s">
        <v>7</v>
      </c>
      <c r="K16" s="6" t="s">
        <v>46</v>
      </c>
      <c r="L16" s="6" t="s">
        <v>98</v>
      </c>
      <c r="M16" s="6"/>
      <c r="N16" s="6"/>
      <c r="O16" s="6"/>
      <c r="P16" s="6" t="n">
        <v>0</v>
      </c>
      <c r="Q16" s="6" t="s">
        <v>120</v>
      </c>
      <c r="R16" s="11" t="s">
        <v>117</v>
      </c>
      <c r="S16" s="6" t="s">
        <v>73</v>
      </c>
    </row>
    <row r="17" customFormat="false" ht="22.35" hidden="false" customHeight="false" outlineLevel="0" collapsed="false">
      <c r="A17" s="6" t="n">
        <v>16</v>
      </c>
      <c r="B17" s="6" t="s">
        <v>121</v>
      </c>
      <c r="C17" s="6" t="s">
        <v>122</v>
      </c>
      <c r="D17" s="6" t="s">
        <v>39</v>
      </c>
      <c r="E17" s="6" t="s">
        <v>115</v>
      </c>
      <c r="F17" s="6" t="s">
        <v>83</v>
      </c>
      <c r="G17" s="6" t="s">
        <v>84</v>
      </c>
      <c r="H17" s="6" t="s">
        <v>96</v>
      </c>
      <c r="I17" s="6" t="s">
        <v>46</v>
      </c>
      <c r="J17" s="11" t="s">
        <v>7</v>
      </c>
      <c r="K17" s="6" t="s">
        <v>46</v>
      </c>
      <c r="L17" s="6" t="s">
        <v>98</v>
      </c>
      <c r="M17" s="6"/>
      <c r="N17" s="6"/>
      <c r="O17" s="6"/>
      <c r="P17" s="6" t="n">
        <v>0</v>
      </c>
      <c r="Q17" s="6"/>
      <c r="R17" s="11" t="s">
        <v>117</v>
      </c>
      <c r="S17" s="6" t="s">
        <v>73</v>
      </c>
    </row>
    <row r="18" customFormat="false" ht="43.25" hidden="false" customHeight="false" outlineLevel="0" collapsed="false">
      <c r="A18" s="6" t="n">
        <v>17</v>
      </c>
      <c r="B18" s="6" t="s">
        <v>123</v>
      </c>
      <c r="C18" s="6" t="s">
        <v>124</v>
      </c>
      <c r="D18" s="6" t="s">
        <v>39</v>
      </c>
      <c r="E18" s="6" t="s">
        <v>40</v>
      </c>
      <c r="F18" s="6" t="s">
        <v>83</v>
      </c>
      <c r="G18" s="6" t="s">
        <v>84</v>
      </c>
      <c r="H18" s="6" t="s">
        <v>125</v>
      </c>
      <c r="I18" s="6" t="s">
        <v>44</v>
      </c>
      <c r="J18" s="6" t="s">
        <v>45</v>
      </c>
      <c r="K18" s="10" t="s">
        <v>126</v>
      </c>
      <c r="L18" s="6" t="s">
        <v>47</v>
      </c>
      <c r="M18" s="6" t="s">
        <v>127</v>
      </c>
      <c r="N18" s="6"/>
      <c r="O18" s="6" t="s">
        <v>128</v>
      </c>
      <c r="P18" s="6" t="n">
        <v>30</v>
      </c>
      <c r="Q18" s="6" t="s">
        <v>129</v>
      </c>
      <c r="R18" s="8" t="s">
        <v>57</v>
      </c>
      <c r="S18" s="6" t="s">
        <v>49</v>
      </c>
    </row>
    <row r="19" customFormat="false" ht="32.8" hidden="false" customHeight="false" outlineLevel="0" collapsed="false">
      <c r="A19" s="6" t="n">
        <v>18</v>
      </c>
      <c r="B19" s="6" t="s">
        <v>130</v>
      </c>
      <c r="C19" s="6" t="s">
        <v>131</v>
      </c>
      <c r="D19" s="6" t="s">
        <v>39</v>
      </c>
      <c r="E19" s="6" t="s">
        <v>40</v>
      </c>
      <c r="F19" s="6" t="s">
        <v>83</v>
      </c>
      <c r="G19" s="6" t="s">
        <v>84</v>
      </c>
      <c r="H19" s="6" t="s">
        <v>132</v>
      </c>
      <c r="I19" s="6" t="s">
        <v>44</v>
      </c>
      <c r="J19" s="6" t="s">
        <v>45</v>
      </c>
      <c r="K19" s="6" t="s">
        <v>46</v>
      </c>
      <c r="L19" s="6" t="s">
        <v>47</v>
      </c>
      <c r="M19" s="6" t="s">
        <v>127</v>
      </c>
      <c r="N19" s="6"/>
      <c r="O19" s="6"/>
      <c r="P19" s="6" t="n">
        <v>15</v>
      </c>
      <c r="Q19" s="6" t="s">
        <v>133</v>
      </c>
      <c r="R19" s="8" t="s">
        <v>57</v>
      </c>
      <c r="S19" s="6" t="s">
        <v>49</v>
      </c>
    </row>
    <row r="20" customFormat="false" ht="32.8" hidden="false" customHeight="false" outlineLevel="0" collapsed="false">
      <c r="A20" s="6" t="n">
        <v>19</v>
      </c>
      <c r="B20" s="6" t="s">
        <v>134</v>
      </c>
      <c r="C20" s="6" t="s">
        <v>135</v>
      </c>
      <c r="D20" s="6" t="s">
        <v>39</v>
      </c>
      <c r="E20" s="6" t="s">
        <v>40</v>
      </c>
      <c r="F20" s="6" t="s">
        <v>83</v>
      </c>
      <c r="G20" s="6" t="s">
        <v>84</v>
      </c>
      <c r="H20" s="6" t="s">
        <v>136</v>
      </c>
      <c r="I20" s="6" t="s">
        <v>44</v>
      </c>
      <c r="J20" s="6" t="s">
        <v>45</v>
      </c>
      <c r="K20" s="6" t="s">
        <v>46</v>
      </c>
      <c r="L20" s="6" t="s">
        <v>47</v>
      </c>
      <c r="M20" s="6" t="s">
        <v>127</v>
      </c>
      <c r="N20" s="6"/>
      <c r="O20" s="6"/>
      <c r="P20" s="6" t="n">
        <v>0</v>
      </c>
      <c r="Q20" s="6"/>
      <c r="R20" s="8" t="s">
        <v>57</v>
      </c>
      <c r="S20" s="6" t="s">
        <v>49</v>
      </c>
    </row>
    <row r="21" customFormat="false" ht="53.7" hidden="false" customHeight="false" outlineLevel="0" collapsed="false">
      <c r="A21" s="6" t="n">
        <v>20</v>
      </c>
      <c r="B21" s="6" t="s">
        <v>137</v>
      </c>
      <c r="C21" s="6" t="s">
        <v>138</v>
      </c>
      <c r="D21" s="6" t="s">
        <v>39</v>
      </c>
      <c r="E21" s="6" t="s">
        <v>139</v>
      </c>
      <c r="F21" s="6" t="s">
        <v>83</v>
      </c>
      <c r="G21" s="6" t="s">
        <v>84</v>
      </c>
      <c r="H21" s="6" t="s">
        <v>96</v>
      </c>
      <c r="I21" s="6" t="s">
        <v>46</v>
      </c>
      <c r="J21" s="9" t="s">
        <v>140</v>
      </c>
      <c r="K21" s="6" t="s">
        <v>46</v>
      </c>
      <c r="L21" s="6" t="s">
        <v>98</v>
      </c>
      <c r="M21" s="6"/>
      <c r="N21" s="6"/>
      <c r="O21" s="6"/>
      <c r="P21" s="6" t="n">
        <v>18</v>
      </c>
      <c r="Q21" s="6"/>
      <c r="R21" s="6" t="s">
        <v>48</v>
      </c>
      <c r="S21" s="6" t="s">
        <v>100</v>
      </c>
    </row>
    <row r="22" customFormat="false" ht="15" hidden="false" customHeight="false" outlineLevel="0" collapsed="false">
      <c r="A22" s="6" t="n">
        <v>21</v>
      </c>
      <c r="B22" s="6" t="s">
        <v>141</v>
      </c>
      <c r="C22" s="6" t="s">
        <v>142</v>
      </c>
      <c r="D22" s="6" t="s">
        <v>39</v>
      </c>
      <c r="E22" s="6" t="s">
        <v>40</v>
      </c>
      <c r="F22" s="6" t="s">
        <v>83</v>
      </c>
      <c r="G22" s="6" t="s">
        <v>84</v>
      </c>
      <c r="H22" s="6" t="s">
        <v>143</v>
      </c>
      <c r="I22" s="6" t="s">
        <v>44</v>
      </c>
      <c r="J22" s="6" t="s">
        <v>45</v>
      </c>
      <c r="K22" s="6" t="s">
        <v>46</v>
      </c>
      <c r="L22" s="6" t="s">
        <v>86</v>
      </c>
      <c r="M22" s="6"/>
      <c r="N22" s="6"/>
      <c r="O22" s="6"/>
      <c r="P22" s="6" t="n">
        <v>6</v>
      </c>
      <c r="Q22" s="6" t="s">
        <v>144</v>
      </c>
      <c r="R22" s="6" t="s">
        <v>48</v>
      </c>
      <c r="S22" s="6" t="s">
        <v>49</v>
      </c>
    </row>
    <row r="23" customFormat="false" ht="53.7" hidden="false" customHeight="false" outlineLevel="0" collapsed="false">
      <c r="A23" s="6" t="n">
        <v>22</v>
      </c>
      <c r="B23" s="6" t="s">
        <v>145</v>
      </c>
      <c r="C23" s="6" t="s">
        <v>146</v>
      </c>
      <c r="D23" s="6" t="s">
        <v>39</v>
      </c>
      <c r="E23" s="6" t="s">
        <v>147</v>
      </c>
      <c r="F23" s="6" t="s">
        <v>83</v>
      </c>
      <c r="G23" s="6" t="s">
        <v>84</v>
      </c>
      <c r="H23" s="6" t="s">
        <v>96</v>
      </c>
      <c r="I23" s="6" t="s">
        <v>46</v>
      </c>
      <c r="J23" s="9" t="s">
        <v>148</v>
      </c>
      <c r="K23" s="6" t="s">
        <v>46</v>
      </c>
      <c r="L23" s="6" t="s">
        <v>98</v>
      </c>
      <c r="M23" s="6"/>
      <c r="N23" s="6"/>
      <c r="O23" s="6"/>
      <c r="P23" s="6" t="n">
        <v>11</v>
      </c>
      <c r="Q23" s="6"/>
      <c r="R23" s="6" t="s">
        <v>48</v>
      </c>
      <c r="S23" s="6" t="s">
        <v>100</v>
      </c>
    </row>
    <row r="24" customFormat="false" ht="32.8" hidden="false" customHeight="false" outlineLevel="0" collapsed="false">
      <c r="A24" s="6" t="n">
        <v>23</v>
      </c>
      <c r="B24" s="6" t="s">
        <v>149</v>
      </c>
      <c r="C24" s="6" t="s">
        <v>150</v>
      </c>
      <c r="D24" s="6" t="s">
        <v>39</v>
      </c>
      <c r="E24" s="6" t="s">
        <v>40</v>
      </c>
      <c r="F24" s="6" t="s">
        <v>83</v>
      </c>
      <c r="G24" s="6" t="s">
        <v>84</v>
      </c>
      <c r="H24" s="6" t="s">
        <v>151</v>
      </c>
      <c r="I24" s="6" t="s">
        <v>44</v>
      </c>
      <c r="J24" s="6" t="s">
        <v>45</v>
      </c>
      <c r="K24" s="6" t="s">
        <v>46</v>
      </c>
      <c r="L24" s="6" t="s">
        <v>47</v>
      </c>
      <c r="M24" s="6" t="s">
        <v>127</v>
      </c>
      <c r="N24" s="6"/>
      <c r="O24" s="6"/>
      <c r="P24" s="6" t="n">
        <v>10</v>
      </c>
      <c r="Q24" s="6"/>
      <c r="R24" s="8" t="s">
        <v>57</v>
      </c>
      <c r="S24" s="6" t="s">
        <v>49</v>
      </c>
    </row>
    <row r="25" customFormat="false" ht="22.35" hidden="false" customHeight="false" outlineLevel="0" collapsed="false">
      <c r="A25" s="6" t="n">
        <v>24</v>
      </c>
      <c r="B25" s="6" t="s">
        <v>152</v>
      </c>
      <c r="C25" s="6" t="s">
        <v>153</v>
      </c>
      <c r="D25" s="6" t="s">
        <v>39</v>
      </c>
      <c r="E25" s="6" t="s">
        <v>40</v>
      </c>
      <c r="F25" s="6" t="s">
        <v>83</v>
      </c>
      <c r="G25" s="6" t="s">
        <v>84</v>
      </c>
      <c r="H25" s="6" t="s">
        <v>154</v>
      </c>
      <c r="I25" s="6" t="s">
        <v>44</v>
      </c>
      <c r="J25" s="6" t="s">
        <v>45</v>
      </c>
      <c r="K25" s="6" t="s">
        <v>46</v>
      </c>
      <c r="L25" s="6" t="s">
        <v>69</v>
      </c>
      <c r="M25" s="6"/>
      <c r="N25" s="6" t="s">
        <v>155</v>
      </c>
      <c r="O25" s="6"/>
      <c r="P25" s="6" t="n">
        <v>3</v>
      </c>
      <c r="Q25" s="6" t="s">
        <v>156</v>
      </c>
      <c r="R25" s="7" t="s">
        <v>72</v>
      </c>
      <c r="S25" s="6" t="s">
        <v>73</v>
      </c>
    </row>
    <row r="26" customFormat="false" ht="53.7" hidden="false" customHeight="false" outlineLevel="0" collapsed="false">
      <c r="A26" s="6" t="n">
        <v>25</v>
      </c>
      <c r="B26" s="6" t="s">
        <v>157</v>
      </c>
      <c r="C26" s="6" t="s">
        <v>158</v>
      </c>
      <c r="D26" s="6" t="s">
        <v>39</v>
      </c>
      <c r="E26" s="6" t="s">
        <v>159</v>
      </c>
      <c r="F26" s="6" t="s">
        <v>83</v>
      </c>
      <c r="G26" s="6" t="s">
        <v>84</v>
      </c>
      <c r="H26" s="6" t="s">
        <v>96</v>
      </c>
      <c r="I26" s="6" t="s">
        <v>46</v>
      </c>
      <c r="J26" s="9" t="s">
        <v>160</v>
      </c>
      <c r="K26" s="10" t="s">
        <v>107</v>
      </c>
      <c r="L26" s="6" t="s">
        <v>98</v>
      </c>
      <c r="M26" s="6"/>
      <c r="N26" s="6"/>
      <c r="O26" s="6"/>
      <c r="P26" s="6" t="n">
        <v>5</v>
      </c>
      <c r="Q26" s="6" t="s">
        <v>161</v>
      </c>
      <c r="R26" s="6" t="s">
        <v>48</v>
      </c>
      <c r="S26" s="6" t="s">
        <v>100</v>
      </c>
    </row>
    <row r="27" customFormat="false" ht="32.8" hidden="false" customHeight="false" outlineLevel="0" collapsed="false">
      <c r="A27" s="6" t="n">
        <v>26</v>
      </c>
      <c r="B27" s="6" t="s">
        <v>162</v>
      </c>
      <c r="C27" s="6" t="s">
        <v>163</v>
      </c>
      <c r="D27" s="6" t="s">
        <v>39</v>
      </c>
      <c r="E27" s="6" t="s">
        <v>40</v>
      </c>
      <c r="F27" s="6" t="s">
        <v>83</v>
      </c>
      <c r="G27" s="6" t="s">
        <v>164</v>
      </c>
      <c r="H27" s="6" t="s">
        <v>165</v>
      </c>
      <c r="I27" s="6" t="s">
        <v>44</v>
      </c>
      <c r="J27" s="6" t="s">
        <v>45</v>
      </c>
      <c r="K27" s="6" t="s">
        <v>46</v>
      </c>
      <c r="L27" s="6" t="s">
        <v>69</v>
      </c>
      <c r="M27" s="6"/>
      <c r="N27" s="6"/>
      <c r="O27" s="6"/>
      <c r="P27" s="6" t="n">
        <v>15</v>
      </c>
      <c r="Q27" s="6" t="s">
        <v>166</v>
      </c>
      <c r="R27" s="6" t="s">
        <v>48</v>
      </c>
      <c r="S27" s="6" t="s">
        <v>49</v>
      </c>
    </row>
    <row r="28" customFormat="false" ht="43.25" hidden="false" customHeight="false" outlineLevel="0" collapsed="false">
      <c r="A28" s="6" t="n">
        <v>27</v>
      </c>
      <c r="B28" s="6" t="s">
        <v>167</v>
      </c>
      <c r="C28" s="6" t="s">
        <v>168</v>
      </c>
      <c r="D28" s="6" t="s">
        <v>39</v>
      </c>
      <c r="E28" s="6" t="s">
        <v>40</v>
      </c>
      <c r="F28" s="6" t="s">
        <v>83</v>
      </c>
      <c r="G28" s="6" t="s">
        <v>164</v>
      </c>
      <c r="H28" s="6" t="s">
        <v>169</v>
      </c>
      <c r="I28" s="6" t="s">
        <v>44</v>
      </c>
      <c r="J28" s="6" t="s">
        <v>45</v>
      </c>
      <c r="K28" s="6" t="s">
        <v>46</v>
      </c>
      <c r="L28" s="6" t="s">
        <v>86</v>
      </c>
      <c r="M28" s="6"/>
      <c r="N28" s="6"/>
      <c r="O28" s="6"/>
      <c r="P28" s="6" t="n">
        <v>6</v>
      </c>
      <c r="Q28" s="6" t="s">
        <v>170</v>
      </c>
      <c r="R28" s="6" t="s">
        <v>48</v>
      </c>
      <c r="S28" s="6" t="s">
        <v>49</v>
      </c>
    </row>
    <row r="29" customFormat="false" ht="43.25" hidden="false" customHeight="false" outlineLevel="0" collapsed="false">
      <c r="A29" s="6" t="n">
        <v>28</v>
      </c>
      <c r="B29" s="6" t="s">
        <v>171</v>
      </c>
      <c r="C29" s="6" t="s">
        <v>172</v>
      </c>
      <c r="D29" s="6" t="s">
        <v>39</v>
      </c>
      <c r="E29" s="6" t="s">
        <v>40</v>
      </c>
      <c r="F29" s="6" t="s">
        <v>83</v>
      </c>
      <c r="G29" s="6" t="s">
        <v>164</v>
      </c>
      <c r="H29" s="6" t="s">
        <v>173</v>
      </c>
      <c r="I29" s="6" t="s">
        <v>44</v>
      </c>
      <c r="J29" s="6" t="s">
        <v>45</v>
      </c>
      <c r="K29" s="6" t="s">
        <v>46</v>
      </c>
      <c r="L29" s="6" t="s">
        <v>69</v>
      </c>
      <c r="M29" s="6"/>
      <c r="N29" s="6"/>
      <c r="O29" s="6"/>
      <c r="P29" s="6" t="n">
        <v>16</v>
      </c>
      <c r="Q29" s="6" t="s">
        <v>174</v>
      </c>
      <c r="R29" s="6" t="s">
        <v>48</v>
      </c>
      <c r="S29" s="6" t="s">
        <v>100</v>
      </c>
    </row>
    <row r="30" customFormat="false" ht="22.35" hidden="false" customHeight="false" outlineLevel="0" collapsed="false">
      <c r="A30" s="6" t="n">
        <v>29</v>
      </c>
      <c r="B30" s="6" t="s">
        <v>175</v>
      </c>
      <c r="C30" s="6" t="s">
        <v>176</v>
      </c>
      <c r="D30" s="6" t="s">
        <v>39</v>
      </c>
      <c r="E30" s="6" t="s">
        <v>40</v>
      </c>
      <c r="F30" s="6" t="s">
        <v>83</v>
      </c>
      <c r="G30" s="6" t="s">
        <v>164</v>
      </c>
      <c r="H30" s="6" t="s">
        <v>177</v>
      </c>
      <c r="I30" s="6" t="s">
        <v>44</v>
      </c>
      <c r="J30" s="6" t="s">
        <v>45</v>
      </c>
      <c r="K30" s="6" t="s">
        <v>46</v>
      </c>
      <c r="L30" s="6" t="s">
        <v>69</v>
      </c>
      <c r="M30" s="6"/>
      <c r="N30" s="6"/>
      <c r="O30" s="6"/>
      <c r="P30" s="6" t="n">
        <v>10</v>
      </c>
      <c r="Q30" s="6" t="s">
        <v>178</v>
      </c>
      <c r="R30" s="6" t="s">
        <v>48</v>
      </c>
      <c r="S30" s="6" t="s">
        <v>100</v>
      </c>
    </row>
    <row r="31" customFormat="false" ht="22.35" hidden="false" customHeight="false" outlineLevel="0" collapsed="false">
      <c r="A31" s="6" t="n">
        <v>30</v>
      </c>
      <c r="B31" s="6" t="s">
        <v>179</v>
      </c>
      <c r="C31" s="6" t="s">
        <v>180</v>
      </c>
      <c r="D31" s="6" t="s">
        <v>39</v>
      </c>
      <c r="E31" s="6" t="s">
        <v>40</v>
      </c>
      <c r="F31" s="6" t="s">
        <v>83</v>
      </c>
      <c r="G31" s="6" t="s">
        <v>164</v>
      </c>
      <c r="H31" s="6" t="s">
        <v>181</v>
      </c>
      <c r="I31" s="6" t="s">
        <v>44</v>
      </c>
      <c r="J31" s="6" t="s">
        <v>45</v>
      </c>
      <c r="K31" s="6" t="s">
        <v>46</v>
      </c>
      <c r="L31" s="6" t="s">
        <v>86</v>
      </c>
      <c r="M31" s="6"/>
      <c r="N31" s="6"/>
      <c r="O31" s="6"/>
      <c r="P31" s="6" t="n">
        <v>11</v>
      </c>
      <c r="Q31" s="6" t="s">
        <v>182</v>
      </c>
      <c r="R31" s="6" t="s">
        <v>48</v>
      </c>
      <c r="S31" s="6" t="s">
        <v>49</v>
      </c>
    </row>
    <row r="32" customFormat="false" ht="43.25" hidden="false" customHeight="false" outlineLevel="0" collapsed="false">
      <c r="A32" s="6" t="n">
        <v>31</v>
      </c>
      <c r="B32" s="6" t="s">
        <v>183</v>
      </c>
      <c r="C32" s="6" t="s">
        <v>184</v>
      </c>
      <c r="D32" s="6" t="s">
        <v>39</v>
      </c>
      <c r="E32" s="6" t="s">
        <v>40</v>
      </c>
      <c r="F32" s="6" t="s">
        <v>83</v>
      </c>
      <c r="G32" s="6" t="s">
        <v>164</v>
      </c>
      <c r="H32" s="6" t="s">
        <v>185</v>
      </c>
      <c r="I32" s="6" t="s">
        <v>44</v>
      </c>
      <c r="J32" s="6" t="s">
        <v>45</v>
      </c>
      <c r="K32" s="6" t="s">
        <v>46</v>
      </c>
      <c r="L32" s="6" t="s">
        <v>86</v>
      </c>
      <c r="M32" s="6"/>
      <c r="N32" s="6"/>
      <c r="O32" s="6"/>
      <c r="P32" s="6" t="n">
        <v>13</v>
      </c>
      <c r="Q32" s="6" t="s">
        <v>186</v>
      </c>
      <c r="R32" s="6" t="s">
        <v>48</v>
      </c>
      <c r="S32" s="6" t="s">
        <v>49</v>
      </c>
    </row>
    <row r="33" customFormat="false" ht="32.8" hidden="false" customHeight="false" outlineLevel="0" collapsed="false">
      <c r="A33" s="6" t="n">
        <v>32</v>
      </c>
      <c r="B33" s="6" t="s">
        <v>187</v>
      </c>
      <c r="C33" s="6" t="s">
        <v>188</v>
      </c>
      <c r="D33" s="6" t="s">
        <v>39</v>
      </c>
      <c r="E33" s="6" t="s">
        <v>40</v>
      </c>
      <c r="F33" s="6" t="s">
        <v>83</v>
      </c>
      <c r="G33" s="6" t="s">
        <v>164</v>
      </c>
      <c r="H33" s="6" t="s">
        <v>189</v>
      </c>
      <c r="I33" s="6" t="s">
        <v>44</v>
      </c>
      <c r="J33" s="6" t="s">
        <v>45</v>
      </c>
      <c r="K33" s="6" t="s">
        <v>46</v>
      </c>
      <c r="L33" s="6" t="s">
        <v>86</v>
      </c>
      <c r="M33" s="6"/>
      <c r="N33" s="6"/>
      <c r="O33" s="6"/>
      <c r="P33" s="6" t="n">
        <v>5</v>
      </c>
      <c r="Q33" s="6" t="s">
        <v>190</v>
      </c>
      <c r="R33" s="6" t="s">
        <v>48</v>
      </c>
      <c r="S33" s="6" t="s">
        <v>49</v>
      </c>
    </row>
    <row r="34" customFormat="false" ht="22.35" hidden="false" customHeight="false" outlineLevel="0" collapsed="false">
      <c r="A34" s="6" t="n">
        <v>33</v>
      </c>
      <c r="B34" s="6" t="s">
        <v>191</v>
      </c>
      <c r="C34" s="6" t="s">
        <v>192</v>
      </c>
      <c r="D34" s="6" t="s">
        <v>39</v>
      </c>
      <c r="E34" s="6" t="s">
        <v>40</v>
      </c>
      <c r="F34" s="6" t="s">
        <v>83</v>
      </c>
      <c r="G34" s="6" t="s">
        <v>164</v>
      </c>
      <c r="H34" s="6" t="s">
        <v>193</v>
      </c>
      <c r="I34" s="6" t="s">
        <v>44</v>
      </c>
      <c r="J34" s="6" t="s">
        <v>45</v>
      </c>
      <c r="K34" s="6" t="s">
        <v>46</v>
      </c>
      <c r="L34" s="6" t="s">
        <v>86</v>
      </c>
      <c r="M34" s="6"/>
      <c r="N34" s="6"/>
      <c r="O34" s="6"/>
      <c r="P34" s="6" t="n">
        <v>2</v>
      </c>
      <c r="Q34" s="6" t="s">
        <v>194</v>
      </c>
      <c r="R34" s="6" t="s">
        <v>48</v>
      </c>
      <c r="S34" s="6" t="s">
        <v>49</v>
      </c>
    </row>
    <row r="35" customFormat="false" ht="43.25" hidden="false" customHeight="false" outlineLevel="0" collapsed="false">
      <c r="A35" s="6" t="n">
        <v>34</v>
      </c>
      <c r="B35" s="6" t="s">
        <v>195</v>
      </c>
      <c r="C35" s="6" t="s">
        <v>196</v>
      </c>
      <c r="D35" s="6" t="s">
        <v>39</v>
      </c>
      <c r="E35" s="6" t="s">
        <v>40</v>
      </c>
      <c r="F35" s="6" t="s">
        <v>83</v>
      </c>
      <c r="G35" s="6" t="s">
        <v>164</v>
      </c>
      <c r="H35" s="6" t="s">
        <v>193</v>
      </c>
      <c r="I35" s="6" t="s">
        <v>54</v>
      </c>
      <c r="J35" s="6" t="s">
        <v>45</v>
      </c>
      <c r="K35" s="6" t="s">
        <v>46</v>
      </c>
      <c r="L35" s="6" t="s">
        <v>47</v>
      </c>
      <c r="M35" s="6" t="s">
        <v>197</v>
      </c>
      <c r="N35" s="6"/>
      <c r="O35" s="6"/>
      <c r="P35" s="6" t="n">
        <v>13</v>
      </c>
      <c r="Q35" s="6" t="s">
        <v>198</v>
      </c>
      <c r="R35" s="8" t="s">
        <v>57</v>
      </c>
      <c r="S35" s="6" t="s">
        <v>49</v>
      </c>
    </row>
    <row r="36" customFormat="false" ht="32.8" hidden="false" customHeight="false" outlineLevel="0" collapsed="false">
      <c r="A36" s="6" t="n">
        <v>35</v>
      </c>
      <c r="B36" s="6" t="s">
        <v>199</v>
      </c>
      <c r="C36" s="6" t="s">
        <v>200</v>
      </c>
      <c r="D36" s="6" t="s">
        <v>39</v>
      </c>
      <c r="E36" s="6" t="s">
        <v>40</v>
      </c>
      <c r="F36" s="6" t="s">
        <v>83</v>
      </c>
      <c r="G36" s="6" t="s">
        <v>164</v>
      </c>
      <c r="H36" s="6" t="s">
        <v>193</v>
      </c>
      <c r="I36" s="6" t="s">
        <v>60</v>
      </c>
      <c r="J36" s="6" t="s">
        <v>45</v>
      </c>
      <c r="K36" s="6" t="s">
        <v>46</v>
      </c>
      <c r="L36" s="6" t="s">
        <v>86</v>
      </c>
      <c r="M36" s="6"/>
      <c r="N36" s="6"/>
      <c r="O36" s="6"/>
      <c r="P36" s="6" t="n">
        <v>10</v>
      </c>
      <c r="Q36" s="6" t="s">
        <v>201</v>
      </c>
      <c r="R36" s="6" t="s">
        <v>48</v>
      </c>
      <c r="S36" s="6" t="s">
        <v>49</v>
      </c>
    </row>
    <row r="37" customFormat="false" ht="43.25" hidden="false" customHeight="false" outlineLevel="0" collapsed="false">
      <c r="A37" s="6" t="n">
        <v>36</v>
      </c>
      <c r="B37" s="6" t="s">
        <v>202</v>
      </c>
      <c r="C37" s="6" t="s">
        <v>203</v>
      </c>
      <c r="D37" s="6" t="s">
        <v>39</v>
      </c>
      <c r="E37" s="6" t="s">
        <v>40</v>
      </c>
      <c r="F37" s="6" t="s">
        <v>83</v>
      </c>
      <c r="G37" s="6" t="s">
        <v>164</v>
      </c>
      <c r="H37" s="6" t="s">
        <v>193</v>
      </c>
      <c r="I37" s="6" t="s">
        <v>64</v>
      </c>
      <c r="J37" s="6" t="s">
        <v>45</v>
      </c>
      <c r="K37" s="6" t="s">
        <v>46</v>
      </c>
      <c r="L37" s="6" t="s">
        <v>86</v>
      </c>
      <c r="M37" s="6"/>
      <c r="N37" s="6"/>
      <c r="O37" s="6"/>
      <c r="P37" s="6" t="n">
        <v>15</v>
      </c>
      <c r="Q37" s="6" t="s">
        <v>204</v>
      </c>
      <c r="R37" s="6" t="s">
        <v>48</v>
      </c>
      <c r="S37" s="6" t="s">
        <v>49</v>
      </c>
    </row>
    <row r="38" customFormat="false" ht="32.8" hidden="false" customHeight="false" outlineLevel="0" collapsed="false">
      <c r="A38" s="6" t="n">
        <v>37</v>
      </c>
      <c r="B38" s="6" t="s">
        <v>205</v>
      </c>
      <c r="C38" s="6" t="s">
        <v>206</v>
      </c>
      <c r="D38" s="6" t="s">
        <v>39</v>
      </c>
      <c r="E38" s="6" t="s">
        <v>40</v>
      </c>
      <c r="F38" s="6" t="s">
        <v>83</v>
      </c>
      <c r="G38" s="6" t="s">
        <v>164</v>
      </c>
      <c r="H38" s="6" t="s">
        <v>193</v>
      </c>
      <c r="I38" s="6" t="s">
        <v>68</v>
      </c>
      <c r="J38" s="6" t="s">
        <v>45</v>
      </c>
      <c r="K38" s="6" t="s">
        <v>46</v>
      </c>
      <c r="L38" s="6" t="s">
        <v>86</v>
      </c>
      <c r="M38" s="6"/>
      <c r="N38" s="6" t="s">
        <v>207</v>
      </c>
      <c r="O38" s="6"/>
      <c r="P38" s="6" t="n">
        <v>2</v>
      </c>
      <c r="Q38" s="6" t="s">
        <v>208</v>
      </c>
      <c r="R38" s="7" t="s">
        <v>72</v>
      </c>
      <c r="S38" s="6" t="s">
        <v>73</v>
      </c>
    </row>
    <row r="39" customFormat="false" ht="22.35" hidden="false" customHeight="false" outlineLevel="0" collapsed="false">
      <c r="A39" s="6" t="n">
        <v>38</v>
      </c>
      <c r="B39" s="6" t="s">
        <v>209</v>
      </c>
      <c r="C39" s="6" t="s">
        <v>210</v>
      </c>
      <c r="D39" s="6" t="s">
        <v>39</v>
      </c>
      <c r="E39" s="6" t="s">
        <v>40</v>
      </c>
      <c r="F39" s="6" t="s">
        <v>83</v>
      </c>
      <c r="G39" s="6" t="s">
        <v>164</v>
      </c>
      <c r="H39" s="6" t="s">
        <v>193</v>
      </c>
      <c r="I39" s="6" t="s">
        <v>76</v>
      </c>
      <c r="J39" s="6" t="s">
        <v>45</v>
      </c>
      <c r="K39" s="6" t="s">
        <v>46</v>
      </c>
      <c r="L39" s="6" t="s">
        <v>86</v>
      </c>
      <c r="M39" s="6"/>
      <c r="N39" s="6"/>
      <c r="O39" s="6"/>
      <c r="P39" s="6" t="n">
        <v>11</v>
      </c>
      <c r="Q39" s="6" t="s">
        <v>211</v>
      </c>
      <c r="R39" s="6" t="s">
        <v>48</v>
      </c>
      <c r="S39" s="6" t="s">
        <v>49</v>
      </c>
    </row>
    <row r="40" customFormat="false" ht="43.25" hidden="false" customHeight="false" outlineLevel="0" collapsed="false">
      <c r="A40" s="6" t="n">
        <v>39</v>
      </c>
      <c r="B40" s="6" t="s">
        <v>212</v>
      </c>
      <c r="C40" s="6" t="s">
        <v>213</v>
      </c>
      <c r="D40" s="6" t="s">
        <v>214</v>
      </c>
      <c r="E40" s="7" t="s">
        <v>53</v>
      </c>
      <c r="F40" s="6" t="s">
        <v>83</v>
      </c>
      <c r="G40" s="6" t="s">
        <v>164</v>
      </c>
      <c r="H40" s="6" t="s">
        <v>193</v>
      </c>
      <c r="I40" s="6" t="s">
        <v>79</v>
      </c>
      <c r="J40" s="6" t="s">
        <v>45</v>
      </c>
      <c r="K40" s="6" t="s">
        <v>46</v>
      </c>
      <c r="L40" s="6" t="s">
        <v>86</v>
      </c>
      <c r="M40" s="6"/>
      <c r="N40" s="6"/>
      <c r="O40" s="6" t="s">
        <v>215</v>
      </c>
      <c r="P40" s="6" t="n">
        <v>13</v>
      </c>
      <c r="Q40" s="6" t="s">
        <v>216</v>
      </c>
      <c r="R40" s="6" t="s">
        <v>48</v>
      </c>
      <c r="S40" s="6" t="s">
        <v>49</v>
      </c>
    </row>
    <row r="41" customFormat="false" ht="22.35" hidden="false" customHeight="false" outlineLevel="0" collapsed="false">
      <c r="A41" s="6" t="n">
        <v>40</v>
      </c>
      <c r="B41" s="6" t="s">
        <v>217</v>
      </c>
      <c r="C41" s="6" t="s">
        <v>218</v>
      </c>
      <c r="D41" s="6" t="s">
        <v>39</v>
      </c>
      <c r="E41" s="6" t="s">
        <v>40</v>
      </c>
      <c r="F41" s="6" t="s">
        <v>83</v>
      </c>
      <c r="G41" s="6" t="s">
        <v>164</v>
      </c>
      <c r="H41" s="6" t="s">
        <v>193</v>
      </c>
      <c r="I41" s="6" t="s">
        <v>85</v>
      </c>
      <c r="J41" s="6" t="s">
        <v>45</v>
      </c>
      <c r="K41" s="6" t="s">
        <v>46</v>
      </c>
      <c r="L41" s="6" t="s">
        <v>86</v>
      </c>
      <c r="M41" s="6"/>
      <c r="N41" s="6"/>
      <c r="O41" s="6"/>
      <c r="P41" s="6" t="n">
        <v>4</v>
      </c>
      <c r="Q41" s="6" t="s">
        <v>219</v>
      </c>
      <c r="R41" s="6" t="s">
        <v>48</v>
      </c>
      <c r="S41" s="6" t="s">
        <v>49</v>
      </c>
    </row>
    <row r="42" customFormat="false" ht="43.25" hidden="false" customHeight="false" outlineLevel="0" collapsed="false">
      <c r="A42" s="6" t="n">
        <v>41</v>
      </c>
      <c r="B42" s="6" t="s">
        <v>220</v>
      </c>
      <c r="C42" s="6" t="s">
        <v>221</v>
      </c>
      <c r="D42" s="6" t="s">
        <v>39</v>
      </c>
      <c r="E42" s="6" t="s">
        <v>40</v>
      </c>
      <c r="F42" s="6" t="s">
        <v>83</v>
      </c>
      <c r="G42" s="6" t="s">
        <v>164</v>
      </c>
      <c r="H42" s="6" t="s">
        <v>222</v>
      </c>
      <c r="I42" s="6" t="s">
        <v>44</v>
      </c>
      <c r="J42" s="6" t="s">
        <v>45</v>
      </c>
      <c r="K42" s="10" t="s">
        <v>223</v>
      </c>
      <c r="L42" s="6" t="s">
        <v>69</v>
      </c>
      <c r="M42" s="6"/>
      <c r="N42" s="6"/>
      <c r="O42" s="6" t="s">
        <v>128</v>
      </c>
      <c r="P42" s="6" t="n">
        <v>8</v>
      </c>
      <c r="Q42" s="6" t="s">
        <v>224</v>
      </c>
      <c r="R42" s="6" t="s">
        <v>48</v>
      </c>
      <c r="S42" s="6" t="s">
        <v>49</v>
      </c>
    </row>
    <row r="43" customFormat="false" ht="32.8" hidden="false" customHeight="false" outlineLevel="0" collapsed="false">
      <c r="A43" s="6" t="n">
        <v>42</v>
      </c>
      <c r="B43" s="6" t="s">
        <v>225</v>
      </c>
      <c r="C43" s="6" t="s">
        <v>226</v>
      </c>
      <c r="D43" s="6" t="s">
        <v>39</v>
      </c>
      <c r="E43" s="6" t="s">
        <v>40</v>
      </c>
      <c r="F43" s="6" t="s">
        <v>83</v>
      </c>
      <c r="G43" s="6" t="s">
        <v>164</v>
      </c>
      <c r="H43" s="6" t="s">
        <v>222</v>
      </c>
      <c r="I43" s="6" t="s">
        <v>54</v>
      </c>
      <c r="J43" s="6" t="s">
        <v>45</v>
      </c>
      <c r="K43" s="6" t="s">
        <v>46</v>
      </c>
      <c r="L43" s="6" t="s">
        <v>69</v>
      </c>
      <c r="M43" s="6"/>
      <c r="N43" s="6"/>
      <c r="O43" s="6"/>
      <c r="P43" s="6" t="n">
        <v>7</v>
      </c>
      <c r="Q43" s="6" t="s">
        <v>227</v>
      </c>
      <c r="R43" s="6" t="s">
        <v>48</v>
      </c>
      <c r="S43" s="6" t="s">
        <v>49</v>
      </c>
    </row>
    <row r="44" customFormat="false" ht="15" hidden="false" customHeight="false" outlineLevel="0" collapsed="false">
      <c r="A44" s="6" t="n">
        <v>43</v>
      </c>
      <c r="B44" s="6" t="s">
        <v>228</v>
      </c>
      <c r="C44" s="6" t="s">
        <v>229</v>
      </c>
      <c r="D44" s="6" t="s">
        <v>39</v>
      </c>
      <c r="E44" s="6" t="s">
        <v>40</v>
      </c>
      <c r="F44" s="6" t="s">
        <v>83</v>
      </c>
      <c r="G44" s="6" t="s">
        <v>84</v>
      </c>
      <c r="H44" s="6" t="s">
        <v>222</v>
      </c>
      <c r="I44" s="6" t="s">
        <v>60</v>
      </c>
      <c r="J44" s="6" t="s">
        <v>45</v>
      </c>
      <c r="K44" s="6" t="s">
        <v>46</v>
      </c>
      <c r="L44" s="6" t="s">
        <v>86</v>
      </c>
      <c r="M44" s="6"/>
      <c r="N44" s="6"/>
      <c r="O44" s="6"/>
      <c r="P44" s="6" t="n">
        <v>7</v>
      </c>
      <c r="Q44" s="6" t="s">
        <v>230</v>
      </c>
      <c r="R44" s="6" t="s">
        <v>48</v>
      </c>
      <c r="S44" s="6" t="s">
        <v>49</v>
      </c>
    </row>
    <row r="45" customFormat="false" ht="15" hidden="false" customHeight="false" outlineLevel="0" collapsed="false">
      <c r="A45" s="6" t="n">
        <v>44</v>
      </c>
      <c r="B45" s="6" t="s">
        <v>231</v>
      </c>
      <c r="C45" s="6" t="s">
        <v>229</v>
      </c>
      <c r="D45" s="6" t="s">
        <v>39</v>
      </c>
      <c r="E45" s="6" t="s">
        <v>40</v>
      </c>
      <c r="F45" s="6" t="s">
        <v>83</v>
      </c>
      <c r="G45" s="6" t="s">
        <v>84</v>
      </c>
      <c r="H45" s="6" t="s">
        <v>222</v>
      </c>
      <c r="I45" s="6" t="s">
        <v>64</v>
      </c>
      <c r="J45" s="6" t="s">
        <v>45</v>
      </c>
      <c r="K45" s="6" t="s">
        <v>46</v>
      </c>
      <c r="L45" s="6" t="s">
        <v>47</v>
      </c>
      <c r="M45" s="6"/>
      <c r="N45" s="6"/>
      <c r="O45" s="6"/>
      <c r="P45" s="6" t="n">
        <v>1</v>
      </c>
      <c r="Q45" s="6" t="s">
        <v>232</v>
      </c>
      <c r="R45" s="6" t="s">
        <v>48</v>
      </c>
      <c r="S45" s="6" t="s">
        <v>49</v>
      </c>
    </row>
    <row r="46" customFormat="false" ht="15" hidden="false" customHeight="false" outlineLevel="0" collapsed="false">
      <c r="A46" s="6" t="n">
        <v>45</v>
      </c>
      <c r="B46" s="6" t="s">
        <v>233</v>
      </c>
      <c r="C46" s="6" t="s">
        <v>229</v>
      </c>
      <c r="D46" s="6" t="s">
        <v>39</v>
      </c>
      <c r="E46" s="6" t="s">
        <v>40</v>
      </c>
      <c r="F46" s="6" t="s">
        <v>83</v>
      </c>
      <c r="G46" s="6" t="s">
        <v>84</v>
      </c>
      <c r="H46" s="6" t="s">
        <v>222</v>
      </c>
      <c r="I46" s="6" t="s">
        <v>68</v>
      </c>
      <c r="J46" s="6" t="s">
        <v>45</v>
      </c>
      <c r="K46" s="6" t="s">
        <v>46</v>
      </c>
      <c r="L46" s="6" t="s">
        <v>69</v>
      </c>
      <c r="M46" s="6"/>
      <c r="N46" s="6"/>
      <c r="O46" s="6"/>
      <c r="P46" s="6" t="n">
        <v>17</v>
      </c>
      <c r="Q46" s="6" t="s">
        <v>234</v>
      </c>
      <c r="R46" s="6" t="s">
        <v>48</v>
      </c>
      <c r="S46" s="6" t="s">
        <v>100</v>
      </c>
    </row>
    <row r="47" customFormat="false" ht="32.8" hidden="false" customHeight="false" outlineLevel="0" collapsed="false">
      <c r="A47" s="6" t="n">
        <v>46</v>
      </c>
      <c r="B47" s="6" t="s">
        <v>235</v>
      </c>
      <c r="C47" s="6" t="s">
        <v>229</v>
      </c>
      <c r="D47" s="6" t="s">
        <v>39</v>
      </c>
      <c r="E47" s="6" t="s">
        <v>40</v>
      </c>
      <c r="F47" s="6" t="s">
        <v>83</v>
      </c>
      <c r="G47" s="6" t="s">
        <v>84</v>
      </c>
      <c r="H47" s="6" t="s">
        <v>222</v>
      </c>
      <c r="I47" s="6" t="s">
        <v>76</v>
      </c>
      <c r="J47" s="6" t="s">
        <v>45</v>
      </c>
      <c r="K47" s="6" t="s">
        <v>46</v>
      </c>
      <c r="L47" s="6" t="s">
        <v>86</v>
      </c>
      <c r="M47" s="6"/>
      <c r="N47" s="6"/>
      <c r="O47" s="6" t="s">
        <v>236</v>
      </c>
      <c r="P47" s="6" t="n">
        <v>6</v>
      </c>
      <c r="Q47" s="6" t="s">
        <v>237</v>
      </c>
      <c r="R47" s="6" t="s">
        <v>48</v>
      </c>
      <c r="S47" s="6" t="s">
        <v>49</v>
      </c>
    </row>
    <row r="48" customFormat="false" ht="22.35" hidden="false" customHeight="false" outlineLevel="0" collapsed="false">
      <c r="A48" s="6" t="n">
        <v>47</v>
      </c>
      <c r="B48" s="6" t="s">
        <v>238</v>
      </c>
      <c r="C48" s="6" t="s">
        <v>229</v>
      </c>
      <c r="D48" s="6" t="s">
        <v>39</v>
      </c>
      <c r="E48" s="6" t="s">
        <v>40</v>
      </c>
      <c r="F48" s="6" t="s">
        <v>83</v>
      </c>
      <c r="G48" s="6" t="s">
        <v>84</v>
      </c>
      <c r="H48" s="6" t="s">
        <v>222</v>
      </c>
      <c r="I48" s="6" t="s">
        <v>79</v>
      </c>
      <c r="J48" s="6" t="s">
        <v>45</v>
      </c>
      <c r="K48" s="6" t="s">
        <v>46</v>
      </c>
      <c r="L48" s="6" t="s">
        <v>47</v>
      </c>
      <c r="M48" s="6"/>
      <c r="N48" s="6"/>
      <c r="O48" s="6" t="s">
        <v>236</v>
      </c>
      <c r="P48" s="6" t="n">
        <v>4</v>
      </c>
      <c r="Q48" s="6" t="s">
        <v>239</v>
      </c>
      <c r="R48" s="6" t="s">
        <v>48</v>
      </c>
      <c r="S48" s="6" t="s">
        <v>49</v>
      </c>
    </row>
    <row r="49" customFormat="false" ht="22.35" hidden="false" customHeight="false" outlineLevel="0" collapsed="false">
      <c r="A49" s="6" t="n">
        <v>48</v>
      </c>
      <c r="B49" s="6" t="s">
        <v>240</v>
      </c>
      <c r="C49" s="6" t="s">
        <v>229</v>
      </c>
      <c r="D49" s="6" t="s">
        <v>39</v>
      </c>
      <c r="E49" s="6" t="s">
        <v>40</v>
      </c>
      <c r="F49" s="6" t="s">
        <v>83</v>
      </c>
      <c r="G49" s="6" t="s">
        <v>84</v>
      </c>
      <c r="H49" s="6" t="s">
        <v>222</v>
      </c>
      <c r="I49" s="6" t="s">
        <v>85</v>
      </c>
      <c r="J49" s="6" t="s">
        <v>45</v>
      </c>
      <c r="K49" s="6" t="s">
        <v>46</v>
      </c>
      <c r="L49" s="6" t="s">
        <v>86</v>
      </c>
      <c r="M49" s="6"/>
      <c r="N49" s="6"/>
      <c r="O49" s="6" t="s">
        <v>236</v>
      </c>
      <c r="P49" s="6" t="n">
        <v>4</v>
      </c>
      <c r="Q49" s="6" t="s">
        <v>241</v>
      </c>
      <c r="R49" s="6" t="s">
        <v>48</v>
      </c>
      <c r="S49" s="6" t="s">
        <v>49</v>
      </c>
    </row>
    <row r="50" customFormat="false" ht="22.35" hidden="false" customHeight="false" outlineLevel="0" collapsed="false">
      <c r="A50" s="6" t="n">
        <v>49</v>
      </c>
      <c r="B50" s="6" t="s">
        <v>242</v>
      </c>
      <c r="C50" s="6" t="s">
        <v>243</v>
      </c>
      <c r="D50" s="6" t="s">
        <v>39</v>
      </c>
      <c r="E50" s="6" t="s">
        <v>115</v>
      </c>
      <c r="F50" s="6" t="s">
        <v>83</v>
      </c>
      <c r="G50" s="6" t="s">
        <v>84</v>
      </c>
      <c r="H50" s="6" t="s">
        <v>96</v>
      </c>
      <c r="I50" s="6" t="s">
        <v>46</v>
      </c>
      <c r="J50" s="11" t="s">
        <v>7</v>
      </c>
      <c r="K50" s="6" t="s">
        <v>46</v>
      </c>
      <c r="L50" s="6" t="s">
        <v>98</v>
      </c>
      <c r="M50" s="6"/>
      <c r="N50" s="6"/>
      <c r="O50" s="6"/>
      <c r="P50" s="6" t="n">
        <v>0</v>
      </c>
      <c r="Q50" s="6"/>
      <c r="R50" s="11" t="s">
        <v>117</v>
      </c>
      <c r="S50" s="6" t="s">
        <v>73</v>
      </c>
    </row>
    <row r="51" customFormat="false" ht="22.35" hidden="false" customHeight="false" outlineLevel="0" collapsed="false">
      <c r="A51" s="6" t="n">
        <v>50</v>
      </c>
      <c r="B51" s="6" t="s">
        <v>244</v>
      </c>
      <c r="C51" s="6" t="s">
        <v>243</v>
      </c>
      <c r="D51" s="6" t="s">
        <v>39</v>
      </c>
      <c r="E51" s="6" t="s">
        <v>115</v>
      </c>
      <c r="F51" s="6" t="s">
        <v>83</v>
      </c>
      <c r="G51" s="6" t="s">
        <v>84</v>
      </c>
      <c r="H51" s="6" t="s">
        <v>96</v>
      </c>
      <c r="I51" s="6" t="s">
        <v>46</v>
      </c>
      <c r="J51" s="11" t="s">
        <v>7</v>
      </c>
      <c r="K51" s="6" t="s">
        <v>46</v>
      </c>
      <c r="L51" s="6" t="s">
        <v>98</v>
      </c>
      <c r="M51" s="6"/>
      <c r="N51" s="6"/>
      <c r="O51" s="6"/>
      <c r="P51" s="6" t="n">
        <v>0</v>
      </c>
      <c r="Q51" s="6"/>
      <c r="R51" s="11" t="s">
        <v>117</v>
      </c>
      <c r="S51" s="6" t="s">
        <v>73</v>
      </c>
    </row>
    <row r="52" customFormat="false" ht="22.35" hidden="false" customHeight="false" outlineLevel="0" collapsed="false">
      <c r="A52" s="6" t="n">
        <v>51</v>
      </c>
      <c r="B52" s="6" t="s">
        <v>245</v>
      </c>
      <c r="C52" s="6" t="s">
        <v>246</v>
      </c>
      <c r="D52" s="6" t="s">
        <v>39</v>
      </c>
      <c r="E52" s="6" t="s">
        <v>115</v>
      </c>
      <c r="F52" s="6" t="s">
        <v>83</v>
      </c>
      <c r="G52" s="6" t="s">
        <v>84</v>
      </c>
      <c r="H52" s="6" t="s">
        <v>96</v>
      </c>
      <c r="I52" s="6" t="s">
        <v>46</v>
      </c>
      <c r="J52" s="11" t="s">
        <v>7</v>
      </c>
      <c r="K52" s="6" t="s">
        <v>46</v>
      </c>
      <c r="L52" s="6" t="s">
        <v>98</v>
      </c>
      <c r="M52" s="6"/>
      <c r="N52" s="6"/>
      <c r="O52" s="6"/>
      <c r="P52" s="6" t="n">
        <v>0</v>
      </c>
      <c r="Q52" s="6" t="s">
        <v>247</v>
      </c>
      <c r="R52" s="11" t="s">
        <v>117</v>
      </c>
      <c r="S52" s="6" t="s">
        <v>73</v>
      </c>
    </row>
    <row r="53" customFormat="false" ht="22.35" hidden="false" customHeight="false" outlineLevel="0" collapsed="false">
      <c r="A53" s="6" t="n">
        <v>52</v>
      </c>
      <c r="B53" s="6" t="s">
        <v>248</v>
      </c>
      <c r="C53" s="6" t="s">
        <v>249</v>
      </c>
      <c r="D53" s="6" t="s">
        <v>39</v>
      </c>
      <c r="E53" s="6" t="s">
        <v>40</v>
      </c>
      <c r="F53" s="6" t="s">
        <v>83</v>
      </c>
      <c r="G53" s="6" t="s">
        <v>84</v>
      </c>
      <c r="H53" s="6" t="s">
        <v>250</v>
      </c>
      <c r="I53" s="6" t="s">
        <v>64</v>
      </c>
      <c r="J53" s="6" t="s">
        <v>45</v>
      </c>
      <c r="K53" s="6" t="s">
        <v>46</v>
      </c>
      <c r="L53" s="6" t="s">
        <v>86</v>
      </c>
      <c r="M53" s="6"/>
      <c r="N53" s="6"/>
      <c r="O53" s="6"/>
      <c r="P53" s="6" t="n">
        <v>8</v>
      </c>
      <c r="Q53" s="6" t="s">
        <v>251</v>
      </c>
      <c r="R53" s="6" t="s">
        <v>48</v>
      </c>
      <c r="S53" s="6" t="s">
        <v>49</v>
      </c>
    </row>
    <row r="54" customFormat="false" ht="43.25" hidden="false" customHeight="false" outlineLevel="0" collapsed="false">
      <c r="A54" s="6" t="n">
        <v>53</v>
      </c>
      <c r="B54" s="6" t="s">
        <v>252</v>
      </c>
      <c r="C54" s="6" t="s">
        <v>253</v>
      </c>
      <c r="D54" s="6" t="s">
        <v>39</v>
      </c>
      <c r="E54" s="6" t="s">
        <v>40</v>
      </c>
      <c r="F54" s="6" t="s">
        <v>254</v>
      </c>
      <c r="G54" s="6" t="s">
        <v>255</v>
      </c>
      <c r="H54" s="6" t="s">
        <v>250</v>
      </c>
      <c r="I54" s="6" t="s">
        <v>68</v>
      </c>
      <c r="J54" s="6" t="s">
        <v>45</v>
      </c>
      <c r="K54" s="10" t="s">
        <v>256</v>
      </c>
      <c r="L54" s="6" t="s">
        <v>86</v>
      </c>
      <c r="M54" s="6"/>
      <c r="N54" s="6" t="s">
        <v>257</v>
      </c>
      <c r="O54" s="6" t="s">
        <v>258</v>
      </c>
      <c r="P54" s="6" t="n">
        <v>14</v>
      </c>
      <c r="Q54" s="6" t="s">
        <v>259</v>
      </c>
      <c r="R54" s="7" t="s">
        <v>72</v>
      </c>
      <c r="S54" s="6" t="s">
        <v>73</v>
      </c>
    </row>
    <row r="55" customFormat="false" ht="32.8" hidden="false" customHeight="false" outlineLevel="0" collapsed="false">
      <c r="A55" s="6" t="n">
        <v>54</v>
      </c>
      <c r="B55" s="6" t="s">
        <v>260</v>
      </c>
      <c r="C55" s="6" t="s">
        <v>261</v>
      </c>
      <c r="D55" s="6" t="s">
        <v>39</v>
      </c>
      <c r="E55" s="6" t="s">
        <v>40</v>
      </c>
      <c r="F55" s="6" t="s">
        <v>254</v>
      </c>
      <c r="G55" s="6" t="s">
        <v>255</v>
      </c>
      <c r="H55" s="6" t="s">
        <v>250</v>
      </c>
      <c r="I55" s="6" t="s">
        <v>76</v>
      </c>
      <c r="J55" s="6" t="s">
        <v>45</v>
      </c>
      <c r="K55" s="10" t="s">
        <v>262</v>
      </c>
      <c r="L55" s="6" t="s">
        <v>86</v>
      </c>
      <c r="M55" s="6"/>
      <c r="N55" s="6"/>
      <c r="O55" s="6" t="s">
        <v>263</v>
      </c>
      <c r="P55" s="6" t="n">
        <v>8</v>
      </c>
      <c r="Q55" s="6" t="s">
        <v>264</v>
      </c>
      <c r="R55" s="6" t="s">
        <v>48</v>
      </c>
      <c r="S55" s="6" t="s">
        <v>49</v>
      </c>
    </row>
    <row r="56" customFormat="false" ht="32.8" hidden="false" customHeight="false" outlineLevel="0" collapsed="false">
      <c r="A56" s="6" t="n">
        <v>55</v>
      </c>
      <c r="B56" s="6" t="s">
        <v>265</v>
      </c>
      <c r="C56" s="6" t="s">
        <v>266</v>
      </c>
      <c r="D56" s="6" t="s">
        <v>39</v>
      </c>
      <c r="E56" s="6" t="s">
        <v>40</v>
      </c>
      <c r="F56" s="6" t="s">
        <v>254</v>
      </c>
      <c r="G56" s="6" t="s">
        <v>255</v>
      </c>
      <c r="H56" s="6" t="s">
        <v>250</v>
      </c>
      <c r="I56" s="6" t="s">
        <v>79</v>
      </c>
      <c r="J56" s="6" t="s">
        <v>45</v>
      </c>
      <c r="K56" s="6" t="s">
        <v>46</v>
      </c>
      <c r="L56" s="6" t="s">
        <v>47</v>
      </c>
      <c r="M56" s="6"/>
      <c r="N56" s="6"/>
      <c r="O56" s="6"/>
      <c r="P56" s="6" t="n">
        <v>8</v>
      </c>
      <c r="Q56" s="6" t="s">
        <v>267</v>
      </c>
      <c r="R56" s="6" t="s">
        <v>48</v>
      </c>
      <c r="S56" s="6" t="s">
        <v>49</v>
      </c>
    </row>
    <row r="57" customFormat="false" ht="22.35" hidden="false" customHeight="false" outlineLevel="0" collapsed="false">
      <c r="A57" s="6" t="n">
        <v>56</v>
      </c>
      <c r="B57" s="6" t="s">
        <v>268</v>
      </c>
      <c r="C57" s="6" t="s">
        <v>269</v>
      </c>
      <c r="D57" s="6" t="s">
        <v>39</v>
      </c>
      <c r="E57" s="6" t="s">
        <v>40</v>
      </c>
      <c r="F57" s="6" t="s">
        <v>270</v>
      </c>
      <c r="G57" s="6" t="s">
        <v>255</v>
      </c>
      <c r="H57" s="6" t="s">
        <v>250</v>
      </c>
      <c r="I57" s="6" t="s">
        <v>85</v>
      </c>
      <c r="J57" s="6" t="s">
        <v>45</v>
      </c>
      <c r="K57" s="6" t="s">
        <v>46</v>
      </c>
      <c r="L57" s="6" t="s">
        <v>69</v>
      </c>
      <c r="M57" s="6"/>
      <c r="N57" s="6"/>
      <c r="O57" s="6" t="s">
        <v>271</v>
      </c>
      <c r="P57" s="6" t="n">
        <v>9</v>
      </c>
      <c r="Q57" s="6" t="s">
        <v>272</v>
      </c>
      <c r="R57" s="6" t="s">
        <v>48</v>
      </c>
      <c r="S57" s="6" t="s">
        <v>100</v>
      </c>
    </row>
    <row r="58" customFormat="false" ht="22.35" hidden="false" customHeight="false" outlineLevel="0" collapsed="false">
      <c r="A58" s="6" t="n">
        <v>57</v>
      </c>
      <c r="B58" s="6" t="s">
        <v>273</v>
      </c>
      <c r="C58" s="6" t="s">
        <v>274</v>
      </c>
      <c r="D58" s="6" t="s">
        <v>39</v>
      </c>
      <c r="E58" s="6" t="s">
        <v>40</v>
      </c>
      <c r="F58" s="6" t="s">
        <v>270</v>
      </c>
      <c r="G58" s="6" t="s">
        <v>255</v>
      </c>
      <c r="H58" s="6" t="s">
        <v>275</v>
      </c>
      <c r="I58" s="6" t="s">
        <v>44</v>
      </c>
      <c r="J58" s="6" t="s">
        <v>45</v>
      </c>
      <c r="K58" s="6" t="s">
        <v>46</v>
      </c>
      <c r="L58" s="6" t="s">
        <v>69</v>
      </c>
      <c r="M58" s="6"/>
      <c r="N58" s="6"/>
      <c r="O58" s="6" t="s">
        <v>271</v>
      </c>
      <c r="P58" s="6" t="n">
        <v>2</v>
      </c>
      <c r="Q58" s="6" t="s">
        <v>276</v>
      </c>
      <c r="R58" s="6" t="s">
        <v>48</v>
      </c>
      <c r="S58" s="6" t="s">
        <v>100</v>
      </c>
    </row>
    <row r="59" customFormat="false" ht="43.25" hidden="false" customHeight="false" outlineLevel="0" collapsed="false">
      <c r="A59" s="6" t="n">
        <v>58</v>
      </c>
      <c r="B59" s="6" t="s">
        <v>277</v>
      </c>
      <c r="C59" s="6" t="s">
        <v>278</v>
      </c>
      <c r="D59" s="6" t="s">
        <v>279</v>
      </c>
      <c r="E59" s="7" t="s">
        <v>280</v>
      </c>
      <c r="F59" s="6" t="s">
        <v>270</v>
      </c>
      <c r="G59" s="6" t="s">
        <v>255</v>
      </c>
      <c r="H59" s="6" t="s">
        <v>275</v>
      </c>
      <c r="I59" s="6" t="s">
        <v>54</v>
      </c>
      <c r="J59" s="6" t="s">
        <v>45</v>
      </c>
      <c r="K59" s="6" t="s">
        <v>46</v>
      </c>
      <c r="L59" s="6" t="s">
        <v>69</v>
      </c>
      <c r="M59" s="6"/>
      <c r="N59" s="6" t="s">
        <v>281</v>
      </c>
      <c r="O59" s="6" t="s">
        <v>282</v>
      </c>
      <c r="P59" s="6" t="n">
        <v>5</v>
      </c>
      <c r="Q59" s="6" t="s">
        <v>283</v>
      </c>
      <c r="R59" s="7" t="s">
        <v>72</v>
      </c>
      <c r="S59" s="6" t="s">
        <v>73</v>
      </c>
    </row>
    <row r="60" customFormat="false" ht="43.25" hidden="false" customHeight="false" outlineLevel="0" collapsed="false">
      <c r="A60" s="6" t="n">
        <v>59</v>
      </c>
      <c r="B60" s="6" t="s">
        <v>284</v>
      </c>
      <c r="C60" s="6" t="s">
        <v>285</v>
      </c>
      <c r="D60" s="6" t="s">
        <v>39</v>
      </c>
      <c r="E60" s="6" t="s">
        <v>40</v>
      </c>
      <c r="F60" s="6" t="s">
        <v>270</v>
      </c>
      <c r="G60" s="6" t="s">
        <v>255</v>
      </c>
      <c r="H60" s="6" t="s">
        <v>275</v>
      </c>
      <c r="I60" s="6" t="s">
        <v>60</v>
      </c>
      <c r="J60" s="6" t="s">
        <v>45</v>
      </c>
      <c r="K60" s="10" t="s">
        <v>286</v>
      </c>
      <c r="L60" s="6" t="s">
        <v>69</v>
      </c>
      <c r="M60" s="6"/>
      <c r="N60" s="6" t="s">
        <v>287</v>
      </c>
      <c r="O60" s="6" t="s">
        <v>288</v>
      </c>
      <c r="P60" s="6" t="n">
        <v>4</v>
      </c>
      <c r="Q60" s="6" t="s">
        <v>289</v>
      </c>
      <c r="R60" s="7" t="s">
        <v>72</v>
      </c>
      <c r="S60" s="6" t="s">
        <v>73</v>
      </c>
    </row>
    <row r="61" customFormat="false" ht="43.25" hidden="false" customHeight="false" outlineLevel="0" collapsed="false">
      <c r="A61" s="6" t="n">
        <v>60</v>
      </c>
      <c r="B61" s="6" t="s">
        <v>290</v>
      </c>
      <c r="C61" s="6" t="s">
        <v>291</v>
      </c>
      <c r="D61" s="6" t="s">
        <v>39</v>
      </c>
      <c r="E61" s="6" t="s">
        <v>40</v>
      </c>
      <c r="F61" s="6" t="s">
        <v>270</v>
      </c>
      <c r="G61" s="6" t="s">
        <v>255</v>
      </c>
      <c r="H61" s="6" t="s">
        <v>275</v>
      </c>
      <c r="I61" s="6" t="s">
        <v>64</v>
      </c>
      <c r="J61" s="6" t="s">
        <v>45</v>
      </c>
      <c r="K61" s="6" t="s">
        <v>46</v>
      </c>
      <c r="L61" s="6" t="s">
        <v>69</v>
      </c>
      <c r="M61" s="6"/>
      <c r="N61" s="6" t="s">
        <v>292</v>
      </c>
      <c r="O61" s="6" t="s">
        <v>271</v>
      </c>
      <c r="P61" s="6" t="n">
        <v>7</v>
      </c>
      <c r="Q61" s="6" t="s">
        <v>293</v>
      </c>
      <c r="R61" s="7" t="s">
        <v>72</v>
      </c>
      <c r="S61" s="6" t="s">
        <v>73</v>
      </c>
    </row>
    <row r="62" customFormat="false" ht="43.25" hidden="false" customHeight="false" outlineLevel="0" collapsed="false">
      <c r="A62" s="6" t="n">
        <v>61</v>
      </c>
      <c r="B62" s="6" t="s">
        <v>294</v>
      </c>
      <c r="C62" s="6" t="s">
        <v>295</v>
      </c>
      <c r="D62" s="6" t="s">
        <v>39</v>
      </c>
      <c r="E62" s="6" t="s">
        <v>40</v>
      </c>
      <c r="F62" s="6" t="s">
        <v>270</v>
      </c>
      <c r="G62" s="6" t="s">
        <v>255</v>
      </c>
      <c r="H62" s="6" t="s">
        <v>275</v>
      </c>
      <c r="I62" s="6" t="s">
        <v>68</v>
      </c>
      <c r="J62" s="6" t="s">
        <v>45</v>
      </c>
      <c r="K62" s="10" t="s">
        <v>296</v>
      </c>
      <c r="L62" s="6" t="s">
        <v>69</v>
      </c>
      <c r="M62" s="6"/>
      <c r="N62" s="6"/>
      <c r="O62" s="6" t="s">
        <v>297</v>
      </c>
      <c r="P62" s="6" t="n">
        <v>5</v>
      </c>
      <c r="Q62" s="6" t="s">
        <v>298</v>
      </c>
      <c r="R62" s="6" t="s">
        <v>48</v>
      </c>
      <c r="S62" s="6" t="s">
        <v>100</v>
      </c>
    </row>
    <row r="63" customFormat="false" ht="22.35" hidden="false" customHeight="false" outlineLevel="0" collapsed="false">
      <c r="A63" s="6" t="n">
        <v>62</v>
      </c>
      <c r="B63" s="6" t="s">
        <v>299</v>
      </c>
      <c r="C63" s="6" t="s">
        <v>300</v>
      </c>
      <c r="D63" s="6" t="s">
        <v>39</v>
      </c>
      <c r="E63" s="6" t="s">
        <v>40</v>
      </c>
      <c r="F63" s="6" t="s">
        <v>301</v>
      </c>
      <c r="G63" s="6" t="s">
        <v>302</v>
      </c>
      <c r="H63" s="6" t="s">
        <v>275</v>
      </c>
      <c r="I63" s="6" t="s">
        <v>76</v>
      </c>
      <c r="J63" s="6" t="s">
        <v>45</v>
      </c>
      <c r="K63" s="6" t="s">
        <v>46</v>
      </c>
      <c r="L63" s="6" t="s">
        <v>47</v>
      </c>
      <c r="M63" s="6"/>
      <c r="N63" s="6"/>
      <c r="O63" s="6"/>
      <c r="P63" s="6" t="n">
        <v>0</v>
      </c>
      <c r="Q63" s="6" t="s">
        <v>303</v>
      </c>
      <c r="R63" s="6" t="s">
        <v>48</v>
      </c>
      <c r="S63" s="6" t="s">
        <v>49</v>
      </c>
    </row>
    <row r="64" customFormat="false" ht="22.35" hidden="false" customHeight="false" outlineLevel="0" collapsed="false">
      <c r="A64" s="6" t="n">
        <v>63</v>
      </c>
      <c r="B64" s="6" t="s">
        <v>304</v>
      </c>
      <c r="C64" s="6" t="s">
        <v>305</v>
      </c>
      <c r="D64" s="6" t="s">
        <v>39</v>
      </c>
      <c r="E64" s="6" t="s">
        <v>40</v>
      </c>
      <c r="F64" s="6" t="s">
        <v>301</v>
      </c>
      <c r="G64" s="6" t="s">
        <v>302</v>
      </c>
      <c r="H64" s="6" t="s">
        <v>275</v>
      </c>
      <c r="I64" s="6" t="s">
        <v>79</v>
      </c>
      <c r="J64" s="6" t="s">
        <v>45</v>
      </c>
      <c r="K64" s="6" t="s">
        <v>46</v>
      </c>
      <c r="L64" s="6" t="s">
        <v>47</v>
      </c>
      <c r="M64" s="6"/>
      <c r="N64" s="6"/>
      <c r="O64" s="6"/>
      <c r="P64" s="6" t="n">
        <v>14</v>
      </c>
      <c r="Q64" s="6" t="s">
        <v>306</v>
      </c>
      <c r="R64" s="6" t="s">
        <v>48</v>
      </c>
      <c r="S64" s="6" t="s">
        <v>49</v>
      </c>
    </row>
    <row r="65" customFormat="false" ht="15" hidden="false" customHeight="false" outlineLevel="0" collapsed="false">
      <c r="A65" s="6" t="n">
        <v>64</v>
      </c>
      <c r="B65" s="6" t="s">
        <v>307</v>
      </c>
      <c r="C65" s="6" t="s">
        <v>308</v>
      </c>
      <c r="D65" s="6" t="s">
        <v>39</v>
      </c>
      <c r="E65" s="6" t="s">
        <v>40</v>
      </c>
      <c r="F65" s="6" t="s">
        <v>301</v>
      </c>
      <c r="G65" s="6" t="s">
        <v>302</v>
      </c>
      <c r="H65" s="6" t="s">
        <v>275</v>
      </c>
      <c r="I65" s="6" t="s">
        <v>85</v>
      </c>
      <c r="J65" s="6" t="s">
        <v>45</v>
      </c>
      <c r="K65" s="6" t="s">
        <v>46</v>
      </c>
      <c r="L65" s="6" t="s">
        <v>47</v>
      </c>
      <c r="M65" s="6"/>
      <c r="N65" s="6"/>
      <c r="O65" s="6"/>
      <c r="P65" s="6" t="n">
        <v>1</v>
      </c>
      <c r="Q65" s="6"/>
      <c r="R65" s="6" t="s">
        <v>48</v>
      </c>
      <c r="S65" s="6" t="s">
        <v>49</v>
      </c>
    </row>
    <row r="66" customFormat="false" ht="32.8" hidden="false" customHeight="false" outlineLevel="0" collapsed="false">
      <c r="A66" s="6" t="n">
        <v>65</v>
      </c>
      <c r="B66" s="6" t="s">
        <v>309</v>
      </c>
      <c r="C66" s="6" t="s">
        <v>310</v>
      </c>
      <c r="D66" s="6" t="s">
        <v>311</v>
      </c>
      <c r="E66" s="7" t="s">
        <v>280</v>
      </c>
      <c r="F66" s="6" t="s">
        <v>301</v>
      </c>
      <c r="G66" s="6" t="s">
        <v>302</v>
      </c>
      <c r="H66" s="6" t="s">
        <v>312</v>
      </c>
      <c r="I66" s="6" t="s">
        <v>44</v>
      </c>
      <c r="J66" s="6" t="s">
        <v>45</v>
      </c>
      <c r="K66" s="6" t="s">
        <v>46</v>
      </c>
      <c r="L66" s="6" t="s">
        <v>47</v>
      </c>
      <c r="M66" s="6"/>
      <c r="N66" s="6"/>
      <c r="O66" s="6" t="s">
        <v>313</v>
      </c>
      <c r="P66" s="6" t="n">
        <v>0</v>
      </c>
      <c r="Q66" s="6" t="s">
        <v>314</v>
      </c>
      <c r="R66" s="6" t="s">
        <v>48</v>
      </c>
      <c r="S66" s="6" t="s">
        <v>49</v>
      </c>
    </row>
    <row r="67" customFormat="false" ht="43.25" hidden="false" customHeight="false" outlineLevel="0" collapsed="false">
      <c r="A67" s="6" t="n">
        <v>66</v>
      </c>
      <c r="B67" s="6" t="s">
        <v>315</v>
      </c>
      <c r="C67" s="6" t="s">
        <v>316</v>
      </c>
      <c r="D67" s="6" t="s">
        <v>317</v>
      </c>
      <c r="E67" s="7" t="s">
        <v>280</v>
      </c>
      <c r="F67" s="6" t="s">
        <v>301</v>
      </c>
      <c r="G67" s="6" t="s">
        <v>302</v>
      </c>
      <c r="H67" s="6" t="s">
        <v>312</v>
      </c>
      <c r="I67" s="6" t="s">
        <v>54</v>
      </c>
      <c r="J67" s="6" t="s">
        <v>45</v>
      </c>
      <c r="K67" s="6" t="s">
        <v>46</v>
      </c>
      <c r="L67" s="6" t="s">
        <v>47</v>
      </c>
      <c r="M67" s="6" t="s">
        <v>318</v>
      </c>
      <c r="N67" s="6"/>
      <c r="O67" s="6" t="s">
        <v>319</v>
      </c>
      <c r="P67" s="6" t="n">
        <v>15</v>
      </c>
      <c r="Q67" s="6" t="s">
        <v>320</v>
      </c>
      <c r="R67" s="8" t="s">
        <v>57</v>
      </c>
      <c r="S67" s="6" t="s">
        <v>49</v>
      </c>
    </row>
    <row r="68" customFormat="false" ht="32.8" hidden="false" customHeight="false" outlineLevel="0" collapsed="false">
      <c r="A68" s="6" t="n">
        <v>67</v>
      </c>
      <c r="B68" s="6" t="s">
        <v>321</v>
      </c>
      <c r="C68" s="6" t="s">
        <v>322</v>
      </c>
      <c r="D68" s="6" t="s">
        <v>39</v>
      </c>
      <c r="E68" s="6" t="s">
        <v>40</v>
      </c>
      <c r="F68" s="6" t="s">
        <v>301</v>
      </c>
      <c r="G68" s="6" t="s">
        <v>302</v>
      </c>
      <c r="H68" s="6" t="s">
        <v>312</v>
      </c>
      <c r="I68" s="6" t="s">
        <v>60</v>
      </c>
      <c r="J68" s="6" t="s">
        <v>45</v>
      </c>
      <c r="K68" s="6" t="s">
        <v>46</v>
      </c>
      <c r="L68" s="6" t="s">
        <v>47</v>
      </c>
      <c r="M68" s="6"/>
      <c r="N68" s="6"/>
      <c r="O68" s="6"/>
      <c r="P68" s="6" t="n">
        <v>16</v>
      </c>
      <c r="Q68" s="6" t="s">
        <v>323</v>
      </c>
      <c r="R68" s="6" t="s">
        <v>48</v>
      </c>
      <c r="S68" s="6" t="s">
        <v>49</v>
      </c>
    </row>
    <row r="69" customFormat="false" ht="43.25" hidden="false" customHeight="false" outlineLevel="0" collapsed="false">
      <c r="A69" s="6" t="n">
        <v>68</v>
      </c>
      <c r="B69" s="6" t="s">
        <v>324</v>
      </c>
      <c r="C69" s="6" t="s">
        <v>325</v>
      </c>
      <c r="D69" s="6" t="s">
        <v>39</v>
      </c>
      <c r="E69" s="6" t="s">
        <v>40</v>
      </c>
      <c r="F69" s="6" t="s">
        <v>301</v>
      </c>
      <c r="G69" s="6" t="s">
        <v>302</v>
      </c>
      <c r="H69" s="6" t="s">
        <v>312</v>
      </c>
      <c r="I69" s="6" t="s">
        <v>64</v>
      </c>
      <c r="J69" s="6" t="s">
        <v>45</v>
      </c>
      <c r="K69" s="6" t="s">
        <v>46</v>
      </c>
      <c r="L69" s="6" t="s">
        <v>47</v>
      </c>
      <c r="M69" s="6"/>
      <c r="N69" s="6" t="s">
        <v>326</v>
      </c>
      <c r="O69" s="6"/>
      <c r="P69" s="6" t="n">
        <v>13</v>
      </c>
      <c r="Q69" s="6" t="s">
        <v>327</v>
      </c>
      <c r="R69" s="7" t="s">
        <v>72</v>
      </c>
      <c r="S69" s="6" t="s">
        <v>73</v>
      </c>
    </row>
    <row r="70" customFormat="false" ht="32.8" hidden="false" customHeight="false" outlineLevel="0" collapsed="false">
      <c r="A70" s="6" t="n">
        <v>69</v>
      </c>
      <c r="B70" s="6" t="s">
        <v>328</v>
      </c>
      <c r="C70" s="6" t="s">
        <v>329</v>
      </c>
      <c r="D70" s="6" t="s">
        <v>330</v>
      </c>
      <c r="E70" s="7" t="s">
        <v>280</v>
      </c>
      <c r="F70" s="6" t="s">
        <v>301</v>
      </c>
      <c r="G70" s="6" t="s">
        <v>302</v>
      </c>
      <c r="H70" s="6" t="s">
        <v>312</v>
      </c>
      <c r="I70" s="6" t="s">
        <v>68</v>
      </c>
      <c r="J70" s="6" t="s">
        <v>45</v>
      </c>
      <c r="K70" s="6" t="s">
        <v>46</v>
      </c>
      <c r="L70" s="6" t="s">
        <v>47</v>
      </c>
      <c r="M70" s="6"/>
      <c r="N70" s="6"/>
      <c r="O70" s="6" t="s">
        <v>331</v>
      </c>
      <c r="P70" s="6" t="n">
        <v>8</v>
      </c>
      <c r="Q70" s="6" t="s">
        <v>332</v>
      </c>
      <c r="R70" s="6" t="s">
        <v>48</v>
      </c>
      <c r="S70" s="6" t="s">
        <v>49</v>
      </c>
    </row>
    <row r="71" customFormat="false" ht="32.8" hidden="false" customHeight="false" outlineLevel="0" collapsed="false">
      <c r="A71" s="6" t="n">
        <v>70</v>
      </c>
      <c r="B71" s="6" t="s">
        <v>333</v>
      </c>
      <c r="C71" s="6" t="s">
        <v>334</v>
      </c>
      <c r="D71" s="6" t="s">
        <v>39</v>
      </c>
      <c r="E71" s="6" t="s">
        <v>40</v>
      </c>
      <c r="F71" s="6" t="s">
        <v>301</v>
      </c>
      <c r="G71" s="6" t="s">
        <v>302</v>
      </c>
      <c r="H71" s="6" t="s">
        <v>312</v>
      </c>
      <c r="I71" s="6" t="s">
        <v>76</v>
      </c>
      <c r="J71" s="6" t="s">
        <v>45</v>
      </c>
      <c r="K71" s="6" t="s">
        <v>46</v>
      </c>
      <c r="L71" s="6" t="s">
        <v>47</v>
      </c>
      <c r="M71" s="6"/>
      <c r="N71" s="6"/>
      <c r="O71" s="6"/>
      <c r="P71" s="6" t="n">
        <v>41</v>
      </c>
      <c r="Q71" s="6" t="s">
        <v>335</v>
      </c>
      <c r="R71" s="6" t="s">
        <v>48</v>
      </c>
      <c r="S71" s="6" t="s">
        <v>49</v>
      </c>
    </row>
    <row r="72" customFormat="false" ht="22.35" hidden="false" customHeight="false" outlineLevel="0" collapsed="false">
      <c r="A72" s="6" t="n">
        <v>71</v>
      </c>
      <c r="B72" s="6" t="s">
        <v>336</v>
      </c>
      <c r="C72" s="6" t="s">
        <v>337</v>
      </c>
      <c r="D72" s="6" t="s">
        <v>39</v>
      </c>
      <c r="E72" s="6" t="s">
        <v>40</v>
      </c>
      <c r="F72" s="6" t="s">
        <v>301</v>
      </c>
      <c r="G72" s="6" t="s">
        <v>302</v>
      </c>
      <c r="H72" s="6" t="s">
        <v>312</v>
      </c>
      <c r="I72" s="6" t="s">
        <v>79</v>
      </c>
      <c r="J72" s="6" t="s">
        <v>45</v>
      </c>
      <c r="K72" s="6" t="s">
        <v>46</v>
      </c>
      <c r="L72" s="6" t="s">
        <v>47</v>
      </c>
      <c r="M72" s="6"/>
      <c r="N72" s="6"/>
      <c r="O72" s="6"/>
      <c r="P72" s="6" t="n">
        <v>11</v>
      </c>
      <c r="Q72" s="6" t="s">
        <v>338</v>
      </c>
      <c r="R72" s="6" t="s">
        <v>48</v>
      </c>
      <c r="S72" s="6" t="s">
        <v>49</v>
      </c>
    </row>
    <row r="73" customFormat="false" ht="43.25" hidden="false" customHeight="false" outlineLevel="0" collapsed="false">
      <c r="A73" s="6" t="n">
        <v>72</v>
      </c>
      <c r="B73" s="6" t="s">
        <v>339</v>
      </c>
      <c r="C73" s="6" t="s">
        <v>340</v>
      </c>
      <c r="D73" s="6" t="s">
        <v>39</v>
      </c>
      <c r="E73" s="6" t="s">
        <v>40</v>
      </c>
      <c r="F73" s="6" t="s">
        <v>301</v>
      </c>
      <c r="G73" s="6" t="s">
        <v>302</v>
      </c>
      <c r="H73" s="6" t="s">
        <v>312</v>
      </c>
      <c r="I73" s="6" t="s">
        <v>85</v>
      </c>
      <c r="J73" s="6" t="s">
        <v>45</v>
      </c>
      <c r="K73" s="6" t="s">
        <v>46</v>
      </c>
      <c r="L73" s="6" t="s">
        <v>47</v>
      </c>
      <c r="M73" s="6"/>
      <c r="N73" s="6"/>
      <c r="O73" s="6"/>
      <c r="P73" s="6" t="n">
        <v>11</v>
      </c>
      <c r="Q73" s="6" t="s">
        <v>341</v>
      </c>
      <c r="R73" s="6" t="s">
        <v>48</v>
      </c>
      <c r="S73" s="6" t="s">
        <v>49</v>
      </c>
    </row>
    <row r="74" customFormat="false" ht="32.8" hidden="false" customHeight="false" outlineLevel="0" collapsed="false">
      <c r="A74" s="6" t="n">
        <v>73</v>
      </c>
      <c r="B74" s="6" t="s">
        <v>342</v>
      </c>
      <c r="C74" s="6" t="s">
        <v>343</v>
      </c>
      <c r="D74" s="6" t="s">
        <v>344</v>
      </c>
      <c r="E74" s="11" t="s">
        <v>345</v>
      </c>
      <c r="F74" s="6" t="s">
        <v>301</v>
      </c>
      <c r="G74" s="6" t="s">
        <v>302</v>
      </c>
      <c r="H74" s="6" t="s">
        <v>346</v>
      </c>
      <c r="I74" s="6" t="s">
        <v>44</v>
      </c>
      <c r="J74" s="6" t="s">
        <v>45</v>
      </c>
      <c r="K74" s="6" t="s">
        <v>46</v>
      </c>
      <c r="L74" s="6" t="s">
        <v>47</v>
      </c>
      <c r="M74" s="6"/>
      <c r="N74" s="6"/>
      <c r="O74" s="6" t="s">
        <v>347</v>
      </c>
      <c r="P74" s="6" t="n">
        <v>10</v>
      </c>
      <c r="Q74" s="6" t="s">
        <v>348</v>
      </c>
      <c r="R74" s="6" t="s">
        <v>48</v>
      </c>
      <c r="S74" s="6" t="s">
        <v>73</v>
      </c>
    </row>
    <row r="75" customFormat="false" ht="43.25" hidden="false" customHeight="false" outlineLevel="0" collapsed="false">
      <c r="A75" s="6" t="n">
        <v>74</v>
      </c>
      <c r="B75" s="6" t="s">
        <v>349</v>
      </c>
      <c r="C75" s="6" t="s">
        <v>350</v>
      </c>
      <c r="D75" s="6" t="s">
        <v>39</v>
      </c>
      <c r="E75" s="6" t="s">
        <v>40</v>
      </c>
      <c r="F75" s="6" t="s">
        <v>301</v>
      </c>
      <c r="G75" s="6" t="s">
        <v>302</v>
      </c>
      <c r="H75" s="6" t="s">
        <v>346</v>
      </c>
      <c r="I75" s="6" t="s">
        <v>54</v>
      </c>
      <c r="J75" s="6" t="s">
        <v>45</v>
      </c>
      <c r="K75" s="6" t="s">
        <v>46</v>
      </c>
      <c r="L75" s="6" t="s">
        <v>47</v>
      </c>
      <c r="M75" s="6" t="s">
        <v>351</v>
      </c>
      <c r="N75" s="6"/>
      <c r="O75" s="6"/>
      <c r="P75" s="6" t="n">
        <v>39</v>
      </c>
      <c r="Q75" s="6" t="s">
        <v>352</v>
      </c>
      <c r="R75" s="8" t="s">
        <v>57</v>
      </c>
      <c r="S75" s="6" t="s">
        <v>49</v>
      </c>
    </row>
    <row r="76" customFormat="false" ht="43.25" hidden="false" customHeight="false" outlineLevel="0" collapsed="false">
      <c r="A76" s="6" t="n">
        <v>75</v>
      </c>
      <c r="B76" s="6" t="s">
        <v>353</v>
      </c>
      <c r="C76" s="6" t="s">
        <v>354</v>
      </c>
      <c r="D76" s="6" t="s">
        <v>39</v>
      </c>
      <c r="E76" s="6" t="s">
        <v>40</v>
      </c>
      <c r="F76" s="6" t="s">
        <v>301</v>
      </c>
      <c r="G76" s="6" t="s">
        <v>302</v>
      </c>
      <c r="H76" s="6" t="s">
        <v>346</v>
      </c>
      <c r="I76" s="6" t="s">
        <v>60</v>
      </c>
      <c r="J76" s="6" t="s">
        <v>45</v>
      </c>
      <c r="K76" s="6" t="s">
        <v>46</v>
      </c>
      <c r="L76" s="6" t="s">
        <v>69</v>
      </c>
      <c r="M76" s="6"/>
      <c r="N76" s="6"/>
      <c r="O76" s="6"/>
      <c r="P76" s="6" t="n">
        <v>25</v>
      </c>
      <c r="Q76" s="6" t="s">
        <v>355</v>
      </c>
      <c r="R76" s="6" t="s">
        <v>48</v>
      </c>
      <c r="S76" s="6" t="s">
        <v>49</v>
      </c>
    </row>
    <row r="77" customFormat="false" ht="32.8" hidden="false" customHeight="false" outlineLevel="0" collapsed="false">
      <c r="A77" s="6" t="n">
        <v>76</v>
      </c>
      <c r="B77" s="6" t="s">
        <v>356</v>
      </c>
      <c r="C77" s="6" t="s">
        <v>357</v>
      </c>
      <c r="D77" s="6" t="s">
        <v>39</v>
      </c>
      <c r="E77" s="6" t="s">
        <v>40</v>
      </c>
      <c r="F77" s="6" t="s">
        <v>301</v>
      </c>
      <c r="G77" s="6" t="s">
        <v>302</v>
      </c>
      <c r="H77" s="6" t="s">
        <v>346</v>
      </c>
      <c r="I77" s="6" t="s">
        <v>64</v>
      </c>
      <c r="J77" s="6" t="s">
        <v>45</v>
      </c>
      <c r="K77" s="6" t="s">
        <v>46</v>
      </c>
      <c r="L77" s="6" t="s">
        <v>69</v>
      </c>
      <c r="M77" s="6"/>
      <c r="N77" s="6"/>
      <c r="O77" s="6"/>
      <c r="P77" s="6" t="n">
        <v>70</v>
      </c>
      <c r="Q77" s="6" t="s">
        <v>358</v>
      </c>
      <c r="R77" s="6" t="s">
        <v>48</v>
      </c>
      <c r="S77" s="6" t="s">
        <v>49</v>
      </c>
    </row>
    <row r="78" customFormat="false" ht="43.25" hidden="false" customHeight="false" outlineLevel="0" collapsed="false">
      <c r="A78" s="6" t="n">
        <v>77</v>
      </c>
      <c r="B78" s="6" t="s">
        <v>359</v>
      </c>
      <c r="C78" s="6" t="s">
        <v>360</v>
      </c>
      <c r="D78" s="6" t="s">
        <v>39</v>
      </c>
      <c r="E78" s="6" t="s">
        <v>40</v>
      </c>
      <c r="F78" s="6" t="s">
        <v>301</v>
      </c>
      <c r="G78" s="6" t="s">
        <v>302</v>
      </c>
      <c r="H78" s="6" t="s">
        <v>346</v>
      </c>
      <c r="I78" s="6" t="s">
        <v>68</v>
      </c>
      <c r="J78" s="6" t="s">
        <v>45</v>
      </c>
      <c r="K78" s="6" t="s">
        <v>46</v>
      </c>
      <c r="L78" s="6" t="s">
        <v>47</v>
      </c>
      <c r="M78" s="6" t="s">
        <v>361</v>
      </c>
      <c r="N78" s="6"/>
      <c r="O78" s="6"/>
      <c r="P78" s="6" t="n">
        <v>15</v>
      </c>
      <c r="Q78" s="6" t="s">
        <v>362</v>
      </c>
      <c r="R78" s="8" t="s">
        <v>57</v>
      </c>
      <c r="S78" s="6" t="s">
        <v>49</v>
      </c>
    </row>
    <row r="79" customFormat="false" ht="43.25" hidden="false" customHeight="false" outlineLevel="0" collapsed="false">
      <c r="A79" s="6" t="n">
        <v>78</v>
      </c>
      <c r="B79" s="6" t="s">
        <v>363</v>
      </c>
      <c r="C79" s="6" t="s">
        <v>364</v>
      </c>
      <c r="D79" s="6" t="s">
        <v>39</v>
      </c>
      <c r="E79" s="6" t="s">
        <v>40</v>
      </c>
      <c r="F79" s="6" t="s">
        <v>301</v>
      </c>
      <c r="G79" s="6" t="s">
        <v>302</v>
      </c>
      <c r="H79" s="6" t="s">
        <v>346</v>
      </c>
      <c r="I79" s="6" t="s">
        <v>76</v>
      </c>
      <c r="J79" s="6" t="s">
        <v>45</v>
      </c>
      <c r="K79" s="6" t="s">
        <v>46</v>
      </c>
      <c r="L79" s="6" t="s">
        <v>47</v>
      </c>
      <c r="M79" s="6" t="s">
        <v>361</v>
      </c>
      <c r="N79" s="6"/>
      <c r="O79" s="6"/>
      <c r="P79" s="6" t="n">
        <v>9</v>
      </c>
      <c r="Q79" s="6" t="s">
        <v>365</v>
      </c>
      <c r="R79" s="8" t="s">
        <v>57</v>
      </c>
      <c r="S79" s="6" t="s">
        <v>49</v>
      </c>
    </row>
    <row r="80" customFormat="false" ht="43.25" hidden="false" customHeight="false" outlineLevel="0" collapsed="false">
      <c r="A80" s="6" t="n">
        <v>79</v>
      </c>
      <c r="B80" s="6" t="s">
        <v>366</v>
      </c>
      <c r="C80" s="6" t="s">
        <v>367</v>
      </c>
      <c r="D80" s="6" t="s">
        <v>39</v>
      </c>
      <c r="E80" s="6" t="s">
        <v>40</v>
      </c>
      <c r="F80" s="6" t="s">
        <v>301</v>
      </c>
      <c r="G80" s="6" t="s">
        <v>302</v>
      </c>
      <c r="H80" s="6" t="s">
        <v>346</v>
      </c>
      <c r="I80" s="6" t="s">
        <v>79</v>
      </c>
      <c r="J80" s="6" t="s">
        <v>45</v>
      </c>
      <c r="K80" s="6" t="s">
        <v>46</v>
      </c>
      <c r="L80" s="6" t="s">
        <v>47</v>
      </c>
      <c r="M80" s="6" t="s">
        <v>361</v>
      </c>
      <c r="N80" s="6"/>
      <c r="O80" s="6"/>
      <c r="P80" s="6" t="n">
        <v>8</v>
      </c>
      <c r="Q80" s="6" t="s">
        <v>368</v>
      </c>
      <c r="R80" s="8" t="s">
        <v>57</v>
      </c>
      <c r="S80" s="6" t="s">
        <v>49</v>
      </c>
    </row>
    <row r="81" customFormat="false" ht="43.25" hidden="false" customHeight="false" outlineLevel="0" collapsed="false">
      <c r="A81" s="6" t="n">
        <v>80</v>
      </c>
      <c r="B81" s="6" t="s">
        <v>369</v>
      </c>
      <c r="C81" s="6" t="s">
        <v>370</v>
      </c>
      <c r="D81" s="6" t="s">
        <v>39</v>
      </c>
      <c r="E81" s="6" t="s">
        <v>40</v>
      </c>
      <c r="F81" s="6" t="s">
        <v>301</v>
      </c>
      <c r="G81" s="6" t="s">
        <v>302</v>
      </c>
      <c r="H81" s="6" t="s">
        <v>346</v>
      </c>
      <c r="I81" s="6" t="s">
        <v>85</v>
      </c>
      <c r="J81" s="6" t="s">
        <v>45</v>
      </c>
      <c r="K81" s="6" t="s">
        <v>46</v>
      </c>
      <c r="L81" s="6" t="s">
        <v>47</v>
      </c>
      <c r="M81" s="6" t="s">
        <v>361</v>
      </c>
      <c r="N81" s="6"/>
      <c r="O81" s="6"/>
      <c r="P81" s="6" t="n">
        <v>27</v>
      </c>
      <c r="Q81" s="6" t="s">
        <v>371</v>
      </c>
      <c r="R81" s="8" t="s">
        <v>57</v>
      </c>
      <c r="S81" s="6" t="s">
        <v>49</v>
      </c>
    </row>
    <row r="82" customFormat="false" ht="43.25" hidden="false" customHeight="false" outlineLevel="0" collapsed="false">
      <c r="A82" s="6" t="n">
        <v>81</v>
      </c>
      <c r="B82" s="6" t="s">
        <v>372</v>
      </c>
      <c r="C82" s="6" t="s">
        <v>373</v>
      </c>
      <c r="D82" s="6" t="s">
        <v>39</v>
      </c>
      <c r="E82" s="6" t="s">
        <v>40</v>
      </c>
      <c r="F82" s="6" t="s">
        <v>301</v>
      </c>
      <c r="G82" s="6" t="s">
        <v>302</v>
      </c>
      <c r="H82" s="6" t="s">
        <v>374</v>
      </c>
      <c r="I82" s="6" t="s">
        <v>44</v>
      </c>
      <c r="J82" s="6" t="s">
        <v>45</v>
      </c>
      <c r="K82" s="6" t="s">
        <v>46</v>
      </c>
      <c r="L82" s="6" t="s">
        <v>47</v>
      </c>
      <c r="M82" s="6" t="s">
        <v>361</v>
      </c>
      <c r="N82" s="6"/>
      <c r="O82" s="6"/>
      <c r="P82" s="6" t="n">
        <v>13</v>
      </c>
      <c r="Q82" s="6" t="s">
        <v>375</v>
      </c>
      <c r="R82" s="8" t="s">
        <v>57</v>
      </c>
      <c r="S82" s="6" t="s">
        <v>49</v>
      </c>
    </row>
    <row r="83" customFormat="false" ht="43.25" hidden="false" customHeight="false" outlineLevel="0" collapsed="false">
      <c r="A83" s="6" t="n">
        <v>82</v>
      </c>
      <c r="B83" s="6" t="s">
        <v>376</v>
      </c>
      <c r="C83" s="6" t="s">
        <v>377</v>
      </c>
      <c r="D83" s="6" t="s">
        <v>39</v>
      </c>
      <c r="E83" s="6" t="s">
        <v>40</v>
      </c>
      <c r="F83" s="6" t="s">
        <v>301</v>
      </c>
      <c r="G83" s="6" t="s">
        <v>302</v>
      </c>
      <c r="H83" s="6" t="s">
        <v>374</v>
      </c>
      <c r="I83" s="6" t="s">
        <v>54</v>
      </c>
      <c r="J83" s="6" t="s">
        <v>45</v>
      </c>
      <c r="K83" s="6" t="s">
        <v>46</v>
      </c>
      <c r="L83" s="6" t="s">
        <v>47</v>
      </c>
      <c r="M83" s="6" t="s">
        <v>361</v>
      </c>
      <c r="N83" s="6"/>
      <c r="O83" s="6"/>
      <c r="P83" s="6" t="n">
        <v>5</v>
      </c>
      <c r="Q83" s="6" t="s">
        <v>378</v>
      </c>
      <c r="R83" s="8" t="s">
        <v>57</v>
      </c>
      <c r="S83" s="6" t="s">
        <v>49</v>
      </c>
    </row>
    <row r="84" customFormat="false" ht="43.25" hidden="false" customHeight="false" outlineLevel="0" collapsed="false">
      <c r="A84" s="6" t="n">
        <v>83</v>
      </c>
      <c r="B84" s="6" t="s">
        <v>379</v>
      </c>
      <c r="C84" s="6" t="s">
        <v>380</v>
      </c>
      <c r="D84" s="6" t="s">
        <v>39</v>
      </c>
      <c r="E84" s="6" t="s">
        <v>40</v>
      </c>
      <c r="F84" s="6" t="s">
        <v>301</v>
      </c>
      <c r="G84" s="6" t="s">
        <v>302</v>
      </c>
      <c r="H84" s="6" t="s">
        <v>374</v>
      </c>
      <c r="I84" s="6" t="s">
        <v>60</v>
      </c>
      <c r="J84" s="6" t="s">
        <v>45</v>
      </c>
      <c r="K84" s="6" t="s">
        <v>46</v>
      </c>
      <c r="L84" s="6" t="s">
        <v>47</v>
      </c>
      <c r="M84" s="6" t="s">
        <v>361</v>
      </c>
      <c r="N84" s="6"/>
      <c r="O84" s="6"/>
      <c r="P84" s="6" t="n">
        <v>5</v>
      </c>
      <c r="Q84" s="6" t="s">
        <v>381</v>
      </c>
      <c r="R84" s="8" t="s">
        <v>57</v>
      </c>
      <c r="S84" s="6" t="s">
        <v>49</v>
      </c>
    </row>
    <row r="85" customFormat="false" ht="43.25" hidden="false" customHeight="false" outlineLevel="0" collapsed="false">
      <c r="A85" s="6" t="n">
        <v>84</v>
      </c>
      <c r="B85" s="6" t="s">
        <v>382</v>
      </c>
      <c r="C85" s="6" t="s">
        <v>383</v>
      </c>
      <c r="D85" s="6" t="s">
        <v>39</v>
      </c>
      <c r="E85" s="6" t="s">
        <v>40</v>
      </c>
      <c r="F85" s="6" t="s">
        <v>301</v>
      </c>
      <c r="G85" s="6" t="s">
        <v>302</v>
      </c>
      <c r="H85" s="6" t="s">
        <v>374</v>
      </c>
      <c r="I85" s="6" t="s">
        <v>64</v>
      </c>
      <c r="J85" s="6" t="s">
        <v>45</v>
      </c>
      <c r="K85" s="6" t="s">
        <v>46</v>
      </c>
      <c r="L85" s="6" t="s">
        <v>47</v>
      </c>
      <c r="M85" s="6" t="s">
        <v>361</v>
      </c>
      <c r="N85" s="6"/>
      <c r="O85" s="6"/>
      <c r="P85" s="6" t="n">
        <v>4</v>
      </c>
      <c r="Q85" s="6" t="s">
        <v>384</v>
      </c>
      <c r="R85" s="8" t="s">
        <v>57</v>
      </c>
      <c r="S85" s="6" t="s">
        <v>49</v>
      </c>
    </row>
    <row r="86" customFormat="false" ht="43.25" hidden="false" customHeight="false" outlineLevel="0" collapsed="false">
      <c r="A86" s="6" t="n">
        <v>85</v>
      </c>
      <c r="B86" s="6" t="s">
        <v>385</v>
      </c>
      <c r="C86" s="6" t="s">
        <v>386</v>
      </c>
      <c r="D86" s="6" t="s">
        <v>39</v>
      </c>
      <c r="E86" s="6" t="s">
        <v>40</v>
      </c>
      <c r="F86" s="6" t="s">
        <v>301</v>
      </c>
      <c r="G86" s="6" t="s">
        <v>302</v>
      </c>
      <c r="H86" s="6" t="s">
        <v>374</v>
      </c>
      <c r="I86" s="6" t="s">
        <v>68</v>
      </c>
      <c r="J86" s="6" t="s">
        <v>45</v>
      </c>
      <c r="K86" s="6" t="s">
        <v>46</v>
      </c>
      <c r="L86" s="6" t="s">
        <v>47</v>
      </c>
      <c r="M86" s="6"/>
      <c r="N86" s="6"/>
      <c r="O86" s="6"/>
      <c r="P86" s="6" t="n">
        <v>20</v>
      </c>
      <c r="Q86" s="6" t="s">
        <v>387</v>
      </c>
      <c r="R86" s="6" t="s">
        <v>48</v>
      </c>
      <c r="S86" s="6" t="s">
        <v>49</v>
      </c>
    </row>
    <row r="87" customFormat="false" ht="32.8" hidden="false" customHeight="false" outlineLevel="0" collapsed="false">
      <c r="A87" s="6" t="n">
        <v>86</v>
      </c>
      <c r="B87" s="6" t="s">
        <v>388</v>
      </c>
      <c r="C87" s="6" t="s">
        <v>389</v>
      </c>
      <c r="D87" s="6" t="s">
        <v>390</v>
      </c>
      <c r="E87" s="7" t="s">
        <v>280</v>
      </c>
      <c r="F87" s="6" t="s">
        <v>301</v>
      </c>
      <c r="G87" s="6" t="s">
        <v>302</v>
      </c>
      <c r="H87" s="6" t="s">
        <v>374</v>
      </c>
      <c r="I87" s="6" t="s">
        <v>76</v>
      </c>
      <c r="J87" s="6" t="s">
        <v>45</v>
      </c>
      <c r="K87" s="6" t="s">
        <v>46</v>
      </c>
      <c r="L87" s="6" t="s">
        <v>47</v>
      </c>
      <c r="M87" s="6"/>
      <c r="N87" s="6"/>
      <c r="O87" s="6" t="s">
        <v>391</v>
      </c>
      <c r="P87" s="6" t="n">
        <v>5</v>
      </c>
      <c r="Q87" s="6" t="s">
        <v>392</v>
      </c>
      <c r="R87" s="6" t="s">
        <v>48</v>
      </c>
      <c r="S87" s="6" t="s">
        <v>49</v>
      </c>
    </row>
    <row r="88" customFormat="false" ht="22.35" hidden="false" customHeight="false" outlineLevel="0" collapsed="false">
      <c r="A88" s="6" t="n">
        <v>87</v>
      </c>
      <c r="B88" s="6" t="s">
        <v>393</v>
      </c>
      <c r="C88" s="6" t="s">
        <v>394</v>
      </c>
      <c r="D88" s="6" t="s">
        <v>39</v>
      </c>
      <c r="E88" s="6" t="s">
        <v>40</v>
      </c>
      <c r="F88" s="6" t="s">
        <v>301</v>
      </c>
      <c r="G88" s="6" t="s">
        <v>302</v>
      </c>
      <c r="H88" s="6" t="s">
        <v>374</v>
      </c>
      <c r="I88" s="6" t="s">
        <v>79</v>
      </c>
      <c r="J88" s="6" t="s">
        <v>45</v>
      </c>
      <c r="K88" s="6" t="s">
        <v>46</v>
      </c>
      <c r="L88" s="6" t="s">
        <v>47</v>
      </c>
      <c r="M88" s="6"/>
      <c r="N88" s="6"/>
      <c r="O88" s="6"/>
      <c r="P88" s="6" t="n">
        <v>13</v>
      </c>
      <c r="Q88" s="6" t="s">
        <v>395</v>
      </c>
      <c r="R88" s="6" t="s">
        <v>48</v>
      </c>
      <c r="S88" s="6" t="s">
        <v>49</v>
      </c>
    </row>
    <row r="89" customFormat="false" ht="22.35" hidden="false" customHeight="false" outlineLevel="0" collapsed="false">
      <c r="A89" s="6" t="n">
        <v>88</v>
      </c>
      <c r="B89" s="6" t="s">
        <v>396</v>
      </c>
      <c r="C89" s="6" t="s">
        <v>397</v>
      </c>
      <c r="D89" s="6" t="s">
        <v>39</v>
      </c>
      <c r="E89" s="6" t="s">
        <v>40</v>
      </c>
      <c r="F89" s="6" t="s">
        <v>301</v>
      </c>
      <c r="G89" s="6" t="s">
        <v>302</v>
      </c>
      <c r="H89" s="6" t="s">
        <v>374</v>
      </c>
      <c r="I89" s="6" t="s">
        <v>85</v>
      </c>
      <c r="J89" s="6" t="s">
        <v>45</v>
      </c>
      <c r="K89" s="6" t="s">
        <v>46</v>
      </c>
      <c r="L89" s="6" t="s">
        <v>47</v>
      </c>
      <c r="M89" s="6"/>
      <c r="N89" s="6"/>
      <c r="O89" s="6"/>
      <c r="P89" s="6" t="n">
        <v>10</v>
      </c>
      <c r="Q89" s="6" t="s">
        <v>398</v>
      </c>
      <c r="R89" s="6" t="s">
        <v>48</v>
      </c>
      <c r="S89" s="6" t="s">
        <v>49</v>
      </c>
    </row>
    <row r="90" customFormat="false" ht="22.35" hidden="false" customHeight="false" outlineLevel="0" collapsed="false">
      <c r="A90" s="6" t="n">
        <v>89</v>
      </c>
      <c r="B90" s="6" t="s">
        <v>399</v>
      </c>
      <c r="C90" s="6" t="s">
        <v>400</v>
      </c>
      <c r="D90" s="6" t="s">
        <v>39</v>
      </c>
      <c r="E90" s="6" t="s">
        <v>40</v>
      </c>
      <c r="F90" s="6" t="s">
        <v>301</v>
      </c>
      <c r="G90" s="6" t="s">
        <v>302</v>
      </c>
      <c r="H90" s="6" t="s">
        <v>401</v>
      </c>
      <c r="I90" s="6" t="s">
        <v>44</v>
      </c>
      <c r="J90" s="6" t="s">
        <v>45</v>
      </c>
      <c r="K90" s="6" t="s">
        <v>46</v>
      </c>
      <c r="L90" s="6" t="s">
        <v>47</v>
      </c>
      <c r="M90" s="6"/>
      <c r="N90" s="6"/>
      <c r="O90" s="6"/>
      <c r="P90" s="6" t="n">
        <v>4</v>
      </c>
      <c r="Q90" s="6" t="s">
        <v>402</v>
      </c>
      <c r="R90" s="6" t="s">
        <v>48</v>
      </c>
      <c r="S90" s="6" t="s">
        <v>49</v>
      </c>
    </row>
    <row r="91" customFormat="false" ht="22.35" hidden="false" customHeight="false" outlineLevel="0" collapsed="false">
      <c r="A91" s="6" t="n">
        <v>90</v>
      </c>
      <c r="B91" s="6" t="s">
        <v>403</v>
      </c>
      <c r="C91" s="6" t="s">
        <v>404</v>
      </c>
      <c r="D91" s="6" t="s">
        <v>39</v>
      </c>
      <c r="E91" s="6" t="s">
        <v>40</v>
      </c>
      <c r="F91" s="6" t="s">
        <v>301</v>
      </c>
      <c r="G91" s="6" t="s">
        <v>302</v>
      </c>
      <c r="H91" s="6" t="s">
        <v>401</v>
      </c>
      <c r="I91" s="6" t="s">
        <v>54</v>
      </c>
      <c r="J91" s="6" t="s">
        <v>45</v>
      </c>
      <c r="K91" s="6" t="s">
        <v>46</v>
      </c>
      <c r="L91" s="6" t="s">
        <v>47</v>
      </c>
      <c r="M91" s="6"/>
      <c r="N91" s="6"/>
      <c r="O91" s="6"/>
      <c r="P91" s="6" t="n">
        <v>3</v>
      </c>
      <c r="Q91" s="6" t="s">
        <v>405</v>
      </c>
      <c r="R91" s="6" t="s">
        <v>48</v>
      </c>
      <c r="S91" s="6" t="s">
        <v>49</v>
      </c>
    </row>
    <row r="92" customFormat="false" ht="43.25" hidden="false" customHeight="false" outlineLevel="0" collapsed="false">
      <c r="A92" s="6" t="n">
        <v>91</v>
      </c>
      <c r="B92" s="6" t="s">
        <v>406</v>
      </c>
      <c r="C92" s="6" t="s">
        <v>407</v>
      </c>
      <c r="D92" s="6" t="s">
        <v>39</v>
      </c>
      <c r="E92" s="6" t="s">
        <v>40</v>
      </c>
      <c r="F92" s="6" t="s">
        <v>301</v>
      </c>
      <c r="G92" s="6" t="s">
        <v>302</v>
      </c>
      <c r="H92" s="6" t="s">
        <v>401</v>
      </c>
      <c r="I92" s="6" t="s">
        <v>60</v>
      </c>
      <c r="J92" s="6" t="s">
        <v>45</v>
      </c>
      <c r="K92" s="10" t="s">
        <v>408</v>
      </c>
      <c r="L92" s="6" t="s">
        <v>47</v>
      </c>
      <c r="M92" s="6"/>
      <c r="N92" s="6"/>
      <c r="O92" s="6"/>
      <c r="P92" s="6" t="n">
        <v>20</v>
      </c>
      <c r="Q92" s="6" t="s">
        <v>409</v>
      </c>
      <c r="R92" s="6" t="s">
        <v>48</v>
      </c>
      <c r="S92" s="6" t="s">
        <v>49</v>
      </c>
    </row>
    <row r="93" customFormat="false" ht="22.35" hidden="false" customHeight="false" outlineLevel="0" collapsed="false">
      <c r="A93" s="6" t="n">
        <v>92</v>
      </c>
      <c r="B93" s="6" t="s">
        <v>410</v>
      </c>
      <c r="C93" s="6" t="s">
        <v>411</v>
      </c>
      <c r="D93" s="6" t="s">
        <v>39</v>
      </c>
      <c r="E93" s="6" t="s">
        <v>40</v>
      </c>
      <c r="F93" s="6" t="s">
        <v>301</v>
      </c>
      <c r="G93" s="6" t="s">
        <v>302</v>
      </c>
      <c r="H93" s="6" t="s">
        <v>401</v>
      </c>
      <c r="I93" s="6" t="s">
        <v>64</v>
      </c>
      <c r="J93" s="6" t="s">
        <v>45</v>
      </c>
      <c r="K93" s="6" t="s">
        <v>46</v>
      </c>
      <c r="L93" s="6" t="s">
        <v>47</v>
      </c>
      <c r="M93" s="6"/>
      <c r="N93" s="6"/>
      <c r="O93" s="6"/>
      <c r="P93" s="6" t="n">
        <v>7</v>
      </c>
      <c r="Q93" s="6" t="s">
        <v>412</v>
      </c>
      <c r="R93" s="6" t="s">
        <v>48</v>
      </c>
      <c r="S93" s="6" t="s">
        <v>49</v>
      </c>
    </row>
    <row r="94" customFormat="false" ht="32.8" hidden="false" customHeight="false" outlineLevel="0" collapsed="false">
      <c r="A94" s="6" t="n">
        <v>93</v>
      </c>
      <c r="B94" s="6" t="s">
        <v>413</v>
      </c>
      <c r="C94" s="6" t="s">
        <v>414</v>
      </c>
      <c r="D94" s="6" t="s">
        <v>39</v>
      </c>
      <c r="E94" s="6" t="s">
        <v>40</v>
      </c>
      <c r="F94" s="6" t="s">
        <v>301</v>
      </c>
      <c r="G94" s="6" t="s">
        <v>302</v>
      </c>
      <c r="H94" s="6" t="s">
        <v>401</v>
      </c>
      <c r="I94" s="6" t="s">
        <v>68</v>
      </c>
      <c r="J94" s="6" t="s">
        <v>45</v>
      </c>
      <c r="K94" s="6" t="s">
        <v>46</v>
      </c>
      <c r="L94" s="6" t="s">
        <v>47</v>
      </c>
      <c r="M94" s="6"/>
      <c r="N94" s="6"/>
      <c r="O94" s="6"/>
      <c r="P94" s="6" t="n">
        <v>7</v>
      </c>
      <c r="Q94" s="6" t="s">
        <v>415</v>
      </c>
      <c r="R94" s="6" t="s">
        <v>48</v>
      </c>
      <c r="S94" s="6" t="s">
        <v>49</v>
      </c>
    </row>
    <row r="95" customFormat="false" ht="15" hidden="false" customHeight="false" outlineLevel="0" collapsed="false">
      <c r="A95" s="6" t="n">
        <v>94</v>
      </c>
      <c r="B95" s="6" t="s">
        <v>416</v>
      </c>
      <c r="C95" s="6" t="s">
        <v>417</v>
      </c>
      <c r="D95" s="6" t="s">
        <v>39</v>
      </c>
      <c r="E95" s="6" t="s">
        <v>40</v>
      </c>
      <c r="F95" s="6" t="s">
        <v>301</v>
      </c>
      <c r="G95" s="6" t="s">
        <v>302</v>
      </c>
      <c r="H95" s="6" t="s">
        <v>401</v>
      </c>
      <c r="I95" s="6" t="s">
        <v>76</v>
      </c>
      <c r="J95" s="6" t="s">
        <v>45</v>
      </c>
      <c r="K95" s="6" t="s">
        <v>46</v>
      </c>
      <c r="L95" s="6" t="s">
        <v>47</v>
      </c>
      <c r="M95" s="6"/>
      <c r="N95" s="6"/>
      <c r="O95" s="6"/>
      <c r="P95" s="6" t="n">
        <v>14</v>
      </c>
      <c r="Q95" s="6" t="s">
        <v>418</v>
      </c>
      <c r="R95" s="6" t="s">
        <v>48</v>
      </c>
      <c r="S95" s="6" t="s">
        <v>49</v>
      </c>
    </row>
    <row r="96" customFormat="false" ht="43.25" hidden="false" customHeight="false" outlineLevel="0" collapsed="false">
      <c r="A96" s="6" t="n">
        <v>95</v>
      </c>
      <c r="B96" s="6" t="s">
        <v>419</v>
      </c>
      <c r="C96" s="6" t="s">
        <v>420</v>
      </c>
      <c r="D96" s="6" t="s">
        <v>39</v>
      </c>
      <c r="E96" s="6" t="s">
        <v>40</v>
      </c>
      <c r="F96" s="6" t="s">
        <v>301</v>
      </c>
      <c r="G96" s="6" t="s">
        <v>302</v>
      </c>
      <c r="H96" s="6" t="s">
        <v>401</v>
      </c>
      <c r="I96" s="6" t="s">
        <v>79</v>
      </c>
      <c r="J96" s="6" t="s">
        <v>45</v>
      </c>
      <c r="K96" s="6" t="s">
        <v>46</v>
      </c>
      <c r="L96" s="6" t="s">
        <v>47</v>
      </c>
      <c r="M96" s="6"/>
      <c r="N96" s="6"/>
      <c r="O96" s="6"/>
      <c r="P96" s="6" t="n">
        <v>11</v>
      </c>
      <c r="Q96" s="6" t="s">
        <v>421</v>
      </c>
      <c r="R96" s="6" t="s">
        <v>48</v>
      </c>
      <c r="S96" s="6" t="s">
        <v>49</v>
      </c>
    </row>
    <row r="97" customFormat="false" ht="22.35" hidden="false" customHeight="false" outlineLevel="0" collapsed="false">
      <c r="A97" s="6" t="n">
        <v>96</v>
      </c>
      <c r="B97" s="6" t="s">
        <v>422</v>
      </c>
      <c r="C97" s="6" t="s">
        <v>423</v>
      </c>
      <c r="D97" s="6" t="s">
        <v>39</v>
      </c>
      <c r="E97" s="6" t="s">
        <v>40</v>
      </c>
      <c r="F97" s="6" t="s">
        <v>301</v>
      </c>
      <c r="G97" s="6" t="s">
        <v>302</v>
      </c>
      <c r="H97" s="6" t="s">
        <v>401</v>
      </c>
      <c r="I97" s="6" t="s">
        <v>85</v>
      </c>
      <c r="J97" s="6" t="s">
        <v>45</v>
      </c>
      <c r="K97" s="6" t="s">
        <v>46</v>
      </c>
      <c r="L97" s="6" t="s">
        <v>47</v>
      </c>
      <c r="M97" s="6"/>
      <c r="N97" s="6"/>
      <c r="O97" s="6"/>
      <c r="P97" s="6" t="n">
        <v>1</v>
      </c>
      <c r="Q97" s="6" t="s">
        <v>424</v>
      </c>
      <c r="R97" s="6" t="s">
        <v>48</v>
      </c>
      <c r="S97" s="6" t="s">
        <v>49</v>
      </c>
    </row>
    <row r="98" customFormat="false" ht="43.25" hidden="false" customHeight="false" outlineLevel="0" collapsed="false">
      <c r="A98" s="6" t="s">
        <v>425</v>
      </c>
      <c r="B98" s="6" t="s">
        <v>426</v>
      </c>
      <c r="C98" s="6" t="s">
        <v>427</v>
      </c>
      <c r="D98" s="6" t="s">
        <v>39</v>
      </c>
      <c r="E98" s="6" t="s">
        <v>40</v>
      </c>
      <c r="F98" s="6" t="s">
        <v>83</v>
      </c>
      <c r="G98" s="6" t="s">
        <v>84</v>
      </c>
      <c r="H98" s="6" t="s">
        <v>428</v>
      </c>
      <c r="I98" s="6" t="s">
        <v>85</v>
      </c>
      <c r="J98" s="6" t="s">
        <v>45</v>
      </c>
      <c r="K98" s="10" t="s">
        <v>429</v>
      </c>
      <c r="L98" s="6" t="s">
        <v>69</v>
      </c>
      <c r="M98" s="6"/>
      <c r="N98" s="6"/>
      <c r="O98" s="6" t="s">
        <v>430</v>
      </c>
      <c r="P98" s="6" t="n">
        <v>9</v>
      </c>
      <c r="Q98" s="6" t="s">
        <v>431</v>
      </c>
      <c r="R98" s="6" t="s">
        <v>48</v>
      </c>
      <c r="S98" s="6" t="s">
        <v>100</v>
      </c>
    </row>
    <row r="99" customFormat="false" ht="32.8" hidden="false" customHeight="false" outlineLevel="0" collapsed="false">
      <c r="A99" s="6" t="s">
        <v>46</v>
      </c>
      <c r="B99" s="6" t="s">
        <v>432</v>
      </c>
      <c r="C99" s="6" t="s">
        <v>433</v>
      </c>
      <c r="D99" s="6" t="s">
        <v>46</v>
      </c>
      <c r="E99" s="6" t="s">
        <v>46</v>
      </c>
      <c r="F99" s="6" t="s">
        <v>83</v>
      </c>
      <c r="G99" s="6" t="s">
        <v>46</v>
      </c>
      <c r="H99" s="6" t="s">
        <v>46</v>
      </c>
      <c r="I99" s="6" t="s">
        <v>46</v>
      </c>
      <c r="J99" s="6" t="s">
        <v>434</v>
      </c>
      <c r="K99" s="6" t="s">
        <v>46</v>
      </c>
      <c r="L99" s="6" t="s">
        <v>46</v>
      </c>
      <c r="M99" s="6"/>
      <c r="N99" s="6"/>
      <c r="O99" s="6" t="s">
        <v>435</v>
      </c>
      <c r="P99" s="6" t="n">
        <v>0</v>
      </c>
      <c r="Q99" s="6"/>
      <c r="R99" s="11" t="s">
        <v>436</v>
      </c>
      <c r="S99" s="6" t="s">
        <v>73</v>
      </c>
    </row>
  </sheetData>
  <autoFilter ref="A1:S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10"/>
    <col collapsed="false" customWidth="true" hidden="false" outlineLevel="0" max="6" min="6" style="0" width="34"/>
  </cols>
  <sheetData>
    <row r="1" customFormat="false" ht="39.55" hidden="false" customHeight="false" outlineLevel="0" collapsed="false">
      <c r="A1" s="12" t="s">
        <v>35</v>
      </c>
      <c r="B1" s="12" t="s">
        <v>19</v>
      </c>
      <c r="C1" s="12" t="s">
        <v>437</v>
      </c>
      <c r="D1" s="12" t="s">
        <v>438</v>
      </c>
      <c r="E1" s="12" t="s">
        <v>33</v>
      </c>
      <c r="F1" s="12" t="s">
        <v>439</v>
      </c>
    </row>
    <row r="2" customFormat="false" ht="22.35" hidden="false" customHeight="false" outlineLevel="0" collapsed="false">
      <c r="A2" s="11" t="s">
        <v>440</v>
      </c>
      <c r="B2" s="6" t="s">
        <v>113</v>
      </c>
      <c r="C2" s="6" t="s">
        <v>114</v>
      </c>
      <c r="D2" s="6" t="s">
        <v>441</v>
      </c>
      <c r="E2" s="6" t="n">
        <v>2</v>
      </c>
      <c r="F2" s="6" t="s">
        <v>442</v>
      </c>
    </row>
    <row r="3" customFormat="false" ht="22.35" hidden="false" customHeight="false" outlineLevel="0" collapsed="false">
      <c r="A3" s="11" t="s">
        <v>440</v>
      </c>
      <c r="B3" s="6" t="s">
        <v>118</v>
      </c>
      <c r="C3" s="6" t="s">
        <v>119</v>
      </c>
      <c r="D3" s="6" t="s">
        <v>443</v>
      </c>
      <c r="E3" s="6" t="n">
        <v>0</v>
      </c>
      <c r="F3" s="6" t="s">
        <v>442</v>
      </c>
    </row>
    <row r="4" customFormat="false" ht="15" hidden="false" customHeight="false" outlineLevel="0" collapsed="false">
      <c r="A4" s="11" t="s">
        <v>440</v>
      </c>
      <c r="B4" s="6" t="s">
        <v>121</v>
      </c>
      <c r="C4" s="6" t="s">
        <v>122</v>
      </c>
      <c r="D4" s="6" t="s">
        <v>443</v>
      </c>
      <c r="E4" s="6" t="n">
        <v>0</v>
      </c>
      <c r="F4" s="6" t="s">
        <v>442</v>
      </c>
    </row>
    <row r="5" customFormat="false" ht="15" hidden="false" customHeight="false" outlineLevel="0" collapsed="false">
      <c r="A5" s="11" t="s">
        <v>440</v>
      </c>
      <c r="B5" s="6" t="s">
        <v>242</v>
      </c>
      <c r="C5" s="6" t="s">
        <v>243</v>
      </c>
      <c r="D5" s="6" t="s">
        <v>443</v>
      </c>
      <c r="E5" s="6" t="n">
        <v>0</v>
      </c>
      <c r="F5" s="6" t="s">
        <v>442</v>
      </c>
    </row>
    <row r="6" customFormat="false" ht="15" hidden="false" customHeight="false" outlineLevel="0" collapsed="false">
      <c r="A6" s="11" t="s">
        <v>440</v>
      </c>
      <c r="B6" s="6" t="s">
        <v>244</v>
      </c>
      <c r="C6" s="6" t="s">
        <v>243</v>
      </c>
      <c r="D6" s="6" t="s">
        <v>443</v>
      </c>
      <c r="E6" s="6" t="n">
        <v>0</v>
      </c>
      <c r="F6" s="6" t="s">
        <v>442</v>
      </c>
    </row>
    <row r="7" customFormat="false" ht="22.35" hidden="false" customHeight="false" outlineLevel="0" collapsed="false">
      <c r="A7" s="11" t="s">
        <v>440</v>
      </c>
      <c r="B7" s="6" t="s">
        <v>245</v>
      </c>
      <c r="C7" s="6" t="s">
        <v>246</v>
      </c>
      <c r="D7" s="6" t="s">
        <v>443</v>
      </c>
      <c r="E7" s="6" t="n">
        <v>0</v>
      </c>
      <c r="F7" s="6" t="s">
        <v>442</v>
      </c>
    </row>
    <row r="8" customFormat="false" ht="22.35" hidden="false" customHeight="false" outlineLevel="0" collapsed="false">
      <c r="A8" s="7" t="s">
        <v>444</v>
      </c>
      <c r="B8" s="6" t="s">
        <v>65</v>
      </c>
      <c r="C8" s="6" t="s">
        <v>66</v>
      </c>
      <c r="D8" s="6" t="s">
        <v>70</v>
      </c>
      <c r="E8" s="6" t="n">
        <v>38</v>
      </c>
      <c r="F8" s="6" t="s">
        <v>445</v>
      </c>
    </row>
    <row r="9" customFormat="false" ht="22.35" hidden="false" customHeight="false" outlineLevel="0" collapsed="false">
      <c r="A9" s="7" t="s">
        <v>444</v>
      </c>
      <c r="B9" s="6" t="s">
        <v>81</v>
      </c>
      <c r="C9" s="6" t="s">
        <v>82</v>
      </c>
      <c r="D9" s="6" t="s">
        <v>87</v>
      </c>
      <c r="E9" s="6" t="n">
        <v>4</v>
      </c>
      <c r="F9" s="6" t="s">
        <v>445</v>
      </c>
    </row>
    <row r="10" customFormat="false" ht="22.35" hidden="false" customHeight="false" outlineLevel="0" collapsed="false">
      <c r="A10" s="7" t="s">
        <v>444</v>
      </c>
      <c r="B10" s="6" t="s">
        <v>104</v>
      </c>
      <c r="C10" s="6" t="s">
        <v>105</v>
      </c>
      <c r="D10" s="6" t="s">
        <v>108</v>
      </c>
      <c r="E10" s="6" t="n">
        <v>24</v>
      </c>
      <c r="F10" s="6" t="s">
        <v>445</v>
      </c>
    </row>
    <row r="11" customFormat="false" ht="22.35" hidden="false" customHeight="false" outlineLevel="0" collapsed="false">
      <c r="A11" s="7" t="s">
        <v>444</v>
      </c>
      <c r="B11" s="6" t="s">
        <v>152</v>
      </c>
      <c r="C11" s="6" t="s">
        <v>153</v>
      </c>
      <c r="D11" s="6" t="s">
        <v>155</v>
      </c>
      <c r="E11" s="6" t="n">
        <v>3</v>
      </c>
      <c r="F11" s="6" t="s">
        <v>445</v>
      </c>
    </row>
    <row r="12" customFormat="false" ht="22.35" hidden="false" customHeight="false" outlineLevel="0" collapsed="false">
      <c r="A12" s="7" t="s">
        <v>444</v>
      </c>
      <c r="B12" s="6" t="s">
        <v>205</v>
      </c>
      <c r="C12" s="6" t="s">
        <v>206</v>
      </c>
      <c r="D12" s="6" t="s">
        <v>207</v>
      </c>
      <c r="E12" s="6" t="n">
        <v>2</v>
      </c>
      <c r="F12" s="6" t="s">
        <v>445</v>
      </c>
    </row>
    <row r="13" customFormat="false" ht="22.35" hidden="false" customHeight="false" outlineLevel="0" collapsed="false">
      <c r="A13" s="7" t="s">
        <v>444</v>
      </c>
      <c r="B13" s="6" t="s">
        <v>252</v>
      </c>
      <c r="C13" s="6" t="s">
        <v>253</v>
      </c>
      <c r="D13" s="6" t="s">
        <v>257</v>
      </c>
      <c r="E13" s="6" t="n">
        <v>14</v>
      </c>
      <c r="F13" s="6" t="s">
        <v>445</v>
      </c>
    </row>
    <row r="14" customFormat="false" ht="22.35" hidden="false" customHeight="false" outlineLevel="0" collapsed="false">
      <c r="A14" s="7" t="s">
        <v>444</v>
      </c>
      <c r="B14" s="6" t="s">
        <v>277</v>
      </c>
      <c r="C14" s="6" t="s">
        <v>278</v>
      </c>
      <c r="D14" s="6" t="s">
        <v>281</v>
      </c>
      <c r="E14" s="6" t="n">
        <v>5</v>
      </c>
      <c r="F14" s="6" t="s">
        <v>445</v>
      </c>
    </row>
    <row r="15" customFormat="false" ht="22.35" hidden="false" customHeight="false" outlineLevel="0" collapsed="false">
      <c r="A15" s="7" t="s">
        <v>444</v>
      </c>
      <c r="B15" s="6" t="s">
        <v>284</v>
      </c>
      <c r="C15" s="6" t="s">
        <v>285</v>
      </c>
      <c r="D15" s="6" t="s">
        <v>287</v>
      </c>
      <c r="E15" s="6" t="n">
        <v>4</v>
      </c>
      <c r="F15" s="6" t="s">
        <v>445</v>
      </c>
    </row>
    <row r="16" customFormat="false" ht="22.35" hidden="false" customHeight="false" outlineLevel="0" collapsed="false">
      <c r="A16" s="7" t="s">
        <v>444</v>
      </c>
      <c r="B16" s="6" t="s">
        <v>290</v>
      </c>
      <c r="C16" s="6" t="s">
        <v>291</v>
      </c>
      <c r="D16" s="6" t="s">
        <v>292</v>
      </c>
      <c r="E16" s="6" t="n">
        <v>7</v>
      </c>
      <c r="F16" s="6" t="s">
        <v>445</v>
      </c>
    </row>
    <row r="17" customFormat="false" ht="22.35" hidden="false" customHeight="false" outlineLevel="0" collapsed="false">
      <c r="A17" s="7" t="s">
        <v>444</v>
      </c>
      <c r="B17" s="6" t="s">
        <v>324</v>
      </c>
      <c r="C17" s="6" t="s">
        <v>325</v>
      </c>
      <c r="D17" s="6" t="s">
        <v>326</v>
      </c>
      <c r="E17" s="6" t="n">
        <v>13</v>
      </c>
      <c r="F17" s="6" t="s">
        <v>445</v>
      </c>
    </row>
    <row r="18" customFormat="false" ht="22.35" hidden="false" customHeight="false" outlineLevel="0" collapsed="false">
      <c r="A18" s="8" t="s">
        <v>446</v>
      </c>
      <c r="B18" s="6" t="s">
        <v>50</v>
      </c>
      <c r="C18" s="6" t="s">
        <v>51</v>
      </c>
      <c r="D18" s="6" t="s">
        <v>55</v>
      </c>
      <c r="E18" s="6" t="n">
        <v>0</v>
      </c>
      <c r="F18" s="6" t="s">
        <v>447</v>
      </c>
    </row>
    <row r="19" customFormat="false" ht="22.35" hidden="false" customHeight="false" outlineLevel="0" collapsed="false">
      <c r="A19" s="8" t="s">
        <v>446</v>
      </c>
      <c r="B19" s="6" t="s">
        <v>123</v>
      </c>
      <c r="C19" s="6" t="s">
        <v>124</v>
      </c>
      <c r="D19" s="6" t="s">
        <v>127</v>
      </c>
      <c r="E19" s="6" t="n">
        <v>30</v>
      </c>
      <c r="F19" s="6" t="s">
        <v>447</v>
      </c>
    </row>
    <row r="20" customFormat="false" ht="22.35" hidden="false" customHeight="false" outlineLevel="0" collapsed="false">
      <c r="A20" s="8" t="s">
        <v>446</v>
      </c>
      <c r="B20" s="6" t="s">
        <v>130</v>
      </c>
      <c r="C20" s="6" t="s">
        <v>131</v>
      </c>
      <c r="D20" s="6" t="s">
        <v>127</v>
      </c>
      <c r="E20" s="6" t="n">
        <v>15</v>
      </c>
      <c r="F20" s="6" t="s">
        <v>447</v>
      </c>
    </row>
    <row r="21" customFormat="false" ht="22.35" hidden="false" customHeight="false" outlineLevel="0" collapsed="false">
      <c r="A21" s="8" t="s">
        <v>446</v>
      </c>
      <c r="B21" s="6" t="s">
        <v>134</v>
      </c>
      <c r="C21" s="6" t="s">
        <v>135</v>
      </c>
      <c r="D21" s="6" t="s">
        <v>127</v>
      </c>
      <c r="E21" s="6" t="n">
        <v>0</v>
      </c>
      <c r="F21" s="6" t="s">
        <v>447</v>
      </c>
    </row>
    <row r="22" customFormat="false" ht="22.35" hidden="false" customHeight="false" outlineLevel="0" collapsed="false">
      <c r="A22" s="8" t="s">
        <v>446</v>
      </c>
      <c r="B22" s="6" t="s">
        <v>149</v>
      </c>
      <c r="C22" s="6" t="s">
        <v>150</v>
      </c>
      <c r="D22" s="6" t="s">
        <v>127</v>
      </c>
      <c r="E22" s="6" t="n">
        <v>10</v>
      </c>
      <c r="F22" s="6" t="s">
        <v>447</v>
      </c>
    </row>
    <row r="23" customFormat="false" ht="22.35" hidden="false" customHeight="false" outlineLevel="0" collapsed="false">
      <c r="A23" s="8" t="s">
        <v>446</v>
      </c>
      <c r="B23" s="6" t="s">
        <v>195</v>
      </c>
      <c r="C23" s="6" t="s">
        <v>196</v>
      </c>
      <c r="D23" s="6" t="s">
        <v>197</v>
      </c>
      <c r="E23" s="6" t="n">
        <v>13</v>
      </c>
      <c r="F23" s="6" t="s">
        <v>447</v>
      </c>
    </row>
    <row r="24" customFormat="false" ht="22.35" hidden="false" customHeight="false" outlineLevel="0" collapsed="false">
      <c r="A24" s="8" t="s">
        <v>446</v>
      </c>
      <c r="B24" s="6" t="s">
        <v>315</v>
      </c>
      <c r="C24" s="6" t="s">
        <v>316</v>
      </c>
      <c r="D24" s="6" t="s">
        <v>318</v>
      </c>
      <c r="E24" s="6" t="n">
        <v>15</v>
      </c>
      <c r="F24" s="6" t="s">
        <v>447</v>
      </c>
    </row>
    <row r="25" customFormat="false" ht="22.35" hidden="false" customHeight="false" outlineLevel="0" collapsed="false">
      <c r="A25" s="8" t="s">
        <v>446</v>
      </c>
      <c r="B25" s="6" t="s">
        <v>349</v>
      </c>
      <c r="C25" s="6" t="s">
        <v>350</v>
      </c>
      <c r="D25" s="6" t="s">
        <v>351</v>
      </c>
      <c r="E25" s="6" t="n">
        <v>39</v>
      </c>
      <c r="F25" s="6" t="s">
        <v>447</v>
      </c>
    </row>
    <row r="26" customFormat="false" ht="22.35" hidden="false" customHeight="false" outlineLevel="0" collapsed="false">
      <c r="A26" s="8" t="s">
        <v>446</v>
      </c>
      <c r="B26" s="6" t="s">
        <v>359</v>
      </c>
      <c r="C26" s="6" t="s">
        <v>360</v>
      </c>
      <c r="D26" s="6" t="s">
        <v>361</v>
      </c>
      <c r="E26" s="6" t="n">
        <v>15</v>
      </c>
      <c r="F26" s="6" t="s">
        <v>447</v>
      </c>
    </row>
    <row r="27" customFormat="false" ht="22.35" hidden="false" customHeight="false" outlineLevel="0" collapsed="false">
      <c r="A27" s="8" t="s">
        <v>446</v>
      </c>
      <c r="B27" s="6" t="s">
        <v>363</v>
      </c>
      <c r="C27" s="6" t="s">
        <v>364</v>
      </c>
      <c r="D27" s="6" t="s">
        <v>361</v>
      </c>
      <c r="E27" s="6" t="n">
        <v>9</v>
      </c>
      <c r="F27" s="6" t="s">
        <v>447</v>
      </c>
    </row>
    <row r="28" customFormat="false" ht="22.35" hidden="false" customHeight="false" outlineLevel="0" collapsed="false">
      <c r="A28" s="8" t="s">
        <v>446</v>
      </c>
      <c r="B28" s="6" t="s">
        <v>366</v>
      </c>
      <c r="C28" s="6" t="s">
        <v>367</v>
      </c>
      <c r="D28" s="6" t="s">
        <v>361</v>
      </c>
      <c r="E28" s="6" t="n">
        <v>8</v>
      </c>
      <c r="F28" s="6" t="s">
        <v>447</v>
      </c>
    </row>
    <row r="29" customFormat="false" ht="22.35" hidden="false" customHeight="false" outlineLevel="0" collapsed="false">
      <c r="A29" s="8" t="s">
        <v>446</v>
      </c>
      <c r="B29" s="6" t="s">
        <v>369</v>
      </c>
      <c r="C29" s="6" t="s">
        <v>370</v>
      </c>
      <c r="D29" s="6" t="s">
        <v>361</v>
      </c>
      <c r="E29" s="6" t="n">
        <v>27</v>
      </c>
      <c r="F29" s="6" t="s">
        <v>447</v>
      </c>
    </row>
    <row r="30" customFormat="false" ht="22.35" hidden="false" customHeight="false" outlineLevel="0" collapsed="false">
      <c r="A30" s="8" t="s">
        <v>446</v>
      </c>
      <c r="B30" s="6" t="s">
        <v>372</v>
      </c>
      <c r="C30" s="6" t="s">
        <v>373</v>
      </c>
      <c r="D30" s="6" t="s">
        <v>361</v>
      </c>
      <c r="E30" s="6" t="n">
        <v>13</v>
      </c>
      <c r="F30" s="6" t="s">
        <v>447</v>
      </c>
    </row>
    <row r="31" customFormat="false" ht="22.35" hidden="false" customHeight="false" outlineLevel="0" collapsed="false">
      <c r="A31" s="8" t="s">
        <v>446</v>
      </c>
      <c r="B31" s="6" t="s">
        <v>376</v>
      </c>
      <c r="C31" s="6" t="s">
        <v>377</v>
      </c>
      <c r="D31" s="6" t="s">
        <v>361</v>
      </c>
      <c r="E31" s="6" t="n">
        <v>5</v>
      </c>
      <c r="F31" s="6" t="s">
        <v>447</v>
      </c>
    </row>
    <row r="32" customFormat="false" ht="22.35" hidden="false" customHeight="false" outlineLevel="0" collapsed="false">
      <c r="A32" s="8" t="s">
        <v>446</v>
      </c>
      <c r="B32" s="6" t="s">
        <v>379</v>
      </c>
      <c r="C32" s="6" t="s">
        <v>380</v>
      </c>
      <c r="D32" s="6" t="s">
        <v>361</v>
      </c>
      <c r="E32" s="6" t="n">
        <v>5</v>
      </c>
      <c r="F32" s="6" t="s">
        <v>447</v>
      </c>
    </row>
    <row r="33" customFormat="false" ht="22.35" hidden="false" customHeight="false" outlineLevel="0" collapsed="false">
      <c r="A33" s="8" t="s">
        <v>446</v>
      </c>
      <c r="B33" s="6" t="s">
        <v>382</v>
      </c>
      <c r="C33" s="6" t="s">
        <v>383</v>
      </c>
      <c r="D33" s="6" t="s">
        <v>361</v>
      </c>
      <c r="E33" s="6" t="n">
        <v>4</v>
      </c>
      <c r="F33" s="6" t="s">
        <v>447</v>
      </c>
    </row>
    <row r="34" customFormat="false" ht="22.35" hidden="false" customHeight="false" outlineLevel="0" collapsed="false">
      <c r="A34" s="11" t="s">
        <v>448</v>
      </c>
      <c r="B34" s="6" t="s">
        <v>432</v>
      </c>
      <c r="C34" s="6" t="s">
        <v>433</v>
      </c>
      <c r="D34" s="6" t="s">
        <v>434</v>
      </c>
      <c r="E34" s="6" t="n">
        <v>0</v>
      </c>
      <c r="F34" s="6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2026-09-30T14:54:39Z</dcterms:created>
  <dc:creator>openpyxl</dc:creator>
  <dc:description/>
  <dc:language>en-US</dc:language>
  <cp:lastModifiedBy/>
  <dcterms:modified xsi:type="dcterms:W3CDTF">2026-09-30T14:54:39Z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