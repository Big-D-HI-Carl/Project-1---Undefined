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hedule" sheetId="1" state="visible" r:id="rId3"/>
    <sheet name="Schedule Basis" sheetId="2" state="visible" r:id="rId4"/>
    <sheet name="Row placement" sheetId="3" state="visible" r:id="rId5"/>
  </sheets>
  <definedNames>
    <definedName function="false" hidden="true" localSheetId="2" name="_xlnm._FilterDatabase" vbProcedure="false">'Row placement'!$A$1:$E$448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<sst xmlns="http://schemas.openxmlformats.org/spreadsheetml/2006/main" count="3486" uniqueCount="1109">
  <si>
    <t xml:space="preserve">Eastsound WWTP Upgrade Phase I — Schedule by CWP (proof of concept)</t>
  </si>
  <si>
    <t xml:space="preserve">Dates from 00 31 13 via the Project Wiki and Ledger (Verified) with Inferred windows where the documents give none. Owner's planning schedule: "for planning only and does not dictate means and methods" (00 31 13 p.21). Bars: package color; black = milestone.</t>
  </si>
  <si>
    <t xml:space="preserve">Feb 23</t>
  </si>
  <si>
    <t xml:space="preserve">Mar 23</t>
  </si>
  <si>
    <t xml:space="preserve">Apr 23</t>
  </si>
  <si>
    <t xml:space="preserve">May 23</t>
  </si>
  <si>
    <t xml:space="preserve">Jun 23</t>
  </si>
  <si>
    <t xml:space="preserve">Jul 23</t>
  </si>
  <si>
    <t xml:space="preserve">Aug 23</t>
  </si>
  <si>
    <t xml:space="preserve">Sep 23</t>
  </si>
  <si>
    <t xml:space="preserve">Oct 23</t>
  </si>
  <si>
    <t xml:space="preserve">Nov 23</t>
  </si>
  <si>
    <t xml:space="preserve">Dec 23</t>
  </si>
  <si>
    <t xml:space="preserve">Jan 24</t>
  </si>
  <si>
    <t xml:space="preserve">Feb 24</t>
  </si>
  <si>
    <t xml:space="preserve">Mar 24</t>
  </si>
  <si>
    <t xml:space="preserve">Apr 24</t>
  </si>
  <si>
    <t xml:space="preserve">May 24</t>
  </si>
  <si>
    <t xml:space="preserve">Jun 24</t>
  </si>
  <si>
    <t xml:space="preserve">Jul 24</t>
  </si>
  <si>
    <t xml:space="preserve">Aug 24</t>
  </si>
  <si>
    <t xml:space="preserve">Sep 24</t>
  </si>
  <si>
    <t xml:space="preserve">Oct 24</t>
  </si>
  <si>
    <t xml:space="preserve">ID</t>
  </si>
  <si>
    <t xml:space="preserve">Type</t>
  </si>
  <si>
    <t xml:space="preserve">CWP</t>
  </si>
  <si>
    <t xml:space="preserve">Activity</t>
  </si>
  <si>
    <t xml:space="preserve">Start</t>
  </si>
  <si>
    <t xml:space="preserve">Finish</t>
  </si>
  <si>
    <t xml:space="preserve">Days</t>
  </si>
  <si>
    <t xml:space="preserve">Date basis</t>
  </si>
  <si>
    <t xml:space="preserve">Tag level</t>
  </si>
  <si>
    <t xml:space="preserve">Predecessors (Inferred)</t>
  </si>
  <si>
    <t xml:space="preserve">Ledger rows</t>
  </si>
  <si>
    <t xml:space="preserve">Ledger tags</t>
  </si>
  <si>
    <t xml:space="preserve">Project milestones</t>
  </si>
  <si>
    <t xml:space="preserve">MS01</t>
  </si>
  <si>
    <t xml:space="preserve">Milestone</t>
  </si>
  <si>
    <t xml:space="preserve">Bids opened</t>
  </si>
  <si>
    <t xml:space="preserve">00 31 13 pp.21–22 via the Contract &amp; General Wiki note and rows</t>
  </si>
  <si>
    <t xml:space="preserve">Verified</t>
  </si>
  <si>
    <t xml:space="preserve">MS02</t>
  </si>
  <si>
    <t xml:space="preserve">Contract award</t>
  </si>
  <si>
    <t xml:space="preserve">MS03</t>
  </si>
  <si>
    <t xml:space="preserve">CPM schedule due (10 days after award)</t>
  </si>
  <si>
    <t xml:space="preserve">01 31 00 ¶1.05.A / Appendix F §3.0 — 10 days after award (date Inferred from award)</t>
  </si>
  <si>
    <t xml:space="preserve">Inferred</t>
  </si>
  <si>
    <t xml:space="preserve">MS04</t>
  </si>
  <si>
    <t xml:space="preserve">Preconstruction meeting and Notice to Proceed</t>
  </si>
  <si>
    <t xml:space="preserve">Pre-con Mar 15, 2023 (00 31 13 pp.21–22 via the Contract &amp; General Wiki note and rows); NTP Mar 15, 2023 (Appendix F Table 3-1)</t>
  </si>
  <si>
    <t xml:space="preserve">MS05</t>
  </si>
  <si>
    <t xml:space="preserve">480V service, MCC and PLC panel complete</t>
  </si>
  <si>
    <t xml:space="preserve">00 31 13 pp.21–22 via the Contract &amp; General Wiki note and rows, ¶A.12</t>
  </si>
  <si>
    <t xml:space="preserve">MS06</t>
  </si>
  <si>
    <t xml:space="preserve">UV system complete</t>
  </si>
  <si>
    <t xml:space="preserve">MS07</t>
  </si>
  <si>
    <t xml:space="preserve">UV on line; effluent switched to new 8-in piping</t>
  </si>
  <si>
    <t xml:space="preserve">MS08</t>
  </si>
  <si>
    <t xml:space="preserve">2W air gap water system complete</t>
  </si>
  <si>
    <t xml:space="preserve">MS09</t>
  </si>
  <si>
    <t xml:space="preserve">Influent pump station, flow splitter and sampler on line</t>
  </si>
  <si>
    <t xml:space="preserve">MS10</t>
  </si>
  <si>
    <t xml:space="preserve">Major piping complete; aerobic digester complete</t>
  </si>
  <si>
    <t xml:space="preserve">00 31 13 pp.21–22 via the Contract &amp; General Wiki note and rows, ¶A.18</t>
  </si>
  <si>
    <t xml:space="preserve">MS11</t>
  </si>
  <si>
    <t xml:space="preserve">Dewatering system complete</t>
  </si>
  <si>
    <t xml:space="preserve">MS12</t>
  </si>
  <si>
    <t xml:space="preserve">Permanent generator on line; rental removed</t>
  </si>
  <si>
    <t xml:space="preserve">April 2024 (00 31 13 pp.21–22 via the Contract &amp; General Wiki note and rows, ¶A.21); plotted at month end</t>
  </si>
  <si>
    <t xml:space="preserve">Verified (month)</t>
  </si>
  <si>
    <t xml:space="preserve">MS13</t>
  </si>
  <si>
    <t xml:space="preserve">Train 3 complete</t>
  </si>
  <si>
    <t xml:space="preserve">MS14</t>
  </si>
  <si>
    <t xml:space="preserve">Substantial Completion</t>
  </si>
  <si>
    <t xml:space="preserve">00 31 13 pp.21–22 via the Contract &amp; General Wiki note and rows; SC 19 lists what must be on line</t>
  </si>
  <si>
    <t xml:space="preserve">MS15</t>
  </si>
  <si>
    <t xml:space="preserve">Final Completion</t>
  </si>
  <si>
    <t xml:space="preserve">00 31 13 pp.21–22 via the Contract &amp; General Wiki note and rows, ¶A.27; 00 73 00 SC 15</t>
  </si>
  <si>
    <t xml:space="preserve">01-SUM</t>
  </si>
  <si>
    <t xml:space="preserve">CWP summary</t>
  </si>
  <si>
    <t xml:space="preserve">CWP 01</t>
  </si>
  <si>
    <t xml:space="preserve">CWP 01 General Requirements &amp; Temporary Works</t>
  </si>
  <si>
    <t xml:space="preserve">Earliest start / latest finish of the package (formula)</t>
  </si>
  <si>
    <t xml:space="preserve">—</t>
  </si>
  <si>
    <t xml:space="preserve">01-P01</t>
  </si>
  <si>
    <t xml:space="preserve">Submittals &amp; procurement</t>
  </si>
  <si>
    <t xml:space="preserve">General Requirements &amp; Temporary Works — submittals and procurement (20 register lines)</t>
  </si>
  <si>
    <t xml:space="preserve">Submittals start after award, long-lead items first (00 31 13 pp.21–22 via the Contract &amp; General Wiki note and rows); finish = day before the package's first work (Inferred). Vendor lead times not stated in the documents.</t>
  </si>
  <si>
    <t xml:space="preserve">01-C02</t>
  </si>
  <si>
    <t xml:space="preserve">Construction</t>
  </si>
  <si>
    <t xml:space="preserve">General Requirements &amp; Temporary Works — Temporary facilities and controls</t>
  </si>
  <si>
    <t xml:space="preserve">NTP Mar 15, 2023 to Final Completion Oct 16, 2024 (00 31 13 pp.21–22 via the Contract &amp; General Wiki note and rows; span Inferred)</t>
  </si>
  <si>
    <t xml:space="preserve">PROPOSED-Off-site staging area; PROPOSED-Temporary construction sign; PROPOSED-Funding-Recognition-Sign; PROPOSED-Temporary-Barriers; PROPOSED-Temporary-Pump-and-Process-Equipment; PROPOSED-Contractor-Field-Office; PROPOSED-Temporary-Construction-Water-Connection; PROPOSED-Temporary-Sanitary-Facilities</t>
  </si>
  <si>
    <t xml:space="preserve">01-C01</t>
  </si>
  <si>
    <t xml:space="preserve">General Requirements &amp; Temporary Works — Temporary bypass and interim effluent piping</t>
  </si>
  <si>
    <t xml:space="preserve">Set up April 2023; switched to new 8-in effluent when UV goes on line Oct 11, 2023 (00 31 13 pp.21–22 via the Contract &amp; General Wiki note and rows)</t>
  </si>
  <si>
    <t xml:space="preserve">Verified (start to month)</t>
  </si>
  <si>
    <t xml:space="preserve">PROPOSED-Temporary bypass pumping system; PROPOSED-Temporary-Bypass-Pipe; PROPOSED-Bypass-Pumping-System; PROPOSED-Temporary-Bypass-Alarm-Monitoring</t>
  </si>
  <si>
    <t xml:space="preserve">01-T01</t>
  </si>
  <si>
    <t xml:space="preserve">Inspection &amp; test</t>
  </si>
  <si>
    <t xml:space="preserve">General Requirements &amp; Temporary Works — inspections and tests during the work (11 ITP lines)</t>
  </si>
  <si>
    <t xml:space="preserve">Window = the package's construction span (Inferred); requirements per the Inspection &amp; Test Plan</t>
  </si>
  <si>
    <t xml:space="preserve">01-C01, 01-C02</t>
  </si>
  <si>
    <t xml:space="preserve">02-SUM</t>
  </si>
  <si>
    <t xml:space="preserve">CWP 02</t>
  </si>
  <si>
    <t xml:space="preserve">CWP 02 Demolition &amp; Existing Conditions</t>
  </si>
  <si>
    <t xml:space="preserve">02-P01</t>
  </si>
  <si>
    <t xml:space="preserve">Demolition &amp; Existing Conditions — submittals and procurement (0 register lines)</t>
  </si>
  <si>
    <t xml:space="preserve">02-C02</t>
  </si>
  <si>
    <t xml:space="preserve">Demolition &amp; Existing Conditions — Site demolition ahead of new work</t>
  </si>
  <si>
    <t xml:space="preserve">Ahead of the April 2023 work starts (Inferred window)</t>
  </si>
  <si>
    <t xml:space="preserve">PROPOSED-Existing 8in effluent outfall pipe; PROPOSED-Existing 4in roof drain pipe; SSMH 1286; SSMH 1285; PROPOSED-Existing 10in effluent outfall pipe; PROPOSED-Existing storm drain and catch basin 87 LF; PROPOSED-Existing 6in drain pipe to sump station; PROPOSED-Existing 1.5in sump force main; PROPOSED-Existing chain link fence 149 LF; PROPOSED-Existing storm drain at roof drain 7 ft; PROPOSED-Existing retaining wall 61 LF; PROPOSED-Existing chain link fence 119 LF; PROPOSED-Existing 4in storm drain 8 LF; PROPOSED-Existing 8in influent pipe; PROPOSED-Asphalt pavement sawcut and removal; PROPOSED-Existing 8in slab over pre-aeration basin; PROPOSED-Existing basin internal piping; PROPOSED-EXISTING-INFLUENT-PIPING-REMOVAL</t>
  </si>
  <si>
    <t xml:space="preserve">02-C03</t>
  </si>
  <si>
    <t xml:space="preserve">Demolition &amp; Existing Conditions — Yard piping, vaults and site utilities</t>
  </si>
  <si>
    <t xml:space="preserve">Yard piping and vaults start April 2023; major piping complete Nov 1, 2023 (00 31 13 pp.21–22 via the Contract &amp; General Wiki note and rows)</t>
  </si>
  <si>
    <t xml:space="preserve">PROPOSED-Existing holding tanks; PROPOSED-Existing Train 1 influent pipe</t>
  </si>
  <si>
    <t xml:space="preserve">02-C01</t>
  </si>
  <si>
    <t xml:space="preserve">Demolition &amp; Existing Conditions — Existing generator, switchgear and fuel tank removal</t>
  </si>
  <si>
    <t xml:space="preserve">After the Owner has full use of the new generator (Appendix F §5.3.1; generator on line April 2024) — Inferred window</t>
  </si>
  <si>
    <t xml:space="preserve">PROPOSED-Existing generator fuel tank and spill basin</t>
  </si>
  <si>
    <t xml:space="preserve">02-T01</t>
  </si>
  <si>
    <t xml:space="preserve">Demolition &amp; Existing Conditions — inspections and tests during the work (0 ITP lines)</t>
  </si>
  <si>
    <t xml:space="preserve">02-C01, 02-C02, 02-C03</t>
  </si>
  <si>
    <t xml:space="preserve">03-SUM</t>
  </si>
  <si>
    <t xml:space="preserve">CWP 03</t>
  </si>
  <si>
    <t xml:space="preserve">CWP 03 Concrete (Cast-in-Place &amp; Precast)</t>
  </si>
  <si>
    <t xml:space="preserve">03-P01</t>
  </si>
  <si>
    <t xml:space="preserve">Concrete (Cast-in-Place &amp; Precast) — submittals and procurement (8 register lines)</t>
  </si>
  <si>
    <t xml:space="preserve">03-C02</t>
  </si>
  <si>
    <t xml:space="preserve">Concrete (Cast-in-Place &amp; Precast) — Blower Building</t>
  </si>
  <si>
    <t xml:space="preserve">Start April 2023; complete July 2023 (00 31 13 pp.21–22 via the Contract &amp; General Wiki note and rows)</t>
  </si>
  <si>
    <t xml:space="preserve">PROPOSED-Blower-Building-Slab-and-Grade-Beams; PROPOSED-Blower-Pad</t>
  </si>
  <si>
    <t xml:space="preserve">03-C05</t>
  </si>
  <si>
    <t xml:space="preserve">Concrete (Cast-in-Place &amp; Precast) — Sludge pumps and valving</t>
  </si>
  <si>
    <t xml:space="preserve">Start April 2023 (00 31 13 pp.21–22 via the Contract &amp; General Wiki note and rows); finish = digester complete Nov 1, 2023 (Inferred)</t>
  </si>
  <si>
    <t xml:space="preserve">PROPOSED-Existing-Slab-Trench-Infill</t>
  </si>
  <si>
    <t xml:space="preserve">03-C07</t>
  </si>
  <si>
    <t xml:space="preserve">Concrete (Cast-in-Place &amp; Precast) — UV chamber and digester</t>
  </si>
  <si>
    <t xml:space="preserve">Start April 2023; UV on line Oct 11, 2023; digester complete Nov 1, 2023 (00 31 13 pp.21–22 via the Contract &amp; General Wiki note and rows)</t>
  </si>
  <si>
    <t xml:space="preserve">PROPOSED-EFFLUENT-SAMPLE-SUMP; PROPOSED-UV-DIGESTER-STRUCTURE; PROPOSED-UV-Disinfection-Chamber-Basin; PROPOSED-Digester-Concrete-Tank; PROPOSED-Aerobic-Digester; PROPOSED-UV-Disinfection-Chamber</t>
  </si>
  <si>
    <t xml:space="preserve">03-C08</t>
  </si>
  <si>
    <t xml:space="preserve">Concrete (Cast-in-Place &amp; Precast) — Yard piping, vaults and site utilities</t>
  </si>
  <si>
    <t xml:space="preserve">PROPOSED-Existing slab coring and repair; PROPOSED-Influent-Flow-Meter-Valve-Vault; PROPOSED-Effluent-Flow-Meter-Valve-Vault; PROPOSED-Plants-2-and-3-Flow-Meter-Vault; PROPOSED-Yard-Piping-Vaults</t>
  </si>
  <si>
    <t xml:space="preserve">03-C01</t>
  </si>
  <si>
    <t xml:space="preserve">Concrete (Cast-in-Place &amp; Precast) — 2W air gap water system</t>
  </si>
  <si>
    <t xml:space="preserve">Start May 2023; complete Oct 18, 2023 (00 31 13 pp.21–22 via the Contract &amp; General Wiki note and rows)</t>
  </si>
  <si>
    <t xml:space="preserve">PROPOSED-2W-Pump-Station-Precast-Wet-Well</t>
  </si>
  <si>
    <t xml:space="preserve">03-C04</t>
  </si>
  <si>
    <t xml:space="preserve">Concrete (Cast-in-Place &amp; Precast) — Influent pump station and flow splitter</t>
  </si>
  <si>
    <t xml:space="preserve">Start June 2023; on line Oct 25, 2023 (00 31 13 pp.21–22 via the Contract &amp; General Wiki note and rows)</t>
  </si>
  <si>
    <t xml:space="preserve">PROPOSED-FLOW-SPLITTER-SUPPORT; PROPOSED-INFLUENT-FLOW-METER-VAULT; PROPOSED-TRAIN-2-FLOW-METER-VAULT; PROPOSED-TRAIN-3-FLOW-METER-VAULT; PROPOSED-IPS-HATCHES; PROPOSED-Drain-Pump-Station-Lid; PROPOSED-Drain-Pump-Station-Precast-Wet-Well; PROPOSED-Drain-Pump-Station-Hatches; PROPOSED-Flow-Splitter-Pad; PROPOSED-Influent-Pump-Station-Precast-Wet-Well; PROPOSED-Influent-Pump-Station-Top-Slab; PROPOSED-Influent-Pump-Station-Meter-Vaults; PROPOSED-Influent-Pump-Station</t>
  </si>
  <si>
    <t xml:space="preserve">03-C06</t>
  </si>
  <si>
    <t xml:space="preserve">Concrete (Cast-in-Place &amp; Precast) — Train 3</t>
  </si>
  <si>
    <t xml:space="preserve">Start Aug 2023; complete July 8, 2024 (00 31 13 pp.21–22 via the Contract &amp; General Wiki note and rows)</t>
  </si>
  <si>
    <t xml:space="preserve">PROPOSED-Train-3-Concrete-Tank</t>
  </si>
  <si>
    <t xml:space="preserve">03-C03</t>
  </si>
  <si>
    <t xml:space="preserve">Concrete (Cast-in-Place &amp; Precast) — Permanent standby generator</t>
  </si>
  <si>
    <t xml:space="preserve">Installed, tested and on line April 2024 (00 31 13 pp.21–22 via the Contract &amp; General Wiki note and rows, ¶A.21); start Inferred</t>
  </si>
  <si>
    <t xml:space="preserve">PROPOSED-Generator-Slab</t>
  </si>
  <si>
    <t xml:space="preserve">03-T01</t>
  </si>
  <si>
    <t xml:space="preserve">Concrete (Cast-in-Place &amp; Precast) — inspections and tests during the work (4 ITP lines)</t>
  </si>
  <si>
    <t xml:space="preserve">03-C01, 03-C02, 03-C03</t>
  </si>
  <si>
    <t xml:space="preserve">03-S01</t>
  </si>
  <si>
    <t xml:space="preserve">Test / start-up</t>
  </si>
  <si>
    <t xml:space="preserve">Clean-water leakage test — UV chamber</t>
  </si>
  <si>
    <t xml:space="preserve">Requirement per the cited section; window = the two weeks (or stated gap) before the on-line / completion milestone (Inferred)</t>
  </si>
  <si>
    <t xml:space="preserve">03-C01, 03-C02, 03-C04, 03-C05, 03-C06, 03-C07, 03-C08</t>
  </si>
  <si>
    <t xml:space="preserve">03-S02</t>
  </si>
  <si>
    <t xml:space="preserve">Clean-water leakage test — 2W wet well</t>
  </si>
  <si>
    <t xml:space="preserve">03-S03</t>
  </si>
  <si>
    <t xml:space="preserve">Clean-water leakage test — influent pump station wet well and flow splitter</t>
  </si>
  <si>
    <t xml:space="preserve">03-S04</t>
  </si>
  <si>
    <t xml:space="preserve">Clean-water leakage test — aerobic digester</t>
  </si>
  <si>
    <t xml:space="preserve">03-S05</t>
  </si>
  <si>
    <t xml:space="preserve">Clean-water leakage test — Train 3 aeration and anoxic basins and clarifier</t>
  </si>
  <si>
    <t xml:space="preserve">03-C01, 03-C02, 03-C03, 03-C04, 03-C05, 03-C06, 03-C07, 03-C</t>
  </si>
  <si>
    <t xml:space="preserve">05-SUM</t>
  </si>
  <si>
    <t xml:space="preserve">CWP 05</t>
  </si>
  <si>
    <t xml:space="preserve">CWP 05 Metals (Grating, Railings, Ladders, Stairs)</t>
  </si>
  <si>
    <t xml:space="preserve">05-P01</t>
  </si>
  <si>
    <t xml:space="preserve">Metals (Grating, Railings, Ladders, Stairs) — submittals and procurement (7 register lines)</t>
  </si>
  <si>
    <t xml:space="preserve">05-C02</t>
  </si>
  <si>
    <t xml:space="preserve">Metals (Grating, Railings, Ladders, Stairs) — UV chamber and digester</t>
  </si>
  <si>
    <t xml:space="preserve">PROPOSED-UV-DIGESTER-GRATING-GUARDRAIL; PROPOSED-Digester-Grating-Beam; PROPOSED-UV-Digester-Grating; PROPOSED-UV-Digester-Guardrail-and-Ladders</t>
  </si>
  <si>
    <t xml:space="preserve">05-C01</t>
  </si>
  <si>
    <t xml:space="preserve">Metals (Grating, Railings, Ladders, Stairs) — Train 3</t>
  </si>
  <si>
    <t xml:space="preserve">PROPOSED-Train-3-Guardrail-and-Ladders; PROPOSED-Steel-Stairs-Ladders-Platforms</t>
  </si>
  <si>
    <t xml:space="preserve">05-T01</t>
  </si>
  <si>
    <t xml:space="preserve">Metals (Grating, Railings, Ladders, Stairs) — inspections and tests during the work (1 ITP lines)</t>
  </si>
  <si>
    <t xml:space="preserve">05-C01, 05-C02</t>
  </si>
  <si>
    <t xml:space="preserve">08-SUM</t>
  </si>
  <si>
    <t xml:space="preserve">CWP 08</t>
  </si>
  <si>
    <t xml:space="preserve">CWP 08 Doors, Frames &amp; Hardware</t>
  </si>
  <si>
    <t xml:space="preserve">08-P01</t>
  </si>
  <si>
    <t xml:space="preserve">Doors, Frames &amp; Hardware — submittals and procurement (3 register lines)</t>
  </si>
  <si>
    <t xml:space="preserve">08-C01</t>
  </si>
  <si>
    <t xml:space="preserve">Doors, Frames &amp; Hardware — Blower Building</t>
  </si>
  <si>
    <t xml:space="preserve">101A; 101B; 101C; PROPOSED-Boot-Brush-and-Pad</t>
  </si>
  <si>
    <t xml:space="preserve">08-T01</t>
  </si>
  <si>
    <t xml:space="preserve">Doors, Frames &amp; Hardware — inspections and tests during the work (2 ITP lines)</t>
  </si>
  <si>
    <t xml:space="preserve">09-SUM</t>
  </si>
  <si>
    <t xml:space="preserve">CWP 09</t>
  </si>
  <si>
    <t xml:space="preserve">CWP 09 Painting &amp; Coatings</t>
  </si>
  <si>
    <t xml:space="preserve">09-P01</t>
  </si>
  <si>
    <t xml:space="preserve">Painting &amp; Coatings — submittals and procurement (4 register lines)</t>
  </si>
  <si>
    <t xml:space="preserve">09-C01</t>
  </si>
  <si>
    <t xml:space="preserve">Painting &amp; Coatings — Influent pump station and flow splitter</t>
  </si>
  <si>
    <t xml:space="preserve">PROPOSED-Influent-Pump-Station-Interior-Coating</t>
  </si>
  <si>
    <t xml:space="preserve">09-T01</t>
  </si>
  <si>
    <t xml:space="preserve">Painting &amp; Coatings — inspections and tests during the work (3 ITP lines)</t>
  </si>
  <si>
    <t xml:space="preserve">10-SUM</t>
  </si>
  <si>
    <t xml:space="preserve">CWP 10</t>
  </si>
  <si>
    <t xml:space="preserve">CWP 10 Specialties</t>
  </si>
  <si>
    <t xml:space="preserve">10-P01</t>
  </si>
  <si>
    <t xml:space="preserve">Specialties — submittals and procurement (3 register lines)</t>
  </si>
  <si>
    <t xml:space="preserve">10-C01</t>
  </si>
  <si>
    <t xml:space="preserve">Specialties — Blower Building</t>
  </si>
  <si>
    <t xml:space="preserve">PROPOSED-Fire-Extinguishers-Blower-Building</t>
  </si>
  <si>
    <t xml:space="preserve">10-C03</t>
  </si>
  <si>
    <t xml:space="preserve">Specialties — Yard piping, vaults and site utilities</t>
  </si>
  <si>
    <t xml:space="preserve">PROPOSED-WWTP tank and building signs</t>
  </si>
  <si>
    <t xml:space="preserve">10-C02</t>
  </si>
  <si>
    <t xml:space="preserve">Specialties — Train 3</t>
  </si>
  <si>
    <t xml:space="preserve">PROPOSED-TRAIN-3-FRP-LAUNDER-COVER</t>
  </si>
  <si>
    <t xml:space="preserve">10-T01</t>
  </si>
  <si>
    <t xml:space="preserve">Specialties — inspections and tests during the work (3 ITP lines)</t>
  </si>
  <si>
    <t xml:space="preserve">10-C01, 10-C02, 10-C03</t>
  </si>
  <si>
    <t xml:space="preserve">13-SUM</t>
  </si>
  <si>
    <t xml:space="preserve">CWP 13</t>
  </si>
  <si>
    <t xml:space="preserve">CWP 13 Pre-Engineered Metal Building</t>
  </si>
  <si>
    <t xml:space="preserve">13-P01</t>
  </si>
  <si>
    <t xml:space="preserve">Pre-Engineered Metal Building — submittals and procurement (5 register lines)</t>
  </si>
  <si>
    <t xml:space="preserve">13-C01</t>
  </si>
  <si>
    <t xml:space="preserve">Pre-Engineered Metal Building — Blower Building</t>
  </si>
  <si>
    <t xml:space="preserve">PROPOSED-BLOWER-BUILDING; PROPOSED-Blower-Building</t>
  </si>
  <si>
    <t xml:space="preserve">13-C03</t>
  </si>
  <si>
    <t xml:space="preserve">Pre-Engineered Metal Building — Site demolition ahead of new work</t>
  </si>
  <si>
    <t xml:space="preserve">PROPOSED-Existing-Office-Louver-4x4; PROPOSED-Existing-Office-Louver-2x3</t>
  </si>
  <si>
    <t xml:space="preserve">13-C04</t>
  </si>
  <si>
    <t xml:space="preserve">Pre-Engineered Metal Building — Existing dewatering / treatment building</t>
  </si>
  <si>
    <t xml:space="preserve">Sludge pumps start April 2023 through dewatering complete Feb 9, 2024 (00 31 13 pp.21–22 via the Contract &amp; General Wiki note and rows; span Inferred)</t>
  </si>
  <si>
    <t xml:space="preserve">PROPOSED-WWTP-Building-Louver-3x7; PROPOSED-WWTP-Building-Exhaust-Fan-24x24</t>
  </si>
  <si>
    <t xml:space="preserve">13-C02</t>
  </si>
  <si>
    <t xml:space="preserve">Pre-Engineered Metal Building — Existing generator, switchgear and fuel tank removal</t>
  </si>
  <si>
    <t xml:space="preserve">PROPOSED-Existing-Generator-Fuel-Tank-Exhaust-Louvers; PROPOSED-Existing-Generator-Exhaust-Assembly</t>
  </si>
  <si>
    <t xml:space="preserve">13-T01</t>
  </si>
  <si>
    <t xml:space="preserve">Pre-Engineered Metal Building — inspections and tests during the work (1 ITP lines)</t>
  </si>
  <si>
    <t xml:space="preserve">13-C01, 13-C02, 13-C03</t>
  </si>
  <si>
    <t xml:space="preserve">22-SUM</t>
  </si>
  <si>
    <t xml:space="preserve">CWP 22</t>
  </si>
  <si>
    <t xml:space="preserve">CWP 22 Plumbing &amp; Process Pumps</t>
  </si>
  <si>
    <t xml:space="preserve">22-P01</t>
  </si>
  <si>
    <t xml:space="preserve">Plumbing &amp; Process Pumps — submittals and procurement (6 register lines)</t>
  </si>
  <si>
    <t xml:space="preserve">22-C02</t>
  </si>
  <si>
    <t xml:space="preserve">Plumbing &amp; Process Pumps — Sludge pumps and valving</t>
  </si>
  <si>
    <t xml:space="preserve">PROPOSED-WAS-PUMP; PROPOSED-SWING-SLUDGE-PUMP; PROPOSED-DIGESTED-SLUDGE-PUMP; PROPOSED-SLUDGE-PUMP-LOCAL-PANELS; PROPOSED-Sludge-Pumps</t>
  </si>
  <si>
    <t xml:space="preserve">22-C03</t>
  </si>
  <si>
    <t xml:space="preserve">Plumbing &amp; Process Pumps — Existing dewatering / treatment building</t>
  </si>
  <si>
    <t xml:space="preserve">WP-1; WP-2; SD-1</t>
  </si>
  <si>
    <t xml:space="preserve">22-C04</t>
  </si>
  <si>
    <t xml:space="preserve">Plumbing &amp; Process Pumps — Yard piping, vaults and site utilities</t>
  </si>
  <si>
    <t xml:space="preserve">PROPOSED-YARD-HYDRANTS; PROPOSED-POST-HYDRANTS; PROPOSED-EXTERIOR-SANITARY-DRAINS</t>
  </si>
  <si>
    <t xml:space="preserve">22-C01</t>
  </si>
  <si>
    <t xml:space="preserve">Plumbing &amp; Process Pumps — Influent pump station and flow splitter</t>
  </si>
  <si>
    <t xml:space="preserve">PROPOSED-IPS-DISCHARGE-TO-SPLITTER; PROPOSED-INFLUENT-PUMP-STATION-WET-WELL; PROPOSED-INFLUENT-PUMPS-SMALL; PROPOSED-INFLUENT-PUMPS-LARGE; PROPOSED-IPS-LEVEL-TRANSDUCER; F1–F4 [Influent Pump Station]; PROPOSED-IPS-VALVE-VAULTS; PROPOSED-IPS-MOTOR-SAVER-RELAYS; IP-1; IP-2; IP-3; IP-4; PROPOSED-Influent-Pump-Seal-Fail-Overtemp-Relays; PROPOSED-Submersible-Pump-Equipment</t>
  </si>
  <si>
    <t xml:space="preserve">22-T01</t>
  </si>
  <si>
    <t xml:space="preserve">Plumbing &amp; Process Pumps — inspections and tests during the work (3 ITP lines)</t>
  </si>
  <si>
    <t xml:space="preserve">22-C01, 22-C02, 22-C03</t>
  </si>
  <si>
    <t xml:space="preserve">22-S12</t>
  </si>
  <si>
    <t xml:space="preserve">Influent pumps and flow splitter start-up</t>
  </si>
  <si>
    <t xml:space="preserve">22-C01, 22-C02, 22-C03, 22-C04</t>
  </si>
  <si>
    <t xml:space="preserve">23-SUM</t>
  </si>
  <si>
    <t xml:space="preserve">CWP 23</t>
  </si>
  <si>
    <t xml:space="preserve">CWP 23 HVAC &amp; Ventilation</t>
  </si>
  <si>
    <t xml:space="preserve">23-P01</t>
  </si>
  <si>
    <t xml:space="preserve">HVAC &amp; Ventilation — submittals and procurement (1 register lines)</t>
  </si>
  <si>
    <t xml:space="preserve">23-C01</t>
  </si>
  <si>
    <t xml:space="preserve">HVAC &amp; Ventilation — Blower Building</t>
  </si>
  <si>
    <t xml:space="preserve">PROPOSED-BLOWER-BLDG-WALL-FANS; PROPOSED-BLOWER-BLDG-MOTORIZED-LOUVER; PROPOSED-BLOWER-BLDG-MANUAL-LOUVER; EF-1; EF-2; ML-1; PROPOSED-Blower-Building-Manual-Louver; PROPOSED-Louver-36x84-Motorized; PROPOSED-Louver-24x24-Manual; PROPOSED-Exhaust-Fans-Blower-Building</t>
  </si>
  <si>
    <t xml:space="preserve">23-C02</t>
  </si>
  <si>
    <t xml:space="preserve">HVAC &amp; Ventilation — Existing dewatering / treatment building</t>
  </si>
  <si>
    <t xml:space="preserve">PROPOSED-EXISTING-BLDG-WALL-FANS; PROPOSED-EXISTING-BLDG-LOUVERS; EF-3; EF-4; EF-5</t>
  </si>
  <si>
    <t xml:space="preserve">23-T01</t>
  </si>
  <si>
    <t xml:space="preserve">HVAC &amp; Ventilation — inspections and tests during the work (0 ITP lines)</t>
  </si>
  <si>
    <t xml:space="preserve">23-C01, 23-C02</t>
  </si>
  <si>
    <t xml:space="preserve">26-SUM</t>
  </si>
  <si>
    <t xml:space="preserve">CWP 26</t>
  </si>
  <si>
    <t xml:space="preserve">CWP 26 Electrical, Instrumentation &amp; Controls</t>
  </si>
  <si>
    <t xml:space="preserve">26-P01</t>
  </si>
  <si>
    <t xml:space="preserve">Electrical, Instrumentation &amp; Controls — submittals and procurement (26 register lines)</t>
  </si>
  <si>
    <t xml:space="preserve">26-C12</t>
  </si>
  <si>
    <t xml:space="preserve">Electrical, Instrumentation &amp; Controls — Temporary facilities and controls</t>
  </si>
  <si>
    <t xml:space="preserve">PROPOSED-Construction-Power-Service; PROPOSED-Temporary-Construction-Power</t>
  </si>
  <si>
    <t xml:space="preserve">26-C02</t>
  </si>
  <si>
    <t xml:space="preserve">Electrical, Instrumentation &amp; Controls — Blower Building</t>
  </si>
  <si>
    <t xml:space="preserve">MCC; MCP; LP-1; PROPOSED-Blower-Building-Power-Handholes; PROPOSED-Blower-Building-Control-Signal-Handholes; PROPOSED-Blower-Building-Smoke-Heat-Detector; PROPOSED-Blower-Building-Door-Intrusion-Switch; PROPOSED-2W-Pressure-Transducer; PROPOSED-Blower-High-Temperature-Switches; PROPOSED-Blower-Building-Grounding-Electrode-System; L1 (Blower Building); L2 (Blower Building); X1 (Blower Building); PROPOSED-Blower-Building-Ventilation-Control-Panel; T2; PROPOSED-VFDs-in-MCC; PROPOSED-Blower-PTC-Relay-Modules; PROPOSED-Electrical-Equipment-Housekeeping-Pads; PROPOSED-Motor-Control-Center</t>
  </si>
  <si>
    <t xml:space="preserve">26-C05</t>
  </si>
  <si>
    <t xml:space="preserve">Electrical, Instrumentation &amp; Controls — Aerobic digester</t>
  </si>
  <si>
    <t xml:space="preserve">Start April 2023; complete Nov 1, 2023 (00 31 13 pp.21–22 via the Contract &amp; General Wiki note and rows)</t>
  </si>
  <si>
    <t xml:space="preserve">PROPOSED-DB-Local-Disconnect; PROPOSED-Digester-Level-Transducer</t>
  </si>
  <si>
    <t xml:space="preserve">26-C10</t>
  </si>
  <si>
    <t xml:space="preserve">Electrical, Instrumentation &amp; Controls — 480V service, MCC and PLC panel</t>
  </si>
  <si>
    <t xml:space="preserve">Electrical starts April 2023; complete Oct 4, 2023 (00 31 13 pp.21–22 via the Contract &amp; General Wiki note and rows)</t>
  </si>
  <si>
    <t xml:space="preserve">PROPOSED-Hot Box #1 flow meter; PROPOSED-EFFLUENT-FLOW-METER; PROPOSED-Utility-Transformer-480V; P-SEC; PROPOSED-CT-Enclosure-and-Meter-Base; ATS; MDP; TS; PROPOSED-Existing-Grounding-Electrode-System; PROPOSED-Conduit-and-Conductor-Runs; PROPOSED-8in-Effluent-Flow-Meter; PROPOSED-Automatic-Transfer-Switch; PROPOSED-480V-Electrical-Service; PROPOSED-PLC-Control-Panel; PROPOSED-Magnetic-Flow-Meters</t>
  </si>
  <si>
    <t xml:space="preserve">26-C11</t>
  </si>
  <si>
    <t xml:space="preserve">Electrical, Instrumentation &amp; Controls — Sludge pumps and valving</t>
  </si>
  <si>
    <t xml:space="preserve">PROPOSED-WAS-FLOW-METER</t>
  </si>
  <si>
    <t xml:space="preserve">26-C15</t>
  </si>
  <si>
    <t xml:space="preserve">Electrical, Instrumentation &amp; Controls — Existing dewatering / treatment building</t>
  </si>
  <si>
    <t xml:space="preserve">P-TPS; TPS; PROPOSED-Existing-208V-400A-Distribution-Panel; PROPOSED-Treatment-Building-Power-Handhole; PROPOSED-Treatment-Building-Control-Signal-Handhole; PROPOSED-WAS-Dewatering-Flow-Meter; PROPOSED-WAS-and-Sludge-Pump-Local-Disconnects; PROPOSED-Treatment-Building-Ventilation-Control-Panel; PROPOSED-Methane-Sensor; PROPOSED-H2S-Sensor; PROPOSED-Gas-Alarm-Light-and-Horn; L2 (Treatment Building)</t>
  </si>
  <si>
    <t xml:space="preserve">26-C16</t>
  </si>
  <si>
    <t xml:space="preserve">Electrical, Instrumentation &amp; Controls — UV chamber</t>
  </si>
  <si>
    <t xml:space="preserve">Start April 2023; UV channels in service Oct 11, 2023 (00 31 13 pp.21–22 via the Contract &amp; General Wiki note and rows)</t>
  </si>
  <si>
    <t xml:space="preserve">PROPOSED-Effluent-Flow-Meter; PROPOSED-Effluent-Flow-Meter-Transmitter-Panel; PROPOSED-UV-Control-Panel-1; PROPOSED-UV-Control-Panel-2; PROPOSED-UV-Power-Distribution-1; PROPOSED-UV-Power-Distribution-2; PROPOSED-UV-Area-Pole-Light</t>
  </si>
  <si>
    <t xml:space="preserve">26-C17</t>
  </si>
  <si>
    <t xml:space="preserve">Electrical, Instrumentation &amp; Controls — UV chamber and digester</t>
  </si>
  <si>
    <t xml:space="preserve">S1–S2 [Aerobic Digester]</t>
  </si>
  <si>
    <t xml:space="preserve">26-C01</t>
  </si>
  <si>
    <t xml:space="preserve">Electrical, Instrumentation &amp; Controls — 2W air gap water system</t>
  </si>
  <si>
    <t xml:space="preserve">PROPOSED-2W-Flow-Meter; LSH-111; F2 (2W Pump Station); F3 (2W Pump Station); LSL-111; PROPOSED-2W-Pump-Local-Disconnects; PROPOSED-Hot-Box-Heat-Trace</t>
  </si>
  <si>
    <t xml:space="preserve">26-C08</t>
  </si>
  <si>
    <t xml:space="preserve">Electrical, Instrumentation &amp; Controls — Influent pump station and flow splitter</t>
  </si>
  <si>
    <t xml:space="preserve">PROPOSED-Train 2 flow meter; PROPOSED-INFLUENT-FLOW-METER; PROPOSED-TRAIN-2-FLOW-METER; PROPOSED-TRAIN-3-FLOW-METER; PROPOSED-PLANT-DRAIN-FLOW-METER; PROPOSED-Plant-Drain-Flow-Meter; F1 (Influent Pump Station); F2 (Influent Pump Station); F3 (Influent Pump Station); F4 (Influent Pump Station); LT (Influent Pump Station); IPS; T3; LP2; PROPOSED-Influent-Pump-Local-Disconnects; PROPOSED-Influent-Wet-Well-Power-Handhole; PROPOSED-Influent-Wet-Well-Instrument-Handhole; PROPOSED-Influent-Flow-Meter; PROPOSED-Plant-2-Flow-Meter; PROPOSED-Plant-3-Flow-Meter</t>
  </si>
  <si>
    <t xml:space="preserve">26-C14</t>
  </si>
  <si>
    <t xml:space="preserve">Electrical, Instrumentation &amp; Controls — Train 3</t>
  </si>
  <si>
    <t xml:space="preserve">PROPOSED-Train 3 flow meter; PROPOSED-Train-3-Local-Disconnects; PROPOSED-Train-3-Pole-Light</t>
  </si>
  <si>
    <t xml:space="preserve">26-C13</t>
  </si>
  <si>
    <t xml:space="preserve">Electrical, Instrumentation &amp; Controls — Temporary back-up generator (rental)</t>
  </si>
  <si>
    <t xml:space="preserve">Rent Sept 25, 2023 until the permanent generator is on line, April 2024 (00 31 13 pp.21–22 via the Contract &amp; General Wiki note and rows; Add. 4 Clarification 5)</t>
  </si>
  <si>
    <t xml:space="preserve">Verified (finish to month)</t>
  </si>
  <si>
    <t xml:space="preserve">PROPOSED-Temporary power generator; PROPOSED-Temporary-Backup-Generator; PROPOSED-Temporary-Back-Up-Generator</t>
  </si>
  <si>
    <t xml:space="preserve">26-C09</t>
  </si>
  <si>
    <t xml:space="preserve">Electrical, Instrumentation &amp; Controls — SCADA / PLC programming</t>
  </si>
  <si>
    <t xml:space="preserve">After the PLC panel is complete Oct 4, 2023 through Substantial Completion July 26, 2024 (SC 19 lists SCADA/PLC programming) — span Inferred</t>
  </si>
  <si>
    <t xml:space="preserve">PROPOSED-SCADA-Computer-System</t>
  </si>
  <si>
    <t xml:space="preserve">26-C04</t>
  </si>
  <si>
    <t xml:space="preserve">Electrical, Instrumentation &amp; Controls — Existing service equipment removal</t>
  </si>
  <si>
    <t xml:space="preserve">After the new 480V service is complete Oct 4, 2023 (Inferred window)</t>
  </si>
  <si>
    <t xml:space="preserve">PROPOSED-Existing-Utility-Transformer-208V; PROPOSED-Existing-CT-Enclosure-and-Meter; PROPOSED-Existing-Meter-Base-and-Wall-Raceway; PROPOSED-Existing-200A-Feeder-to-Panel-TPS</t>
  </si>
  <si>
    <t xml:space="preserve">26-C07</t>
  </si>
  <si>
    <t xml:space="preserve">Electrical, Instrumentation &amp; Controls — Permanent standby generator</t>
  </si>
  <si>
    <t xml:space="preserve">GEN; PROPOSED-Service-Area-Grounding-Electrode-System; PROPOSED-Generator-on-S2.4; PROPOSED-Permanent-Standby-Generator</t>
  </si>
  <si>
    <t xml:space="preserve">26-C03</t>
  </si>
  <si>
    <t xml:space="preserve">Electrical, Instrumentation &amp; Controls — Existing generator, switchgear and fuel tank removal</t>
  </si>
  <si>
    <t xml:space="preserve">GEN (E); SES (E); ATS (E)</t>
  </si>
  <si>
    <t xml:space="preserve">26-T01</t>
  </si>
  <si>
    <t xml:space="preserve">Electrical, Instrumentation &amp; Controls — inspections and tests during the work (23 ITP lines)</t>
  </si>
  <si>
    <t xml:space="preserve">26-C01, 26-C02, 26-C03</t>
  </si>
  <si>
    <t xml:space="preserve">26-S08</t>
  </si>
  <si>
    <t xml:space="preserve">480V service, MCC and PLC testing and energization</t>
  </si>
  <si>
    <t xml:space="preserve">26-C01, 26-C02, 26-C05, 26-C08, 26-C10, 26-C11, 26-C12, 26-C</t>
  </si>
  <si>
    <t xml:space="preserve">26-S07</t>
  </si>
  <si>
    <t xml:space="preserve">Temporary generator connection and automatic load transfer test (Add. 4 Clarification 5)</t>
  </si>
  <si>
    <t xml:space="preserve">26-S09</t>
  </si>
  <si>
    <t xml:space="preserve">Permanent generator load bank test, 2 hours at full load (26 32 13)</t>
  </si>
  <si>
    <t xml:space="preserve">26-C01, 26-C02, 26-C04, 26-C05, 26-C07, 26-C08, 26-C09, 26-C</t>
  </si>
  <si>
    <t xml:space="preserve">26-C06</t>
  </si>
  <si>
    <t xml:space="preserve">Not scheduled</t>
  </si>
  <si>
    <t xml:space="preserve">Electrical, Instrumentation &amp; Controls — Future provisions — not scheduled</t>
  </si>
  <si>
    <t xml:space="preserve">Marked FUTURE on the drawings; not Phase I work</t>
  </si>
  <si>
    <t xml:space="preserve">PROPOSED-Train-1-Flow-Meter; TCP-1; TCP-2</t>
  </si>
  <si>
    <t xml:space="preserve">31-SUM</t>
  </si>
  <si>
    <t xml:space="preserve">CWP 31</t>
  </si>
  <si>
    <t xml:space="preserve">CWP 31 Earthwork, Dewatering &amp; Erosion Control</t>
  </si>
  <si>
    <t xml:space="preserve">31-P01</t>
  </si>
  <si>
    <t xml:space="preserve">Earthwork, Dewatering &amp; Erosion Control — submittals and procurement (11 register lines)</t>
  </si>
  <si>
    <t xml:space="preserve">31-C02</t>
  </si>
  <si>
    <t xml:space="preserve">Earthwork, Dewatering &amp; Erosion Control — Temporary facilities and controls</t>
  </si>
  <si>
    <t xml:space="preserve">PROPOSED-Plastic covering for slopes and stockpiles; PROPOSED-Catch basin inserts; PROPOSED-Filter fabric fence; PROPOSED-Stabilized construction entrance; PROPOSED-Geotextile encased check dams; PROPOSED-Dewatering system; PROPOSED-Compost berm; PROPOSED-Orange barrier fence; PROPOSED-Temporary shoring and trench safety systems; PROPOSED-Emergency access areas; PROPOSED-Trench-Safety-System; PROPOSED-Erosion-and-Sediment-Control-Measures; PROPOSED-Temporary-Construction-Dewatering; PROPOSED-Temporary-Excavation-Support</t>
  </si>
  <si>
    <t xml:space="preserve">31-C04</t>
  </si>
  <si>
    <t xml:space="preserve">Earthwork, Dewatering &amp; Erosion Control — Yard piping, vaults and site utilities</t>
  </si>
  <si>
    <t xml:space="preserve">PROPOSED-Tracer wire and locater boxes; PROPOSED-Influent sample sump</t>
  </si>
  <si>
    <t xml:space="preserve">31-C01</t>
  </si>
  <si>
    <t xml:space="preserve">Earthwork, Dewatering &amp; Erosion Control — Influent pump station and flow splitter</t>
  </si>
  <si>
    <t xml:space="preserve">PROPOSED-Train 2 flow meter vault; PROPOSED-INFLUENT-SAMPLE-SUMP</t>
  </si>
  <si>
    <t xml:space="preserve">31-C03</t>
  </si>
  <si>
    <t xml:space="preserve">Earthwork, Dewatering &amp; Erosion Control — Train 3</t>
  </si>
  <si>
    <t xml:space="preserve">PROPOSED-Train 3 flow meter vault</t>
  </si>
  <si>
    <t xml:space="preserve">31-T01</t>
  </si>
  <si>
    <t xml:space="preserve">Earthwork, Dewatering &amp; Erosion Control — inspections and tests during the work (9 ITP lines)</t>
  </si>
  <si>
    <t xml:space="preserve">31-C01, 31-C02, 31-C03</t>
  </si>
  <si>
    <t xml:space="preserve">32-SUM</t>
  </si>
  <si>
    <t xml:space="preserve">CWP 32</t>
  </si>
  <si>
    <t xml:space="preserve">CWP 32 Paving, Fencing, Walls &amp; Landscaping</t>
  </si>
  <si>
    <t xml:space="preserve">32-P01</t>
  </si>
  <si>
    <t xml:space="preserve">Paving, Fencing, Walls &amp; Landscaping — submittals and procurement (6 register lines)</t>
  </si>
  <si>
    <t xml:space="preserve">32-C03</t>
  </si>
  <si>
    <t xml:space="preserve">Paving, Fencing, Walls &amp; Landscaping — Temporary facilities and controls</t>
  </si>
  <si>
    <t xml:space="preserve">PROPOSED-Temporary cold-mix patches</t>
  </si>
  <si>
    <t xml:space="preserve">32-C01</t>
  </si>
  <si>
    <t xml:space="preserve">Paving, Fencing, Walls &amp; Landscaping — Final surfacing and pavement</t>
  </si>
  <si>
    <t xml:space="preserve">Entire site, August 2024 (00 31 13 pp.21–22 via the Contract &amp; General Wiki note and rows)</t>
  </si>
  <si>
    <t xml:space="preserve">PROPOSED-Parking stall striping; PROPOSED-Concrete walkway; PROPOSED-HMA pavement; PROPOSED-Gravel surfacing; PROPOSED-Asphalt wedge curb; PROPOSED-Site-Final-Surfacing-and-Pavement</t>
  </si>
  <si>
    <t xml:space="preserve">32-C02</t>
  </si>
  <si>
    <t xml:space="preserve">Paving, Fencing, Walls &amp; Landscaping — Site finish work (fencing, walls, landscaping, bollards)</t>
  </si>
  <si>
    <t xml:space="preserve">With final surfacing, August 2024, before Final Completion Oct 16, 2024 (Inferred window)</t>
  </si>
  <si>
    <t xml:space="preserve">PROPOSED-Block retaining wall; PROPOSED-Chain link fence 126 LF; PROPOSED-Hydroseeded restoration areas; PROPOSED-Retaining wall footing drain; PROPOSED-Bollards</t>
  </si>
  <si>
    <t xml:space="preserve">32-T01</t>
  </si>
  <si>
    <t xml:space="preserve">Paving, Fencing, Walls &amp; Landscaping — inspections and tests during the work (2 ITP lines)</t>
  </si>
  <si>
    <t xml:space="preserve">32-C01, 32-C02, 32-C03</t>
  </si>
  <si>
    <t xml:space="preserve">33-SUM</t>
  </si>
  <si>
    <t xml:space="preserve">CWP 33</t>
  </si>
  <si>
    <t xml:space="preserve">CWP 33 Yard Piping &amp; Utilities</t>
  </si>
  <si>
    <t xml:space="preserve">33-P01</t>
  </si>
  <si>
    <t xml:space="preserve">Yard Piping &amp; Utilities — submittals and procurement (14 register lines)</t>
  </si>
  <si>
    <t xml:space="preserve">33-C01</t>
  </si>
  <si>
    <t xml:space="preserve">Yard Piping &amp; Utilities — Blower Building</t>
  </si>
  <si>
    <t xml:space="preserve">PROPOSED-AERATION-AIR-HEADER; PROPOSED-AIR-TO-TRAIN-3; PROPOSED-AIR-TO-TRAIN-1-STUB; PROPOSED-AIR-TO-TRAIN-2-STUB; PROPOSED-Blower-Building-Foundation-Drains</t>
  </si>
  <si>
    <t xml:space="preserve">33-C02</t>
  </si>
  <si>
    <t xml:space="preserve">Yard Piping &amp; Utilities — Temporary bypass and interim effluent piping</t>
  </si>
  <si>
    <t xml:space="preserve">PROPOSED-Interim 8in HDPE effluent pipe; PROPOSED-Temporary-8in-Effluent-Piping</t>
  </si>
  <si>
    <t xml:space="preserve">33-C05</t>
  </si>
  <si>
    <t xml:space="preserve">Yard Piping &amp; Utilities — UV chamber and digester</t>
  </si>
  <si>
    <t xml:space="preserve">PROPOSED-EFFLUENT-HEADER-TO-UV; PROPOSED-UV-CHAMBER-DRAIN; PROPOSED-DIGESTER-AIR-LINES; PROPOSED-DIGESTED-SLUDGE-LINE; PROPOSED-WAS-PUMP-DISCHARGE-TO-DIGESTER</t>
  </si>
  <si>
    <t xml:space="preserve">33-C06</t>
  </si>
  <si>
    <t xml:space="preserve">Yard Piping &amp; Utilities — Yard piping, vaults and site utilities</t>
  </si>
  <si>
    <t xml:space="preserve">PROPOSED-Water line relocation at storm drain; Pipe ID 1; Pipe ID 2; Pipe ID 3; Pipe ID 4; Pipe ID 5; Pipe ID 6; Pipe ID 7; Pipe ID 8; Pipe ID 9; Pipe ID 10; Pipe ID 11; Pipe ID 12; Pipe ID 13; Pipe ID 14; Pipe ID 15; Pipe ID 16; Pipe ID 17; Pipe ID 18; Pipe ID 19 (+50 more)</t>
  </si>
  <si>
    <t xml:space="preserve">33-C03</t>
  </si>
  <si>
    <t xml:space="preserve">Yard Piping &amp; Utilities — Influent pump station and flow splitter</t>
  </si>
  <si>
    <t xml:space="preserve">INF1; INF2; INF3; PROPOSED-STEP-INFLUENT-CONNECTION</t>
  </si>
  <si>
    <t xml:space="preserve">33-C04</t>
  </si>
  <si>
    <t xml:space="preserve">Yard Piping &amp; Utilities — Train 3</t>
  </si>
  <si>
    <t xml:space="preserve">PROPOSED-Floor drains; SE3</t>
  </si>
  <si>
    <t xml:space="preserve">33-T01</t>
  </si>
  <si>
    <t xml:space="preserve">Yard Piping &amp; Utilities — inspections and tests during the work (21 ITP lines)</t>
  </si>
  <si>
    <t xml:space="preserve">33-C01, 33-C02, 33-C03</t>
  </si>
  <si>
    <t xml:space="preserve">33-S06</t>
  </si>
  <si>
    <t xml:space="preserve">Pipe pressure testing, witnessed (48-hour notice)</t>
  </si>
  <si>
    <t xml:space="preserve">33-C01, 33-C02, 33-C03, 33-C04, 33-C05, 33-C06</t>
  </si>
  <si>
    <t xml:space="preserve">40-SUM</t>
  </si>
  <si>
    <t xml:space="preserve">CWP 40</t>
  </si>
  <si>
    <t xml:space="preserve">CWP 40 Process Interconnections</t>
  </si>
  <si>
    <t xml:space="preserve">40-P01</t>
  </si>
  <si>
    <t xml:space="preserve">Process Interconnections — submittals and procurement (1 register lines)</t>
  </si>
  <si>
    <t xml:space="preserve">40-C01</t>
  </si>
  <si>
    <t xml:space="preserve">Process Interconnections — UV chamber and digester</t>
  </si>
  <si>
    <t xml:space="preserve">PROPOSED-DIGESTER-TELESCOPING-VALVE</t>
  </si>
  <si>
    <t xml:space="preserve">40-T01</t>
  </si>
  <si>
    <t xml:space="preserve">Process Interconnections — inspections and tests during the work (0 ITP lines)</t>
  </si>
  <si>
    <t xml:space="preserve">41-SUM</t>
  </si>
  <si>
    <t xml:space="preserve">CWP 41</t>
  </si>
  <si>
    <t xml:space="preserve">CWP 41 Material Handling (Screw Conveyors)</t>
  </si>
  <si>
    <t xml:space="preserve">41-P01</t>
  </si>
  <si>
    <t xml:space="preserve">Material Handling (Screw Conveyors) — submittals and procurement (1 register lines)</t>
  </si>
  <si>
    <t xml:space="preserve">41-C01</t>
  </si>
  <si>
    <t xml:space="preserve">Material Handling (Screw Conveyors) — Sludge dewatering (rotary fan press)</t>
  </si>
  <si>
    <t xml:space="preserve">Complete Feb 9, 2024 (00 31 13 pp.21–22 via the Contract &amp; General Wiki note and rows); start = digester complete (Inferred)</t>
  </si>
  <si>
    <t xml:space="preserve">Receiving Conveyor; Inclined Conveyor</t>
  </si>
  <si>
    <t xml:space="preserve">41-T01</t>
  </si>
  <si>
    <t xml:space="preserve">Material Handling (Screw Conveyors) — inspections and tests during the work (1 ITP lines)</t>
  </si>
  <si>
    <t xml:space="preserve">43-SUM</t>
  </si>
  <si>
    <t xml:space="preserve">CWP 43</t>
  </si>
  <si>
    <t xml:space="preserve">CWP 43 Blowers &amp; 2W Plant Water System</t>
  </si>
  <si>
    <t xml:space="preserve">43-P01</t>
  </si>
  <si>
    <t xml:space="preserve">Blowers &amp; 2W Plant Water System — submittals and procurement (3 register lines)</t>
  </si>
  <si>
    <t xml:space="preserve">43-C02</t>
  </si>
  <si>
    <t xml:space="preserve">Blowers &amp; 2W Plant Water System — Blower Building</t>
  </si>
  <si>
    <t xml:space="preserve">ESWD WWTP – Biological Treatment System Blowers (Trains 1 – 3); PROPOSED-EYE-WASH-STATIONS; BL-1; BL-2; BL-3; BL-4; DB; PROPOSED-Blowers-Blower-Building; PROPOSED-2W-Bladder-Tank-Assembly; PROPOSED-Blowers</t>
  </si>
  <si>
    <t xml:space="preserve">43-C04</t>
  </si>
  <si>
    <t xml:space="preserve">Blowers &amp; 2W Plant Water System — Aerobic digester</t>
  </si>
  <si>
    <t xml:space="preserve">ESWD WWTP – Aerobic Digester Blower</t>
  </si>
  <si>
    <t xml:space="preserve">43-C05</t>
  </si>
  <si>
    <t xml:space="preserve">Blowers &amp; 2W Plant Water System — Yard piping, vaults and site utilities</t>
  </si>
  <si>
    <t xml:space="preserve">Hot Box #1; Hot Box #2; PROPOSED-Hot Box #1 solenoid valve; PROPOSED-2W-AIR-GAP-ENCLOSURE</t>
  </si>
  <si>
    <t xml:space="preserve">43-C01</t>
  </si>
  <si>
    <t xml:space="preserve">Blowers &amp; 2W Plant Water System — 2W air gap water system</t>
  </si>
  <si>
    <t xml:space="preserve">PROPOSED-2W-FLOW-METER; PROPOSED-2W-PUMP-STATION-WET-WELL; PROPOSED-2W-Pump-Station-Wet-Well; PROPOSED-2W-PUMPS; F1–F4 [2W Pump Station]; PROPOSED-2W-DIAPHRAGM-TANKS; PIT-620; PROPOSED-2W-DISCHARGE-LINE; PROPOSED-2W-FILL-LINE; PROPOSED-2W-BLADDER-TANK-SUPPLY; 2W-P1; 2W-P2; PROPOSED-Hot-Box-1; PROPOSED-Hot-Box-2; PROPOSED-2W-Isolation-Valve-Solenoid; PROPOSED-2W-Air-Gap-Water-System</t>
  </si>
  <si>
    <t xml:space="preserve">43-C03</t>
  </si>
  <si>
    <t xml:space="preserve">Blowers &amp; 2W Plant Water System — Sludge dewatering (rotary fan press)</t>
  </si>
  <si>
    <t xml:space="preserve">PROPOSED-2W-SUPPLY-TO-PRESS</t>
  </si>
  <si>
    <t xml:space="preserve">43-T01</t>
  </si>
  <si>
    <t xml:space="preserve">Blowers &amp; 2W Plant Water System — inspections and tests during the work (3 ITP lines)</t>
  </si>
  <si>
    <t xml:space="preserve">43-C01, 43-C02, 43-C03</t>
  </si>
  <si>
    <t xml:space="preserve">43-S11</t>
  </si>
  <si>
    <t xml:space="preserve">2W system start-up (01 91 00 ¶1.10: hold 60–90 psi, 0–50 gpm)</t>
  </si>
  <si>
    <t xml:space="preserve">43-C01, 43-C02, 43-C04, 43-C05</t>
  </si>
  <si>
    <t xml:space="preserve">43-S13</t>
  </si>
  <si>
    <t xml:space="preserve">Blower start-up (01 91 00)</t>
  </si>
  <si>
    <t xml:space="preserve">45-SUM</t>
  </si>
  <si>
    <t xml:space="preserve">CWP 45</t>
  </si>
  <si>
    <t xml:space="preserve">CWP 45 Process Valves</t>
  </si>
  <si>
    <t xml:space="preserve">45-P01</t>
  </si>
  <si>
    <t xml:space="preserve">Process Valves — submittals and procurement (3 register lines)</t>
  </si>
  <si>
    <t xml:space="preserve">45-C01</t>
  </si>
  <si>
    <t xml:space="preserve">Process Valves — Aerobic digester</t>
  </si>
  <si>
    <t xml:space="preserve">PROPOSED-AIR-BUTTERFLY-VALVES</t>
  </si>
  <si>
    <t xml:space="preserve">45-C03</t>
  </si>
  <si>
    <t xml:space="preserve">Process Valves — Sludge pumps and valving</t>
  </si>
  <si>
    <t xml:space="preserve">PROPOSED-SLUDGE-MANIFOLD-PIPING</t>
  </si>
  <si>
    <t xml:space="preserve">45-C02</t>
  </si>
  <si>
    <t xml:space="preserve">Process Valves — Influent pump station and flow splitter</t>
  </si>
  <si>
    <t xml:space="preserve">PROPOSED-IPS-CHECK-VALVES; PROPOSED-IPS-GATE-VALVES</t>
  </si>
  <si>
    <t xml:space="preserve">45-T01</t>
  </si>
  <si>
    <t xml:space="preserve">Process Valves — inspections and tests during the work (2 ITP lines)</t>
  </si>
  <si>
    <t xml:space="preserve">45-C01, 45-C02, 45-C03</t>
  </si>
  <si>
    <t xml:space="preserve">46-SUM</t>
  </si>
  <si>
    <t xml:space="preserve">CWP 46</t>
  </si>
  <si>
    <t xml:space="preserve">CWP 46 Treatment Equipment</t>
  </si>
  <si>
    <t xml:space="preserve">46-P01</t>
  </si>
  <si>
    <t xml:space="preserve">Treatment Equipment — submittals and procurement (19 register lines)</t>
  </si>
  <si>
    <t xml:space="preserve">46-C03</t>
  </si>
  <si>
    <t xml:space="preserve">Treatment Equipment — Sludge pumps and valving</t>
  </si>
  <si>
    <t xml:space="preserve">PROPOSED-WAS-SOLENOID-VALVES</t>
  </si>
  <si>
    <t xml:space="preserve">46-C05</t>
  </si>
  <si>
    <t xml:space="preserve">Treatment Equipment — Existing dewatering / treatment building</t>
  </si>
  <si>
    <t xml:space="preserve">DW-1; PROPOSED-WAS-Solenoid-Valves; PROPOSED-Polymer-Feed-Pump</t>
  </si>
  <si>
    <t xml:space="preserve">46-C06</t>
  </si>
  <si>
    <t xml:space="preserve">Treatment Equipment — UV chamber</t>
  </si>
  <si>
    <t xml:space="preserve">PROPOSED-UV-TRANSMISSIVITY-ANALYZER; UV1; UV2</t>
  </si>
  <si>
    <t xml:space="preserve">46-C07</t>
  </si>
  <si>
    <t xml:space="preserve">Treatment Equipment — UV chamber and digester</t>
  </si>
  <si>
    <t xml:space="preserve">PROPOSED-UV-SYSTEM; PROPOSED-UV-CONTROL-PANELS; PROPOSED-DIGESTER-DIFFUSERS; PROPOSED-UV-INTENSITY-SENSORS; PROPOSED-UV-Disinfection-System</t>
  </si>
  <si>
    <t xml:space="preserve">46-C08</t>
  </si>
  <si>
    <t xml:space="preserve">Treatment Equipment — Yard piping, vaults and site utilities</t>
  </si>
  <si>
    <t xml:space="preserve">PROPOSED-PLANT-DRAIN-LINE</t>
  </si>
  <si>
    <t xml:space="preserve">46-C02</t>
  </si>
  <si>
    <t xml:space="preserve">Treatment Equipment — Influent pump station and flow splitter</t>
  </si>
  <si>
    <t xml:space="preserve">PROPOSED-FLOW-SPLITTER-BOX; PROPOSED-Influent-Sampler; PROPOSED-Flow-Splitter; PROPOSED-Influent-Flow-Splitter</t>
  </si>
  <si>
    <t xml:space="preserve">46-C04</t>
  </si>
  <si>
    <t xml:space="preserve">Treatment Equipment — Train 3</t>
  </si>
  <si>
    <t xml:space="preserve">WAS3; DO #1; DO-1; DO #2; DO-2; PROPOSED-TRAIN-3-TANK; PROPOSED-TRAIN-3-TREATMENT-SYSTEM; PROPOSED-TRAIN-3-INNER-WALLS; PROPOSED-TRAIN-3-CLARIFIER-MECHANISM; PROPOSED-TRAIN-3-WALKWAYS-AND-LADDER; PROPOSED-TRAIN-3-AERATION-DIFFUSERS; PROPOSED-TRAIN-3-ANOXIC-MIXERS; PROPOSED-TRAIN-3-DAVIT-CRANES; PROPOSED-TRAIN-3-RAS-AIRLIFT; PROPOSED-TRAIN-3-MLR-AIRLIFT; PROPOSED-CARBON-FEED-PUMPS; PROPOSED-TRAIN-3-CONTROL-PANEL; TCP-3; PROPOSED-Train-3-Clarifier-Drive-Motor; PROPOSED-Train-3-Submersible-Mixer-A (+11 more)</t>
  </si>
  <si>
    <t xml:space="preserve">46-C01</t>
  </si>
  <si>
    <t xml:space="preserve">Treatment Equipment — Sludge dewatering (rotary fan press)</t>
  </si>
  <si>
    <t xml:space="preserve">PROPOSED-DIGESTED-SLUDGE-FLOW-METER; PROPOSED-ROTARY-FAN-PRESS; PROPOSED-RFP-FLOCCULATOR; PROPOSED-RFP-SLUDGE-MANIFOLD; PROPOSED-RFP-CAKE-CHUTE; PROPOSED-RFP-AIR-COMPRESSOR; PROPOSED-RFP-CONTROL-PANEL; PROPOSED-POLYMER-SYSTEM; PROPOSED-SCREW-CONVEYOR; PROPOSED-DIGESTED-SLUDGE-FEED-TO-PRESS; PROPOSED-RFP-POLYMER-FLOWMETER; PROPOSED-RFP-INLET-PRESSURE-TRANSMITTER; PROPOSED-Dewatering-System</t>
  </si>
  <si>
    <t xml:space="preserve">46-T01</t>
  </si>
  <si>
    <t xml:space="preserve">Treatment Equipment — inspections and tests during the work (13 ITP lines)</t>
  </si>
  <si>
    <t xml:space="preserve">46-C01, 46-C02, 46-C03</t>
  </si>
  <si>
    <t xml:space="preserve">46-S10</t>
  </si>
  <si>
    <t xml:space="preserve">UV system start-up and field testing (46 66 00: 2 days start-up, 1 day training)</t>
  </si>
  <si>
    <t xml:space="preserve">46-C02, 46-C03, 46-C04, 46-C05, 46-C06, 46-C07, 46-C08</t>
  </si>
  <si>
    <t xml:space="preserve">46-S14</t>
  </si>
  <si>
    <t xml:space="preserve">Dewatering system start-up (01 91 00 ¶1.07.A)</t>
  </si>
  <si>
    <t xml:space="preserve">46-C01, 46-C02, 46-C03, 46-C04, 46-C05, 46-C06, 46-C07, 46-C</t>
  </si>
  <si>
    <t xml:space="preserve">46-S15</t>
  </si>
  <si>
    <t xml:space="preserve">Train 3 start-up and seeding, 10,000 gal activated sludge</t>
  </si>
  <si>
    <t xml:space="preserve">Seeding July 8–12, 2024 (00 31 13 pp.21–22 via the Contract &amp; General Wiki note and rows)</t>
  </si>
  <si>
    <t xml:space="preserve">Item</t>
  </si>
  <si>
    <t xml:space="preserve">Value</t>
  </si>
  <si>
    <t xml:space="preserve">Basis</t>
  </si>
  <si>
    <t xml:space="preserve">Planning schedule source</t>
  </si>
  <si>
    <t xml:space="preserve">00 31 13 Preliminary Project Phase, pp.21–22</t>
  </si>
  <si>
    <t xml:space="preserve">Read through the Contract &amp; General Wiki note and Ledger rows (Verified); 00 31 13 is "for planning only and does not dictate means and methods" (p.21)</t>
  </si>
  <si>
    <t xml:space="preserve">Notice to Proceed</t>
  </si>
  <si>
    <t xml:space="preserve">Pre-con Mar 15, 2023 (00 31 13); NTP Mar 15, 2023 (Appendix F Table 3-1)</t>
  </si>
  <si>
    <t xml:space="preserve">00 31 13</t>
  </si>
  <si>
    <t xml:space="preserve">00 31 13; 00 73 00 SC 15</t>
  </si>
  <si>
    <t xml:space="preserve">Working days NTP → Substantial Completion (formula)</t>
  </si>
  <si>
    <t xml:space="preserve">Mon–Fri, no holidays</t>
  </si>
  <si>
    <t xml:space="preserve">Working days NTP → end of final paving, Aug 31, 2024 (formula)</t>
  </si>
  <si>
    <t xml:space="preserve">Final surfacing and pavement August 2024 (00 31 13)</t>
  </si>
  <si>
    <t xml:space="preserve">Working days NTP → Final Completion (formula)</t>
  </si>
  <si>
    <t xml:space="preserve">On-site work limit (SC 15)</t>
  </si>
  <si>
    <t xml:space="preserve">00 73 00 SC 15 p.91: on-site work limited to 360 working days (72 weeks) — per Contract &amp; General Issues</t>
  </si>
  <si>
    <t xml:space="preserve">Month-only dates</t>
  </si>
  <si>
    <t xml:space="preserve">Start → first of month; finish → last of month</t>
  </si>
  <si>
    <t xml:space="preserve">e.g. "Blower Building complete July 2023" plotted Jul 31, 2023</t>
  </si>
  <si>
    <t xml:space="preserve">Inferred windows</t>
  </si>
  <si>
    <t xml:space="preserve">Procurement, inspection spans, tests and start-ups, demolition, site finish, dewatering start, generator start</t>
  </si>
  <si>
    <t xml:space="preserve">No dates in the documents; each activity states its basis</t>
  </si>
  <si>
    <t xml:space="preserve">Ledger rows → activities</t>
  </si>
  <si>
    <t xml:space="preserve">Each Ledger row sits in one activity: its CWP × the 00 31 13 work item for its Area/Building (or status: Temporary / Demolished)</t>
  </si>
  <si>
    <t xml:space="preserve">Mapping Inferred; see "Row placement" sheet</t>
  </si>
  <si>
    <t xml:space="preserve">Import</t>
  </si>
  <si>
    <t xml:space="preserve">Schedule_by_CWP.csv has ID, dates and predecessors for P6 or MS Project import</t>
  </si>
  <si>
    <t xml:space="preserve">Predecessor logic is Inferred (procurement → work → tests → milestone)</t>
  </si>
  <si>
    <t xml:space="preserve">Ledger tag</t>
  </si>
  <si>
    <t xml:space="preserve">Schedule activity</t>
  </si>
  <si>
    <t xml:space="preserve">Window</t>
  </si>
  <si>
    <t xml:space="preserve">Placed by</t>
  </si>
  <si>
    <t xml:space="preserve">PROPOSED-Temporary bypass pumping system</t>
  </si>
  <si>
    <t xml:space="preserve">01-C01 General Requirements &amp; Temporary Works — Temporary bypass and interim effluent piping</t>
  </si>
  <si>
    <t xml:space="preserve">Temporary bypass and interim effluent piping</t>
  </si>
  <si>
    <t xml:space="preserve">temporary bypass</t>
  </si>
  <si>
    <t xml:space="preserve">PROPOSED-Temporary power generator</t>
  </si>
  <si>
    <t xml:space="preserve">26-C13 Electrical, Instrumentation &amp; Controls — Temporary back-up generator (rental)</t>
  </si>
  <si>
    <t xml:space="preserve">Temporary back-up generator (rental)</t>
  </si>
  <si>
    <t xml:space="preserve">temporary generator</t>
  </si>
  <si>
    <t xml:space="preserve">PROPOSED-Plastic covering for slopes and stockpiles</t>
  </si>
  <si>
    <t xml:space="preserve">31-C02 Earthwork, Dewatering &amp; Erosion Control — Temporary facilities and controls</t>
  </si>
  <si>
    <t xml:space="preserve">Temporary facilities and controls</t>
  </si>
  <si>
    <t xml:space="preserve">temporary</t>
  </si>
  <si>
    <t xml:space="preserve">PROPOSED-Catch basin inserts</t>
  </si>
  <si>
    <t xml:space="preserve">PROPOSED-Filter fabric fence</t>
  </si>
  <si>
    <t xml:space="preserve">PROPOSED-Stabilized construction entrance</t>
  </si>
  <si>
    <t xml:space="preserve">PROPOSED-Geotextile encased check dams</t>
  </si>
  <si>
    <t xml:space="preserve">PROPOSED-Existing 8in effluent outfall pipe</t>
  </si>
  <si>
    <t xml:space="preserve">02-C02 Demolition &amp; Existing Conditions — Site demolition ahead of new work</t>
  </si>
  <si>
    <t xml:space="preserve">Site demolition ahead of new work</t>
  </si>
  <si>
    <t xml:space="preserve">site demolition</t>
  </si>
  <si>
    <t xml:space="preserve">PROPOSED-Interim 8in HDPE effluent pipe</t>
  </si>
  <si>
    <t xml:space="preserve">33-C02 Yard Piping &amp; Utilities — Temporary bypass and interim effluent piping</t>
  </si>
  <si>
    <t xml:space="preserve">PROPOSED-Existing 4in roof drain pipe</t>
  </si>
  <si>
    <t xml:space="preserve">SSMH 1286</t>
  </si>
  <si>
    <t xml:space="preserve">SSMH 1285</t>
  </si>
  <si>
    <t xml:space="preserve">PROPOSED-Existing 10in effluent outfall pipe</t>
  </si>
  <si>
    <t xml:space="preserve">PROPOSED-Existing storm drain and catch basin 87 LF</t>
  </si>
  <si>
    <t xml:space="preserve">PROPOSED-Existing 6in drain pipe to sump station</t>
  </si>
  <si>
    <t xml:space="preserve">PROPOSED-Existing 1.5in sump force main</t>
  </si>
  <si>
    <t xml:space="preserve">PROPOSED-Existing holding tanks</t>
  </si>
  <si>
    <t xml:space="preserve">02-C03 Demolition &amp; Existing Conditions — Yard piping, vaults and site utilities</t>
  </si>
  <si>
    <t xml:space="preserve">Yard piping, vaults and site utilities</t>
  </si>
  <si>
    <t xml:space="preserve">site</t>
  </si>
  <si>
    <t xml:space="preserve">PROPOSED-Existing chain link fence 149 LF</t>
  </si>
  <si>
    <t xml:space="preserve">PROPOSED-Existing storm drain at roof drain 7 ft</t>
  </si>
  <si>
    <t xml:space="preserve">PROPOSED-Existing retaining wall 61 LF</t>
  </si>
  <si>
    <t xml:space="preserve">02-C01 Demolition &amp; Existing Conditions — Existing generator, switchgear and fuel tank removal</t>
  </si>
  <si>
    <t xml:space="preserve">Existing generator, switchgear and fuel tank removal</t>
  </si>
  <si>
    <t xml:space="preserve">demolition after new generator</t>
  </si>
  <si>
    <t xml:space="preserve">PROPOSED-Existing chain link fence 119 LF</t>
  </si>
  <si>
    <t xml:space="preserve">PROPOSED-Existing 4in storm drain 8 LF</t>
  </si>
  <si>
    <t xml:space="preserve">PROPOSED-Water line relocation at storm drain</t>
  </si>
  <si>
    <t xml:space="preserve">33-C06 Yard Piping &amp; Utilities — Yard piping, vaults and site utilities</t>
  </si>
  <si>
    <t xml:space="preserve">PROPOSED-Existing 8in influent pipe</t>
  </si>
  <si>
    <t xml:space="preserve">PROPOSED-Asphalt pavement sawcut and removal</t>
  </si>
  <si>
    <t xml:space="preserve">PROPOSED-Existing 8in slab over pre-aeration basin</t>
  </si>
  <si>
    <t xml:space="preserve">PROPOSED-Existing basin internal piping</t>
  </si>
  <si>
    <t xml:space="preserve">PROPOSED-Off-site staging area</t>
  </si>
  <si>
    <t xml:space="preserve">01-C02 General Requirements &amp; Temporary Works — Temporary facilities and controls</t>
  </si>
  <si>
    <t xml:space="preserve">Pipe ID 1</t>
  </si>
  <si>
    <t xml:space="preserve">Pipe ID 2</t>
  </si>
  <si>
    <t xml:space="preserve">Pipe ID 3</t>
  </si>
  <si>
    <t xml:space="preserve">Pipe ID 4</t>
  </si>
  <si>
    <t xml:space="preserve">Pipe ID 5</t>
  </si>
  <si>
    <t xml:space="preserve">Pipe ID 6</t>
  </si>
  <si>
    <t xml:space="preserve">Pipe ID 7</t>
  </si>
  <si>
    <t xml:space="preserve">area</t>
  </si>
  <si>
    <t xml:space="preserve">Pipe ID 8</t>
  </si>
  <si>
    <t xml:space="preserve">Pipe ID 9</t>
  </si>
  <si>
    <t xml:space="preserve">Pipe ID 10</t>
  </si>
  <si>
    <t xml:space="preserve">Pipe ID 11</t>
  </si>
  <si>
    <t xml:space="preserve">Pipe ID 12</t>
  </si>
  <si>
    <t xml:space="preserve">Pipe ID 13</t>
  </si>
  <si>
    <t xml:space="preserve">Pipe ID 14</t>
  </si>
  <si>
    <t xml:space="preserve">Pipe ID 15</t>
  </si>
  <si>
    <t xml:space="preserve">Pipe ID 16</t>
  </si>
  <si>
    <t xml:space="preserve">Pipe ID 17</t>
  </si>
  <si>
    <t xml:space="preserve">Pipe ID 18</t>
  </si>
  <si>
    <t xml:space="preserve">Pipe ID 19</t>
  </si>
  <si>
    <t xml:space="preserve">Pipe ID 20</t>
  </si>
  <si>
    <t xml:space="preserve">Pipe ID 21</t>
  </si>
  <si>
    <t xml:space="preserve">Pipe ID 22</t>
  </si>
  <si>
    <t xml:space="preserve">Pipe ID 23</t>
  </si>
  <si>
    <t xml:space="preserve">Pipe ID 24</t>
  </si>
  <si>
    <t xml:space="preserve">Pipe ID 25</t>
  </si>
  <si>
    <t xml:space="preserve">Pipe ID 26</t>
  </si>
  <si>
    <t xml:space="preserve">PROPOSED-Existing Train 1 influent pipe</t>
  </si>
  <si>
    <t xml:space="preserve">Hot Box #1</t>
  </si>
  <si>
    <t xml:space="preserve">43-C05 Blowers &amp; 2W Plant Water System — Yard piping, vaults and site utilities</t>
  </si>
  <si>
    <t xml:space="preserve">Hot Box #2</t>
  </si>
  <si>
    <t xml:space="preserve">Buried Valve ID 1</t>
  </si>
  <si>
    <t xml:space="preserve">Buried Valve ID 2</t>
  </si>
  <si>
    <t xml:space="preserve">Buried Valve ID 3</t>
  </si>
  <si>
    <t xml:space="preserve">Buried Valve ID 4</t>
  </si>
  <si>
    <t xml:space="preserve">Buried Valve ID 5</t>
  </si>
  <si>
    <t xml:space="preserve">Buried Valve ID 6</t>
  </si>
  <si>
    <t xml:space="preserve">Buried Valve ID 7</t>
  </si>
  <si>
    <t xml:space="preserve">Buried Valve ID 8</t>
  </si>
  <si>
    <t xml:space="preserve">Buried Valve ID 9</t>
  </si>
  <si>
    <t xml:space="preserve">Buried Valve ID 10</t>
  </si>
  <si>
    <t xml:space="preserve">Buried Valve ID 11</t>
  </si>
  <si>
    <t xml:space="preserve">Buried Valve ID 12</t>
  </si>
  <si>
    <t xml:space="preserve">Buried Valve ID 13</t>
  </si>
  <si>
    <t xml:space="preserve">PROPOSED-Existing slab coring and repair</t>
  </si>
  <si>
    <t xml:space="preserve">03-C08 Concrete (Cast-in-Place &amp; Precast) — Yard piping, vaults and site utilities</t>
  </si>
  <si>
    <t xml:space="preserve">SD-1</t>
  </si>
  <si>
    <t xml:space="preserve">PROPOSED-4in roof drain at SD-1</t>
  </si>
  <si>
    <t xml:space="preserve">SDCB #5</t>
  </si>
  <si>
    <t xml:space="preserve">SDCB #8</t>
  </si>
  <si>
    <t xml:space="preserve">SDCB #9</t>
  </si>
  <si>
    <t xml:space="preserve">SDCB #7</t>
  </si>
  <si>
    <t xml:space="preserve">SDCB #10</t>
  </si>
  <si>
    <t xml:space="preserve">SDCB #2</t>
  </si>
  <si>
    <t xml:space="preserve">SDCB #3</t>
  </si>
  <si>
    <t xml:space="preserve">SDCB #4</t>
  </si>
  <si>
    <t xml:space="preserve">SDCB #6</t>
  </si>
  <si>
    <t xml:space="preserve">SDCB 1076</t>
  </si>
  <si>
    <t xml:space="preserve">PROPOSED-East trench drains</t>
  </si>
  <si>
    <t xml:space="preserve">PROPOSED-West trench drain</t>
  </si>
  <si>
    <t xml:space="preserve">PROPOSED-Block retaining wall</t>
  </si>
  <si>
    <t xml:space="preserve">32-C02 Paving, Fencing, Walls &amp; Landscaping — Site finish work (fencing, walls, landscaping, bollards)</t>
  </si>
  <si>
    <t xml:space="preserve">Site finish work (fencing, walls, landscaping, bollards)</t>
  </si>
  <si>
    <t xml:space="preserve">site finish</t>
  </si>
  <si>
    <t xml:space="preserve">PROPOSED-Chain link fence 126 LF</t>
  </si>
  <si>
    <t xml:space="preserve">PROPOSED-New septic tank</t>
  </si>
  <si>
    <t xml:space="preserve">PROPOSED-Floor drains</t>
  </si>
  <si>
    <t xml:space="preserve">33-C04 Yard Piping &amp; Utilities — Train 3</t>
  </si>
  <si>
    <t xml:space="preserve">Train 3</t>
  </si>
  <si>
    <t xml:space="preserve">PROPOSED-Parking stall striping</t>
  </si>
  <si>
    <t xml:space="preserve">32-C01 Paving, Fencing, Walls &amp; Landscaping — Final surfacing and pavement</t>
  </si>
  <si>
    <t xml:space="preserve">Final surfacing and pavement</t>
  </si>
  <si>
    <t xml:space="preserve">paving</t>
  </si>
  <si>
    <t xml:space="preserve">PROPOSED-Gravity sewer cleanouts</t>
  </si>
  <si>
    <t xml:space="preserve">PROPOSED-Tracer wire and locater boxes</t>
  </si>
  <si>
    <t xml:space="preserve">31-C04 Earthwork, Dewatering &amp; Erosion Control — Yard piping, vaults and site utilities</t>
  </si>
  <si>
    <t xml:space="preserve">PROPOSED-Concrete walkway</t>
  </si>
  <si>
    <t xml:space="preserve">10-C03 Specialties — Yard piping, vaults and site utilities</t>
  </si>
  <si>
    <t xml:space="preserve">PROPOSED-Buried valve label markers</t>
  </si>
  <si>
    <t xml:space="preserve">PROPOSED-HMA pavement</t>
  </si>
  <si>
    <t xml:space="preserve">PROPOSED-Gravel surfacing</t>
  </si>
  <si>
    <t xml:space="preserve">PROPOSED-Post hydrant</t>
  </si>
  <si>
    <t xml:space="preserve">PROPOSED-Composite manholes, double manhole condition</t>
  </si>
  <si>
    <t xml:space="preserve">CWP default (area not stated)</t>
  </si>
  <si>
    <t xml:space="preserve">PROPOSED-Influent sample sump</t>
  </si>
  <si>
    <t xml:space="preserve">PROPOSED-Hot Box #1 flow meter</t>
  </si>
  <si>
    <t xml:space="preserve">26-C10 Electrical, Instrumentation &amp; Controls — 480V service, MCC and PLC panel</t>
  </si>
  <si>
    <t xml:space="preserve">480V service, MCC and PLC panel</t>
  </si>
  <si>
    <t xml:space="preserve">site-wide electrical</t>
  </si>
  <si>
    <t xml:space="preserve">PROPOSED-Hot Box #1 solenoid valve</t>
  </si>
  <si>
    <t xml:space="preserve">PROPOSED-Train 2 flow meter vault</t>
  </si>
  <si>
    <t xml:space="preserve">31-C01 Earthwork, Dewatering &amp; Erosion Control — Influent pump station and flow splitter</t>
  </si>
  <si>
    <t xml:space="preserve">Influent pump station and flow splitter</t>
  </si>
  <si>
    <t xml:space="preserve">31-C03 Earthwork, Dewatering &amp; Erosion Control — Train 3</t>
  </si>
  <si>
    <t xml:space="preserve">PROPOSED-Train 2 flow meter</t>
  </si>
  <si>
    <t xml:space="preserve">26-C08 Electrical, Instrumentation &amp; Controls — Influent pump station and flow splitter</t>
  </si>
  <si>
    <t xml:space="preserve">PROPOSED-Train 3 flow meter</t>
  </si>
  <si>
    <t xml:space="preserve">26-C14 Electrical, Instrumentation &amp; Controls — Train 3</t>
  </si>
  <si>
    <t xml:space="preserve">PROPOSED-Hydroseeded restoration areas</t>
  </si>
  <si>
    <t xml:space="preserve">PROPOSED-Temporary construction sign</t>
  </si>
  <si>
    <t xml:space="preserve">PROPOSED-Dewatering system</t>
  </si>
  <si>
    <t xml:space="preserve">PROPOSED-Compost berm</t>
  </si>
  <si>
    <t xml:space="preserve">PROPOSED-Orange barrier fence</t>
  </si>
  <si>
    <t xml:space="preserve">PROPOSED-Temporary shoring and trench safety systems</t>
  </si>
  <si>
    <t xml:space="preserve">32-C03 Paving, Fencing, Walls &amp; Landscaping — Temporary facilities and controls</t>
  </si>
  <si>
    <t xml:space="preserve">PROPOSED-Retaining wall footing drain</t>
  </si>
  <si>
    <t xml:space="preserve">SDCB #1</t>
  </si>
  <si>
    <t xml:space="preserve">SD-2</t>
  </si>
  <si>
    <t xml:space="preserve">SD-3</t>
  </si>
  <si>
    <t xml:space="preserve">PROPOSED-Asphalt wedge curb</t>
  </si>
  <si>
    <t xml:space="preserve">PROPOSED-Emergency access areas</t>
  </si>
  <si>
    <t xml:space="preserve">PROPOSED-4in roof drain connections (SD-2, SD-3)</t>
  </si>
  <si>
    <t xml:space="preserve">INF1</t>
  </si>
  <si>
    <t xml:space="preserve">33-C03 Yard Piping &amp; Utilities — Influent pump station and flow splitter</t>
  </si>
  <si>
    <t xml:space="preserve">INF2</t>
  </si>
  <si>
    <t xml:space="preserve">INF3</t>
  </si>
  <si>
    <t xml:space="preserve">SE1</t>
  </si>
  <si>
    <t xml:space="preserve">SE2</t>
  </si>
  <si>
    <t xml:space="preserve">SE3</t>
  </si>
  <si>
    <t xml:space="preserve">WAS1</t>
  </si>
  <si>
    <t xml:space="preserve">WAS2</t>
  </si>
  <si>
    <t xml:space="preserve">WAS3</t>
  </si>
  <si>
    <t xml:space="preserve">46-C04 Treatment Equipment — Train 3</t>
  </si>
  <si>
    <t xml:space="preserve">PROPOSED-IPS-DISCHARGE-TO-SPLITTER</t>
  </si>
  <si>
    <t xml:space="preserve">22-C01 Plumbing &amp; Process Pumps — Influent pump station and flow splitter</t>
  </si>
  <si>
    <t xml:space="preserve">PROPOSED-EXISTING-INFLUENT-PIPING-REMOVAL</t>
  </si>
  <si>
    <t xml:space="preserve">PROPOSED-INFLUENT-FLOW-METER</t>
  </si>
  <si>
    <t xml:space="preserve">PROPOSED-TRAIN-2-FLOW-METER</t>
  </si>
  <si>
    <t xml:space="preserve">PROPOSED-TRAIN-3-FLOW-METER</t>
  </si>
  <si>
    <t xml:space="preserve">PROPOSED-EFFLUENT-FLOW-METER</t>
  </si>
  <si>
    <t xml:space="preserve">PROPOSED-PLANT-DRAIN-FLOW-METER | PROPOSED-Plant-Drain-Flow-Meter</t>
  </si>
  <si>
    <t xml:space="preserve">PROPOSED-2W-FLOW-METER</t>
  </si>
  <si>
    <t xml:space="preserve">43-C01 Blowers &amp; 2W Plant Water System — 2W air gap water system</t>
  </si>
  <si>
    <t xml:space="preserve">2W air gap water system</t>
  </si>
  <si>
    <t xml:space="preserve">PROPOSED-DIGESTED-SLUDGE-FLOW-METER</t>
  </si>
  <si>
    <t xml:space="preserve">46-C01 Treatment Equipment — Sludge dewatering (rotary fan press)</t>
  </si>
  <si>
    <t xml:space="preserve">Sludge dewatering (rotary fan press)</t>
  </si>
  <si>
    <t xml:space="preserve">DO #1 | DO-1</t>
  </si>
  <si>
    <t xml:space="preserve">DO #2 | DO-2</t>
  </si>
  <si>
    <t xml:space="preserve">PROPOSED-FLOW-SPLITTER-BOX</t>
  </si>
  <si>
    <t xml:space="preserve">46-C02 Treatment Equipment — Influent pump station and flow splitter</t>
  </si>
  <si>
    <t xml:space="preserve">PROPOSED-FLOW-SPLITTER-SUPPORT</t>
  </si>
  <si>
    <t xml:space="preserve">03-C04 Concrete (Cast-in-Place &amp; Precast) — Influent pump station and flow splitter</t>
  </si>
  <si>
    <t xml:space="preserve">PROPOSED-INFLUENT-FLOW-METER-VAULT</t>
  </si>
  <si>
    <t xml:space="preserve">PROPOSED-TRAIN-2-FLOW-METER-VAULT</t>
  </si>
  <si>
    <t xml:space="preserve">PROPOSED-TRAIN-3-FLOW-METER-VAULT</t>
  </si>
  <si>
    <t xml:space="preserve">PROPOSED-TRAIN-3-TANK</t>
  </si>
  <si>
    <t xml:space="preserve">PROPOSED-INFLUENT-SAMPLE-SUMP</t>
  </si>
  <si>
    <t xml:space="preserve">PROPOSED-EFFLUENT-SAMPLE-SUMP</t>
  </si>
  <si>
    <t xml:space="preserve">03-C07 Concrete (Cast-in-Place &amp; Precast) — UV chamber and digester</t>
  </si>
  <si>
    <t xml:space="preserve">UV chamber and digester</t>
  </si>
  <si>
    <t xml:space="preserve">PROPOSED-TRAIN-3-TREATMENT-SYSTEM</t>
  </si>
  <si>
    <t xml:space="preserve">PROPOSED-TRAIN-3-INNER-WALLS</t>
  </si>
  <si>
    <t xml:space="preserve">PROPOSED-TRAIN-3-CLARIFIER-MECHANISM</t>
  </si>
  <si>
    <t xml:space="preserve">PROPOSED-TRAIN-3-WALKWAYS-AND-LADDER</t>
  </si>
  <si>
    <t xml:space="preserve">PROPOSED-TRAIN-3-AERATION-DIFFUSERS</t>
  </si>
  <si>
    <t xml:space="preserve">PROPOSED-TRAIN-3-ANOXIC-MIXERS</t>
  </si>
  <si>
    <t xml:space="preserve">PROPOSED-TRAIN-3-DAVIT-CRANES</t>
  </si>
  <si>
    <t xml:space="preserve">PROPOSED-TRAIN-3-RAS-AIRLIFT</t>
  </si>
  <si>
    <t xml:space="preserve">PROPOSED-TRAIN-3-MLR-AIRLIFT</t>
  </si>
  <si>
    <t xml:space="preserve">PROPOSED-CARBON-FEED-PUMPS</t>
  </si>
  <si>
    <t xml:space="preserve">PROPOSED-TRAIN-3-CONTROL-PANEL</t>
  </si>
  <si>
    <t xml:space="preserve">10-C02 Specialties — Train 3</t>
  </si>
  <si>
    <t xml:space="preserve">PROPOSED-INFLUENT-PUMP-STATION-WET-WELL</t>
  </si>
  <si>
    <t xml:space="preserve">PROPOSED-INFLUENT-PUMPS-SMALL</t>
  </si>
  <si>
    <t xml:space="preserve">PROPOSED-INFLUENT-PUMPS-LARGE</t>
  </si>
  <si>
    <t xml:space="preserve">PROPOSED-IPS-LEVEL-TRANSDUCER</t>
  </si>
  <si>
    <t xml:space="preserve">F1–F4 [Influent Pump Station]</t>
  </si>
  <si>
    <t xml:space="preserve">PROPOSED-IPS-VALVE-VAULTS</t>
  </si>
  <si>
    <t xml:space="preserve">PROPOSED-IPS-HATCHES</t>
  </si>
  <si>
    <t xml:space="preserve">46-C08 Treatment Equipment — Yard piping, vaults and site utilities</t>
  </si>
  <si>
    <t xml:space="preserve">PROPOSED-STEP-INFLUENT-CONNECTION</t>
  </si>
  <si>
    <t xml:space="preserve">PROPOSED-2W-PUMP-STATION-WET-WELL | PROPOSED-2W-Pump-Station-Wet-Well</t>
  </si>
  <si>
    <t xml:space="preserve">PROPOSED-2W-PUMPS</t>
  </si>
  <si>
    <t xml:space="preserve">F1–F4 [2W Pump Station]</t>
  </si>
  <si>
    <t xml:space="preserve">PROPOSED-2W-DIAPHRAGM-TANKS</t>
  </si>
  <si>
    <t xml:space="preserve">keyword (area not stated)</t>
  </si>
  <si>
    <t xml:space="preserve">PIT-620</t>
  </si>
  <si>
    <t xml:space="preserve">PROPOSED-2W-DISCHARGE-LINE</t>
  </si>
  <si>
    <t xml:space="preserve">PROPOSED-2W-FILL-LINE</t>
  </si>
  <si>
    <t xml:space="preserve">PROPOSED-UV-DIGESTER-STRUCTURE</t>
  </si>
  <si>
    <t xml:space="preserve">PROPOSED-UV-SYSTEM</t>
  </si>
  <si>
    <t xml:space="preserve">46-C07 Treatment Equipment — UV chamber and digester</t>
  </si>
  <si>
    <t xml:space="preserve">PROPOSED-UV-CONTROL-PANELS</t>
  </si>
  <si>
    <t xml:space="preserve">PROPOSED-EFFLUENT-HEADER-TO-UV</t>
  </si>
  <si>
    <t xml:space="preserve">33-C05 Yard Piping &amp; Utilities — UV chamber and digester</t>
  </si>
  <si>
    <t xml:space="preserve">PROPOSED-UV-CHAMBER-DRAIN</t>
  </si>
  <si>
    <t xml:space="preserve">PROPOSED-UV-DIGESTER-GRATING-GUARDRAIL</t>
  </si>
  <si>
    <t xml:space="preserve">05-C02 Metals (Grating, Railings, Ladders, Stairs) — UV chamber and digester</t>
  </si>
  <si>
    <t xml:space="preserve">40-C01 Process Interconnections — UV chamber and digester</t>
  </si>
  <si>
    <t xml:space="preserve">PROPOSED-DIGESTER-DIFFUSERS</t>
  </si>
  <si>
    <t xml:space="preserve">PROPOSED-DIGESTER-AIR-LINES</t>
  </si>
  <si>
    <t xml:space="preserve">PROPOSED-DIGESTED-SLUDGE-LINE</t>
  </si>
  <si>
    <t xml:space="preserve">PROPOSED-WAS-PUMP-DISCHARGE-TO-DIGESTER</t>
  </si>
  <si>
    <t xml:space="preserve">PROPOSED-FINAL-EFFLUENT-LINE</t>
  </si>
  <si>
    <t xml:space="preserve">26-C17 Electrical, Instrumentation &amp; Controls — UV chamber and digester</t>
  </si>
  <si>
    <t xml:space="preserve">PROPOSED-ROTARY-FAN-PRESS</t>
  </si>
  <si>
    <t xml:space="preserve">PROPOSED-RFP-FLOCCULATOR</t>
  </si>
  <si>
    <t xml:space="preserve">PROPOSED-RFP-SLUDGE-MANIFOLD</t>
  </si>
  <si>
    <t xml:space="preserve">PROPOSED-RFP-CAKE-CHUTE</t>
  </si>
  <si>
    <t xml:space="preserve">PROPOSED-RFP-AIR-COMPRESSOR</t>
  </si>
  <si>
    <t xml:space="preserve">PROPOSED-RFP-CONTROL-PANEL</t>
  </si>
  <si>
    <t xml:space="preserve">PROPOSED-POLYMER-SYSTEM</t>
  </si>
  <si>
    <t xml:space="preserve">PROPOSED-SCREW-CONVEYOR</t>
  </si>
  <si>
    <t xml:space="preserve">PROPOSED-DIGESTED-SLUDGE-FEED-TO-PRESS</t>
  </si>
  <si>
    <t xml:space="preserve">43-C03 Blowers &amp; 2W Plant Water System — Sludge dewatering (rotary fan press)</t>
  </si>
  <si>
    <t xml:space="preserve">PROPOSED-WAS-PUMP</t>
  </si>
  <si>
    <t xml:space="preserve">22-C02 Plumbing &amp; Process Pumps — Sludge pumps and valving</t>
  </si>
  <si>
    <t xml:space="preserve">Sludge pumps and valving</t>
  </si>
  <si>
    <t xml:space="preserve">PROPOSED-SWING-SLUDGE-PUMP</t>
  </si>
  <si>
    <t xml:space="preserve">PROPOSED-DIGESTED-SLUDGE-PUMP</t>
  </si>
  <si>
    <t xml:space="preserve">46-C03 Treatment Equipment — Sludge pumps and valving</t>
  </si>
  <si>
    <t xml:space="preserve">45-C03 Process Valves — Sludge pumps and valving</t>
  </si>
  <si>
    <t xml:space="preserve">43-C04 Blowers &amp; 2W Plant Water System — Aerobic digester</t>
  </si>
  <si>
    <t xml:space="preserve">Aerobic digester</t>
  </si>
  <si>
    <t xml:space="preserve">ESWD WWTP – Biological Treatment System Blowers (Trains 1 – 3)</t>
  </si>
  <si>
    <t xml:space="preserve">43-C02 Blowers &amp; 2W Plant Water System — Blower Building</t>
  </si>
  <si>
    <t xml:space="preserve">Blower Building</t>
  </si>
  <si>
    <t xml:space="preserve">PROPOSED-AERATION-AIR-HEADER</t>
  </si>
  <si>
    <t xml:space="preserve">33-C01 Yard Piping &amp; Utilities — Blower Building</t>
  </si>
  <si>
    <t xml:space="preserve">PROPOSED-AIR-TO-TRAIN-3</t>
  </si>
  <si>
    <t xml:space="preserve">PROPOSED-AIR-TO-TRAIN-1-STUB</t>
  </si>
  <si>
    <t xml:space="preserve">PROPOSED-AIR-TO-TRAIN-2-STUB</t>
  </si>
  <si>
    <t xml:space="preserve">PROPOSED-2W-BLADDER-TANK-SUPPLY</t>
  </si>
  <si>
    <t xml:space="preserve">PROPOSED-BLOWER-BUILDING | PROPOSED-Blower-Building</t>
  </si>
  <si>
    <t xml:space="preserve">13-C01 Pre-Engineered Metal Building — Blower Building</t>
  </si>
  <si>
    <t xml:space="preserve">PROPOSED-IPS-MOTOR-SAVER-RELAYS</t>
  </si>
  <si>
    <t xml:space="preserve">PROPOSED-SLUDGE-PUMP-LOCAL-PANELS</t>
  </si>
  <si>
    <t xml:space="preserve">PROPOSED-YARD-HYDRANTS</t>
  </si>
  <si>
    <t xml:space="preserve">22-C04 Plumbing &amp; Process Pumps — Yard piping, vaults and site utilities</t>
  </si>
  <si>
    <t xml:space="preserve">PROPOSED-POST-HYDRANTS</t>
  </si>
  <si>
    <t xml:space="preserve">PROPOSED-EXTERIOR-SANITARY-DRAINS</t>
  </si>
  <si>
    <t xml:space="preserve">PROPOSED-BLOWER-BLDG-WALL-FANS</t>
  </si>
  <si>
    <t xml:space="preserve">23-C01 HVAC &amp; Ventilation — Blower Building</t>
  </si>
  <si>
    <t xml:space="preserve">PROPOSED-BLOWER-BLDG-MOTORIZED-LOUVER</t>
  </si>
  <si>
    <t xml:space="preserve">PROPOSED-BLOWER-BLDG-MANUAL-LOUVER</t>
  </si>
  <si>
    <t xml:space="preserve">PROPOSED-EXISTING-BLDG-WALL-FANS</t>
  </si>
  <si>
    <t xml:space="preserve">23-C02 HVAC &amp; Ventilation — Existing dewatering / treatment building</t>
  </si>
  <si>
    <t xml:space="preserve">Existing dewatering / treatment building</t>
  </si>
  <si>
    <t xml:space="preserve">PROPOSED-EXISTING-BLDG-LOUVERS</t>
  </si>
  <si>
    <t xml:space="preserve">Receiving Conveyor</t>
  </si>
  <si>
    <t xml:space="preserve">41-C01 Material Handling (Screw Conveyors) — Sludge dewatering (rotary fan press)</t>
  </si>
  <si>
    <t xml:space="preserve">Inclined Conveyor</t>
  </si>
  <si>
    <t xml:space="preserve">PROPOSED-2W-AIR-GAP-ENCLOSURE</t>
  </si>
  <si>
    <t xml:space="preserve">PROPOSED-EYE-WASH-STATIONS</t>
  </si>
  <si>
    <t xml:space="preserve">PROPOSED-IPS-CHECK-VALVES</t>
  </si>
  <si>
    <t xml:space="preserve">45-C02 Process Valves — Influent pump station and flow splitter</t>
  </si>
  <si>
    <t xml:space="preserve">PROPOSED-IPS-GATE-VALVES</t>
  </si>
  <si>
    <t xml:space="preserve">45-C01 Process Valves — Aerobic digester</t>
  </si>
  <si>
    <t xml:space="preserve">PROPOSED-UV-INTENSITY-SENSORS</t>
  </si>
  <si>
    <t xml:space="preserve">PROPOSED-UV-TRANSMISSIVITY-ANALYZER</t>
  </si>
  <si>
    <t xml:space="preserve">46-C06 Treatment Equipment — UV chamber</t>
  </si>
  <si>
    <t xml:space="preserve">UV chamber</t>
  </si>
  <si>
    <t xml:space="preserve">26-C11 Electrical, Instrumentation &amp; Controls — Sludge pumps and valving</t>
  </si>
  <si>
    <t xml:space="preserve">PROPOSED-RFP-POLYMER-FLOWMETER</t>
  </si>
  <si>
    <t xml:space="preserve">PROPOSED-RFP-INLET-PRESSURE-TRANSMITTER</t>
  </si>
  <si>
    <t xml:space="preserve">PROPOSED-Utility-Transformer-480V</t>
  </si>
  <si>
    <t xml:space="preserve">P-SEC</t>
  </si>
  <si>
    <t xml:space="preserve">PROPOSED-CT-Enclosure-and-Meter-Base</t>
  </si>
  <si>
    <t xml:space="preserve">ATS</t>
  </si>
  <si>
    <t xml:space="preserve">MDP</t>
  </si>
  <si>
    <t xml:space="preserve">TS</t>
  </si>
  <si>
    <t xml:space="preserve">GEN</t>
  </si>
  <si>
    <t xml:space="preserve">26-C07 Electrical, Instrumentation &amp; Controls — Permanent standby generator</t>
  </si>
  <si>
    <t xml:space="preserve">Permanent standby generator</t>
  </si>
  <si>
    <t xml:space="preserve">area + generator</t>
  </si>
  <si>
    <t xml:space="preserve">P-TPS</t>
  </si>
  <si>
    <t xml:space="preserve">26-C15 Electrical, Instrumentation &amp; Controls — Existing dewatering / treatment building</t>
  </si>
  <si>
    <t xml:space="preserve">PROPOSED-Service-Area-Grounding-Electrode-System</t>
  </si>
  <si>
    <t xml:space="preserve">PROPOSED-Existing-Utility-Transformer-208V</t>
  </si>
  <si>
    <t xml:space="preserve">26-C04 Electrical, Instrumentation &amp; Controls — Existing service equipment removal</t>
  </si>
  <si>
    <t xml:space="preserve">Existing service equipment removal</t>
  </si>
  <si>
    <t xml:space="preserve">electrical demolition</t>
  </si>
  <si>
    <t xml:space="preserve">GEN (E)</t>
  </si>
  <si>
    <t xml:space="preserve">26-C03 Electrical, Instrumentation &amp; Controls — Existing generator, switchgear and fuel tank removal</t>
  </si>
  <si>
    <t xml:space="preserve">PROPOSED-Existing-Generator-Fuel-Tank-Exhaust-Louvers</t>
  </si>
  <si>
    <t xml:space="preserve">13-C02 Pre-Engineered Metal Building — Existing generator, switchgear and fuel tank removal</t>
  </si>
  <si>
    <t xml:space="preserve">SES (E)</t>
  </si>
  <si>
    <t xml:space="preserve">ATS (E)</t>
  </si>
  <si>
    <t xml:space="preserve">PROPOSED-Existing-CT-Enclosure-and-Meter</t>
  </si>
  <si>
    <t xml:space="preserve">PROPOSED-Existing-Meter-Base-and-Wall-Raceway</t>
  </si>
  <si>
    <t xml:space="preserve">PROPOSED-Existing-200A-Feeder-to-Panel-TPS</t>
  </si>
  <si>
    <t xml:space="preserve">TPS</t>
  </si>
  <si>
    <t xml:space="preserve">PROPOSED-Existing-208V-400A-Distribution-Panel</t>
  </si>
  <si>
    <t xml:space="preserve">PROPOSED-Existing-Grounding-Electrode-System</t>
  </si>
  <si>
    <t xml:space="preserve">BL-1</t>
  </si>
  <si>
    <t xml:space="preserve">BL-2</t>
  </si>
  <si>
    <t xml:space="preserve">BL-3</t>
  </si>
  <si>
    <t xml:space="preserve">BL-4</t>
  </si>
  <si>
    <t xml:space="preserve">DB</t>
  </si>
  <si>
    <t xml:space="preserve">PROPOSED-DB-Local-Disconnect</t>
  </si>
  <si>
    <t xml:space="preserve">26-C05 Electrical, Instrumentation &amp; Controls — Aerobic digester</t>
  </si>
  <si>
    <t xml:space="preserve">MCC</t>
  </si>
  <si>
    <t xml:space="preserve">26-C02 Electrical, Instrumentation &amp; Controls — Blower Building</t>
  </si>
  <si>
    <t xml:space="preserve">MCP</t>
  </si>
  <si>
    <t xml:space="preserve">LP-1</t>
  </si>
  <si>
    <t xml:space="preserve">PROPOSED-Blower-Building-Power-Handholes</t>
  </si>
  <si>
    <t xml:space="preserve">PROPOSED-Blower-Building-Control-Signal-Handholes</t>
  </si>
  <si>
    <t xml:space="preserve">PROPOSED-Blower-Building-Smoke-Heat-Detector</t>
  </si>
  <si>
    <t xml:space="preserve">PROPOSED-Blower-Building-Door-Intrusion-Switch</t>
  </si>
  <si>
    <t xml:space="preserve">PROPOSED-2W-Pressure-Transducer</t>
  </si>
  <si>
    <t xml:space="preserve">PROPOSED-Blower-High-Temperature-Switches</t>
  </si>
  <si>
    <t xml:space="preserve">PROPOSED-Blower-Building-Grounding-Electrode-System</t>
  </si>
  <si>
    <t xml:space="preserve">EF-1</t>
  </si>
  <si>
    <t xml:space="preserve">EF-2</t>
  </si>
  <si>
    <t xml:space="preserve">ML-1</t>
  </si>
  <si>
    <t xml:space="preserve">PROPOSED-Blower-Building-Manual-Louver</t>
  </si>
  <si>
    <t xml:space="preserve">L1 (Blower Building)</t>
  </si>
  <si>
    <t xml:space="preserve">L2 (Blower Building)</t>
  </si>
  <si>
    <t xml:space="preserve">X1 (Blower Building)</t>
  </si>
  <si>
    <t xml:space="preserve">PROPOSED-Blower-Building-Ventilation-Control-Panel</t>
  </si>
  <si>
    <t xml:space="preserve">TCP-3</t>
  </si>
  <si>
    <t xml:space="preserve">PROPOSED-Train-3-Clarifier-Drive-Motor</t>
  </si>
  <si>
    <t xml:space="preserve">PROPOSED-Train-3-Submersible-Mixer-A</t>
  </si>
  <si>
    <t xml:space="preserve">PROPOSED-Train-3-Submersible-Mixer-B</t>
  </si>
  <si>
    <t xml:space="preserve">PROPOSED-Train-3-Local-Disconnects</t>
  </si>
  <si>
    <t xml:space="preserve">PROPOSED-Train-3-Pole-Light</t>
  </si>
  <si>
    <t xml:space="preserve">26-C09 Electrical, Instrumentation &amp; Controls — SCADA / PLC programming</t>
  </si>
  <si>
    <t xml:space="preserve">SCADA / PLC programming</t>
  </si>
  <si>
    <t xml:space="preserve">IP-1</t>
  </si>
  <si>
    <t xml:space="preserve">IP-2</t>
  </si>
  <si>
    <t xml:space="preserve">IP-3</t>
  </si>
  <si>
    <t xml:space="preserve">IP-4</t>
  </si>
  <si>
    <t xml:space="preserve">F1 (Influent Pump Station)</t>
  </si>
  <si>
    <t xml:space="preserve">F2 (Influent Pump Station)</t>
  </si>
  <si>
    <t xml:space="preserve">F3 (Influent Pump Station)</t>
  </si>
  <si>
    <t xml:space="preserve">F4 (Influent Pump Station)</t>
  </si>
  <si>
    <t xml:space="preserve">LT (Influent Pump Station)</t>
  </si>
  <si>
    <t xml:space="preserve">IPS</t>
  </si>
  <si>
    <t xml:space="preserve">T3</t>
  </si>
  <si>
    <t xml:space="preserve">LP2</t>
  </si>
  <si>
    <t xml:space="preserve">PROPOSED-Influent-Pump-Local-Disconnects</t>
  </si>
  <si>
    <t xml:space="preserve">PROPOSED-Influent-Wet-Well-Power-Handhole</t>
  </si>
  <si>
    <t xml:space="preserve">PROPOSED-Influent-Wet-Well-Instrument-Handhole</t>
  </si>
  <si>
    <t xml:space="preserve">PROPOSED-Treatment-Building-Power-Handhole</t>
  </si>
  <si>
    <t xml:space="preserve">PROPOSED-Treatment-Building-Control-Signal-Handhole</t>
  </si>
  <si>
    <t xml:space="preserve">PROPOSED-Influent-Flow-Meter</t>
  </si>
  <si>
    <t xml:space="preserve">PROPOSED-Plant-2-Flow-Meter</t>
  </si>
  <si>
    <t xml:space="preserve">PROPOSED-Plant-3-Flow-Meter</t>
  </si>
  <si>
    <t xml:space="preserve">PROPOSED-WAS-Dewatering-Flow-Meter</t>
  </si>
  <si>
    <t xml:space="preserve">PROPOSED-Effluent-Flow-Meter</t>
  </si>
  <si>
    <t xml:space="preserve">26-C16 Electrical, Instrumentation &amp; Controls — UV chamber</t>
  </si>
  <si>
    <t xml:space="preserve">PROPOSED-Effluent-Flow-Meter-Transmitter-Panel</t>
  </si>
  <si>
    <t xml:space="preserve">PROPOSED-2W-Flow-Meter</t>
  </si>
  <si>
    <t xml:space="preserve">26-C01 Electrical, Instrumentation &amp; Controls — 2W air gap water system</t>
  </si>
  <si>
    <t xml:space="preserve">PROPOSED-Train-1-Flow-Meter</t>
  </si>
  <si>
    <t xml:space="preserve">26-C06 Electrical, Instrumentation &amp; Controls — Future provisions — not scheduled</t>
  </si>
  <si>
    <t xml:space="preserve">Future provisions — not scheduled</t>
  </si>
  <si>
    <t xml:space="preserve">marked future</t>
  </si>
  <si>
    <t xml:space="preserve">DW-1</t>
  </si>
  <si>
    <t xml:space="preserve">46-C05 Treatment Equipment — Existing dewatering / treatment building</t>
  </si>
  <si>
    <t xml:space="preserve">WP-1</t>
  </si>
  <si>
    <t xml:space="preserve">22-C03 Plumbing &amp; Process Pumps — Existing dewatering / treatment building</t>
  </si>
  <si>
    <t xml:space="preserve">WP-2</t>
  </si>
  <si>
    <t xml:space="preserve">PROPOSED-WAS-and-Sludge-Pump-Local-Disconnects</t>
  </si>
  <si>
    <t xml:space="preserve">PROPOSED-WAS-Solenoid-Valves</t>
  </si>
  <si>
    <t xml:space="preserve">PROPOSED-Polymer-Feed-Pump</t>
  </si>
  <si>
    <t xml:space="preserve">PROPOSED-Hypochlorite-Feed-Pump</t>
  </si>
  <si>
    <t xml:space="preserve">PROPOSED-Influent-Sampler</t>
  </si>
  <si>
    <t xml:space="preserve">PROPOSED-Effluent-Sampler</t>
  </si>
  <si>
    <t xml:space="preserve">EF-3</t>
  </si>
  <si>
    <t xml:space="preserve">EF-4</t>
  </si>
  <si>
    <t xml:space="preserve">EF-5</t>
  </si>
  <si>
    <t xml:space="preserve">PROPOSED-Treatment-Building-Ventilation-Control-Panel</t>
  </si>
  <si>
    <t xml:space="preserve">PROPOSED-Methane-Sensor</t>
  </si>
  <si>
    <t xml:space="preserve">PROPOSED-H2S-Sensor</t>
  </si>
  <si>
    <t xml:space="preserve">PROPOSED-Gas-Alarm-Light-and-Horn</t>
  </si>
  <si>
    <t xml:space="preserve">L2 (Treatment Building)</t>
  </si>
  <si>
    <t xml:space="preserve">2W-P1</t>
  </si>
  <si>
    <t xml:space="preserve">2W-P2</t>
  </si>
  <si>
    <t xml:space="preserve">LSH-111</t>
  </si>
  <si>
    <t xml:space="preserve">F2 (2W Pump Station)</t>
  </si>
  <si>
    <t xml:space="preserve">F3 (2W Pump Station)</t>
  </si>
  <si>
    <t xml:space="preserve">LSL-111</t>
  </si>
  <si>
    <t xml:space="preserve">PROPOSED-2W-Pump-Local-Disconnects</t>
  </si>
  <si>
    <t xml:space="preserve">PROPOSED-Hot-Box-1</t>
  </si>
  <si>
    <t xml:space="preserve">PROPOSED-Hot-Box-2</t>
  </si>
  <si>
    <t xml:space="preserve">PROPOSED-Hot-Box-Heat-Trace</t>
  </si>
  <si>
    <t xml:space="preserve">PROPOSED-2W-Isolation-Valve-Solenoid</t>
  </si>
  <si>
    <t xml:space="preserve">UV1</t>
  </si>
  <si>
    <t xml:space="preserve">UV2</t>
  </si>
  <si>
    <t xml:space="preserve">PROPOSED-UV-Control-Panel-1</t>
  </si>
  <si>
    <t xml:space="preserve">PROPOSED-UV-Control-Panel-2</t>
  </si>
  <si>
    <t xml:space="preserve">PROPOSED-UV-Power-Distribution-1</t>
  </si>
  <si>
    <t xml:space="preserve">PROPOSED-UV-Power-Distribution-2</t>
  </si>
  <si>
    <t xml:space="preserve">PROPOSED-Digester-Level-Transducer</t>
  </si>
  <si>
    <t xml:space="preserve">PROPOSED-UV-Area-Pole-Light</t>
  </si>
  <si>
    <t xml:space="preserve">T2</t>
  </si>
  <si>
    <t xml:space="preserve">PROPOSED-VFDs-in-MCC</t>
  </si>
  <si>
    <t xml:space="preserve">TCP-1</t>
  </si>
  <si>
    <t xml:space="preserve">TCP-2</t>
  </si>
  <si>
    <t xml:space="preserve">PROPOSED-Conduit-and-Conductor-Runs</t>
  </si>
  <si>
    <t xml:space="preserve">PROPOSED-Blower-PTC-Relay-Modules</t>
  </si>
  <si>
    <t xml:space="preserve">PROPOSED-Influent-Pump-Seal-Fail-Overtemp-Relays</t>
  </si>
  <si>
    <t xml:space="preserve">PROPOSED-Temporary-Backup-Generator</t>
  </si>
  <si>
    <t xml:space="preserve">PROPOSED-Construction-Power-Service</t>
  </si>
  <si>
    <t xml:space="preserve">26-C12 Electrical, Instrumentation &amp; Controls — Temporary facilities and controls</t>
  </si>
  <si>
    <t xml:space="preserve">PROPOSED-Electrical-Equipment-Housekeeping-Pads</t>
  </si>
  <si>
    <t xml:space="preserve">PROPOSED-Blower-Building-Slab-and-Grade-Beams</t>
  </si>
  <si>
    <t xml:space="preserve">03-C02 Concrete (Cast-in-Place &amp; Precast) — Blower Building</t>
  </si>
  <si>
    <t xml:space="preserve">PROPOSED-Blower-Pad</t>
  </si>
  <si>
    <t xml:space="preserve">PROPOSED-Blowers-Blower-Building</t>
  </si>
  <si>
    <t xml:space="preserve">PROPOSED-2W-Bladder-Tank-Assembly</t>
  </si>
  <si>
    <t xml:space="preserve">PROPOSED-Louver-36x84-Motorized</t>
  </si>
  <si>
    <t xml:space="preserve">PROPOSED-Louver-24x24-Manual</t>
  </si>
  <si>
    <t xml:space="preserve">PROPOSED-Exhaust-Fans-Blower-Building</t>
  </si>
  <si>
    <t xml:space="preserve">10-C01 Specialties — Blower Building</t>
  </si>
  <si>
    <t xml:space="preserve">101A</t>
  </si>
  <si>
    <t xml:space="preserve">08-C01 Doors, Frames &amp; Hardware — Blower Building</t>
  </si>
  <si>
    <t xml:space="preserve">101B</t>
  </si>
  <si>
    <t xml:space="preserve">101C</t>
  </si>
  <si>
    <t xml:space="preserve">PROPOSED-Existing-Office-Louver-4x4</t>
  </si>
  <si>
    <t xml:space="preserve">13-C03 Pre-Engineered Metal Building — Site demolition ahead of new work</t>
  </si>
  <si>
    <t xml:space="preserve">PROPOSED-Existing-Office-Louver-2x3</t>
  </si>
  <si>
    <t xml:space="preserve">PROPOSED-Existing-Generator-Exhaust-Assembly</t>
  </si>
  <si>
    <t xml:space="preserve">PROPOSED-WWTP-Building-Louver-3x7</t>
  </si>
  <si>
    <t xml:space="preserve">13-C04 Pre-Engineered Metal Building — Existing dewatering / treatment building</t>
  </si>
  <si>
    <t xml:space="preserve">PROPOSED-WWTP-Building-Exhaust-Fan-24x24</t>
  </si>
  <si>
    <t xml:space="preserve">03-C06 Concrete (Cast-in-Place &amp; Precast) — Train 3</t>
  </si>
  <si>
    <t xml:space="preserve">PROPOSED-Train-3-Guardrail-and-Ladders</t>
  </si>
  <si>
    <t xml:space="preserve">05-C01 Metals (Grating, Railings, Ladders, Stairs) — Train 3</t>
  </si>
  <si>
    <t xml:space="preserve">PROPOSED-Blower-Building-Foundation-Drains</t>
  </si>
  <si>
    <t xml:space="preserve">PROPOSED-UV-Disinfection-Chamber-Basin</t>
  </si>
  <si>
    <t xml:space="preserve">PROPOSED-Digester-Concrete-Tank</t>
  </si>
  <si>
    <t xml:space="preserve">PROPOSED-Digester-Grating-Beam</t>
  </si>
  <si>
    <t xml:space="preserve">PROPOSED-UV-Digester-Grating</t>
  </si>
  <si>
    <t xml:space="preserve">PROPOSED-UV-Digester-Guardrail-and-Ladders</t>
  </si>
  <si>
    <t xml:space="preserve">PROPOSED-Drain-Pump-Station-Lid</t>
  </si>
  <si>
    <t xml:space="preserve">PROPOSED-Drain-Pump-Station-Precast-Wet-Well</t>
  </si>
  <si>
    <t xml:space="preserve">PROPOSED-Drain-Pump-Station-Hatches</t>
  </si>
  <si>
    <t xml:space="preserve">03-C03 Concrete (Cast-in-Place &amp; Precast) — Permanent standby generator</t>
  </si>
  <si>
    <t xml:space="preserve">PROPOSED-Generator-on-S2.4</t>
  </si>
  <si>
    <t xml:space="preserve">PROPOSED-Flow-Splitter-Pad</t>
  </si>
  <si>
    <t xml:space="preserve">PROPOSED-Flow-Splitter</t>
  </si>
  <si>
    <t xml:space="preserve">03-C05 Concrete (Cast-in-Place &amp; Precast) — Sludge pumps and valving</t>
  </si>
  <si>
    <t xml:space="preserve">03-C01 Concrete (Cast-in-Place &amp; Precast) — 2W air gap water system</t>
  </si>
  <si>
    <t xml:space="preserve">PROPOSED-Influent-Pump-Station-Precast-Wet-Well</t>
  </si>
  <si>
    <t xml:space="preserve">PROPOSED-Influent-Pump-Station-Top-Slab</t>
  </si>
  <si>
    <t xml:space="preserve">PROPOSED-Influent-Flow-Meter-Valve-Vault</t>
  </si>
  <si>
    <t xml:space="preserve">PROPOSED-Effluent-Flow-Meter-Valve-Vault</t>
  </si>
  <si>
    <t xml:space="preserve">PROPOSED-Plants-2-and-3-Flow-Meter-Vault</t>
  </si>
  <si>
    <t xml:space="preserve">PROPOSED-Influent-Pump-Station-Meter-Vaults</t>
  </si>
  <si>
    <t xml:space="preserve">PROPOSED-Steel-Stairs-Ladders-Platforms</t>
  </si>
  <si>
    <t xml:space="preserve">PROPOSED-Boot-Brush-and-Pad</t>
  </si>
  <si>
    <t xml:space="preserve">09-C01 Painting &amp; Coatings — Influent pump station and flow splitter</t>
  </si>
  <si>
    <t xml:space="preserve">PROPOSED-Bollards</t>
  </si>
  <si>
    <t xml:space="preserve">PROPOSED-Trench-Safety-System</t>
  </si>
  <si>
    <t xml:space="preserve">PROPOSED-Erosion-and-Sediment-Control-Measures</t>
  </si>
  <si>
    <t xml:space="preserve">PROPOSED-Temporary-Bypass-Pipe</t>
  </si>
  <si>
    <t xml:space="preserve">PROPOSED-Temporary-8in-Effluent-Piping</t>
  </si>
  <si>
    <t xml:space="preserve">PROPOSED-8in-Effluent-Piping</t>
  </si>
  <si>
    <t xml:space="preserve">PROPOSED-8in-Effluent-Flow-Meter</t>
  </si>
  <si>
    <t xml:space="preserve">PROPOSED-Aerobic-Digester</t>
  </si>
  <si>
    <t xml:space="preserve">PROPOSED-UV-Disinfection-Chamber</t>
  </si>
  <si>
    <t xml:space="preserve">PROPOSED-UV-Disinfection-System</t>
  </si>
  <si>
    <t xml:space="preserve">PROPOSED-Sludge-Pumps</t>
  </si>
  <si>
    <t xml:space="preserve">PROPOSED-Yard-Piping</t>
  </si>
  <si>
    <t xml:space="preserve">PROPOSED-Yard-Piping-Vaults</t>
  </si>
  <si>
    <t xml:space="preserve">PROPOSED-2W-Air-Gap-Water-System</t>
  </si>
  <si>
    <t xml:space="preserve">PROPOSED-Influent-Pump-Station</t>
  </si>
  <si>
    <t xml:space="preserve">PROPOSED-Submersible-Pump-Equipment</t>
  </si>
  <si>
    <t xml:space="preserve">PROPOSED-Influent-Flow-Splitter</t>
  </si>
  <si>
    <t xml:space="preserve">PROPOSED-Train-3</t>
  </si>
  <si>
    <t xml:space="preserve">PROPOSED-Train-3-Biological-Treatment-Equipment</t>
  </si>
  <si>
    <t xml:space="preserve">PROPOSED-Temporary-Back-Up-Generator</t>
  </si>
  <si>
    <t xml:space="preserve">PROPOSED-Automatic-Transfer-Switch</t>
  </si>
  <si>
    <t xml:space="preserve">PROPOSED-Permanent-Standby-Generator</t>
  </si>
  <si>
    <t xml:space="preserve">PROPOSED-480V-Electrical-Service</t>
  </si>
  <si>
    <t xml:space="preserve">PROPOSED-Motor-Control-Center</t>
  </si>
  <si>
    <t xml:space="preserve">PROPOSED-PLC-Control-Panel</t>
  </si>
  <si>
    <t xml:space="preserve">PROPOSED-Dewatering-System</t>
  </si>
  <si>
    <t xml:space="preserve">PROPOSED-Site-Final-Surfacing-and-Pavement</t>
  </si>
  <si>
    <t xml:space="preserve">PROPOSED-Funding-Recognition-Sign</t>
  </si>
  <si>
    <t xml:space="preserve">PROPOSED-Temporary-Barriers</t>
  </si>
  <si>
    <t xml:space="preserve">PROPOSED-Temporary-Pump-and-Process-Equipment</t>
  </si>
  <si>
    <t xml:space="preserve">PROPOSED-Bypass-Pumping-System</t>
  </si>
  <si>
    <t xml:space="preserve">PROPOSED-Temporary-Construction-Dewatering</t>
  </si>
  <si>
    <t xml:space="preserve">PROPOSED-Temporary-Excavation-Support</t>
  </si>
  <si>
    <t xml:space="preserve">PROPOSED-Contractor-Field-Office</t>
  </si>
  <si>
    <t xml:space="preserve">PROPOSED-Temporary-Construction-Power</t>
  </si>
  <si>
    <t xml:space="preserve">PROPOSED-Temporary-Construction-Water-Connection</t>
  </si>
  <si>
    <t xml:space="preserve">PROPOSED-Temporary-Sanitary-Facilities</t>
  </si>
  <si>
    <t xml:space="preserve">PROPOSED-Temporary-Bypass-Alarm-Monitoring</t>
  </si>
  <si>
    <t xml:space="preserve">PROPOSED-Aeration-Basins</t>
  </si>
  <si>
    <t xml:space="preserve">PROPOSED-Anoxic-Basins</t>
  </si>
  <si>
    <t xml:space="preserve">PROPOSED-Clarifier</t>
  </si>
  <si>
    <t xml:space="preserve">PROPOSED-Blowers</t>
  </si>
  <si>
    <t xml:space="preserve">PROPOSED-Train-3-Dissolved-Oxygen-Sensors</t>
  </si>
  <si>
    <t xml:space="preserve">PROPOSED-Train-3-pH-Sensors</t>
  </si>
  <si>
    <t xml:space="preserve">PROPOSED-Magnetic-Flow-Meters</t>
  </si>
  <si>
    <t xml:space="preserve">PROPOSED-Handrails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</si>
</sst>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"/>
    <numFmt numFmtId="166" formatCode="yyyy\-mm\-dd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name val="Arial"/>
      <family val="0"/>
      <charset val="1"/>
    </font>
    <font>
      <b val="true"/>
      <sz val="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7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9"/>
      <name val="Arial"/>
      <family val="0"/>
      <charset val="1"/>
    </font>
  </fonts>
  <fills count="41">
    <fill>
      <patternFill patternType="none"/>
    </fill>
    <fill>
      <patternFill patternType="gray125"/>
    </fill>
    <fill>
      <patternFill patternType="solid">
        <fgColor rgb="FF1F3864"/>
        <bgColor rgb="FF262626"/>
      </patternFill>
    </fill>
    <fill>
      <patternFill patternType="solid">
        <fgColor rgb="FFD9D9D9"/>
        <bgColor rgb="FFDAE1EE"/>
      </patternFill>
    </fill>
    <fill>
      <patternFill patternType="solid">
        <fgColor rgb="FF595959"/>
        <bgColor rgb="FF5F6B7A"/>
      </patternFill>
    </fill>
    <fill>
      <patternFill patternType="solid">
        <fgColor rgb="FFEDEDED"/>
        <bgColor rgb="FFEEE8E2"/>
      </patternFill>
    </fill>
    <fill>
      <patternFill patternType="solid">
        <fgColor rgb="FF843C0C"/>
        <bgColor rgb="FF9C2A2A"/>
      </patternFill>
    </fill>
    <fill>
      <patternFill patternType="solid">
        <fgColor rgb="FFF4E1D2"/>
        <bgColor rgb="FFFBE4D5"/>
      </patternFill>
    </fill>
    <fill>
      <patternFill patternType="solid">
        <fgColor rgb="FF8C7B6B"/>
        <bgColor rgb="FF5F6B7A"/>
      </patternFill>
    </fill>
    <fill>
      <patternFill patternType="solid">
        <fgColor rgb="FFEEE8E2"/>
        <bgColor rgb="FFEDEDED"/>
      </patternFill>
    </fill>
    <fill>
      <patternFill patternType="solid">
        <fgColor rgb="FFDAE1EE"/>
        <bgColor rgb="FFDEDEF4"/>
      </patternFill>
    </fill>
    <fill>
      <patternFill patternType="solid">
        <fgColor rgb="FF7030A0"/>
        <bgColor rgb="FF7B2D5C"/>
      </patternFill>
    </fill>
    <fill>
      <patternFill patternType="solid">
        <fgColor rgb="FFEADCF4"/>
        <bgColor rgb="FFEFDCE7"/>
      </patternFill>
    </fill>
    <fill>
      <patternFill patternType="solid">
        <fgColor rgb="FFC00070"/>
        <bgColor rgb="FF9C2A2A"/>
      </patternFill>
    </fill>
    <fill>
      <patternFill patternType="solid">
        <fgColor rgb="FFF9D9EA"/>
        <bgColor rgb="FFFBDDDB"/>
      </patternFill>
    </fill>
    <fill>
      <patternFill patternType="solid">
        <fgColor rgb="FF7F7F00"/>
        <bgColor rgb="FF806000"/>
      </patternFill>
    </fill>
    <fill>
      <patternFill patternType="solid">
        <fgColor rgb="FFEFEFCC"/>
        <bgColor rgb="FFE2EFDA"/>
      </patternFill>
    </fill>
    <fill>
      <patternFill patternType="solid">
        <fgColor rgb="FF3F3F9F"/>
        <bgColor rgb="FF1F3864"/>
      </patternFill>
    </fill>
    <fill>
      <patternFill patternType="solid">
        <fgColor rgb="FFDEDEF4"/>
        <bgColor rgb="FFDAE1EE"/>
      </patternFill>
    </fill>
    <fill>
      <patternFill patternType="solid">
        <fgColor rgb="FF2E75B6"/>
        <bgColor rgb="FF0E7C61"/>
      </patternFill>
    </fill>
    <fill>
      <patternFill patternType="solid">
        <fgColor rgb="FFDDEBF7"/>
        <bgColor rgb="FFE3E6EA"/>
      </patternFill>
    </fill>
    <fill>
      <patternFill patternType="solid">
        <fgColor rgb="FF00A0B0"/>
        <bgColor rgb="FF00796B"/>
      </patternFill>
    </fill>
    <fill>
      <patternFill patternType="solid">
        <fgColor rgb="FFD1F2F5"/>
        <bgColor rgb="FFD2EEE6"/>
      </patternFill>
    </fill>
    <fill>
      <patternFill patternType="solid">
        <fgColor rgb="FFBF8F00"/>
        <bgColor rgb="FF7F7F00"/>
      </patternFill>
    </fill>
    <fill>
      <patternFill patternType="solid">
        <fgColor rgb="FFFFF2CC"/>
        <bgColor rgb="FFEFEFCC"/>
      </patternFill>
    </fill>
    <fill>
      <patternFill patternType="solid">
        <fgColor rgb="FFC55A11"/>
        <bgColor rgb="FFE03C31"/>
      </patternFill>
    </fill>
    <fill>
      <patternFill patternType="solid">
        <fgColor rgb="FFFBE4D5"/>
        <bgColor rgb="FFF4E1D2"/>
      </patternFill>
    </fill>
    <fill>
      <patternFill patternType="solid">
        <fgColor rgb="FF548235"/>
        <bgColor rgb="FF7F7F00"/>
      </patternFill>
    </fill>
    <fill>
      <patternFill patternType="solid">
        <fgColor rgb="FFE2EFDA"/>
        <bgColor rgb="FFEFEFCC"/>
      </patternFill>
    </fill>
    <fill>
      <patternFill patternType="solid">
        <fgColor rgb="FF0E7C61"/>
        <bgColor rgb="FF00796B"/>
      </patternFill>
    </fill>
    <fill>
      <patternFill patternType="solid">
        <fgColor rgb="FFD2EEE6"/>
        <bgColor rgb="FFD1F2F5"/>
      </patternFill>
    </fill>
    <fill>
      <patternFill patternType="solid">
        <fgColor rgb="FF5F6B7A"/>
        <bgColor rgb="FF595959"/>
      </patternFill>
    </fill>
    <fill>
      <patternFill patternType="solid">
        <fgColor rgb="FFE3E6EA"/>
        <bgColor rgb="FFDAE1EE"/>
      </patternFill>
    </fill>
    <fill>
      <patternFill patternType="solid">
        <fgColor rgb="FF9C2A2A"/>
        <bgColor rgb="FF843C0C"/>
      </patternFill>
    </fill>
    <fill>
      <patternFill patternType="solid">
        <fgColor rgb="FFF4DADA"/>
        <bgColor rgb="FFFBDDDB"/>
      </patternFill>
    </fill>
    <fill>
      <patternFill patternType="solid">
        <fgColor rgb="FFE03C31"/>
        <bgColor rgb="FFC55A11"/>
      </patternFill>
    </fill>
    <fill>
      <patternFill patternType="solid">
        <fgColor rgb="FFFBDDDB"/>
        <bgColor rgb="FFF4DADA"/>
      </patternFill>
    </fill>
    <fill>
      <patternFill patternType="solid">
        <fgColor rgb="FF7B2D5C"/>
        <bgColor rgb="FF7030A0"/>
      </patternFill>
    </fill>
    <fill>
      <patternFill patternType="solid">
        <fgColor rgb="FFEFDCE7"/>
        <bgColor rgb="FFEADCF4"/>
      </patternFill>
    </fill>
    <fill>
      <patternFill patternType="solid">
        <fgColor rgb="FF005F73"/>
        <bgColor rgb="FF00796B"/>
      </patternFill>
    </fill>
    <fill>
      <patternFill patternType="solid">
        <fgColor rgb="FFCCE7EC"/>
        <bgColor rgb="FFD2EEE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8" fillId="2" borderId="0" xfId="0" applyFont="true" applyBorder="false" applyAlignment="true" applyProtection="false">
      <alignment horizontal="center" vertical="bottom" textRotation="9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10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11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10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11" fillId="6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10" fillId="7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1" fillId="8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11" fillId="8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9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10" fillId="9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11" fillId="2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1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10" fillId="1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1" fillId="11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11" fillId="11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12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10" fillId="12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1" fillId="1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11" fillId="1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1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10" fillId="1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1" fillId="1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11" fillId="1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16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10" fillId="16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1" fillId="17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11" fillId="17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18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10" fillId="18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1" fillId="19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11" fillId="19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2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10" fillId="2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1" fillId="21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11" fillId="21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22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10" fillId="22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1" fillId="2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11" fillId="2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2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10" fillId="2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1" fillId="2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11" fillId="2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26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10" fillId="26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1" fillId="27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11" fillId="27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28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10" fillId="28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1" fillId="29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11" fillId="29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3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10" fillId="3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1" fillId="31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11" fillId="31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32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10" fillId="32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1" fillId="3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11" fillId="3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3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10" fillId="3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1" fillId="3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11" fillId="3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36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10" fillId="36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1" fillId="37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11" fillId="37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38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10" fillId="38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1" fillId="39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11" fillId="39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4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10" fillId="4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2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13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5">
    <dxf>
      <fill>
        <patternFill>
          <bgColor rgb="FF262626"/>
        </patternFill>
      </fill>
    </dxf>
    <dxf>
      <fill>
        <patternFill>
          <bgColor rgb="FF595959"/>
        </patternFill>
      </fill>
    </dxf>
    <dxf>
      <fill>
        <patternFill>
          <bgColor rgb="FF843C0C"/>
        </patternFill>
      </fill>
    </dxf>
    <dxf>
      <fill>
        <patternFill>
          <bgColor rgb="FF8C7B6B"/>
        </patternFill>
      </fill>
    </dxf>
    <dxf>
      <fill>
        <patternFill>
          <bgColor rgb="FF1F3864"/>
        </patternFill>
      </fill>
    </dxf>
    <dxf>
      <fill>
        <patternFill>
          <bgColor rgb="FF806000"/>
        </patternFill>
      </fill>
    </dxf>
    <dxf>
      <fill>
        <patternFill>
          <bgColor rgb="FF00796B"/>
        </patternFill>
      </fill>
    </dxf>
    <dxf>
      <fill>
        <patternFill>
          <bgColor rgb="FF7030A0"/>
        </patternFill>
      </fill>
    </dxf>
    <dxf>
      <fill>
        <patternFill>
          <bgColor rgb="FFC00070"/>
        </patternFill>
      </fill>
    </dxf>
    <dxf>
      <fill>
        <patternFill>
          <bgColor rgb="FF7F7F00"/>
        </patternFill>
      </fill>
    </dxf>
    <dxf>
      <fill>
        <patternFill>
          <bgColor rgb="FF3F3F9F"/>
        </patternFill>
      </fill>
    </dxf>
    <dxf>
      <fill>
        <patternFill>
          <bgColor rgb="FF2E75B6"/>
        </patternFill>
      </fill>
    </dxf>
    <dxf>
      <fill>
        <patternFill>
          <bgColor rgb="FF00A0B0"/>
        </patternFill>
      </fill>
    </dxf>
    <dxf>
      <fill>
        <patternFill>
          <bgColor rgb="FFBF8F00"/>
        </patternFill>
      </fill>
    </dxf>
    <dxf>
      <fill>
        <patternFill>
          <bgColor rgb="FFC55A11"/>
        </patternFill>
      </fill>
    </dxf>
    <dxf>
      <fill>
        <patternFill>
          <bgColor rgb="FF548235"/>
        </patternFill>
      </fill>
    </dxf>
    <dxf>
      <fill>
        <patternFill>
          <bgColor rgb="FF0E7C61"/>
        </patternFill>
      </fill>
    </dxf>
    <dxf>
      <fill>
        <patternFill>
          <bgColor rgb="FF5F6B7A"/>
        </patternFill>
      </fill>
    </dxf>
    <dxf>
      <fill>
        <patternFill>
          <bgColor rgb="FF9C2A2A"/>
        </patternFill>
      </fill>
    </dxf>
    <dxf>
      <fill>
        <patternFill>
          <bgColor rgb="FFE03C31"/>
        </patternFill>
      </fill>
    </dxf>
    <dxf>
      <fill>
        <patternFill>
          <bgColor rgb="FF7B2D5C"/>
        </patternFill>
      </fill>
    </dxf>
    <dxf>
      <fill>
        <patternFill>
          <bgColor rgb="FF005F73"/>
        </patternFill>
      </fill>
    </dxf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E03C31"/>
      <rgbColor rgb="FFEEE8E2"/>
      <rgbColor rgb="FF0000FF"/>
      <rgbColor rgb="FFFBE4D5"/>
      <rgbColor rgb="FFFF00FF"/>
      <rgbColor rgb="FFEDEDED"/>
      <rgbColor rgb="FF800000"/>
      <rgbColor rgb="FF008000"/>
      <rgbColor rgb="FF000080"/>
      <rgbColor rgb="FF7F7F00"/>
      <rgbColor rgb="FFC00070"/>
      <rgbColor rgb="FF00796B"/>
      <rgbColor rgb="FFBFBFBF"/>
      <rgbColor rgb="FF8C7B6B"/>
      <rgbColor rgb="FFDAE1EE"/>
      <rgbColor rgb="FF7B2D5C"/>
      <rgbColor rgb="FFFFF2CC"/>
      <rgbColor rgb="FFD1F2F5"/>
      <rgbColor rgb="FF660066"/>
      <rgbColor rgb="FFEFDCE7"/>
      <rgbColor rgb="FF005F73"/>
      <rgbColor rgb="FFDEDEF4"/>
      <rgbColor rgb="FF000080"/>
      <rgbColor rgb="FFFF00FF"/>
      <rgbColor rgb="FFFBDDDB"/>
      <rgbColor rgb="FFEADCF4"/>
      <rgbColor rgb="FF7030A0"/>
      <rgbColor rgb="FF800000"/>
      <rgbColor rgb="FF0E7C61"/>
      <rgbColor rgb="FF0000FF"/>
      <rgbColor rgb="FF00A0B0"/>
      <rgbColor rgb="FFD2EEE6"/>
      <rgbColor rgb="FFE2EFDA"/>
      <rgbColor rgb="FFEFEFCC"/>
      <rgbColor rgb="FFCCE7EC"/>
      <rgbColor rgb="FFF9D9EA"/>
      <rgbColor rgb="FFD9D9D9"/>
      <rgbColor rgb="FFF4DADA"/>
      <rgbColor rgb="FF2E75B6"/>
      <rgbColor rgb="FFDDEBF7"/>
      <rgbColor rgb="FFE3E6EA"/>
      <rgbColor rgb="FFF4E1D2"/>
      <rgbColor rgb="FFBF8F00"/>
      <rgbColor rgb="FFC55A11"/>
      <rgbColor rgb="FF5F6B7A"/>
      <rgbColor rgb="FF806000"/>
      <rgbColor rgb="FF1F3864"/>
      <rgbColor rgb="FF548235"/>
      <rgbColor rgb="FF003300"/>
      <rgbColor rgb="FF595959"/>
      <rgbColor rgb="FF843C0C"/>
      <rgbColor rgb="FF9C2A2A"/>
      <rgbColor rgb="FF3F3F9F"/>
      <rgbColor rgb="FF26262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X17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3"/>
    <col collapsed="false" customWidth="true" hidden="false" outlineLevel="0" max="3" min="3" style="0" width="9"/>
    <col collapsed="false" customWidth="true" hidden="false" outlineLevel="0" max="4" min="4" style="0" width="46"/>
    <col collapsed="false" customWidth="true" hidden="false" outlineLevel="0" max="6" min="5" style="0" width="11"/>
    <col collapsed="false" customWidth="true" hidden="false" outlineLevel="0" max="7" min="7" style="0" width="6"/>
    <col collapsed="false" customWidth="true" hidden="false" outlineLevel="0" max="8" min="8" style="0" width="40"/>
    <col collapsed="false" customWidth="true" hidden="false" outlineLevel="0" max="9" min="9" style="0" width="12"/>
    <col collapsed="false" customWidth="true" hidden="false" outlineLevel="0" max="10" min="10" style="0" width="16"/>
    <col collapsed="false" customWidth="true" hidden="false" outlineLevel="0" max="11" min="11" style="0" width="7"/>
    <col collapsed="false" customWidth="true" hidden="false" outlineLevel="0" max="12" min="12" style="0" width="30"/>
    <col collapsed="false" customWidth="true" hidden="false" outlineLevel="0" max="102" min="13" style="0" width="2.4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M3" s="3" t="s">
        <v>2</v>
      </c>
      <c r="Q3" s="3" t="s">
        <v>3</v>
      </c>
      <c r="U3" s="3" t="s">
        <v>4</v>
      </c>
      <c r="Y3" s="3" t="s">
        <v>5</v>
      </c>
      <c r="AD3" s="3" t="s">
        <v>6</v>
      </c>
      <c r="AH3" s="3" t="s">
        <v>7</v>
      </c>
      <c r="AM3" s="3" t="s">
        <v>8</v>
      </c>
      <c r="AQ3" s="3" t="s">
        <v>9</v>
      </c>
      <c r="AU3" s="3" t="s">
        <v>10</v>
      </c>
      <c r="AZ3" s="3" t="s">
        <v>11</v>
      </c>
      <c r="BD3" s="3" t="s">
        <v>12</v>
      </c>
      <c r="BH3" s="3" t="s">
        <v>13</v>
      </c>
      <c r="BM3" s="3" t="s">
        <v>14</v>
      </c>
      <c r="BQ3" s="3" t="s">
        <v>15</v>
      </c>
      <c r="BU3" s="3" t="s">
        <v>16</v>
      </c>
      <c r="BZ3" s="3" t="s">
        <v>17</v>
      </c>
      <c r="CD3" s="3" t="s">
        <v>18</v>
      </c>
      <c r="CH3" s="3" t="s">
        <v>19</v>
      </c>
      <c r="CM3" s="3" t="s">
        <v>20</v>
      </c>
      <c r="CQ3" s="3" t="s">
        <v>21</v>
      </c>
      <c r="CV3" s="3" t="s">
        <v>22</v>
      </c>
    </row>
    <row r="4" customFormat="false" ht="30" hidden="false" customHeight="true" outlineLevel="0" collapsed="false">
      <c r="A4" s="4" t="s">
        <v>23</v>
      </c>
      <c r="B4" s="4" t="s">
        <v>24</v>
      </c>
      <c r="C4" s="4" t="s">
        <v>25</v>
      </c>
      <c r="D4" s="4" t="s">
        <v>26</v>
      </c>
      <c r="E4" s="4" t="s">
        <v>27</v>
      </c>
      <c r="F4" s="4" t="s">
        <v>28</v>
      </c>
      <c r="G4" s="4" t="s">
        <v>29</v>
      </c>
      <c r="H4" s="4" t="s">
        <v>30</v>
      </c>
      <c r="I4" s="4" t="s">
        <v>31</v>
      </c>
      <c r="J4" s="4" t="s">
        <v>32</v>
      </c>
      <c r="K4" s="4" t="s">
        <v>33</v>
      </c>
      <c r="L4" s="4" t="s">
        <v>34</v>
      </c>
      <c r="M4" s="5" t="n">
        <v>44963</v>
      </c>
      <c r="N4" s="5" t="n">
        <v>44970</v>
      </c>
      <c r="O4" s="5" t="n">
        <v>44977</v>
      </c>
      <c r="P4" s="5" t="n">
        <v>44984</v>
      </c>
      <c r="Q4" s="5" t="n">
        <v>44991</v>
      </c>
      <c r="R4" s="5" t="n">
        <v>44998</v>
      </c>
      <c r="S4" s="5" t="n">
        <v>45005</v>
      </c>
      <c r="T4" s="5" t="n">
        <v>45012</v>
      </c>
      <c r="U4" s="5" t="n">
        <v>45019</v>
      </c>
      <c r="V4" s="5" t="n">
        <v>45026</v>
      </c>
      <c r="W4" s="5" t="n">
        <v>45033</v>
      </c>
      <c r="X4" s="5" t="n">
        <v>45040</v>
      </c>
      <c r="Y4" s="5" t="n">
        <v>45047</v>
      </c>
      <c r="Z4" s="5" t="n">
        <v>45054</v>
      </c>
      <c r="AA4" s="5" t="n">
        <v>45061</v>
      </c>
      <c r="AB4" s="5" t="n">
        <v>45068</v>
      </c>
      <c r="AC4" s="5" t="n">
        <v>45075</v>
      </c>
      <c r="AD4" s="5" t="n">
        <v>45082</v>
      </c>
      <c r="AE4" s="5" t="n">
        <v>45089</v>
      </c>
      <c r="AF4" s="5" t="n">
        <v>45096</v>
      </c>
      <c r="AG4" s="5" t="n">
        <v>45103</v>
      </c>
      <c r="AH4" s="5" t="n">
        <v>45110</v>
      </c>
      <c r="AI4" s="5" t="n">
        <v>45117</v>
      </c>
      <c r="AJ4" s="5" t="n">
        <v>45124</v>
      </c>
      <c r="AK4" s="5" t="n">
        <v>45131</v>
      </c>
      <c r="AL4" s="5" t="n">
        <v>45138</v>
      </c>
      <c r="AM4" s="5" t="n">
        <v>45145</v>
      </c>
      <c r="AN4" s="5" t="n">
        <v>45152</v>
      </c>
      <c r="AO4" s="5" t="n">
        <v>45159</v>
      </c>
      <c r="AP4" s="5" t="n">
        <v>45166</v>
      </c>
      <c r="AQ4" s="5" t="n">
        <v>45173</v>
      </c>
      <c r="AR4" s="5" t="n">
        <v>45180</v>
      </c>
      <c r="AS4" s="5" t="n">
        <v>45187</v>
      </c>
      <c r="AT4" s="5" t="n">
        <v>45194</v>
      </c>
      <c r="AU4" s="5" t="n">
        <v>45201</v>
      </c>
      <c r="AV4" s="5" t="n">
        <v>45208</v>
      </c>
      <c r="AW4" s="5" t="n">
        <v>45215</v>
      </c>
      <c r="AX4" s="5" t="n">
        <v>45222</v>
      </c>
      <c r="AY4" s="5" t="n">
        <v>45229</v>
      </c>
      <c r="AZ4" s="5" t="n">
        <v>45236</v>
      </c>
      <c r="BA4" s="5" t="n">
        <v>45243</v>
      </c>
      <c r="BB4" s="5" t="n">
        <v>45250</v>
      </c>
      <c r="BC4" s="5" t="n">
        <v>45257</v>
      </c>
      <c r="BD4" s="5" t="n">
        <v>45264</v>
      </c>
      <c r="BE4" s="5" t="n">
        <v>45271</v>
      </c>
      <c r="BF4" s="5" t="n">
        <v>45278</v>
      </c>
      <c r="BG4" s="5" t="n">
        <v>45285</v>
      </c>
      <c r="BH4" s="5" t="n">
        <v>45292</v>
      </c>
      <c r="BI4" s="5" t="n">
        <v>45299</v>
      </c>
      <c r="BJ4" s="5" t="n">
        <v>45306</v>
      </c>
      <c r="BK4" s="5" t="n">
        <v>45313</v>
      </c>
      <c r="BL4" s="5" t="n">
        <v>45320</v>
      </c>
      <c r="BM4" s="5" t="n">
        <v>45327</v>
      </c>
      <c r="BN4" s="5" t="n">
        <v>45334</v>
      </c>
      <c r="BO4" s="5" t="n">
        <v>45341</v>
      </c>
      <c r="BP4" s="5" t="n">
        <v>45348</v>
      </c>
      <c r="BQ4" s="5" t="n">
        <v>45355</v>
      </c>
      <c r="BR4" s="5" t="n">
        <v>45362</v>
      </c>
      <c r="BS4" s="5" t="n">
        <v>45369</v>
      </c>
      <c r="BT4" s="5" t="n">
        <v>45376</v>
      </c>
      <c r="BU4" s="5" t="n">
        <v>45383</v>
      </c>
      <c r="BV4" s="5" t="n">
        <v>45390</v>
      </c>
      <c r="BW4" s="5" t="n">
        <v>45397</v>
      </c>
      <c r="BX4" s="5" t="n">
        <v>45404</v>
      </c>
      <c r="BY4" s="5" t="n">
        <v>45411</v>
      </c>
      <c r="BZ4" s="5" t="n">
        <v>45418</v>
      </c>
      <c r="CA4" s="5" t="n">
        <v>45425</v>
      </c>
      <c r="CB4" s="5" t="n">
        <v>45432</v>
      </c>
      <c r="CC4" s="5" t="n">
        <v>45439</v>
      </c>
      <c r="CD4" s="5" t="n">
        <v>45446</v>
      </c>
      <c r="CE4" s="5" t="n">
        <v>45453</v>
      </c>
      <c r="CF4" s="5" t="n">
        <v>45460</v>
      </c>
      <c r="CG4" s="5" t="n">
        <v>45467</v>
      </c>
      <c r="CH4" s="5" t="n">
        <v>45474</v>
      </c>
      <c r="CI4" s="5" t="n">
        <v>45481</v>
      </c>
      <c r="CJ4" s="5" t="n">
        <v>45488</v>
      </c>
      <c r="CK4" s="5" t="n">
        <v>45495</v>
      </c>
      <c r="CL4" s="5" t="n">
        <v>45502</v>
      </c>
      <c r="CM4" s="5" t="n">
        <v>45509</v>
      </c>
      <c r="CN4" s="5" t="n">
        <v>45516</v>
      </c>
      <c r="CO4" s="5" t="n">
        <v>45523</v>
      </c>
      <c r="CP4" s="5" t="n">
        <v>45530</v>
      </c>
      <c r="CQ4" s="5" t="n">
        <v>45537</v>
      </c>
      <c r="CR4" s="5" t="n">
        <v>45544</v>
      </c>
      <c r="CS4" s="5" t="n">
        <v>45551</v>
      </c>
      <c r="CT4" s="5" t="n">
        <v>45558</v>
      </c>
      <c r="CU4" s="5" t="n">
        <v>45565</v>
      </c>
      <c r="CV4" s="5" t="n">
        <v>45572</v>
      </c>
      <c r="CW4" s="5" t="n">
        <v>45579</v>
      </c>
      <c r="CX4" s="5" t="n">
        <v>45586</v>
      </c>
    </row>
    <row r="5" customFormat="false" ht="15" hidden="false" customHeight="false" outlineLevel="0" collapsed="false">
      <c r="A5" s="6" t="s">
        <v>35</v>
      </c>
    </row>
    <row r="6" customFormat="false" ht="15" hidden="false" customHeight="false" outlineLevel="0" collapsed="false">
      <c r="A6" s="7" t="s">
        <v>36</v>
      </c>
      <c r="B6" s="7" t="s">
        <v>37</v>
      </c>
      <c r="C6" s="7" t="s">
        <v>37</v>
      </c>
      <c r="D6" s="7" t="s">
        <v>38</v>
      </c>
      <c r="E6" s="8" t="n">
        <v>44965</v>
      </c>
      <c r="F6" s="8" t="n">
        <v>44965</v>
      </c>
      <c r="G6" s="7" t="n">
        <f aca="false">IF(OR(E6="",F6=""),"",IF(B6="Milestone",0,F6-E6+1))</f>
        <v>0</v>
      </c>
      <c r="H6" s="7" t="s">
        <v>39</v>
      </c>
      <c r="I6" s="7" t="s">
        <v>40</v>
      </c>
      <c r="J6" s="7"/>
      <c r="K6" s="7"/>
      <c r="L6" s="7"/>
    </row>
    <row r="7" customFormat="false" ht="15" hidden="false" customHeight="false" outlineLevel="0" collapsed="false">
      <c r="A7" s="7" t="s">
        <v>41</v>
      </c>
      <c r="B7" s="7" t="s">
        <v>37</v>
      </c>
      <c r="C7" s="7" t="s">
        <v>37</v>
      </c>
      <c r="D7" s="7" t="s">
        <v>42</v>
      </c>
      <c r="E7" s="8" t="n">
        <v>44972</v>
      </c>
      <c r="F7" s="8" t="n">
        <v>44972</v>
      </c>
      <c r="G7" s="7" t="n">
        <f aca="false">IF(OR(E7="",F7=""),"",IF(B7="Milestone",0,F7-E7+1))</f>
        <v>0</v>
      </c>
      <c r="H7" s="7" t="s">
        <v>39</v>
      </c>
      <c r="I7" s="7" t="s">
        <v>40</v>
      </c>
      <c r="J7" s="7"/>
      <c r="K7" s="7"/>
      <c r="L7" s="7"/>
    </row>
    <row r="8" customFormat="false" ht="15" hidden="false" customHeight="false" outlineLevel="0" collapsed="false">
      <c r="A8" s="7" t="s">
        <v>43</v>
      </c>
      <c r="B8" s="7" t="s">
        <v>37</v>
      </c>
      <c r="C8" s="7" t="s">
        <v>37</v>
      </c>
      <c r="D8" s="7" t="s">
        <v>44</v>
      </c>
      <c r="E8" s="8" t="n">
        <v>44982</v>
      </c>
      <c r="F8" s="8" t="n">
        <v>44982</v>
      </c>
      <c r="G8" s="7" t="n">
        <f aca="false">IF(OR(E8="",F8=""),"",IF(B8="Milestone",0,F8-E8+1))</f>
        <v>0</v>
      </c>
      <c r="H8" s="7" t="s">
        <v>45</v>
      </c>
      <c r="I8" s="7" t="s">
        <v>46</v>
      </c>
      <c r="J8" s="7"/>
      <c r="K8" s="7"/>
      <c r="L8" s="7"/>
    </row>
    <row r="9" customFormat="false" ht="15" hidden="false" customHeight="false" outlineLevel="0" collapsed="false">
      <c r="A9" s="7" t="s">
        <v>47</v>
      </c>
      <c r="B9" s="7" t="s">
        <v>37</v>
      </c>
      <c r="C9" s="7" t="s">
        <v>37</v>
      </c>
      <c r="D9" s="7" t="s">
        <v>48</v>
      </c>
      <c r="E9" s="8" t="n">
        <v>45000</v>
      </c>
      <c r="F9" s="8" t="n">
        <v>45000</v>
      </c>
      <c r="G9" s="7" t="n">
        <f aca="false">IF(OR(E9="",F9=""),"",IF(B9="Milestone",0,F9-E9+1))</f>
        <v>0</v>
      </c>
      <c r="H9" s="7" t="s">
        <v>49</v>
      </c>
      <c r="I9" s="7" t="s">
        <v>40</v>
      </c>
      <c r="J9" s="7"/>
      <c r="K9" s="7"/>
      <c r="L9" s="7"/>
    </row>
    <row r="10" customFormat="false" ht="15" hidden="false" customHeight="false" outlineLevel="0" collapsed="false">
      <c r="A10" s="7" t="s">
        <v>50</v>
      </c>
      <c r="B10" s="7" t="s">
        <v>37</v>
      </c>
      <c r="C10" s="7" t="s">
        <v>37</v>
      </c>
      <c r="D10" s="7" t="s">
        <v>51</v>
      </c>
      <c r="E10" s="8" t="n">
        <v>45203</v>
      </c>
      <c r="F10" s="8" t="n">
        <v>45203</v>
      </c>
      <c r="G10" s="7" t="n">
        <f aca="false">IF(OR(E10="",F10=""),"",IF(B10="Milestone",0,F10-E10+1))</f>
        <v>0</v>
      </c>
      <c r="H10" s="7" t="s">
        <v>52</v>
      </c>
      <c r="I10" s="7" t="s">
        <v>40</v>
      </c>
      <c r="J10" s="7"/>
      <c r="K10" s="7"/>
      <c r="L10" s="7"/>
    </row>
    <row r="11" customFormat="false" ht="15" hidden="false" customHeight="false" outlineLevel="0" collapsed="false">
      <c r="A11" s="7" t="s">
        <v>53</v>
      </c>
      <c r="B11" s="7" t="s">
        <v>37</v>
      </c>
      <c r="C11" s="7" t="s">
        <v>37</v>
      </c>
      <c r="D11" s="7" t="s">
        <v>54</v>
      </c>
      <c r="E11" s="8" t="n">
        <v>45206</v>
      </c>
      <c r="F11" s="8" t="n">
        <v>45206</v>
      </c>
      <c r="G11" s="7" t="n">
        <f aca="false">IF(OR(E11="",F11=""),"",IF(B11="Milestone",0,F11-E11+1))</f>
        <v>0</v>
      </c>
      <c r="H11" s="7" t="s">
        <v>39</v>
      </c>
      <c r="I11" s="7" t="s">
        <v>40</v>
      </c>
      <c r="J11" s="7"/>
      <c r="K11" s="7"/>
      <c r="L11" s="7"/>
    </row>
    <row r="12" customFormat="false" ht="15" hidden="false" customHeight="false" outlineLevel="0" collapsed="false">
      <c r="A12" s="7" t="s">
        <v>55</v>
      </c>
      <c r="B12" s="7" t="s">
        <v>37</v>
      </c>
      <c r="C12" s="7" t="s">
        <v>37</v>
      </c>
      <c r="D12" s="7" t="s">
        <v>56</v>
      </c>
      <c r="E12" s="8" t="n">
        <v>45210</v>
      </c>
      <c r="F12" s="8" t="n">
        <v>45210</v>
      </c>
      <c r="G12" s="7" t="n">
        <f aca="false">IF(OR(E12="",F12=""),"",IF(B12="Milestone",0,F12-E12+1))</f>
        <v>0</v>
      </c>
      <c r="H12" s="7" t="s">
        <v>39</v>
      </c>
      <c r="I12" s="7" t="s">
        <v>40</v>
      </c>
      <c r="J12" s="7"/>
      <c r="K12" s="7"/>
      <c r="L12" s="7"/>
    </row>
    <row r="13" customFormat="false" ht="15" hidden="false" customHeight="false" outlineLevel="0" collapsed="false">
      <c r="A13" s="7" t="s">
        <v>57</v>
      </c>
      <c r="B13" s="7" t="s">
        <v>37</v>
      </c>
      <c r="C13" s="7" t="s">
        <v>37</v>
      </c>
      <c r="D13" s="7" t="s">
        <v>58</v>
      </c>
      <c r="E13" s="8" t="n">
        <v>45217</v>
      </c>
      <c r="F13" s="8" t="n">
        <v>45217</v>
      </c>
      <c r="G13" s="7" t="n">
        <f aca="false">IF(OR(E13="",F13=""),"",IF(B13="Milestone",0,F13-E13+1))</f>
        <v>0</v>
      </c>
      <c r="H13" s="7" t="s">
        <v>39</v>
      </c>
      <c r="I13" s="7" t="s">
        <v>40</v>
      </c>
      <c r="J13" s="7"/>
      <c r="K13" s="7"/>
      <c r="L13" s="7"/>
    </row>
    <row r="14" customFormat="false" ht="15" hidden="false" customHeight="false" outlineLevel="0" collapsed="false">
      <c r="A14" s="7" t="s">
        <v>59</v>
      </c>
      <c r="B14" s="7" t="s">
        <v>37</v>
      </c>
      <c r="C14" s="7" t="s">
        <v>37</v>
      </c>
      <c r="D14" s="7" t="s">
        <v>60</v>
      </c>
      <c r="E14" s="8" t="n">
        <v>45224</v>
      </c>
      <c r="F14" s="8" t="n">
        <v>45224</v>
      </c>
      <c r="G14" s="7" t="n">
        <f aca="false">IF(OR(E14="",F14=""),"",IF(B14="Milestone",0,F14-E14+1))</f>
        <v>0</v>
      </c>
      <c r="H14" s="7" t="s">
        <v>39</v>
      </c>
      <c r="I14" s="7" t="s">
        <v>40</v>
      </c>
      <c r="J14" s="7"/>
      <c r="K14" s="7"/>
      <c r="L14" s="7"/>
    </row>
    <row r="15" customFormat="false" ht="15" hidden="false" customHeight="false" outlineLevel="0" collapsed="false">
      <c r="A15" s="7" t="s">
        <v>61</v>
      </c>
      <c r="B15" s="7" t="s">
        <v>37</v>
      </c>
      <c r="C15" s="7" t="s">
        <v>37</v>
      </c>
      <c r="D15" s="7" t="s">
        <v>62</v>
      </c>
      <c r="E15" s="8" t="n">
        <v>45231</v>
      </c>
      <c r="F15" s="8" t="n">
        <v>45231</v>
      </c>
      <c r="G15" s="7" t="n">
        <f aca="false">IF(OR(E15="",F15=""),"",IF(B15="Milestone",0,F15-E15+1))</f>
        <v>0</v>
      </c>
      <c r="H15" s="7" t="s">
        <v>63</v>
      </c>
      <c r="I15" s="7" t="s">
        <v>40</v>
      </c>
      <c r="J15" s="7"/>
      <c r="K15" s="7"/>
      <c r="L15" s="7"/>
    </row>
    <row r="16" customFormat="false" ht="15" hidden="false" customHeight="false" outlineLevel="0" collapsed="false">
      <c r="A16" s="7" t="s">
        <v>64</v>
      </c>
      <c r="B16" s="7" t="s">
        <v>37</v>
      </c>
      <c r="C16" s="7" t="s">
        <v>37</v>
      </c>
      <c r="D16" s="7" t="s">
        <v>65</v>
      </c>
      <c r="E16" s="8" t="n">
        <v>45331</v>
      </c>
      <c r="F16" s="8" t="n">
        <v>45331</v>
      </c>
      <c r="G16" s="7" t="n">
        <f aca="false">IF(OR(E16="",F16=""),"",IF(B16="Milestone",0,F16-E16+1))</f>
        <v>0</v>
      </c>
      <c r="H16" s="7" t="s">
        <v>39</v>
      </c>
      <c r="I16" s="7" t="s">
        <v>40</v>
      </c>
      <c r="J16" s="7"/>
      <c r="K16" s="7"/>
      <c r="L16" s="7"/>
    </row>
    <row r="17" customFormat="false" ht="15" hidden="false" customHeight="false" outlineLevel="0" collapsed="false">
      <c r="A17" s="7" t="s">
        <v>66</v>
      </c>
      <c r="B17" s="7" t="s">
        <v>37</v>
      </c>
      <c r="C17" s="7" t="s">
        <v>37</v>
      </c>
      <c r="D17" s="7" t="s">
        <v>67</v>
      </c>
      <c r="E17" s="8" t="n">
        <v>45412</v>
      </c>
      <c r="F17" s="8" t="n">
        <v>45412</v>
      </c>
      <c r="G17" s="7" t="n">
        <f aca="false">IF(OR(E17="",F17=""),"",IF(B17="Milestone",0,F17-E17+1))</f>
        <v>0</v>
      </c>
      <c r="H17" s="7" t="s">
        <v>68</v>
      </c>
      <c r="I17" s="7" t="s">
        <v>69</v>
      </c>
      <c r="J17" s="7"/>
      <c r="K17" s="7"/>
      <c r="L17" s="7"/>
    </row>
    <row r="18" customFormat="false" ht="15" hidden="false" customHeight="false" outlineLevel="0" collapsed="false">
      <c r="A18" s="7" t="s">
        <v>70</v>
      </c>
      <c r="B18" s="7" t="s">
        <v>37</v>
      </c>
      <c r="C18" s="7" t="s">
        <v>37</v>
      </c>
      <c r="D18" s="7" t="s">
        <v>71</v>
      </c>
      <c r="E18" s="8" t="n">
        <v>45481</v>
      </c>
      <c r="F18" s="8" t="n">
        <v>45481</v>
      </c>
      <c r="G18" s="7" t="n">
        <f aca="false">IF(OR(E18="",F18=""),"",IF(B18="Milestone",0,F18-E18+1))</f>
        <v>0</v>
      </c>
      <c r="H18" s="7" t="s">
        <v>39</v>
      </c>
      <c r="I18" s="7" t="s">
        <v>40</v>
      </c>
      <c r="J18" s="7"/>
      <c r="K18" s="7"/>
      <c r="L18" s="7"/>
    </row>
    <row r="19" customFormat="false" ht="15" hidden="false" customHeight="false" outlineLevel="0" collapsed="false">
      <c r="A19" s="7" t="s">
        <v>72</v>
      </c>
      <c r="B19" s="7" t="s">
        <v>37</v>
      </c>
      <c r="C19" s="7" t="s">
        <v>37</v>
      </c>
      <c r="D19" s="7" t="s">
        <v>73</v>
      </c>
      <c r="E19" s="8" t="n">
        <v>45499</v>
      </c>
      <c r="F19" s="8" t="n">
        <v>45499</v>
      </c>
      <c r="G19" s="7" t="n">
        <f aca="false">IF(OR(E19="",F19=""),"",IF(B19="Milestone",0,F19-E19+1))</f>
        <v>0</v>
      </c>
      <c r="H19" s="7" t="s">
        <v>74</v>
      </c>
      <c r="I19" s="7" t="s">
        <v>40</v>
      </c>
      <c r="J19" s="7"/>
      <c r="K19" s="7"/>
      <c r="L19" s="7"/>
    </row>
    <row r="20" customFormat="false" ht="15" hidden="false" customHeight="false" outlineLevel="0" collapsed="false">
      <c r="A20" s="7" t="s">
        <v>75</v>
      </c>
      <c r="B20" s="7" t="s">
        <v>37</v>
      </c>
      <c r="C20" s="7" t="s">
        <v>37</v>
      </c>
      <c r="D20" s="7" t="s">
        <v>76</v>
      </c>
      <c r="E20" s="8" t="n">
        <v>45581</v>
      </c>
      <c r="F20" s="8" t="n">
        <v>45581</v>
      </c>
      <c r="G20" s="7" t="n">
        <f aca="false">IF(OR(E20="",F20=""),"",IF(B20="Milestone",0,F20-E20+1))</f>
        <v>0</v>
      </c>
      <c r="H20" s="7" t="s">
        <v>77</v>
      </c>
      <c r="I20" s="7" t="s">
        <v>40</v>
      </c>
      <c r="J20" s="7"/>
      <c r="K20" s="7"/>
      <c r="L20" s="7"/>
    </row>
    <row r="21" customFormat="false" ht="15" hidden="false" customHeight="false" outlineLevel="0" collapsed="false">
      <c r="A21" s="9" t="s">
        <v>78</v>
      </c>
      <c r="B21" s="9" t="s">
        <v>79</v>
      </c>
      <c r="C21" s="9" t="s">
        <v>80</v>
      </c>
      <c r="D21" s="9" t="s">
        <v>81</v>
      </c>
      <c r="E21" s="10" t="n">
        <f aca="false">MIN(E22:E25)</f>
        <v>44972</v>
      </c>
      <c r="F21" s="10" t="n">
        <f aca="false">MAX(F22:F25)</f>
        <v>45581</v>
      </c>
      <c r="G21" s="9" t="n">
        <f aca="false">IF(OR(E21="",F21=""),"",IF(B21="Milestone",0,F21-E21+1))</f>
        <v>610</v>
      </c>
      <c r="H21" s="9" t="s">
        <v>82</v>
      </c>
      <c r="I21" s="9" t="s">
        <v>83</v>
      </c>
      <c r="J21" s="9"/>
      <c r="K21" s="9"/>
      <c r="L21" s="9"/>
    </row>
    <row r="22" customFormat="false" ht="15" hidden="false" customHeight="false" outlineLevel="0" collapsed="false">
      <c r="A22" s="11" t="s">
        <v>84</v>
      </c>
      <c r="B22" s="11" t="s">
        <v>85</v>
      </c>
      <c r="C22" s="11" t="s">
        <v>80</v>
      </c>
      <c r="D22" s="11" t="s">
        <v>86</v>
      </c>
      <c r="E22" s="12" t="n">
        <v>44972</v>
      </c>
      <c r="F22" s="12" t="n">
        <v>44999</v>
      </c>
      <c r="G22" s="11" t="n">
        <f aca="false">IF(OR(E22="",F22=""),"",IF(B22="Milestone",0,F22-E22+1))</f>
        <v>28</v>
      </c>
      <c r="H22" s="11" t="s">
        <v>87</v>
      </c>
      <c r="I22" s="11" t="s">
        <v>46</v>
      </c>
      <c r="J22" s="11"/>
      <c r="K22" s="11"/>
      <c r="L22" s="11"/>
    </row>
    <row r="23" customFormat="false" ht="15" hidden="false" customHeight="false" outlineLevel="0" collapsed="false">
      <c r="A23" s="11" t="s">
        <v>88</v>
      </c>
      <c r="B23" s="11" t="s">
        <v>89</v>
      </c>
      <c r="C23" s="11" t="s">
        <v>80</v>
      </c>
      <c r="D23" s="11" t="s">
        <v>90</v>
      </c>
      <c r="E23" s="12" t="n">
        <v>45000</v>
      </c>
      <c r="F23" s="12" t="n">
        <v>45581</v>
      </c>
      <c r="G23" s="11" t="n">
        <f aca="false">IF(OR(E23="",F23=""),"",IF(B23="Milestone",0,F23-E23+1))</f>
        <v>582</v>
      </c>
      <c r="H23" s="11" t="s">
        <v>91</v>
      </c>
      <c r="I23" s="11" t="s">
        <v>46</v>
      </c>
      <c r="J23" s="11" t="s">
        <v>84</v>
      </c>
      <c r="K23" s="11" t="n">
        <v>8</v>
      </c>
      <c r="L23" s="11" t="s">
        <v>92</v>
      </c>
    </row>
    <row r="24" customFormat="false" ht="15" hidden="false" customHeight="false" outlineLevel="0" collapsed="false">
      <c r="A24" s="11" t="s">
        <v>93</v>
      </c>
      <c r="B24" s="11" t="s">
        <v>89</v>
      </c>
      <c r="C24" s="11" t="s">
        <v>80</v>
      </c>
      <c r="D24" s="11" t="s">
        <v>94</v>
      </c>
      <c r="E24" s="12" t="n">
        <v>45017</v>
      </c>
      <c r="F24" s="12" t="n">
        <v>45210</v>
      </c>
      <c r="G24" s="11" t="n">
        <f aca="false">IF(OR(E24="",F24=""),"",IF(B24="Milestone",0,F24-E24+1))</f>
        <v>194</v>
      </c>
      <c r="H24" s="11" t="s">
        <v>95</v>
      </c>
      <c r="I24" s="11" t="s">
        <v>96</v>
      </c>
      <c r="J24" s="11" t="s">
        <v>84</v>
      </c>
      <c r="K24" s="11" t="n">
        <v>4</v>
      </c>
      <c r="L24" s="11" t="s">
        <v>97</v>
      </c>
    </row>
    <row r="25" customFormat="false" ht="15" hidden="false" customHeight="false" outlineLevel="0" collapsed="false">
      <c r="A25" s="11" t="s">
        <v>98</v>
      </c>
      <c r="B25" s="11" t="s">
        <v>99</v>
      </c>
      <c r="C25" s="11" t="s">
        <v>80</v>
      </c>
      <c r="D25" s="11" t="s">
        <v>100</v>
      </c>
      <c r="E25" s="12" t="n">
        <v>45000</v>
      </c>
      <c r="F25" s="12" t="n">
        <v>45581</v>
      </c>
      <c r="G25" s="11" t="n">
        <f aca="false">IF(OR(E25="",F25=""),"",IF(B25="Milestone",0,F25-E25+1))</f>
        <v>582</v>
      </c>
      <c r="H25" s="11" t="s">
        <v>101</v>
      </c>
      <c r="I25" s="11" t="s">
        <v>46</v>
      </c>
      <c r="J25" s="11" t="s">
        <v>102</v>
      </c>
      <c r="K25" s="11"/>
      <c r="L25" s="11"/>
    </row>
    <row r="26" customFormat="false" ht="15" hidden="false" customHeight="false" outlineLevel="0" collapsed="false">
      <c r="A26" s="13" t="s">
        <v>103</v>
      </c>
      <c r="B26" s="13" t="s">
        <v>79</v>
      </c>
      <c r="C26" s="13" t="s">
        <v>104</v>
      </c>
      <c r="D26" s="13" t="s">
        <v>105</v>
      </c>
      <c r="E26" s="14" t="n">
        <f aca="false">MIN(E27:E31)</f>
        <v>44972</v>
      </c>
      <c r="F26" s="14" t="n">
        <f aca="false">MAX(F27:F31)</f>
        <v>45443</v>
      </c>
      <c r="G26" s="13" t="n">
        <f aca="false">IF(OR(E26="",F26=""),"",IF(B26="Milestone",0,F26-E26+1))</f>
        <v>472</v>
      </c>
      <c r="H26" s="13" t="s">
        <v>82</v>
      </c>
      <c r="I26" s="13" t="s">
        <v>83</v>
      </c>
      <c r="J26" s="13"/>
      <c r="K26" s="13"/>
      <c r="L26" s="13"/>
    </row>
    <row r="27" customFormat="false" ht="15" hidden="false" customHeight="false" outlineLevel="0" collapsed="false">
      <c r="A27" s="15" t="s">
        <v>106</v>
      </c>
      <c r="B27" s="15" t="s">
        <v>85</v>
      </c>
      <c r="C27" s="15" t="s">
        <v>104</v>
      </c>
      <c r="D27" s="15" t="s">
        <v>107</v>
      </c>
      <c r="E27" s="16" t="n">
        <v>44972</v>
      </c>
      <c r="F27" s="16" t="n">
        <v>45016</v>
      </c>
      <c r="G27" s="15" t="n">
        <f aca="false">IF(OR(E27="",F27=""),"",IF(B27="Milestone",0,F27-E27+1))</f>
        <v>45</v>
      </c>
      <c r="H27" s="15" t="s">
        <v>87</v>
      </c>
      <c r="I27" s="15" t="s">
        <v>46</v>
      </c>
      <c r="J27" s="15"/>
      <c r="K27" s="15"/>
      <c r="L27" s="15"/>
    </row>
    <row r="28" customFormat="false" ht="15" hidden="false" customHeight="false" outlineLevel="0" collapsed="false">
      <c r="A28" s="15" t="s">
        <v>108</v>
      </c>
      <c r="B28" s="15" t="s">
        <v>89</v>
      </c>
      <c r="C28" s="15" t="s">
        <v>104</v>
      </c>
      <c r="D28" s="15" t="s">
        <v>109</v>
      </c>
      <c r="E28" s="16" t="n">
        <v>45017</v>
      </c>
      <c r="F28" s="16" t="n">
        <v>45077</v>
      </c>
      <c r="G28" s="15" t="n">
        <f aca="false">IF(OR(E28="",F28=""),"",IF(B28="Milestone",0,F28-E28+1))</f>
        <v>61</v>
      </c>
      <c r="H28" s="15" t="s">
        <v>110</v>
      </c>
      <c r="I28" s="15" t="s">
        <v>46</v>
      </c>
      <c r="J28" s="15" t="s">
        <v>106</v>
      </c>
      <c r="K28" s="15" t="n">
        <v>18</v>
      </c>
      <c r="L28" s="15" t="s">
        <v>111</v>
      </c>
    </row>
    <row r="29" customFormat="false" ht="15" hidden="false" customHeight="false" outlineLevel="0" collapsed="false">
      <c r="A29" s="15" t="s">
        <v>112</v>
      </c>
      <c r="B29" s="15" t="s">
        <v>89</v>
      </c>
      <c r="C29" s="15" t="s">
        <v>104</v>
      </c>
      <c r="D29" s="15" t="s">
        <v>113</v>
      </c>
      <c r="E29" s="16" t="n">
        <v>45017</v>
      </c>
      <c r="F29" s="16" t="n">
        <v>45231</v>
      </c>
      <c r="G29" s="15" t="n">
        <f aca="false">IF(OR(E29="",F29=""),"",IF(B29="Milestone",0,F29-E29+1))</f>
        <v>215</v>
      </c>
      <c r="H29" s="15" t="s">
        <v>114</v>
      </c>
      <c r="I29" s="15" t="s">
        <v>96</v>
      </c>
      <c r="J29" s="15" t="s">
        <v>106</v>
      </c>
      <c r="K29" s="15" t="n">
        <v>2</v>
      </c>
      <c r="L29" s="15" t="s">
        <v>115</v>
      </c>
    </row>
    <row r="30" customFormat="false" ht="15" hidden="false" customHeight="false" outlineLevel="0" collapsed="false">
      <c r="A30" s="15" t="s">
        <v>116</v>
      </c>
      <c r="B30" s="15" t="s">
        <v>89</v>
      </c>
      <c r="C30" s="15" t="s">
        <v>104</v>
      </c>
      <c r="D30" s="15" t="s">
        <v>117</v>
      </c>
      <c r="E30" s="16" t="n">
        <v>45413</v>
      </c>
      <c r="F30" s="16" t="n">
        <v>45443</v>
      </c>
      <c r="G30" s="15" t="n">
        <f aca="false">IF(OR(E30="",F30=""),"",IF(B30="Milestone",0,F30-E30+1))</f>
        <v>31</v>
      </c>
      <c r="H30" s="15" t="s">
        <v>118</v>
      </c>
      <c r="I30" s="15" t="s">
        <v>46</v>
      </c>
      <c r="J30" s="15" t="s">
        <v>106</v>
      </c>
      <c r="K30" s="15" t="n">
        <v>1</v>
      </c>
      <c r="L30" s="15" t="s">
        <v>119</v>
      </c>
    </row>
    <row r="31" customFormat="false" ht="15" hidden="false" customHeight="false" outlineLevel="0" collapsed="false">
      <c r="A31" s="15" t="s">
        <v>120</v>
      </c>
      <c r="B31" s="15" t="s">
        <v>99</v>
      </c>
      <c r="C31" s="15" t="s">
        <v>104</v>
      </c>
      <c r="D31" s="15" t="s">
        <v>121</v>
      </c>
      <c r="E31" s="16" t="n">
        <v>45017</v>
      </c>
      <c r="F31" s="16" t="n">
        <v>45443</v>
      </c>
      <c r="G31" s="15" t="n">
        <f aca="false">IF(OR(E31="",F31=""),"",IF(B31="Milestone",0,F31-E31+1))</f>
        <v>427</v>
      </c>
      <c r="H31" s="15" t="s">
        <v>101</v>
      </c>
      <c r="I31" s="15" t="s">
        <v>46</v>
      </c>
      <c r="J31" s="15" t="s">
        <v>122</v>
      </c>
      <c r="K31" s="15"/>
      <c r="L31" s="15"/>
    </row>
    <row r="32" customFormat="false" ht="15" hidden="false" customHeight="false" outlineLevel="0" collapsed="false">
      <c r="A32" s="17" t="s">
        <v>123</v>
      </c>
      <c r="B32" s="17" t="s">
        <v>79</v>
      </c>
      <c r="C32" s="17" t="s">
        <v>124</v>
      </c>
      <c r="D32" s="17" t="s">
        <v>125</v>
      </c>
      <c r="E32" s="18" t="n">
        <f aca="false">MIN(E33:E47)</f>
        <v>44972</v>
      </c>
      <c r="F32" s="18" t="n">
        <f aca="false">MAX(F33:F47)</f>
        <v>45481</v>
      </c>
      <c r="G32" s="17" t="n">
        <f aca="false">IF(OR(E32="",F32=""),"",IF(B32="Milestone",0,F32-E32+1))</f>
        <v>510</v>
      </c>
      <c r="H32" s="17" t="s">
        <v>82</v>
      </c>
      <c r="I32" s="17" t="s">
        <v>83</v>
      </c>
      <c r="J32" s="17"/>
      <c r="K32" s="17"/>
      <c r="L32" s="17"/>
    </row>
    <row r="33" customFormat="false" ht="15" hidden="false" customHeight="false" outlineLevel="0" collapsed="false">
      <c r="A33" s="19" t="s">
        <v>126</v>
      </c>
      <c r="B33" s="19" t="s">
        <v>85</v>
      </c>
      <c r="C33" s="19" t="s">
        <v>124</v>
      </c>
      <c r="D33" s="19" t="s">
        <v>127</v>
      </c>
      <c r="E33" s="20" t="n">
        <v>44972</v>
      </c>
      <c r="F33" s="20" t="n">
        <v>45016</v>
      </c>
      <c r="G33" s="19" t="n">
        <f aca="false">IF(OR(E33="",F33=""),"",IF(B33="Milestone",0,F33-E33+1))</f>
        <v>45</v>
      </c>
      <c r="H33" s="19" t="s">
        <v>87</v>
      </c>
      <c r="I33" s="19" t="s">
        <v>46</v>
      </c>
      <c r="J33" s="19"/>
      <c r="K33" s="19"/>
      <c r="L33" s="19"/>
    </row>
    <row r="34" customFormat="false" ht="15" hidden="false" customHeight="false" outlineLevel="0" collapsed="false">
      <c r="A34" s="19" t="s">
        <v>128</v>
      </c>
      <c r="B34" s="19" t="s">
        <v>89</v>
      </c>
      <c r="C34" s="19" t="s">
        <v>124</v>
      </c>
      <c r="D34" s="19" t="s">
        <v>129</v>
      </c>
      <c r="E34" s="20" t="n">
        <v>45017</v>
      </c>
      <c r="F34" s="20" t="n">
        <v>45138</v>
      </c>
      <c r="G34" s="19" t="n">
        <f aca="false">IF(OR(E34="",F34=""),"",IF(B34="Milestone",0,F34-E34+1))</f>
        <v>122</v>
      </c>
      <c r="H34" s="19" t="s">
        <v>130</v>
      </c>
      <c r="I34" s="19" t="s">
        <v>69</v>
      </c>
      <c r="J34" s="19" t="s">
        <v>126</v>
      </c>
      <c r="K34" s="19" t="n">
        <v>2</v>
      </c>
      <c r="L34" s="19" t="s">
        <v>131</v>
      </c>
    </row>
    <row r="35" customFormat="false" ht="15" hidden="false" customHeight="false" outlineLevel="0" collapsed="false">
      <c r="A35" s="19" t="s">
        <v>132</v>
      </c>
      <c r="B35" s="19" t="s">
        <v>89</v>
      </c>
      <c r="C35" s="19" t="s">
        <v>124</v>
      </c>
      <c r="D35" s="19" t="s">
        <v>133</v>
      </c>
      <c r="E35" s="20" t="n">
        <v>45017</v>
      </c>
      <c r="F35" s="20" t="n">
        <v>45231</v>
      </c>
      <c r="G35" s="19" t="n">
        <f aca="false">IF(OR(E35="",F35=""),"",IF(B35="Milestone",0,F35-E35+1))</f>
        <v>215</v>
      </c>
      <c r="H35" s="19" t="s">
        <v>134</v>
      </c>
      <c r="I35" s="19" t="s">
        <v>46</v>
      </c>
      <c r="J35" s="19" t="s">
        <v>126</v>
      </c>
      <c r="K35" s="19" t="n">
        <v>1</v>
      </c>
      <c r="L35" s="19" t="s">
        <v>135</v>
      </c>
    </row>
    <row r="36" customFormat="false" ht="15" hidden="false" customHeight="false" outlineLevel="0" collapsed="false">
      <c r="A36" s="19" t="s">
        <v>136</v>
      </c>
      <c r="B36" s="19" t="s">
        <v>89</v>
      </c>
      <c r="C36" s="19" t="s">
        <v>124</v>
      </c>
      <c r="D36" s="19" t="s">
        <v>137</v>
      </c>
      <c r="E36" s="20" t="n">
        <v>45017</v>
      </c>
      <c r="F36" s="20" t="n">
        <v>45231</v>
      </c>
      <c r="G36" s="19" t="n">
        <f aca="false">IF(OR(E36="",F36=""),"",IF(B36="Milestone",0,F36-E36+1))</f>
        <v>215</v>
      </c>
      <c r="H36" s="19" t="s">
        <v>138</v>
      </c>
      <c r="I36" s="19" t="s">
        <v>96</v>
      </c>
      <c r="J36" s="19" t="s">
        <v>126</v>
      </c>
      <c r="K36" s="19" t="n">
        <v>6</v>
      </c>
      <c r="L36" s="19" t="s">
        <v>139</v>
      </c>
    </row>
    <row r="37" customFormat="false" ht="15" hidden="false" customHeight="false" outlineLevel="0" collapsed="false">
      <c r="A37" s="19" t="s">
        <v>140</v>
      </c>
      <c r="B37" s="19" t="s">
        <v>89</v>
      </c>
      <c r="C37" s="19" t="s">
        <v>124</v>
      </c>
      <c r="D37" s="19" t="s">
        <v>141</v>
      </c>
      <c r="E37" s="20" t="n">
        <v>45017</v>
      </c>
      <c r="F37" s="20" t="n">
        <v>45231</v>
      </c>
      <c r="G37" s="19" t="n">
        <f aca="false">IF(OR(E37="",F37=""),"",IF(B37="Milestone",0,F37-E37+1))</f>
        <v>215</v>
      </c>
      <c r="H37" s="19" t="s">
        <v>114</v>
      </c>
      <c r="I37" s="19" t="s">
        <v>96</v>
      </c>
      <c r="J37" s="19" t="s">
        <v>126</v>
      </c>
      <c r="K37" s="19" t="n">
        <v>5</v>
      </c>
      <c r="L37" s="19" t="s">
        <v>142</v>
      </c>
    </row>
    <row r="38" customFormat="false" ht="15" hidden="false" customHeight="false" outlineLevel="0" collapsed="false">
      <c r="A38" s="19" t="s">
        <v>143</v>
      </c>
      <c r="B38" s="19" t="s">
        <v>89</v>
      </c>
      <c r="C38" s="19" t="s">
        <v>124</v>
      </c>
      <c r="D38" s="19" t="s">
        <v>144</v>
      </c>
      <c r="E38" s="20" t="n">
        <v>45047</v>
      </c>
      <c r="F38" s="20" t="n">
        <v>45217</v>
      </c>
      <c r="G38" s="19" t="n">
        <f aca="false">IF(OR(E38="",F38=""),"",IF(B38="Milestone",0,F38-E38+1))</f>
        <v>171</v>
      </c>
      <c r="H38" s="19" t="s">
        <v>145</v>
      </c>
      <c r="I38" s="19" t="s">
        <v>96</v>
      </c>
      <c r="J38" s="19" t="s">
        <v>126</v>
      </c>
      <c r="K38" s="19" t="n">
        <v>1</v>
      </c>
      <c r="L38" s="19" t="s">
        <v>146</v>
      </c>
    </row>
    <row r="39" customFormat="false" ht="15" hidden="false" customHeight="false" outlineLevel="0" collapsed="false">
      <c r="A39" s="19" t="s">
        <v>147</v>
      </c>
      <c r="B39" s="19" t="s">
        <v>89</v>
      </c>
      <c r="C39" s="19" t="s">
        <v>124</v>
      </c>
      <c r="D39" s="19" t="s">
        <v>148</v>
      </c>
      <c r="E39" s="20" t="n">
        <v>45078</v>
      </c>
      <c r="F39" s="20" t="n">
        <v>45224</v>
      </c>
      <c r="G39" s="19" t="n">
        <f aca="false">IF(OR(E39="",F39=""),"",IF(B39="Milestone",0,F39-E39+1))</f>
        <v>147</v>
      </c>
      <c r="H39" s="19" t="s">
        <v>149</v>
      </c>
      <c r="I39" s="19" t="s">
        <v>96</v>
      </c>
      <c r="J39" s="19" t="s">
        <v>126</v>
      </c>
      <c r="K39" s="19" t="n">
        <v>13</v>
      </c>
      <c r="L39" s="19" t="s">
        <v>150</v>
      </c>
    </row>
    <row r="40" customFormat="false" ht="15" hidden="false" customHeight="false" outlineLevel="0" collapsed="false">
      <c r="A40" s="19" t="s">
        <v>151</v>
      </c>
      <c r="B40" s="19" t="s">
        <v>89</v>
      </c>
      <c r="C40" s="19" t="s">
        <v>124</v>
      </c>
      <c r="D40" s="19" t="s">
        <v>152</v>
      </c>
      <c r="E40" s="20" t="n">
        <v>45139</v>
      </c>
      <c r="F40" s="20" t="n">
        <v>45481</v>
      </c>
      <c r="G40" s="19" t="n">
        <f aca="false">IF(OR(E40="",F40=""),"",IF(B40="Milestone",0,F40-E40+1))</f>
        <v>343</v>
      </c>
      <c r="H40" s="19" t="s">
        <v>153</v>
      </c>
      <c r="I40" s="19" t="s">
        <v>96</v>
      </c>
      <c r="J40" s="19" t="s">
        <v>126</v>
      </c>
      <c r="K40" s="19" t="n">
        <v>1</v>
      </c>
      <c r="L40" s="19" t="s">
        <v>154</v>
      </c>
    </row>
    <row r="41" customFormat="false" ht="15" hidden="false" customHeight="false" outlineLevel="0" collapsed="false">
      <c r="A41" s="19" t="s">
        <v>155</v>
      </c>
      <c r="B41" s="19" t="s">
        <v>89</v>
      </c>
      <c r="C41" s="19" t="s">
        <v>124</v>
      </c>
      <c r="D41" s="19" t="s">
        <v>156</v>
      </c>
      <c r="E41" s="20" t="n">
        <v>45352</v>
      </c>
      <c r="F41" s="20" t="n">
        <v>45412</v>
      </c>
      <c r="G41" s="19" t="n">
        <f aca="false">IF(OR(E41="",F41=""),"",IF(B41="Milestone",0,F41-E41+1))</f>
        <v>61</v>
      </c>
      <c r="H41" s="19" t="s">
        <v>157</v>
      </c>
      <c r="I41" s="19" t="s">
        <v>46</v>
      </c>
      <c r="J41" s="19" t="s">
        <v>126</v>
      </c>
      <c r="K41" s="19" t="n">
        <v>1</v>
      </c>
      <c r="L41" s="19" t="s">
        <v>158</v>
      </c>
    </row>
    <row r="42" customFormat="false" ht="15" hidden="false" customHeight="false" outlineLevel="0" collapsed="false">
      <c r="A42" s="19" t="s">
        <v>159</v>
      </c>
      <c r="B42" s="19" t="s">
        <v>99</v>
      </c>
      <c r="C42" s="19" t="s">
        <v>124</v>
      </c>
      <c r="D42" s="19" t="s">
        <v>160</v>
      </c>
      <c r="E42" s="20" t="n">
        <v>45017</v>
      </c>
      <c r="F42" s="20" t="n">
        <v>45481</v>
      </c>
      <c r="G42" s="19" t="n">
        <f aca="false">IF(OR(E42="",F42=""),"",IF(B42="Milestone",0,F42-E42+1))</f>
        <v>465</v>
      </c>
      <c r="H42" s="19" t="s">
        <v>101</v>
      </c>
      <c r="I42" s="19" t="s">
        <v>46</v>
      </c>
      <c r="J42" s="19" t="s">
        <v>161</v>
      </c>
      <c r="K42" s="19"/>
      <c r="L42" s="19"/>
    </row>
    <row r="43" customFormat="false" ht="15" hidden="false" customHeight="false" outlineLevel="0" collapsed="false">
      <c r="A43" s="19" t="s">
        <v>162</v>
      </c>
      <c r="B43" s="19" t="s">
        <v>163</v>
      </c>
      <c r="C43" s="19" t="s">
        <v>124</v>
      </c>
      <c r="D43" s="19" t="s">
        <v>164</v>
      </c>
      <c r="E43" s="20" t="n">
        <v>45196</v>
      </c>
      <c r="F43" s="20" t="n">
        <v>45209</v>
      </c>
      <c r="G43" s="19" t="n">
        <f aca="false">IF(OR(E43="",F43=""),"",IF(B43="Milestone",0,F43-E43+1))</f>
        <v>14</v>
      </c>
      <c r="H43" s="19" t="s">
        <v>165</v>
      </c>
      <c r="I43" s="19" t="s">
        <v>46</v>
      </c>
      <c r="J43" s="19" t="s">
        <v>166</v>
      </c>
      <c r="K43" s="19"/>
      <c r="L43" s="19"/>
    </row>
    <row r="44" customFormat="false" ht="15" hidden="false" customHeight="false" outlineLevel="0" collapsed="false">
      <c r="A44" s="19" t="s">
        <v>167</v>
      </c>
      <c r="B44" s="19" t="s">
        <v>163</v>
      </c>
      <c r="C44" s="19" t="s">
        <v>124</v>
      </c>
      <c r="D44" s="19" t="s">
        <v>168</v>
      </c>
      <c r="E44" s="20" t="n">
        <v>45203</v>
      </c>
      <c r="F44" s="20" t="n">
        <v>45216</v>
      </c>
      <c r="G44" s="19" t="n">
        <f aca="false">IF(OR(E44="",F44=""),"",IF(B44="Milestone",0,F44-E44+1))</f>
        <v>14</v>
      </c>
      <c r="H44" s="19" t="s">
        <v>165</v>
      </c>
      <c r="I44" s="19" t="s">
        <v>46</v>
      </c>
      <c r="J44" s="19" t="s">
        <v>166</v>
      </c>
      <c r="K44" s="19"/>
      <c r="L44" s="19"/>
    </row>
    <row r="45" customFormat="false" ht="15" hidden="false" customHeight="false" outlineLevel="0" collapsed="false">
      <c r="A45" s="19" t="s">
        <v>169</v>
      </c>
      <c r="B45" s="19" t="s">
        <v>163</v>
      </c>
      <c r="C45" s="19" t="s">
        <v>124</v>
      </c>
      <c r="D45" s="19" t="s">
        <v>170</v>
      </c>
      <c r="E45" s="20" t="n">
        <v>45210</v>
      </c>
      <c r="F45" s="20" t="n">
        <v>45223</v>
      </c>
      <c r="G45" s="19" t="n">
        <f aca="false">IF(OR(E45="",F45=""),"",IF(B45="Milestone",0,F45-E45+1))</f>
        <v>14</v>
      </c>
      <c r="H45" s="19" t="s">
        <v>165</v>
      </c>
      <c r="I45" s="19" t="s">
        <v>46</v>
      </c>
      <c r="J45" s="19" t="s">
        <v>166</v>
      </c>
      <c r="K45" s="19"/>
      <c r="L45" s="19"/>
    </row>
    <row r="46" customFormat="false" ht="15" hidden="false" customHeight="false" outlineLevel="0" collapsed="false">
      <c r="A46" s="19" t="s">
        <v>171</v>
      </c>
      <c r="B46" s="19" t="s">
        <v>163</v>
      </c>
      <c r="C46" s="19" t="s">
        <v>124</v>
      </c>
      <c r="D46" s="19" t="s">
        <v>172</v>
      </c>
      <c r="E46" s="20" t="n">
        <v>45217</v>
      </c>
      <c r="F46" s="20" t="n">
        <v>45230</v>
      </c>
      <c r="G46" s="19" t="n">
        <f aca="false">IF(OR(E46="",F46=""),"",IF(B46="Milestone",0,F46-E46+1))</f>
        <v>14</v>
      </c>
      <c r="H46" s="19" t="s">
        <v>165</v>
      </c>
      <c r="I46" s="19" t="s">
        <v>46</v>
      </c>
      <c r="J46" s="19" t="s">
        <v>166</v>
      </c>
      <c r="K46" s="19"/>
      <c r="L46" s="19"/>
    </row>
    <row r="47" customFormat="false" ht="15" hidden="false" customHeight="false" outlineLevel="0" collapsed="false">
      <c r="A47" s="19" t="s">
        <v>173</v>
      </c>
      <c r="B47" s="19" t="s">
        <v>163</v>
      </c>
      <c r="C47" s="19" t="s">
        <v>124</v>
      </c>
      <c r="D47" s="19" t="s">
        <v>174</v>
      </c>
      <c r="E47" s="20" t="n">
        <v>45467</v>
      </c>
      <c r="F47" s="20" t="n">
        <v>45480</v>
      </c>
      <c r="G47" s="19" t="n">
        <f aca="false">IF(OR(E47="",F47=""),"",IF(B47="Milestone",0,F47-E47+1))</f>
        <v>14</v>
      </c>
      <c r="H47" s="19" t="s">
        <v>165</v>
      </c>
      <c r="I47" s="19" t="s">
        <v>46</v>
      </c>
      <c r="J47" s="19" t="s">
        <v>175</v>
      </c>
      <c r="K47" s="19"/>
      <c r="L47" s="19"/>
    </row>
    <row r="48" customFormat="false" ht="15" hidden="false" customHeight="false" outlineLevel="0" collapsed="false">
      <c r="A48" s="21" t="s">
        <v>176</v>
      </c>
      <c r="B48" s="21" t="s">
        <v>79</v>
      </c>
      <c r="C48" s="21" t="s">
        <v>177</v>
      </c>
      <c r="D48" s="21" t="s">
        <v>178</v>
      </c>
      <c r="E48" s="22" t="n">
        <f aca="false">MIN(E49:E52)</f>
        <v>44972</v>
      </c>
      <c r="F48" s="22" t="n">
        <f aca="false">MAX(F49:F52)</f>
        <v>45481</v>
      </c>
      <c r="G48" s="21" t="n">
        <f aca="false">IF(OR(E48="",F48=""),"",IF(B48="Milestone",0,F48-E48+1))</f>
        <v>510</v>
      </c>
      <c r="H48" s="21" t="s">
        <v>82</v>
      </c>
      <c r="I48" s="21" t="s">
        <v>83</v>
      </c>
      <c r="J48" s="21"/>
      <c r="K48" s="21"/>
      <c r="L48" s="21"/>
    </row>
    <row r="49" customFormat="false" ht="15" hidden="false" customHeight="false" outlineLevel="0" collapsed="false">
      <c r="A49" s="23" t="s">
        <v>179</v>
      </c>
      <c r="B49" s="23" t="s">
        <v>85</v>
      </c>
      <c r="C49" s="23" t="s">
        <v>177</v>
      </c>
      <c r="D49" s="23" t="s">
        <v>180</v>
      </c>
      <c r="E49" s="24" t="n">
        <v>44972</v>
      </c>
      <c r="F49" s="24" t="n">
        <v>45016</v>
      </c>
      <c r="G49" s="23" t="n">
        <f aca="false">IF(OR(E49="",F49=""),"",IF(B49="Milestone",0,F49-E49+1))</f>
        <v>45</v>
      </c>
      <c r="H49" s="23" t="s">
        <v>87</v>
      </c>
      <c r="I49" s="23" t="s">
        <v>46</v>
      </c>
      <c r="J49" s="23"/>
      <c r="K49" s="23"/>
      <c r="L49" s="23"/>
    </row>
    <row r="50" customFormat="false" ht="15" hidden="false" customHeight="false" outlineLevel="0" collapsed="false">
      <c r="A50" s="23" t="s">
        <v>181</v>
      </c>
      <c r="B50" s="23" t="s">
        <v>89</v>
      </c>
      <c r="C50" s="23" t="s">
        <v>177</v>
      </c>
      <c r="D50" s="23" t="s">
        <v>182</v>
      </c>
      <c r="E50" s="24" t="n">
        <v>45017</v>
      </c>
      <c r="F50" s="24" t="n">
        <v>45231</v>
      </c>
      <c r="G50" s="23" t="n">
        <f aca="false">IF(OR(E50="",F50=""),"",IF(B50="Milestone",0,F50-E50+1))</f>
        <v>215</v>
      </c>
      <c r="H50" s="23" t="s">
        <v>138</v>
      </c>
      <c r="I50" s="23" t="s">
        <v>96</v>
      </c>
      <c r="J50" s="23" t="s">
        <v>179</v>
      </c>
      <c r="K50" s="23" t="n">
        <v>4</v>
      </c>
      <c r="L50" s="23" t="s">
        <v>183</v>
      </c>
    </row>
    <row r="51" customFormat="false" ht="15" hidden="false" customHeight="false" outlineLevel="0" collapsed="false">
      <c r="A51" s="23" t="s">
        <v>184</v>
      </c>
      <c r="B51" s="23" t="s">
        <v>89</v>
      </c>
      <c r="C51" s="23" t="s">
        <v>177</v>
      </c>
      <c r="D51" s="23" t="s">
        <v>185</v>
      </c>
      <c r="E51" s="24" t="n">
        <v>45139</v>
      </c>
      <c r="F51" s="24" t="n">
        <v>45481</v>
      </c>
      <c r="G51" s="23" t="n">
        <f aca="false">IF(OR(E51="",F51=""),"",IF(B51="Milestone",0,F51-E51+1))</f>
        <v>343</v>
      </c>
      <c r="H51" s="23" t="s">
        <v>153</v>
      </c>
      <c r="I51" s="23" t="s">
        <v>96</v>
      </c>
      <c r="J51" s="23" t="s">
        <v>179</v>
      </c>
      <c r="K51" s="23" t="n">
        <v>2</v>
      </c>
      <c r="L51" s="23" t="s">
        <v>186</v>
      </c>
    </row>
    <row r="52" customFormat="false" ht="15" hidden="false" customHeight="false" outlineLevel="0" collapsed="false">
      <c r="A52" s="23" t="s">
        <v>187</v>
      </c>
      <c r="B52" s="23" t="s">
        <v>99</v>
      </c>
      <c r="C52" s="23" t="s">
        <v>177</v>
      </c>
      <c r="D52" s="23" t="s">
        <v>188</v>
      </c>
      <c r="E52" s="24" t="n">
        <v>45017</v>
      </c>
      <c r="F52" s="24" t="n">
        <v>45481</v>
      </c>
      <c r="G52" s="23" t="n">
        <f aca="false">IF(OR(E52="",F52=""),"",IF(B52="Milestone",0,F52-E52+1))</f>
        <v>465</v>
      </c>
      <c r="H52" s="23" t="s">
        <v>101</v>
      </c>
      <c r="I52" s="23" t="s">
        <v>46</v>
      </c>
      <c r="J52" s="23" t="s">
        <v>189</v>
      </c>
      <c r="K52" s="23"/>
      <c r="L52" s="23"/>
    </row>
    <row r="53" customFormat="false" ht="15" hidden="false" customHeight="false" outlineLevel="0" collapsed="false">
      <c r="A53" s="25" t="s">
        <v>190</v>
      </c>
      <c r="B53" s="25" t="s">
        <v>79</v>
      </c>
      <c r="C53" s="25" t="s">
        <v>191</v>
      </c>
      <c r="D53" s="25" t="s">
        <v>192</v>
      </c>
      <c r="E53" s="26" t="n">
        <f aca="false">MIN(E54:E56)</f>
        <v>44972</v>
      </c>
      <c r="F53" s="26" t="n">
        <f aca="false">MAX(F54:F56)</f>
        <v>45138</v>
      </c>
      <c r="G53" s="25" t="n">
        <f aca="false">IF(OR(E53="",F53=""),"",IF(B53="Milestone",0,F53-E53+1))</f>
        <v>167</v>
      </c>
      <c r="H53" s="25" t="s">
        <v>82</v>
      </c>
      <c r="I53" s="25" t="s">
        <v>83</v>
      </c>
      <c r="J53" s="25"/>
      <c r="K53" s="25"/>
      <c r="L53" s="25"/>
    </row>
    <row r="54" customFormat="false" ht="15" hidden="false" customHeight="false" outlineLevel="0" collapsed="false">
      <c r="A54" s="27" t="s">
        <v>193</v>
      </c>
      <c r="B54" s="27" t="s">
        <v>85</v>
      </c>
      <c r="C54" s="27" t="s">
        <v>191</v>
      </c>
      <c r="D54" s="27" t="s">
        <v>194</v>
      </c>
      <c r="E54" s="28" t="n">
        <v>44972</v>
      </c>
      <c r="F54" s="28" t="n">
        <v>45016</v>
      </c>
      <c r="G54" s="27" t="n">
        <f aca="false">IF(OR(E54="",F54=""),"",IF(B54="Milestone",0,F54-E54+1))</f>
        <v>45</v>
      </c>
      <c r="H54" s="27" t="s">
        <v>87</v>
      </c>
      <c r="I54" s="27" t="s">
        <v>46</v>
      </c>
      <c r="J54" s="27"/>
      <c r="K54" s="27"/>
      <c r="L54" s="27"/>
    </row>
    <row r="55" customFormat="false" ht="15" hidden="false" customHeight="false" outlineLevel="0" collapsed="false">
      <c r="A55" s="27" t="s">
        <v>195</v>
      </c>
      <c r="B55" s="27" t="s">
        <v>89</v>
      </c>
      <c r="C55" s="27" t="s">
        <v>191</v>
      </c>
      <c r="D55" s="27" t="s">
        <v>196</v>
      </c>
      <c r="E55" s="28" t="n">
        <v>45017</v>
      </c>
      <c r="F55" s="28" t="n">
        <v>45138</v>
      </c>
      <c r="G55" s="27" t="n">
        <f aca="false">IF(OR(E55="",F55=""),"",IF(B55="Milestone",0,F55-E55+1))</f>
        <v>122</v>
      </c>
      <c r="H55" s="27" t="s">
        <v>130</v>
      </c>
      <c r="I55" s="27" t="s">
        <v>69</v>
      </c>
      <c r="J55" s="27" t="s">
        <v>193</v>
      </c>
      <c r="K55" s="27" t="n">
        <v>4</v>
      </c>
      <c r="L55" s="27" t="s">
        <v>197</v>
      </c>
    </row>
    <row r="56" customFormat="false" ht="15" hidden="false" customHeight="false" outlineLevel="0" collapsed="false">
      <c r="A56" s="27" t="s">
        <v>198</v>
      </c>
      <c r="B56" s="27" t="s">
        <v>99</v>
      </c>
      <c r="C56" s="27" t="s">
        <v>191</v>
      </c>
      <c r="D56" s="27" t="s">
        <v>199</v>
      </c>
      <c r="E56" s="28" t="n">
        <v>45017</v>
      </c>
      <c r="F56" s="28" t="n">
        <v>45138</v>
      </c>
      <c r="G56" s="27" t="n">
        <f aca="false">IF(OR(E56="",F56=""),"",IF(B56="Milestone",0,F56-E56+1))</f>
        <v>122</v>
      </c>
      <c r="H56" s="27" t="s">
        <v>101</v>
      </c>
      <c r="I56" s="27" t="s">
        <v>46</v>
      </c>
      <c r="J56" s="27" t="s">
        <v>195</v>
      </c>
      <c r="K56" s="27"/>
      <c r="L56" s="27"/>
    </row>
    <row r="57" customFormat="false" ht="15" hidden="false" customHeight="false" outlineLevel="0" collapsed="false">
      <c r="A57" s="29" t="s">
        <v>200</v>
      </c>
      <c r="B57" s="29" t="s">
        <v>79</v>
      </c>
      <c r="C57" s="29" t="s">
        <v>201</v>
      </c>
      <c r="D57" s="29" t="s">
        <v>202</v>
      </c>
      <c r="E57" s="30" t="n">
        <f aca="false">MIN(E58:E60)</f>
        <v>44972</v>
      </c>
      <c r="F57" s="30" t="n">
        <f aca="false">MAX(F58:F60)</f>
        <v>45224</v>
      </c>
      <c r="G57" s="29" t="n">
        <f aca="false">IF(OR(E57="",F57=""),"",IF(B57="Milestone",0,F57-E57+1))</f>
        <v>253</v>
      </c>
      <c r="H57" s="29" t="s">
        <v>82</v>
      </c>
      <c r="I57" s="29" t="s">
        <v>83</v>
      </c>
      <c r="J57" s="29"/>
      <c r="K57" s="29"/>
      <c r="L57" s="29"/>
    </row>
    <row r="58" customFormat="false" ht="15" hidden="false" customHeight="false" outlineLevel="0" collapsed="false">
      <c r="A58" s="31" t="s">
        <v>203</v>
      </c>
      <c r="B58" s="31" t="s">
        <v>85</v>
      </c>
      <c r="C58" s="31" t="s">
        <v>201</v>
      </c>
      <c r="D58" s="31" t="s">
        <v>204</v>
      </c>
      <c r="E58" s="32" t="n">
        <v>44972</v>
      </c>
      <c r="F58" s="32" t="n">
        <v>45077</v>
      </c>
      <c r="G58" s="31" t="n">
        <f aca="false">IF(OR(E58="",F58=""),"",IF(B58="Milestone",0,F58-E58+1))</f>
        <v>106</v>
      </c>
      <c r="H58" s="31" t="s">
        <v>87</v>
      </c>
      <c r="I58" s="31" t="s">
        <v>46</v>
      </c>
      <c r="J58" s="31"/>
      <c r="K58" s="31"/>
      <c r="L58" s="31"/>
    </row>
    <row r="59" customFormat="false" ht="15" hidden="false" customHeight="false" outlineLevel="0" collapsed="false">
      <c r="A59" s="31" t="s">
        <v>205</v>
      </c>
      <c r="B59" s="31" t="s">
        <v>89</v>
      </c>
      <c r="C59" s="31" t="s">
        <v>201</v>
      </c>
      <c r="D59" s="31" t="s">
        <v>206</v>
      </c>
      <c r="E59" s="32" t="n">
        <v>45078</v>
      </c>
      <c r="F59" s="32" t="n">
        <v>45224</v>
      </c>
      <c r="G59" s="31" t="n">
        <f aca="false">IF(OR(E59="",F59=""),"",IF(B59="Milestone",0,F59-E59+1))</f>
        <v>147</v>
      </c>
      <c r="H59" s="31" t="s">
        <v>149</v>
      </c>
      <c r="I59" s="31" t="s">
        <v>96</v>
      </c>
      <c r="J59" s="31" t="s">
        <v>203</v>
      </c>
      <c r="K59" s="31" t="n">
        <v>1</v>
      </c>
      <c r="L59" s="31" t="s">
        <v>207</v>
      </c>
    </row>
    <row r="60" customFormat="false" ht="15" hidden="false" customHeight="false" outlineLevel="0" collapsed="false">
      <c r="A60" s="31" t="s">
        <v>208</v>
      </c>
      <c r="B60" s="31" t="s">
        <v>99</v>
      </c>
      <c r="C60" s="31" t="s">
        <v>201</v>
      </c>
      <c r="D60" s="31" t="s">
        <v>209</v>
      </c>
      <c r="E60" s="32" t="n">
        <v>45078</v>
      </c>
      <c r="F60" s="32" t="n">
        <v>45224</v>
      </c>
      <c r="G60" s="31" t="n">
        <f aca="false">IF(OR(E60="",F60=""),"",IF(B60="Milestone",0,F60-E60+1))</f>
        <v>147</v>
      </c>
      <c r="H60" s="31" t="s">
        <v>101</v>
      </c>
      <c r="I60" s="31" t="s">
        <v>46</v>
      </c>
      <c r="J60" s="31" t="s">
        <v>205</v>
      </c>
      <c r="K60" s="31"/>
      <c r="L60" s="31"/>
    </row>
    <row r="61" customFormat="false" ht="15" hidden="false" customHeight="false" outlineLevel="0" collapsed="false">
      <c r="A61" s="33" t="s">
        <v>210</v>
      </c>
      <c r="B61" s="33" t="s">
        <v>79</v>
      </c>
      <c r="C61" s="33" t="s">
        <v>211</v>
      </c>
      <c r="D61" s="33" t="s">
        <v>212</v>
      </c>
      <c r="E61" s="34" t="n">
        <f aca="false">MIN(E62:E66)</f>
        <v>44972</v>
      </c>
      <c r="F61" s="34" t="n">
        <f aca="false">MAX(F62:F66)</f>
        <v>45481</v>
      </c>
      <c r="G61" s="33" t="n">
        <f aca="false">IF(OR(E61="",F61=""),"",IF(B61="Milestone",0,F61-E61+1))</f>
        <v>510</v>
      </c>
      <c r="H61" s="33" t="s">
        <v>82</v>
      </c>
      <c r="I61" s="33" t="s">
        <v>83</v>
      </c>
      <c r="J61" s="33"/>
      <c r="K61" s="33"/>
      <c r="L61" s="33"/>
    </row>
    <row r="62" customFormat="false" ht="15" hidden="false" customHeight="false" outlineLevel="0" collapsed="false">
      <c r="A62" s="35" t="s">
        <v>213</v>
      </c>
      <c r="B62" s="35" t="s">
        <v>85</v>
      </c>
      <c r="C62" s="35" t="s">
        <v>211</v>
      </c>
      <c r="D62" s="35" t="s">
        <v>214</v>
      </c>
      <c r="E62" s="36" t="n">
        <v>44972</v>
      </c>
      <c r="F62" s="36" t="n">
        <v>45016</v>
      </c>
      <c r="G62" s="35" t="n">
        <f aca="false">IF(OR(E62="",F62=""),"",IF(B62="Milestone",0,F62-E62+1))</f>
        <v>45</v>
      </c>
      <c r="H62" s="35" t="s">
        <v>87</v>
      </c>
      <c r="I62" s="35" t="s">
        <v>46</v>
      </c>
      <c r="J62" s="35"/>
      <c r="K62" s="35"/>
      <c r="L62" s="35"/>
    </row>
    <row r="63" customFormat="false" ht="15" hidden="false" customHeight="false" outlineLevel="0" collapsed="false">
      <c r="A63" s="35" t="s">
        <v>215</v>
      </c>
      <c r="B63" s="35" t="s">
        <v>89</v>
      </c>
      <c r="C63" s="35" t="s">
        <v>211</v>
      </c>
      <c r="D63" s="35" t="s">
        <v>216</v>
      </c>
      <c r="E63" s="36" t="n">
        <v>45017</v>
      </c>
      <c r="F63" s="36" t="n">
        <v>45138</v>
      </c>
      <c r="G63" s="35" t="n">
        <f aca="false">IF(OR(E63="",F63=""),"",IF(B63="Milestone",0,F63-E63+1))</f>
        <v>122</v>
      </c>
      <c r="H63" s="35" t="s">
        <v>130</v>
      </c>
      <c r="I63" s="35" t="s">
        <v>69</v>
      </c>
      <c r="J63" s="35" t="s">
        <v>213</v>
      </c>
      <c r="K63" s="35" t="n">
        <v>1</v>
      </c>
      <c r="L63" s="35" t="s">
        <v>217</v>
      </c>
    </row>
    <row r="64" customFormat="false" ht="15" hidden="false" customHeight="false" outlineLevel="0" collapsed="false">
      <c r="A64" s="35" t="s">
        <v>218</v>
      </c>
      <c r="B64" s="35" t="s">
        <v>89</v>
      </c>
      <c r="C64" s="35" t="s">
        <v>211</v>
      </c>
      <c r="D64" s="35" t="s">
        <v>219</v>
      </c>
      <c r="E64" s="36" t="n">
        <v>45017</v>
      </c>
      <c r="F64" s="36" t="n">
        <v>45231</v>
      </c>
      <c r="G64" s="35" t="n">
        <f aca="false">IF(OR(E64="",F64=""),"",IF(B64="Milestone",0,F64-E64+1))</f>
        <v>215</v>
      </c>
      <c r="H64" s="35" t="s">
        <v>114</v>
      </c>
      <c r="I64" s="35" t="s">
        <v>96</v>
      </c>
      <c r="J64" s="35" t="s">
        <v>213</v>
      </c>
      <c r="K64" s="35" t="n">
        <v>1</v>
      </c>
      <c r="L64" s="35" t="s">
        <v>220</v>
      </c>
    </row>
    <row r="65" customFormat="false" ht="15" hidden="false" customHeight="false" outlineLevel="0" collapsed="false">
      <c r="A65" s="35" t="s">
        <v>221</v>
      </c>
      <c r="B65" s="35" t="s">
        <v>89</v>
      </c>
      <c r="C65" s="35" t="s">
        <v>211</v>
      </c>
      <c r="D65" s="35" t="s">
        <v>222</v>
      </c>
      <c r="E65" s="36" t="n">
        <v>45139</v>
      </c>
      <c r="F65" s="36" t="n">
        <v>45481</v>
      </c>
      <c r="G65" s="35" t="n">
        <f aca="false">IF(OR(E65="",F65=""),"",IF(B65="Milestone",0,F65-E65+1))</f>
        <v>343</v>
      </c>
      <c r="H65" s="35" t="s">
        <v>153</v>
      </c>
      <c r="I65" s="35" t="s">
        <v>96</v>
      </c>
      <c r="J65" s="35" t="s">
        <v>213</v>
      </c>
      <c r="K65" s="35" t="n">
        <v>1</v>
      </c>
      <c r="L65" s="35" t="s">
        <v>223</v>
      </c>
    </row>
    <row r="66" customFormat="false" ht="15" hidden="false" customHeight="false" outlineLevel="0" collapsed="false">
      <c r="A66" s="35" t="s">
        <v>224</v>
      </c>
      <c r="B66" s="35" t="s">
        <v>99</v>
      </c>
      <c r="C66" s="35" t="s">
        <v>211</v>
      </c>
      <c r="D66" s="35" t="s">
        <v>225</v>
      </c>
      <c r="E66" s="36" t="n">
        <v>45017</v>
      </c>
      <c r="F66" s="36" t="n">
        <v>45481</v>
      </c>
      <c r="G66" s="35" t="n">
        <f aca="false">IF(OR(E66="",F66=""),"",IF(B66="Milestone",0,F66-E66+1))</f>
        <v>465</v>
      </c>
      <c r="H66" s="35" t="s">
        <v>101</v>
      </c>
      <c r="I66" s="35" t="s">
        <v>46</v>
      </c>
      <c r="J66" s="35" t="s">
        <v>226</v>
      </c>
      <c r="K66" s="35"/>
      <c r="L66" s="35"/>
    </row>
    <row r="67" customFormat="false" ht="15" hidden="false" customHeight="false" outlineLevel="0" collapsed="false">
      <c r="A67" s="37" t="s">
        <v>227</v>
      </c>
      <c r="B67" s="37" t="s">
        <v>79</v>
      </c>
      <c r="C67" s="37" t="s">
        <v>228</v>
      </c>
      <c r="D67" s="37" t="s">
        <v>229</v>
      </c>
      <c r="E67" s="38" t="n">
        <f aca="false">MIN(E68:E73)</f>
        <v>44972</v>
      </c>
      <c r="F67" s="38" t="n">
        <f aca="false">MAX(F68:F73)</f>
        <v>45443</v>
      </c>
      <c r="G67" s="37" t="n">
        <f aca="false">IF(OR(E67="",F67=""),"",IF(B67="Milestone",0,F67-E67+1))</f>
        <v>472</v>
      </c>
      <c r="H67" s="37" t="s">
        <v>82</v>
      </c>
      <c r="I67" s="37" t="s">
        <v>83</v>
      </c>
      <c r="J67" s="37"/>
      <c r="K67" s="37"/>
      <c r="L67" s="37"/>
    </row>
    <row r="68" customFormat="false" ht="15" hidden="false" customHeight="false" outlineLevel="0" collapsed="false">
      <c r="A68" s="39" t="s">
        <v>230</v>
      </c>
      <c r="B68" s="39" t="s">
        <v>85</v>
      </c>
      <c r="C68" s="39" t="s">
        <v>228</v>
      </c>
      <c r="D68" s="39" t="s">
        <v>231</v>
      </c>
      <c r="E68" s="40" t="n">
        <v>44972</v>
      </c>
      <c r="F68" s="40" t="n">
        <v>45016</v>
      </c>
      <c r="G68" s="39" t="n">
        <f aca="false">IF(OR(E68="",F68=""),"",IF(B68="Milestone",0,F68-E68+1))</f>
        <v>45</v>
      </c>
      <c r="H68" s="39" t="s">
        <v>87</v>
      </c>
      <c r="I68" s="39" t="s">
        <v>46</v>
      </c>
      <c r="J68" s="39"/>
      <c r="K68" s="39"/>
      <c r="L68" s="39"/>
    </row>
    <row r="69" customFormat="false" ht="15" hidden="false" customHeight="false" outlineLevel="0" collapsed="false">
      <c r="A69" s="39" t="s">
        <v>232</v>
      </c>
      <c r="B69" s="39" t="s">
        <v>89</v>
      </c>
      <c r="C69" s="39" t="s">
        <v>228</v>
      </c>
      <c r="D69" s="39" t="s">
        <v>233</v>
      </c>
      <c r="E69" s="40" t="n">
        <v>45017</v>
      </c>
      <c r="F69" s="40" t="n">
        <v>45138</v>
      </c>
      <c r="G69" s="39" t="n">
        <f aca="false">IF(OR(E69="",F69=""),"",IF(B69="Milestone",0,F69-E69+1))</f>
        <v>122</v>
      </c>
      <c r="H69" s="39" t="s">
        <v>130</v>
      </c>
      <c r="I69" s="39" t="s">
        <v>69</v>
      </c>
      <c r="J69" s="39" t="s">
        <v>230</v>
      </c>
      <c r="K69" s="39" t="n">
        <v>1</v>
      </c>
      <c r="L69" s="39" t="s">
        <v>234</v>
      </c>
    </row>
    <row r="70" customFormat="false" ht="15" hidden="false" customHeight="false" outlineLevel="0" collapsed="false">
      <c r="A70" s="39" t="s">
        <v>235</v>
      </c>
      <c r="B70" s="39" t="s">
        <v>89</v>
      </c>
      <c r="C70" s="39" t="s">
        <v>228</v>
      </c>
      <c r="D70" s="39" t="s">
        <v>236</v>
      </c>
      <c r="E70" s="40" t="n">
        <v>45017</v>
      </c>
      <c r="F70" s="40" t="n">
        <v>45077</v>
      </c>
      <c r="G70" s="39" t="n">
        <f aca="false">IF(OR(E70="",F70=""),"",IF(B70="Milestone",0,F70-E70+1))</f>
        <v>61</v>
      </c>
      <c r="H70" s="39" t="s">
        <v>110</v>
      </c>
      <c r="I70" s="39" t="s">
        <v>46</v>
      </c>
      <c r="J70" s="39" t="s">
        <v>230</v>
      </c>
      <c r="K70" s="39" t="n">
        <v>2</v>
      </c>
      <c r="L70" s="39" t="s">
        <v>237</v>
      </c>
    </row>
    <row r="71" customFormat="false" ht="15" hidden="false" customHeight="false" outlineLevel="0" collapsed="false">
      <c r="A71" s="39" t="s">
        <v>238</v>
      </c>
      <c r="B71" s="39" t="s">
        <v>89</v>
      </c>
      <c r="C71" s="39" t="s">
        <v>228</v>
      </c>
      <c r="D71" s="39" t="s">
        <v>239</v>
      </c>
      <c r="E71" s="40" t="n">
        <v>45017</v>
      </c>
      <c r="F71" s="40" t="n">
        <v>45331</v>
      </c>
      <c r="G71" s="39" t="n">
        <f aca="false">IF(OR(E71="",F71=""),"",IF(B71="Milestone",0,F71-E71+1))</f>
        <v>315</v>
      </c>
      <c r="H71" s="39" t="s">
        <v>240</v>
      </c>
      <c r="I71" s="39" t="s">
        <v>46</v>
      </c>
      <c r="J71" s="39" t="s">
        <v>230</v>
      </c>
      <c r="K71" s="39" t="n">
        <v>2</v>
      </c>
      <c r="L71" s="39" t="s">
        <v>241</v>
      </c>
    </row>
    <row r="72" customFormat="false" ht="15" hidden="false" customHeight="false" outlineLevel="0" collapsed="false">
      <c r="A72" s="39" t="s">
        <v>242</v>
      </c>
      <c r="B72" s="39" t="s">
        <v>89</v>
      </c>
      <c r="C72" s="39" t="s">
        <v>228</v>
      </c>
      <c r="D72" s="39" t="s">
        <v>243</v>
      </c>
      <c r="E72" s="40" t="n">
        <v>45413</v>
      </c>
      <c r="F72" s="40" t="n">
        <v>45443</v>
      </c>
      <c r="G72" s="39" t="n">
        <f aca="false">IF(OR(E72="",F72=""),"",IF(B72="Milestone",0,F72-E72+1))</f>
        <v>31</v>
      </c>
      <c r="H72" s="39" t="s">
        <v>118</v>
      </c>
      <c r="I72" s="39" t="s">
        <v>46</v>
      </c>
      <c r="J72" s="39" t="s">
        <v>230</v>
      </c>
      <c r="K72" s="39" t="n">
        <v>2</v>
      </c>
      <c r="L72" s="39" t="s">
        <v>244</v>
      </c>
    </row>
    <row r="73" customFormat="false" ht="15" hidden="false" customHeight="false" outlineLevel="0" collapsed="false">
      <c r="A73" s="39" t="s">
        <v>245</v>
      </c>
      <c r="B73" s="39" t="s">
        <v>99</v>
      </c>
      <c r="C73" s="39" t="s">
        <v>228</v>
      </c>
      <c r="D73" s="39" t="s">
        <v>246</v>
      </c>
      <c r="E73" s="40" t="n">
        <v>45017</v>
      </c>
      <c r="F73" s="40" t="n">
        <v>45443</v>
      </c>
      <c r="G73" s="39" t="n">
        <f aca="false">IF(OR(E73="",F73=""),"",IF(B73="Milestone",0,F73-E73+1))</f>
        <v>427</v>
      </c>
      <c r="H73" s="39" t="s">
        <v>101</v>
      </c>
      <c r="I73" s="39" t="s">
        <v>46</v>
      </c>
      <c r="J73" s="39" t="s">
        <v>247</v>
      </c>
      <c r="K73" s="39"/>
      <c r="L73" s="39"/>
    </row>
    <row r="74" customFormat="false" ht="15" hidden="false" customHeight="false" outlineLevel="0" collapsed="false">
      <c r="A74" s="41" t="s">
        <v>248</v>
      </c>
      <c r="B74" s="41" t="s">
        <v>79</v>
      </c>
      <c r="C74" s="41" t="s">
        <v>249</v>
      </c>
      <c r="D74" s="41" t="s">
        <v>250</v>
      </c>
      <c r="E74" s="42" t="n">
        <f aca="false">MIN(E75:E81)</f>
        <v>44972</v>
      </c>
      <c r="F74" s="42" t="n">
        <f aca="false">MAX(F75:F81)</f>
        <v>45331</v>
      </c>
      <c r="G74" s="41" t="n">
        <f aca="false">IF(OR(E74="",F74=""),"",IF(B74="Milestone",0,F74-E74+1))</f>
        <v>360</v>
      </c>
      <c r="H74" s="41" t="s">
        <v>82</v>
      </c>
      <c r="I74" s="41" t="s">
        <v>83</v>
      </c>
      <c r="J74" s="41"/>
      <c r="K74" s="41"/>
      <c r="L74" s="41"/>
    </row>
    <row r="75" customFormat="false" ht="15" hidden="false" customHeight="false" outlineLevel="0" collapsed="false">
      <c r="A75" s="43" t="s">
        <v>251</v>
      </c>
      <c r="B75" s="43" t="s">
        <v>85</v>
      </c>
      <c r="C75" s="43" t="s">
        <v>249</v>
      </c>
      <c r="D75" s="43" t="s">
        <v>252</v>
      </c>
      <c r="E75" s="44" t="n">
        <v>44972</v>
      </c>
      <c r="F75" s="44" t="n">
        <v>45016</v>
      </c>
      <c r="G75" s="43" t="n">
        <f aca="false">IF(OR(E75="",F75=""),"",IF(B75="Milestone",0,F75-E75+1))</f>
        <v>45</v>
      </c>
      <c r="H75" s="43" t="s">
        <v>87</v>
      </c>
      <c r="I75" s="43" t="s">
        <v>46</v>
      </c>
      <c r="J75" s="43"/>
      <c r="K75" s="43"/>
      <c r="L75" s="43"/>
    </row>
    <row r="76" customFormat="false" ht="15" hidden="false" customHeight="false" outlineLevel="0" collapsed="false">
      <c r="A76" s="43" t="s">
        <v>253</v>
      </c>
      <c r="B76" s="43" t="s">
        <v>89</v>
      </c>
      <c r="C76" s="43" t="s">
        <v>249</v>
      </c>
      <c r="D76" s="43" t="s">
        <v>254</v>
      </c>
      <c r="E76" s="44" t="n">
        <v>45017</v>
      </c>
      <c r="F76" s="44" t="n">
        <v>45231</v>
      </c>
      <c r="G76" s="43" t="n">
        <f aca="false">IF(OR(E76="",F76=""),"",IF(B76="Milestone",0,F76-E76+1))</f>
        <v>215</v>
      </c>
      <c r="H76" s="43" t="s">
        <v>134</v>
      </c>
      <c r="I76" s="43" t="s">
        <v>46</v>
      </c>
      <c r="J76" s="43" t="s">
        <v>251</v>
      </c>
      <c r="K76" s="43" t="n">
        <v>5</v>
      </c>
      <c r="L76" s="43" t="s">
        <v>255</v>
      </c>
    </row>
    <row r="77" customFormat="false" ht="15" hidden="false" customHeight="false" outlineLevel="0" collapsed="false">
      <c r="A77" s="43" t="s">
        <v>256</v>
      </c>
      <c r="B77" s="43" t="s">
        <v>89</v>
      </c>
      <c r="C77" s="43" t="s">
        <v>249</v>
      </c>
      <c r="D77" s="43" t="s">
        <v>257</v>
      </c>
      <c r="E77" s="44" t="n">
        <v>45017</v>
      </c>
      <c r="F77" s="44" t="n">
        <v>45331</v>
      </c>
      <c r="G77" s="43" t="n">
        <f aca="false">IF(OR(E77="",F77=""),"",IF(B77="Milestone",0,F77-E77+1))</f>
        <v>315</v>
      </c>
      <c r="H77" s="43" t="s">
        <v>240</v>
      </c>
      <c r="I77" s="43" t="s">
        <v>46</v>
      </c>
      <c r="J77" s="43" t="s">
        <v>251</v>
      </c>
      <c r="K77" s="43" t="n">
        <v>3</v>
      </c>
      <c r="L77" s="43" t="s">
        <v>258</v>
      </c>
    </row>
    <row r="78" customFormat="false" ht="15" hidden="false" customHeight="false" outlineLevel="0" collapsed="false">
      <c r="A78" s="43" t="s">
        <v>259</v>
      </c>
      <c r="B78" s="43" t="s">
        <v>89</v>
      </c>
      <c r="C78" s="43" t="s">
        <v>249</v>
      </c>
      <c r="D78" s="43" t="s">
        <v>260</v>
      </c>
      <c r="E78" s="44" t="n">
        <v>45017</v>
      </c>
      <c r="F78" s="44" t="n">
        <v>45231</v>
      </c>
      <c r="G78" s="43" t="n">
        <f aca="false">IF(OR(E78="",F78=""),"",IF(B78="Milestone",0,F78-E78+1))</f>
        <v>215</v>
      </c>
      <c r="H78" s="43" t="s">
        <v>114</v>
      </c>
      <c r="I78" s="43" t="s">
        <v>96</v>
      </c>
      <c r="J78" s="43" t="s">
        <v>251</v>
      </c>
      <c r="K78" s="43" t="n">
        <v>3</v>
      </c>
      <c r="L78" s="43" t="s">
        <v>261</v>
      </c>
    </row>
    <row r="79" customFormat="false" ht="15" hidden="false" customHeight="false" outlineLevel="0" collapsed="false">
      <c r="A79" s="43" t="s">
        <v>262</v>
      </c>
      <c r="B79" s="43" t="s">
        <v>89</v>
      </c>
      <c r="C79" s="43" t="s">
        <v>249</v>
      </c>
      <c r="D79" s="43" t="s">
        <v>263</v>
      </c>
      <c r="E79" s="44" t="n">
        <v>45078</v>
      </c>
      <c r="F79" s="44" t="n">
        <v>45224</v>
      </c>
      <c r="G79" s="43" t="n">
        <f aca="false">IF(OR(E79="",F79=""),"",IF(B79="Milestone",0,F79-E79+1))</f>
        <v>147</v>
      </c>
      <c r="H79" s="43" t="s">
        <v>149</v>
      </c>
      <c r="I79" s="43" t="s">
        <v>96</v>
      </c>
      <c r="J79" s="43" t="s">
        <v>251</v>
      </c>
      <c r="K79" s="43" t="n">
        <v>14</v>
      </c>
      <c r="L79" s="43" t="s">
        <v>264</v>
      </c>
    </row>
    <row r="80" customFormat="false" ht="15" hidden="false" customHeight="false" outlineLevel="0" collapsed="false">
      <c r="A80" s="43" t="s">
        <v>265</v>
      </c>
      <c r="B80" s="43" t="s">
        <v>99</v>
      </c>
      <c r="C80" s="43" t="s">
        <v>249</v>
      </c>
      <c r="D80" s="43" t="s">
        <v>266</v>
      </c>
      <c r="E80" s="44" t="n">
        <v>45017</v>
      </c>
      <c r="F80" s="44" t="n">
        <v>45331</v>
      </c>
      <c r="G80" s="43" t="n">
        <f aca="false">IF(OR(E80="",F80=""),"",IF(B80="Milestone",0,F80-E80+1))</f>
        <v>315</v>
      </c>
      <c r="H80" s="43" t="s">
        <v>101</v>
      </c>
      <c r="I80" s="43" t="s">
        <v>46</v>
      </c>
      <c r="J80" s="43" t="s">
        <v>267</v>
      </c>
      <c r="K80" s="43"/>
      <c r="L80" s="43"/>
    </row>
    <row r="81" customFormat="false" ht="15" hidden="false" customHeight="false" outlineLevel="0" collapsed="false">
      <c r="A81" s="43" t="s">
        <v>268</v>
      </c>
      <c r="B81" s="43" t="s">
        <v>163</v>
      </c>
      <c r="C81" s="43" t="s">
        <v>249</v>
      </c>
      <c r="D81" s="43" t="s">
        <v>269</v>
      </c>
      <c r="E81" s="44" t="n">
        <v>45217</v>
      </c>
      <c r="F81" s="44" t="n">
        <v>45224</v>
      </c>
      <c r="G81" s="43" t="n">
        <f aca="false">IF(OR(E81="",F81=""),"",IF(B81="Milestone",0,F81-E81+1))</f>
        <v>8</v>
      </c>
      <c r="H81" s="43" t="s">
        <v>165</v>
      </c>
      <c r="I81" s="43" t="s">
        <v>46</v>
      </c>
      <c r="J81" s="43" t="s">
        <v>270</v>
      </c>
      <c r="K81" s="43"/>
      <c r="L81" s="43"/>
    </row>
    <row r="82" customFormat="false" ht="15" hidden="false" customHeight="false" outlineLevel="0" collapsed="false">
      <c r="A82" s="45" t="s">
        <v>271</v>
      </c>
      <c r="B82" s="45" t="s">
        <v>79</v>
      </c>
      <c r="C82" s="45" t="s">
        <v>272</v>
      </c>
      <c r="D82" s="45" t="s">
        <v>273</v>
      </c>
      <c r="E82" s="46" t="n">
        <f aca="false">MIN(E83:E86)</f>
        <v>44972</v>
      </c>
      <c r="F82" s="46" t="n">
        <f aca="false">MAX(F83:F86)</f>
        <v>45331</v>
      </c>
      <c r="G82" s="45" t="n">
        <f aca="false">IF(OR(E82="",F82=""),"",IF(B82="Milestone",0,F82-E82+1))</f>
        <v>360</v>
      </c>
      <c r="H82" s="45" t="s">
        <v>82</v>
      </c>
      <c r="I82" s="45" t="s">
        <v>83</v>
      </c>
      <c r="J82" s="45"/>
      <c r="K82" s="45"/>
      <c r="L82" s="45"/>
    </row>
    <row r="83" customFormat="false" ht="15" hidden="false" customHeight="false" outlineLevel="0" collapsed="false">
      <c r="A83" s="47" t="s">
        <v>274</v>
      </c>
      <c r="B83" s="47" t="s">
        <v>85</v>
      </c>
      <c r="C83" s="47" t="s">
        <v>272</v>
      </c>
      <c r="D83" s="47" t="s">
        <v>275</v>
      </c>
      <c r="E83" s="48" t="n">
        <v>44972</v>
      </c>
      <c r="F83" s="48" t="n">
        <v>45016</v>
      </c>
      <c r="G83" s="47" t="n">
        <f aca="false">IF(OR(E83="",F83=""),"",IF(B83="Milestone",0,F83-E83+1))</f>
        <v>45</v>
      </c>
      <c r="H83" s="47" t="s">
        <v>87</v>
      </c>
      <c r="I83" s="47" t="s">
        <v>46</v>
      </c>
      <c r="J83" s="47"/>
      <c r="K83" s="47"/>
      <c r="L83" s="47"/>
    </row>
    <row r="84" customFormat="false" ht="15" hidden="false" customHeight="false" outlineLevel="0" collapsed="false">
      <c r="A84" s="47" t="s">
        <v>276</v>
      </c>
      <c r="B84" s="47" t="s">
        <v>89</v>
      </c>
      <c r="C84" s="47" t="s">
        <v>272</v>
      </c>
      <c r="D84" s="47" t="s">
        <v>277</v>
      </c>
      <c r="E84" s="48" t="n">
        <v>45017</v>
      </c>
      <c r="F84" s="48" t="n">
        <v>45138</v>
      </c>
      <c r="G84" s="47" t="n">
        <f aca="false">IF(OR(E84="",F84=""),"",IF(B84="Milestone",0,F84-E84+1))</f>
        <v>122</v>
      </c>
      <c r="H84" s="47" t="s">
        <v>130</v>
      </c>
      <c r="I84" s="47" t="s">
        <v>69</v>
      </c>
      <c r="J84" s="47" t="s">
        <v>274</v>
      </c>
      <c r="K84" s="47" t="n">
        <v>10</v>
      </c>
      <c r="L84" s="47" t="s">
        <v>278</v>
      </c>
    </row>
    <row r="85" customFormat="false" ht="15" hidden="false" customHeight="false" outlineLevel="0" collapsed="false">
      <c r="A85" s="47" t="s">
        <v>279</v>
      </c>
      <c r="B85" s="47" t="s">
        <v>89</v>
      </c>
      <c r="C85" s="47" t="s">
        <v>272</v>
      </c>
      <c r="D85" s="47" t="s">
        <v>280</v>
      </c>
      <c r="E85" s="48" t="n">
        <v>45017</v>
      </c>
      <c r="F85" s="48" t="n">
        <v>45331</v>
      </c>
      <c r="G85" s="47" t="n">
        <f aca="false">IF(OR(E85="",F85=""),"",IF(B85="Milestone",0,F85-E85+1))</f>
        <v>315</v>
      </c>
      <c r="H85" s="47" t="s">
        <v>240</v>
      </c>
      <c r="I85" s="47" t="s">
        <v>46</v>
      </c>
      <c r="J85" s="47" t="s">
        <v>274</v>
      </c>
      <c r="K85" s="47" t="n">
        <v>5</v>
      </c>
      <c r="L85" s="47" t="s">
        <v>281</v>
      </c>
    </row>
    <row r="86" customFormat="false" ht="15" hidden="false" customHeight="false" outlineLevel="0" collapsed="false">
      <c r="A86" s="47" t="s">
        <v>282</v>
      </c>
      <c r="B86" s="47" t="s">
        <v>99</v>
      </c>
      <c r="C86" s="47" t="s">
        <v>272</v>
      </c>
      <c r="D86" s="47" t="s">
        <v>283</v>
      </c>
      <c r="E86" s="48" t="n">
        <v>45017</v>
      </c>
      <c r="F86" s="48" t="n">
        <v>45331</v>
      </c>
      <c r="G86" s="47" t="n">
        <f aca="false">IF(OR(E86="",F86=""),"",IF(B86="Milestone",0,F86-E86+1))</f>
        <v>315</v>
      </c>
      <c r="H86" s="47" t="s">
        <v>101</v>
      </c>
      <c r="I86" s="47" t="s">
        <v>46</v>
      </c>
      <c r="J86" s="47" t="s">
        <v>284</v>
      </c>
      <c r="K86" s="47"/>
      <c r="L86" s="47"/>
    </row>
    <row r="87" customFormat="false" ht="15" hidden="false" customHeight="false" outlineLevel="0" collapsed="false">
      <c r="A87" s="49" t="s">
        <v>285</v>
      </c>
      <c r="B87" s="49" t="s">
        <v>79</v>
      </c>
      <c r="C87" s="49" t="s">
        <v>286</v>
      </c>
      <c r="D87" s="49" t="s">
        <v>287</v>
      </c>
      <c r="E87" s="50" t="n">
        <f aca="false">MIN(E88:E109)</f>
        <v>44972</v>
      </c>
      <c r="F87" s="50" t="n">
        <f aca="false">MAX(F88:F109)</f>
        <v>45581</v>
      </c>
      <c r="G87" s="49" t="n">
        <f aca="false">IF(OR(E87="",F87=""),"",IF(B87="Milestone",0,F87-E87+1))</f>
        <v>610</v>
      </c>
      <c r="H87" s="49" t="s">
        <v>82</v>
      </c>
      <c r="I87" s="49" t="s">
        <v>83</v>
      </c>
      <c r="J87" s="49"/>
      <c r="K87" s="49"/>
      <c r="L87" s="49"/>
    </row>
    <row r="88" customFormat="false" ht="15" hidden="false" customHeight="false" outlineLevel="0" collapsed="false">
      <c r="A88" s="51" t="s">
        <v>288</v>
      </c>
      <c r="B88" s="51" t="s">
        <v>85</v>
      </c>
      <c r="C88" s="51" t="s">
        <v>286</v>
      </c>
      <c r="D88" s="51" t="s">
        <v>289</v>
      </c>
      <c r="E88" s="52" t="n">
        <v>44972</v>
      </c>
      <c r="F88" s="52" t="n">
        <v>44999</v>
      </c>
      <c r="G88" s="51" t="n">
        <f aca="false">IF(OR(E88="",F88=""),"",IF(B88="Milestone",0,F88-E88+1))</f>
        <v>28</v>
      </c>
      <c r="H88" s="51" t="s">
        <v>87</v>
      </c>
      <c r="I88" s="51" t="s">
        <v>46</v>
      </c>
      <c r="J88" s="51"/>
      <c r="K88" s="51"/>
      <c r="L88" s="51"/>
    </row>
    <row r="89" customFormat="false" ht="15" hidden="false" customHeight="false" outlineLevel="0" collapsed="false">
      <c r="A89" s="51" t="s">
        <v>290</v>
      </c>
      <c r="B89" s="51" t="s">
        <v>89</v>
      </c>
      <c r="C89" s="51" t="s">
        <v>286</v>
      </c>
      <c r="D89" s="51" t="s">
        <v>291</v>
      </c>
      <c r="E89" s="52" t="n">
        <v>45000</v>
      </c>
      <c r="F89" s="52" t="n">
        <v>45581</v>
      </c>
      <c r="G89" s="51" t="n">
        <f aca="false">IF(OR(E89="",F89=""),"",IF(B89="Milestone",0,F89-E89+1))</f>
        <v>582</v>
      </c>
      <c r="H89" s="51" t="s">
        <v>91</v>
      </c>
      <c r="I89" s="51" t="s">
        <v>46</v>
      </c>
      <c r="J89" s="51" t="s">
        <v>288</v>
      </c>
      <c r="K89" s="51" t="n">
        <v>2</v>
      </c>
      <c r="L89" s="51" t="s">
        <v>292</v>
      </c>
    </row>
    <row r="90" customFormat="false" ht="15" hidden="false" customHeight="false" outlineLevel="0" collapsed="false">
      <c r="A90" s="51" t="s">
        <v>293</v>
      </c>
      <c r="B90" s="51" t="s">
        <v>89</v>
      </c>
      <c r="C90" s="51" t="s">
        <v>286</v>
      </c>
      <c r="D90" s="51" t="s">
        <v>294</v>
      </c>
      <c r="E90" s="52" t="n">
        <v>45017</v>
      </c>
      <c r="F90" s="52" t="n">
        <v>45138</v>
      </c>
      <c r="G90" s="51" t="n">
        <f aca="false">IF(OR(E90="",F90=""),"",IF(B90="Milestone",0,F90-E90+1))</f>
        <v>122</v>
      </c>
      <c r="H90" s="51" t="s">
        <v>130</v>
      </c>
      <c r="I90" s="51" t="s">
        <v>69</v>
      </c>
      <c r="J90" s="51" t="s">
        <v>288</v>
      </c>
      <c r="K90" s="51" t="n">
        <v>19</v>
      </c>
      <c r="L90" s="51" t="s">
        <v>295</v>
      </c>
    </row>
    <row r="91" customFormat="false" ht="15" hidden="false" customHeight="false" outlineLevel="0" collapsed="false">
      <c r="A91" s="51" t="s">
        <v>296</v>
      </c>
      <c r="B91" s="51" t="s">
        <v>89</v>
      </c>
      <c r="C91" s="51" t="s">
        <v>286</v>
      </c>
      <c r="D91" s="51" t="s">
        <v>297</v>
      </c>
      <c r="E91" s="52" t="n">
        <v>45017</v>
      </c>
      <c r="F91" s="52" t="n">
        <v>45231</v>
      </c>
      <c r="G91" s="51" t="n">
        <f aca="false">IF(OR(E91="",F91=""),"",IF(B91="Milestone",0,F91-E91+1))</f>
        <v>215</v>
      </c>
      <c r="H91" s="51" t="s">
        <v>298</v>
      </c>
      <c r="I91" s="51" t="s">
        <v>96</v>
      </c>
      <c r="J91" s="51" t="s">
        <v>288</v>
      </c>
      <c r="K91" s="51" t="n">
        <v>2</v>
      </c>
      <c r="L91" s="51" t="s">
        <v>299</v>
      </c>
    </row>
    <row r="92" customFormat="false" ht="15" hidden="false" customHeight="false" outlineLevel="0" collapsed="false">
      <c r="A92" s="51" t="s">
        <v>300</v>
      </c>
      <c r="B92" s="51" t="s">
        <v>89</v>
      </c>
      <c r="C92" s="51" t="s">
        <v>286</v>
      </c>
      <c r="D92" s="51" t="s">
        <v>301</v>
      </c>
      <c r="E92" s="52" t="n">
        <v>45017</v>
      </c>
      <c r="F92" s="52" t="n">
        <v>45203</v>
      </c>
      <c r="G92" s="51" t="n">
        <f aca="false">IF(OR(E92="",F92=""),"",IF(B92="Milestone",0,F92-E92+1))</f>
        <v>187</v>
      </c>
      <c r="H92" s="51" t="s">
        <v>302</v>
      </c>
      <c r="I92" s="51" t="s">
        <v>96</v>
      </c>
      <c r="J92" s="51" t="s">
        <v>288</v>
      </c>
      <c r="K92" s="51" t="n">
        <v>15</v>
      </c>
      <c r="L92" s="51" t="s">
        <v>303</v>
      </c>
    </row>
    <row r="93" customFormat="false" ht="15" hidden="false" customHeight="false" outlineLevel="0" collapsed="false">
      <c r="A93" s="51" t="s">
        <v>304</v>
      </c>
      <c r="B93" s="51" t="s">
        <v>89</v>
      </c>
      <c r="C93" s="51" t="s">
        <v>286</v>
      </c>
      <c r="D93" s="51" t="s">
        <v>305</v>
      </c>
      <c r="E93" s="52" t="n">
        <v>45017</v>
      </c>
      <c r="F93" s="52" t="n">
        <v>45231</v>
      </c>
      <c r="G93" s="51" t="n">
        <f aca="false">IF(OR(E93="",F93=""),"",IF(B93="Milestone",0,F93-E93+1))</f>
        <v>215</v>
      </c>
      <c r="H93" s="51" t="s">
        <v>134</v>
      </c>
      <c r="I93" s="51" t="s">
        <v>46</v>
      </c>
      <c r="J93" s="51" t="s">
        <v>288</v>
      </c>
      <c r="K93" s="51" t="n">
        <v>1</v>
      </c>
      <c r="L93" s="51" t="s">
        <v>306</v>
      </c>
    </row>
    <row r="94" customFormat="false" ht="15" hidden="false" customHeight="false" outlineLevel="0" collapsed="false">
      <c r="A94" s="51" t="s">
        <v>307</v>
      </c>
      <c r="B94" s="51" t="s">
        <v>89</v>
      </c>
      <c r="C94" s="51" t="s">
        <v>286</v>
      </c>
      <c r="D94" s="51" t="s">
        <v>308</v>
      </c>
      <c r="E94" s="52" t="n">
        <v>45017</v>
      </c>
      <c r="F94" s="52" t="n">
        <v>45331</v>
      </c>
      <c r="G94" s="51" t="n">
        <f aca="false">IF(OR(E94="",F94=""),"",IF(B94="Milestone",0,F94-E94+1))</f>
        <v>315</v>
      </c>
      <c r="H94" s="51" t="s">
        <v>240</v>
      </c>
      <c r="I94" s="51" t="s">
        <v>46</v>
      </c>
      <c r="J94" s="51" t="s">
        <v>288</v>
      </c>
      <c r="K94" s="51" t="n">
        <v>12</v>
      </c>
      <c r="L94" s="51" t="s">
        <v>309</v>
      </c>
    </row>
    <row r="95" customFormat="false" ht="15" hidden="false" customHeight="false" outlineLevel="0" collapsed="false">
      <c r="A95" s="51" t="s">
        <v>310</v>
      </c>
      <c r="B95" s="51" t="s">
        <v>89</v>
      </c>
      <c r="C95" s="51" t="s">
        <v>286</v>
      </c>
      <c r="D95" s="51" t="s">
        <v>311</v>
      </c>
      <c r="E95" s="52" t="n">
        <v>45017</v>
      </c>
      <c r="F95" s="52" t="n">
        <v>45210</v>
      </c>
      <c r="G95" s="51" t="n">
        <f aca="false">IF(OR(E95="",F95=""),"",IF(B95="Milestone",0,F95-E95+1))</f>
        <v>194</v>
      </c>
      <c r="H95" s="51" t="s">
        <v>312</v>
      </c>
      <c r="I95" s="51" t="s">
        <v>96</v>
      </c>
      <c r="J95" s="51" t="s">
        <v>288</v>
      </c>
      <c r="K95" s="51" t="n">
        <v>7</v>
      </c>
      <c r="L95" s="51" t="s">
        <v>313</v>
      </c>
    </row>
    <row r="96" customFormat="false" ht="15" hidden="false" customHeight="false" outlineLevel="0" collapsed="false">
      <c r="A96" s="51" t="s">
        <v>314</v>
      </c>
      <c r="B96" s="51" t="s">
        <v>89</v>
      </c>
      <c r="C96" s="51" t="s">
        <v>286</v>
      </c>
      <c r="D96" s="51" t="s">
        <v>315</v>
      </c>
      <c r="E96" s="52" t="n">
        <v>45017</v>
      </c>
      <c r="F96" s="52" t="n">
        <v>45231</v>
      </c>
      <c r="G96" s="51" t="n">
        <f aca="false">IF(OR(E96="",F96=""),"",IF(B96="Milestone",0,F96-E96+1))</f>
        <v>215</v>
      </c>
      <c r="H96" s="51" t="s">
        <v>138</v>
      </c>
      <c r="I96" s="51" t="s">
        <v>96</v>
      </c>
      <c r="J96" s="51" t="s">
        <v>288</v>
      </c>
      <c r="K96" s="51" t="n">
        <v>1</v>
      </c>
      <c r="L96" s="51" t="s">
        <v>316</v>
      </c>
    </row>
    <row r="97" customFormat="false" ht="15" hidden="false" customHeight="false" outlineLevel="0" collapsed="false">
      <c r="A97" s="51" t="s">
        <v>317</v>
      </c>
      <c r="B97" s="51" t="s">
        <v>89</v>
      </c>
      <c r="C97" s="51" t="s">
        <v>286</v>
      </c>
      <c r="D97" s="51" t="s">
        <v>318</v>
      </c>
      <c r="E97" s="52" t="n">
        <v>45047</v>
      </c>
      <c r="F97" s="52" t="n">
        <v>45217</v>
      </c>
      <c r="G97" s="51" t="n">
        <f aca="false">IF(OR(E97="",F97=""),"",IF(B97="Milestone",0,F97-E97+1))</f>
        <v>171</v>
      </c>
      <c r="H97" s="51" t="s">
        <v>145</v>
      </c>
      <c r="I97" s="51" t="s">
        <v>96</v>
      </c>
      <c r="J97" s="51" t="s">
        <v>288</v>
      </c>
      <c r="K97" s="51" t="n">
        <v>7</v>
      </c>
      <c r="L97" s="51" t="s">
        <v>319</v>
      </c>
    </row>
    <row r="98" customFormat="false" ht="15" hidden="false" customHeight="false" outlineLevel="0" collapsed="false">
      <c r="A98" s="51" t="s">
        <v>320</v>
      </c>
      <c r="B98" s="51" t="s">
        <v>89</v>
      </c>
      <c r="C98" s="51" t="s">
        <v>286</v>
      </c>
      <c r="D98" s="51" t="s">
        <v>321</v>
      </c>
      <c r="E98" s="52" t="n">
        <v>45078</v>
      </c>
      <c r="F98" s="52" t="n">
        <v>45224</v>
      </c>
      <c r="G98" s="51" t="n">
        <f aca="false">IF(OR(E98="",F98=""),"",IF(B98="Milestone",0,F98-E98+1))</f>
        <v>147</v>
      </c>
      <c r="H98" s="51" t="s">
        <v>149</v>
      </c>
      <c r="I98" s="51" t="s">
        <v>96</v>
      </c>
      <c r="J98" s="51" t="s">
        <v>288</v>
      </c>
      <c r="K98" s="51" t="n">
        <v>19</v>
      </c>
      <c r="L98" s="51" t="s">
        <v>322</v>
      </c>
    </row>
    <row r="99" customFormat="false" ht="15" hidden="false" customHeight="false" outlineLevel="0" collapsed="false">
      <c r="A99" s="51" t="s">
        <v>323</v>
      </c>
      <c r="B99" s="51" t="s">
        <v>89</v>
      </c>
      <c r="C99" s="51" t="s">
        <v>286</v>
      </c>
      <c r="D99" s="51" t="s">
        <v>324</v>
      </c>
      <c r="E99" s="52" t="n">
        <v>45139</v>
      </c>
      <c r="F99" s="52" t="n">
        <v>45481</v>
      </c>
      <c r="G99" s="51" t="n">
        <f aca="false">IF(OR(E99="",F99=""),"",IF(B99="Milestone",0,F99-E99+1))</f>
        <v>343</v>
      </c>
      <c r="H99" s="51" t="s">
        <v>153</v>
      </c>
      <c r="I99" s="51" t="s">
        <v>96</v>
      </c>
      <c r="J99" s="51" t="s">
        <v>288</v>
      </c>
      <c r="K99" s="51" t="n">
        <v>3</v>
      </c>
      <c r="L99" s="51" t="s">
        <v>325</v>
      </c>
    </row>
    <row r="100" customFormat="false" ht="15" hidden="false" customHeight="false" outlineLevel="0" collapsed="false">
      <c r="A100" s="51" t="s">
        <v>326</v>
      </c>
      <c r="B100" s="51" t="s">
        <v>89</v>
      </c>
      <c r="C100" s="51" t="s">
        <v>286</v>
      </c>
      <c r="D100" s="51" t="s">
        <v>327</v>
      </c>
      <c r="E100" s="52" t="n">
        <v>45194</v>
      </c>
      <c r="F100" s="52" t="n">
        <v>45412</v>
      </c>
      <c r="G100" s="51" t="n">
        <f aca="false">IF(OR(E100="",F100=""),"",IF(B100="Milestone",0,F100-E100+1))</f>
        <v>219</v>
      </c>
      <c r="H100" s="51" t="s">
        <v>328</v>
      </c>
      <c r="I100" s="51" t="s">
        <v>329</v>
      </c>
      <c r="J100" s="51" t="s">
        <v>288</v>
      </c>
      <c r="K100" s="51" t="n">
        <v>3</v>
      </c>
      <c r="L100" s="51" t="s">
        <v>330</v>
      </c>
    </row>
    <row r="101" customFormat="false" ht="15" hidden="false" customHeight="false" outlineLevel="0" collapsed="false">
      <c r="A101" s="51" t="s">
        <v>331</v>
      </c>
      <c r="B101" s="51" t="s">
        <v>89</v>
      </c>
      <c r="C101" s="51" t="s">
        <v>286</v>
      </c>
      <c r="D101" s="51" t="s">
        <v>332</v>
      </c>
      <c r="E101" s="52" t="n">
        <v>45203</v>
      </c>
      <c r="F101" s="52" t="n">
        <v>45499</v>
      </c>
      <c r="G101" s="51" t="n">
        <f aca="false">IF(OR(E101="",F101=""),"",IF(B101="Milestone",0,F101-E101+1))</f>
        <v>297</v>
      </c>
      <c r="H101" s="51" t="s">
        <v>333</v>
      </c>
      <c r="I101" s="51" t="s">
        <v>46</v>
      </c>
      <c r="J101" s="51" t="s">
        <v>288</v>
      </c>
      <c r="K101" s="51" t="n">
        <v>1</v>
      </c>
      <c r="L101" s="51" t="s">
        <v>334</v>
      </c>
    </row>
    <row r="102" customFormat="false" ht="15" hidden="false" customHeight="false" outlineLevel="0" collapsed="false">
      <c r="A102" s="51" t="s">
        <v>335</v>
      </c>
      <c r="B102" s="51" t="s">
        <v>89</v>
      </c>
      <c r="C102" s="51" t="s">
        <v>286</v>
      </c>
      <c r="D102" s="51" t="s">
        <v>336</v>
      </c>
      <c r="E102" s="52" t="n">
        <v>45204</v>
      </c>
      <c r="F102" s="52" t="n">
        <v>45230</v>
      </c>
      <c r="G102" s="51" t="n">
        <f aca="false">IF(OR(E102="",F102=""),"",IF(B102="Milestone",0,F102-E102+1))</f>
        <v>27</v>
      </c>
      <c r="H102" s="51" t="s">
        <v>337</v>
      </c>
      <c r="I102" s="51" t="s">
        <v>46</v>
      </c>
      <c r="J102" s="51" t="s">
        <v>288</v>
      </c>
      <c r="K102" s="51" t="n">
        <v>4</v>
      </c>
      <c r="L102" s="51" t="s">
        <v>338</v>
      </c>
    </row>
    <row r="103" customFormat="false" ht="15" hidden="false" customHeight="false" outlineLevel="0" collapsed="false">
      <c r="A103" s="51" t="s">
        <v>339</v>
      </c>
      <c r="B103" s="51" t="s">
        <v>89</v>
      </c>
      <c r="C103" s="51" t="s">
        <v>286</v>
      </c>
      <c r="D103" s="51" t="s">
        <v>340</v>
      </c>
      <c r="E103" s="52" t="n">
        <v>45352</v>
      </c>
      <c r="F103" s="52" t="n">
        <v>45412</v>
      </c>
      <c r="G103" s="51" t="n">
        <f aca="false">IF(OR(E103="",F103=""),"",IF(B103="Milestone",0,F103-E103+1))</f>
        <v>61</v>
      </c>
      <c r="H103" s="51" t="s">
        <v>157</v>
      </c>
      <c r="I103" s="51" t="s">
        <v>46</v>
      </c>
      <c r="J103" s="51" t="s">
        <v>288</v>
      </c>
      <c r="K103" s="51" t="n">
        <v>4</v>
      </c>
      <c r="L103" s="51" t="s">
        <v>341</v>
      </c>
    </row>
    <row r="104" customFormat="false" ht="15" hidden="false" customHeight="false" outlineLevel="0" collapsed="false">
      <c r="A104" s="51" t="s">
        <v>342</v>
      </c>
      <c r="B104" s="51" t="s">
        <v>89</v>
      </c>
      <c r="C104" s="51" t="s">
        <v>286</v>
      </c>
      <c r="D104" s="51" t="s">
        <v>343</v>
      </c>
      <c r="E104" s="52" t="n">
        <v>45413</v>
      </c>
      <c r="F104" s="52" t="n">
        <v>45443</v>
      </c>
      <c r="G104" s="51" t="n">
        <f aca="false">IF(OR(E104="",F104=""),"",IF(B104="Milestone",0,F104-E104+1))</f>
        <v>31</v>
      </c>
      <c r="H104" s="51" t="s">
        <v>118</v>
      </c>
      <c r="I104" s="51" t="s">
        <v>46</v>
      </c>
      <c r="J104" s="51" t="s">
        <v>288</v>
      </c>
      <c r="K104" s="51" t="n">
        <v>3</v>
      </c>
      <c r="L104" s="51" t="s">
        <v>344</v>
      </c>
    </row>
    <row r="105" customFormat="false" ht="15" hidden="false" customHeight="false" outlineLevel="0" collapsed="false">
      <c r="A105" s="51" t="s">
        <v>345</v>
      </c>
      <c r="B105" s="51" t="s">
        <v>99</v>
      </c>
      <c r="C105" s="51" t="s">
        <v>286</v>
      </c>
      <c r="D105" s="51" t="s">
        <v>346</v>
      </c>
      <c r="E105" s="52" t="n">
        <v>45000</v>
      </c>
      <c r="F105" s="52" t="n">
        <v>45581</v>
      </c>
      <c r="G105" s="51" t="n">
        <f aca="false">IF(OR(E105="",F105=""),"",IF(B105="Milestone",0,F105-E105+1))</f>
        <v>582</v>
      </c>
      <c r="H105" s="51" t="s">
        <v>101</v>
      </c>
      <c r="I105" s="51" t="s">
        <v>46</v>
      </c>
      <c r="J105" s="51" t="s">
        <v>347</v>
      </c>
      <c r="K105" s="51"/>
      <c r="L105" s="51"/>
    </row>
    <row r="106" customFormat="false" ht="15" hidden="false" customHeight="false" outlineLevel="0" collapsed="false">
      <c r="A106" s="51" t="s">
        <v>348</v>
      </c>
      <c r="B106" s="51" t="s">
        <v>163</v>
      </c>
      <c r="C106" s="51" t="s">
        <v>286</v>
      </c>
      <c r="D106" s="51" t="s">
        <v>349</v>
      </c>
      <c r="E106" s="52" t="n">
        <v>45189</v>
      </c>
      <c r="F106" s="52" t="n">
        <v>45203</v>
      </c>
      <c r="G106" s="51" t="n">
        <f aca="false">IF(OR(E106="",F106=""),"",IF(B106="Milestone",0,F106-E106+1))</f>
        <v>15</v>
      </c>
      <c r="H106" s="51" t="s">
        <v>165</v>
      </c>
      <c r="I106" s="51" t="s">
        <v>46</v>
      </c>
      <c r="J106" s="51" t="s">
        <v>350</v>
      </c>
      <c r="K106" s="51"/>
      <c r="L106" s="51"/>
    </row>
    <row r="107" customFormat="false" ht="15" hidden="false" customHeight="false" outlineLevel="0" collapsed="false">
      <c r="A107" s="51" t="s">
        <v>351</v>
      </c>
      <c r="B107" s="51" t="s">
        <v>163</v>
      </c>
      <c r="C107" s="51" t="s">
        <v>286</v>
      </c>
      <c r="D107" s="51" t="s">
        <v>352</v>
      </c>
      <c r="E107" s="52" t="n">
        <v>45194</v>
      </c>
      <c r="F107" s="52" t="n">
        <v>45203</v>
      </c>
      <c r="G107" s="51" t="n">
        <f aca="false">IF(OR(E107="",F107=""),"",IF(B107="Milestone",0,F107-E107+1))</f>
        <v>10</v>
      </c>
      <c r="H107" s="51" t="s">
        <v>165</v>
      </c>
      <c r="I107" s="51" t="s">
        <v>46</v>
      </c>
      <c r="J107" s="51" t="s">
        <v>350</v>
      </c>
      <c r="K107" s="51"/>
      <c r="L107" s="51"/>
    </row>
    <row r="108" customFormat="false" ht="15" hidden="false" customHeight="false" outlineLevel="0" collapsed="false">
      <c r="A108" s="51" t="s">
        <v>353</v>
      </c>
      <c r="B108" s="51" t="s">
        <v>163</v>
      </c>
      <c r="C108" s="51" t="s">
        <v>286</v>
      </c>
      <c r="D108" s="51" t="s">
        <v>354</v>
      </c>
      <c r="E108" s="52" t="n">
        <v>45397</v>
      </c>
      <c r="F108" s="52" t="n">
        <v>45412</v>
      </c>
      <c r="G108" s="51" t="n">
        <f aca="false">IF(OR(E108="",F108=""),"",IF(B108="Milestone",0,F108-E108+1))</f>
        <v>16</v>
      </c>
      <c r="H108" s="51" t="s">
        <v>165</v>
      </c>
      <c r="I108" s="51" t="s">
        <v>46</v>
      </c>
      <c r="J108" s="51" t="s">
        <v>355</v>
      </c>
      <c r="K108" s="51"/>
      <c r="L108" s="51"/>
    </row>
    <row r="109" customFormat="false" ht="15" hidden="false" customHeight="false" outlineLevel="0" collapsed="false">
      <c r="A109" s="51" t="s">
        <v>356</v>
      </c>
      <c r="B109" s="51" t="s">
        <v>357</v>
      </c>
      <c r="C109" s="51" t="s">
        <v>286</v>
      </c>
      <c r="D109" s="51" t="s">
        <v>358</v>
      </c>
      <c r="E109" s="52"/>
      <c r="F109" s="52"/>
      <c r="G109" s="51" t="str">
        <f aca="false">IF(OR(E109="",F109=""),"",IF(B109="Milestone",0,F109-E109+1))</f>
        <v/>
      </c>
      <c r="H109" s="51" t="s">
        <v>359</v>
      </c>
      <c r="I109" s="51" t="s">
        <v>40</v>
      </c>
      <c r="J109" s="51"/>
      <c r="K109" s="51" t="n">
        <v>3</v>
      </c>
      <c r="L109" s="51" t="s">
        <v>360</v>
      </c>
    </row>
    <row r="110" customFormat="false" ht="15" hidden="false" customHeight="false" outlineLevel="0" collapsed="false">
      <c r="A110" s="53" t="s">
        <v>361</v>
      </c>
      <c r="B110" s="53" t="s">
        <v>79</v>
      </c>
      <c r="C110" s="53" t="s">
        <v>362</v>
      </c>
      <c r="D110" s="53" t="s">
        <v>363</v>
      </c>
      <c r="E110" s="54" t="n">
        <f aca="false">MIN(E111:E116)</f>
        <v>44972</v>
      </c>
      <c r="F110" s="54" t="n">
        <f aca="false">MAX(F111:F116)</f>
        <v>45581</v>
      </c>
      <c r="G110" s="53" t="n">
        <f aca="false">IF(OR(E110="",F110=""),"",IF(B110="Milestone",0,F110-E110+1))</f>
        <v>610</v>
      </c>
      <c r="H110" s="53" t="s">
        <v>82</v>
      </c>
      <c r="I110" s="53" t="s">
        <v>83</v>
      </c>
      <c r="J110" s="53"/>
      <c r="K110" s="53"/>
      <c r="L110" s="53"/>
    </row>
    <row r="111" customFormat="false" ht="15" hidden="false" customHeight="false" outlineLevel="0" collapsed="false">
      <c r="A111" s="55" t="s">
        <v>364</v>
      </c>
      <c r="B111" s="55" t="s">
        <v>85</v>
      </c>
      <c r="C111" s="55" t="s">
        <v>362</v>
      </c>
      <c r="D111" s="55" t="s">
        <v>365</v>
      </c>
      <c r="E111" s="56" t="n">
        <v>44972</v>
      </c>
      <c r="F111" s="56" t="n">
        <v>44999</v>
      </c>
      <c r="G111" s="55" t="n">
        <f aca="false">IF(OR(E111="",F111=""),"",IF(B111="Milestone",0,F111-E111+1))</f>
        <v>28</v>
      </c>
      <c r="H111" s="55" t="s">
        <v>87</v>
      </c>
      <c r="I111" s="55" t="s">
        <v>46</v>
      </c>
      <c r="J111" s="55"/>
      <c r="K111" s="55"/>
      <c r="L111" s="55"/>
    </row>
    <row r="112" customFormat="false" ht="15" hidden="false" customHeight="false" outlineLevel="0" collapsed="false">
      <c r="A112" s="55" t="s">
        <v>366</v>
      </c>
      <c r="B112" s="55" t="s">
        <v>89</v>
      </c>
      <c r="C112" s="55" t="s">
        <v>362</v>
      </c>
      <c r="D112" s="55" t="s">
        <v>367</v>
      </c>
      <c r="E112" s="56" t="n">
        <v>45000</v>
      </c>
      <c r="F112" s="56" t="n">
        <v>45581</v>
      </c>
      <c r="G112" s="55" t="n">
        <f aca="false">IF(OR(E112="",F112=""),"",IF(B112="Milestone",0,F112-E112+1))</f>
        <v>582</v>
      </c>
      <c r="H112" s="55" t="s">
        <v>91</v>
      </c>
      <c r="I112" s="55" t="s">
        <v>46</v>
      </c>
      <c r="J112" s="55" t="s">
        <v>364</v>
      </c>
      <c r="K112" s="55" t="n">
        <v>14</v>
      </c>
      <c r="L112" s="55" t="s">
        <v>368</v>
      </c>
    </row>
    <row r="113" customFormat="false" ht="15" hidden="false" customHeight="false" outlineLevel="0" collapsed="false">
      <c r="A113" s="55" t="s">
        <v>369</v>
      </c>
      <c r="B113" s="55" t="s">
        <v>89</v>
      </c>
      <c r="C113" s="55" t="s">
        <v>362</v>
      </c>
      <c r="D113" s="55" t="s">
        <v>370</v>
      </c>
      <c r="E113" s="56" t="n">
        <v>45017</v>
      </c>
      <c r="F113" s="56" t="n">
        <v>45231</v>
      </c>
      <c r="G113" s="55" t="n">
        <f aca="false">IF(OR(E113="",F113=""),"",IF(B113="Milestone",0,F113-E113+1))</f>
        <v>215</v>
      </c>
      <c r="H113" s="55" t="s">
        <v>114</v>
      </c>
      <c r="I113" s="55" t="s">
        <v>96</v>
      </c>
      <c r="J113" s="55" t="s">
        <v>364</v>
      </c>
      <c r="K113" s="55" t="n">
        <v>2</v>
      </c>
      <c r="L113" s="55" t="s">
        <v>371</v>
      </c>
    </row>
    <row r="114" customFormat="false" ht="15" hidden="false" customHeight="false" outlineLevel="0" collapsed="false">
      <c r="A114" s="55" t="s">
        <v>372</v>
      </c>
      <c r="B114" s="55" t="s">
        <v>89</v>
      </c>
      <c r="C114" s="55" t="s">
        <v>362</v>
      </c>
      <c r="D114" s="55" t="s">
        <v>373</v>
      </c>
      <c r="E114" s="56" t="n">
        <v>45078</v>
      </c>
      <c r="F114" s="56" t="n">
        <v>45224</v>
      </c>
      <c r="G114" s="55" t="n">
        <f aca="false">IF(OR(E114="",F114=""),"",IF(B114="Milestone",0,F114-E114+1))</f>
        <v>147</v>
      </c>
      <c r="H114" s="55" t="s">
        <v>149</v>
      </c>
      <c r="I114" s="55" t="s">
        <v>96</v>
      </c>
      <c r="J114" s="55" t="s">
        <v>364</v>
      </c>
      <c r="K114" s="55" t="n">
        <v>2</v>
      </c>
      <c r="L114" s="55" t="s">
        <v>374</v>
      </c>
    </row>
    <row r="115" customFormat="false" ht="15" hidden="false" customHeight="false" outlineLevel="0" collapsed="false">
      <c r="A115" s="55" t="s">
        <v>375</v>
      </c>
      <c r="B115" s="55" t="s">
        <v>89</v>
      </c>
      <c r="C115" s="55" t="s">
        <v>362</v>
      </c>
      <c r="D115" s="55" t="s">
        <v>376</v>
      </c>
      <c r="E115" s="56" t="n">
        <v>45139</v>
      </c>
      <c r="F115" s="56" t="n">
        <v>45481</v>
      </c>
      <c r="G115" s="55" t="n">
        <f aca="false">IF(OR(E115="",F115=""),"",IF(B115="Milestone",0,F115-E115+1))</f>
        <v>343</v>
      </c>
      <c r="H115" s="55" t="s">
        <v>153</v>
      </c>
      <c r="I115" s="55" t="s">
        <v>96</v>
      </c>
      <c r="J115" s="55" t="s">
        <v>364</v>
      </c>
      <c r="K115" s="55" t="n">
        <v>1</v>
      </c>
      <c r="L115" s="55" t="s">
        <v>377</v>
      </c>
    </row>
    <row r="116" customFormat="false" ht="15" hidden="false" customHeight="false" outlineLevel="0" collapsed="false">
      <c r="A116" s="55" t="s">
        <v>378</v>
      </c>
      <c r="B116" s="55" t="s">
        <v>99</v>
      </c>
      <c r="C116" s="55" t="s">
        <v>362</v>
      </c>
      <c r="D116" s="55" t="s">
        <v>379</v>
      </c>
      <c r="E116" s="56" t="n">
        <v>45000</v>
      </c>
      <c r="F116" s="56" t="n">
        <v>45581</v>
      </c>
      <c r="G116" s="55" t="n">
        <f aca="false">IF(OR(E116="",F116=""),"",IF(B116="Milestone",0,F116-E116+1))</f>
        <v>582</v>
      </c>
      <c r="H116" s="55" t="s">
        <v>101</v>
      </c>
      <c r="I116" s="55" t="s">
        <v>46</v>
      </c>
      <c r="J116" s="55" t="s">
        <v>380</v>
      </c>
      <c r="K116" s="55"/>
      <c r="L116" s="55"/>
    </row>
    <row r="117" customFormat="false" ht="15" hidden="false" customHeight="false" outlineLevel="0" collapsed="false">
      <c r="A117" s="57" t="s">
        <v>381</v>
      </c>
      <c r="B117" s="57" t="s">
        <v>79</v>
      </c>
      <c r="C117" s="57" t="s">
        <v>382</v>
      </c>
      <c r="D117" s="57" t="s">
        <v>383</v>
      </c>
      <c r="E117" s="58" t="n">
        <f aca="false">MIN(E118:E122)</f>
        <v>44972</v>
      </c>
      <c r="F117" s="58" t="n">
        <f aca="false">MAX(F118:F122)</f>
        <v>45581</v>
      </c>
      <c r="G117" s="57" t="n">
        <f aca="false">IF(OR(E117="",F117=""),"",IF(B117="Milestone",0,F117-E117+1))</f>
        <v>610</v>
      </c>
      <c r="H117" s="57" t="s">
        <v>82</v>
      </c>
      <c r="I117" s="57" t="s">
        <v>83</v>
      </c>
      <c r="J117" s="57"/>
      <c r="K117" s="57"/>
      <c r="L117" s="57"/>
    </row>
    <row r="118" customFormat="false" ht="15" hidden="false" customHeight="false" outlineLevel="0" collapsed="false">
      <c r="A118" s="59" t="s">
        <v>384</v>
      </c>
      <c r="B118" s="59" t="s">
        <v>85</v>
      </c>
      <c r="C118" s="59" t="s">
        <v>382</v>
      </c>
      <c r="D118" s="59" t="s">
        <v>385</v>
      </c>
      <c r="E118" s="60" t="n">
        <v>44972</v>
      </c>
      <c r="F118" s="60" t="n">
        <v>44999</v>
      </c>
      <c r="G118" s="59" t="n">
        <f aca="false">IF(OR(E118="",F118=""),"",IF(B118="Milestone",0,F118-E118+1))</f>
        <v>28</v>
      </c>
      <c r="H118" s="59" t="s">
        <v>87</v>
      </c>
      <c r="I118" s="59" t="s">
        <v>46</v>
      </c>
      <c r="J118" s="59"/>
      <c r="K118" s="59"/>
      <c r="L118" s="59"/>
    </row>
    <row r="119" customFormat="false" ht="15" hidden="false" customHeight="false" outlineLevel="0" collapsed="false">
      <c r="A119" s="59" t="s">
        <v>386</v>
      </c>
      <c r="B119" s="59" t="s">
        <v>89</v>
      </c>
      <c r="C119" s="59" t="s">
        <v>382</v>
      </c>
      <c r="D119" s="59" t="s">
        <v>387</v>
      </c>
      <c r="E119" s="60" t="n">
        <v>45000</v>
      </c>
      <c r="F119" s="60" t="n">
        <v>45581</v>
      </c>
      <c r="G119" s="59" t="n">
        <f aca="false">IF(OR(E119="",F119=""),"",IF(B119="Milestone",0,F119-E119+1))</f>
        <v>582</v>
      </c>
      <c r="H119" s="59" t="s">
        <v>91</v>
      </c>
      <c r="I119" s="59" t="s">
        <v>46</v>
      </c>
      <c r="J119" s="59" t="s">
        <v>384</v>
      </c>
      <c r="K119" s="59" t="n">
        <v>1</v>
      </c>
      <c r="L119" s="59" t="s">
        <v>388</v>
      </c>
    </row>
    <row r="120" customFormat="false" ht="15" hidden="false" customHeight="false" outlineLevel="0" collapsed="false">
      <c r="A120" s="59" t="s">
        <v>389</v>
      </c>
      <c r="B120" s="59" t="s">
        <v>89</v>
      </c>
      <c r="C120" s="59" t="s">
        <v>382</v>
      </c>
      <c r="D120" s="59" t="s">
        <v>390</v>
      </c>
      <c r="E120" s="60" t="n">
        <v>45505</v>
      </c>
      <c r="F120" s="60" t="n">
        <v>45535</v>
      </c>
      <c r="G120" s="59" t="n">
        <f aca="false">IF(OR(E120="",F120=""),"",IF(B120="Milestone",0,F120-E120+1))</f>
        <v>31</v>
      </c>
      <c r="H120" s="59" t="s">
        <v>391</v>
      </c>
      <c r="I120" s="59" t="s">
        <v>69</v>
      </c>
      <c r="J120" s="59" t="s">
        <v>384</v>
      </c>
      <c r="K120" s="59" t="n">
        <v>6</v>
      </c>
      <c r="L120" s="59" t="s">
        <v>392</v>
      </c>
    </row>
    <row r="121" customFormat="false" ht="15" hidden="false" customHeight="false" outlineLevel="0" collapsed="false">
      <c r="A121" s="59" t="s">
        <v>393</v>
      </c>
      <c r="B121" s="59" t="s">
        <v>89</v>
      </c>
      <c r="C121" s="59" t="s">
        <v>382</v>
      </c>
      <c r="D121" s="59" t="s">
        <v>394</v>
      </c>
      <c r="E121" s="60" t="n">
        <v>45505</v>
      </c>
      <c r="F121" s="60" t="n">
        <v>45565</v>
      </c>
      <c r="G121" s="59" t="n">
        <f aca="false">IF(OR(E121="",F121=""),"",IF(B121="Milestone",0,F121-E121+1))</f>
        <v>61</v>
      </c>
      <c r="H121" s="59" t="s">
        <v>395</v>
      </c>
      <c r="I121" s="59" t="s">
        <v>46</v>
      </c>
      <c r="J121" s="59" t="s">
        <v>384</v>
      </c>
      <c r="K121" s="59" t="n">
        <v>5</v>
      </c>
      <c r="L121" s="59" t="s">
        <v>396</v>
      </c>
    </row>
    <row r="122" customFormat="false" ht="15" hidden="false" customHeight="false" outlineLevel="0" collapsed="false">
      <c r="A122" s="59" t="s">
        <v>397</v>
      </c>
      <c r="B122" s="59" t="s">
        <v>99</v>
      </c>
      <c r="C122" s="59" t="s">
        <v>382</v>
      </c>
      <c r="D122" s="59" t="s">
        <v>398</v>
      </c>
      <c r="E122" s="60" t="n">
        <v>45000</v>
      </c>
      <c r="F122" s="60" t="n">
        <v>45581</v>
      </c>
      <c r="G122" s="59" t="n">
        <f aca="false">IF(OR(E122="",F122=""),"",IF(B122="Milestone",0,F122-E122+1))</f>
        <v>582</v>
      </c>
      <c r="H122" s="59" t="s">
        <v>101</v>
      </c>
      <c r="I122" s="59" t="s">
        <v>46</v>
      </c>
      <c r="J122" s="59" t="s">
        <v>399</v>
      </c>
      <c r="K122" s="59"/>
      <c r="L122" s="59"/>
    </row>
    <row r="123" customFormat="false" ht="15" hidden="false" customHeight="false" outlineLevel="0" collapsed="false">
      <c r="A123" s="61" t="s">
        <v>400</v>
      </c>
      <c r="B123" s="61" t="s">
        <v>79</v>
      </c>
      <c r="C123" s="61" t="s">
        <v>401</v>
      </c>
      <c r="D123" s="61" t="s">
        <v>402</v>
      </c>
      <c r="E123" s="62" t="n">
        <f aca="false">MIN(E124:E132)</f>
        <v>44972</v>
      </c>
      <c r="F123" s="62" t="n">
        <f aca="false">MAX(F124:F132)</f>
        <v>45481</v>
      </c>
      <c r="G123" s="61" t="n">
        <f aca="false">IF(OR(E123="",F123=""),"",IF(B123="Milestone",0,F123-E123+1))</f>
        <v>510</v>
      </c>
      <c r="H123" s="61" t="s">
        <v>82</v>
      </c>
      <c r="I123" s="61" t="s">
        <v>83</v>
      </c>
      <c r="J123" s="61"/>
      <c r="K123" s="61"/>
      <c r="L123" s="61"/>
    </row>
    <row r="124" customFormat="false" ht="15" hidden="false" customHeight="false" outlineLevel="0" collapsed="false">
      <c r="A124" s="63" t="s">
        <v>403</v>
      </c>
      <c r="B124" s="63" t="s">
        <v>85</v>
      </c>
      <c r="C124" s="63" t="s">
        <v>401</v>
      </c>
      <c r="D124" s="63" t="s">
        <v>404</v>
      </c>
      <c r="E124" s="64" t="n">
        <v>44972</v>
      </c>
      <c r="F124" s="64" t="n">
        <v>45016</v>
      </c>
      <c r="G124" s="63" t="n">
        <f aca="false">IF(OR(E124="",F124=""),"",IF(B124="Milestone",0,F124-E124+1))</f>
        <v>45</v>
      </c>
      <c r="H124" s="63" t="s">
        <v>87</v>
      </c>
      <c r="I124" s="63" t="s">
        <v>46</v>
      </c>
      <c r="J124" s="63"/>
      <c r="K124" s="63"/>
      <c r="L124" s="63"/>
    </row>
    <row r="125" customFormat="false" ht="15" hidden="false" customHeight="false" outlineLevel="0" collapsed="false">
      <c r="A125" s="63" t="s">
        <v>405</v>
      </c>
      <c r="B125" s="63" t="s">
        <v>89</v>
      </c>
      <c r="C125" s="63" t="s">
        <v>401</v>
      </c>
      <c r="D125" s="63" t="s">
        <v>406</v>
      </c>
      <c r="E125" s="64" t="n">
        <v>45017</v>
      </c>
      <c r="F125" s="64" t="n">
        <v>45138</v>
      </c>
      <c r="G125" s="63" t="n">
        <f aca="false">IF(OR(E125="",F125=""),"",IF(B125="Milestone",0,F125-E125+1))</f>
        <v>122</v>
      </c>
      <c r="H125" s="63" t="s">
        <v>130</v>
      </c>
      <c r="I125" s="63" t="s">
        <v>69</v>
      </c>
      <c r="J125" s="63" t="s">
        <v>403</v>
      </c>
      <c r="K125" s="63" t="n">
        <v>5</v>
      </c>
      <c r="L125" s="63" t="s">
        <v>407</v>
      </c>
    </row>
    <row r="126" customFormat="false" ht="15" hidden="false" customHeight="false" outlineLevel="0" collapsed="false">
      <c r="A126" s="63" t="s">
        <v>408</v>
      </c>
      <c r="B126" s="63" t="s">
        <v>89</v>
      </c>
      <c r="C126" s="63" t="s">
        <v>401</v>
      </c>
      <c r="D126" s="63" t="s">
        <v>409</v>
      </c>
      <c r="E126" s="64" t="n">
        <v>45017</v>
      </c>
      <c r="F126" s="64" t="n">
        <v>45210</v>
      </c>
      <c r="G126" s="63" t="n">
        <f aca="false">IF(OR(E126="",F126=""),"",IF(B126="Milestone",0,F126-E126+1))</f>
        <v>194</v>
      </c>
      <c r="H126" s="63" t="s">
        <v>95</v>
      </c>
      <c r="I126" s="63" t="s">
        <v>96</v>
      </c>
      <c r="J126" s="63" t="s">
        <v>403</v>
      </c>
      <c r="K126" s="63" t="n">
        <v>2</v>
      </c>
      <c r="L126" s="63" t="s">
        <v>410</v>
      </c>
    </row>
    <row r="127" customFormat="false" ht="15" hidden="false" customHeight="false" outlineLevel="0" collapsed="false">
      <c r="A127" s="63" t="s">
        <v>411</v>
      </c>
      <c r="B127" s="63" t="s">
        <v>89</v>
      </c>
      <c r="C127" s="63" t="s">
        <v>401</v>
      </c>
      <c r="D127" s="63" t="s">
        <v>412</v>
      </c>
      <c r="E127" s="64" t="n">
        <v>45017</v>
      </c>
      <c r="F127" s="64" t="n">
        <v>45231</v>
      </c>
      <c r="G127" s="63" t="n">
        <f aca="false">IF(OR(E127="",F127=""),"",IF(B127="Milestone",0,F127-E127+1))</f>
        <v>215</v>
      </c>
      <c r="H127" s="63" t="s">
        <v>138</v>
      </c>
      <c r="I127" s="63" t="s">
        <v>96</v>
      </c>
      <c r="J127" s="63" t="s">
        <v>403</v>
      </c>
      <c r="K127" s="63" t="n">
        <v>5</v>
      </c>
      <c r="L127" s="63" t="s">
        <v>413</v>
      </c>
    </row>
    <row r="128" customFormat="false" ht="15" hidden="false" customHeight="false" outlineLevel="0" collapsed="false">
      <c r="A128" s="63" t="s">
        <v>414</v>
      </c>
      <c r="B128" s="63" t="s">
        <v>89</v>
      </c>
      <c r="C128" s="63" t="s">
        <v>401</v>
      </c>
      <c r="D128" s="63" t="s">
        <v>415</v>
      </c>
      <c r="E128" s="64" t="n">
        <v>45017</v>
      </c>
      <c r="F128" s="64" t="n">
        <v>45231</v>
      </c>
      <c r="G128" s="63" t="n">
        <f aca="false">IF(OR(E128="",F128=""),"",IF(B128="Milestone",0,F128-E128+1))</f>
        <v>215</v>
      </c>
      <c r="H128" s="63" t="s">
        <v>114</v>
      </c>
      <c r="I128" s="63" t="s">
        <v>96</v>
      </c>
      <c r="J128" s="63" t="s">
        <v>403</v>
      </c>
      <c r="K128" s="63" t="n">
        <v>70</v>
      </c>
      <c r="L128" s="63" t="s">
        <v>416</v>
      </c>
    </row>
    <row r="129" customFormat="false" ht="15" hidden="false" customHeight="false" outlineLevel="0" collapsed="false">
      <c r="A129" s="63" t="s">
        <v>417</v>
      </c>
      <c r="B129" s="63" t="s">
        <v>89</v>
      </c>
      <c r="C129" s="63" t="s">
        <v>401</v>
      </c>
      <c r="D129" s="63" t="s">
        <v>418</v>
      </c>
      <c r="E129" s="64" t="n">
        <v>45078</v>
      </c>
      <c r="F129" s="64" t="n">
        <v>45224</v>
      </c>
      <c r="G129" s="63" t="n">
        <f aca="false">IF(OR(E129="",F129=""),"",IF(B129="Milestone",0,F129-E129+1))</f>
        <v>147</v>
      </c>
      <c r="H129" s="63" t="s">
        <v>149</v>
      </c>
      <c r="I129" s="63" t="s">
        <v>96</v>
      </c>
      <c r="J129" s="63" t="s">
        <v>403</v>
      </c>
      <c r="K129" s="63" t="n">
        <v>4</v>
      </c>
      <c r="L129" s="63" t="s">
        <v>419</v>
      </c>
    </row>
    <row r="130" customFormat="false" ht="15" hidden="false" customHeight="false" outlineLevel="0" collapsed="false">
      <c r="A130" s="63" t="s">
        <v>420</v>
      </c>
      <c r="B130" s="63" t="s">
        <v>89</v>
      </c>
      <c r="C130" s="63" t="s">
        <v>401</v>
      </c>
      <c r="D130" s="63" t="s">
        <v>421</v>
      </c>
      <c r="E130" s="64" t="n">
        <v>45139</v>
      </c>
      <c r="F130" s="64" t="n">
        <v>45481</v>
      </c>
      <c r="G130" s="63" t="n">
        <f aca="false">IF(OR(E130="",F130=""),"",IF(B130="Milestone",0,F130-E130+1))</f>
        <v>343</v>
      </c>
      <c r="H130" s="63" t="s">
        <v>153</v>
      </c>
      <c r="I130" s="63" t="s">
        <v>96</v>
      </c>
      <c r="J130" s="63" t="s">
        <v>403</v>
      </c>
      <c r="K130" s="63" t="n">
        <v>2</v>
      </c>
      <c r="L130" s="63" t="s">
        <v>422</v>
      </c>
    </row>
    <row r="131" customFormat="false" ht="15" hidden="false" customHeight="false" outlineLevel="0" collapsed="false">
      <c r="A131" s="63" t="s">
        <v>423</v>
      </c>
      <c r="B131" s="63" t="s">
        <v>99</v>
      </c>
      <c r="C131" s="63" t="s">
        <v>401</v>
      </c>
      <c r="D131" s="63" t="s">
        <v>424</v>
      </c>
      <c r="E131" s="64" t="n">
        <v>45017</v>
      </c>
      <c r="F131" s="64" t="n">
        <v>45481</v>
      </c>
      <c r="G131" s="63" t="n">
        <f aca="false">IF(OR(E131="",F131=""),"",IF(B131="Milestone",0,F131-E131+1))</f>
        <v>465</v>
      </c>
      <c r="H131" s="63" t="s">
        <v>101</v>
      </c>
      <c r="I131" s="63" t="s">
        <v>46</v>
      </c>
      <c r="J131" s="63" t="s">
        <v>425</v>
      </c>
      <c r="K131" s="63"/>
      <c r="L131" s="63"/>
    </row>
    <row r="132" customFormat="false" ht="15" hidden="false" customHeight="false" outlineLevel="0" collapsed="false">
      <c r="A132" s="63" t="s">
        <v>426</v>
      </c>
      <c r="B132" s="63" t="s">
        <v>163</v>
      </c>
      <c r="C132" s="63" t="s">
        <v>401</v>
      </c>
      <c r="D132" s="63" t="s">
        <v>427</v>
      </c>
      <c r="E132" s="64" t="n">
        <v>45200</v>
      </c>
      <c r="F132" s="64" t="n">
        <v>45230</v>
      </c>
      <c r="G132" s="63" t="n">
        <f aca="false">IF(OR(E132="",F132=""),"",IF(B132="Milestone",0,F132-E132+1))</f>
        <v>31</v>
      </c>
      <c r="H132" s="63" t="s">
        <v>165</v>
      </c>
      <c r="I132" s="63" t="s">
        <v>46</v>
      </c>
      <c r="J132" s="63" t="s">
        <v>428</v>
      </c>
      <c r="K132" s="63"/>
      <c r="L132" s="63"/>
    </row>
    <row r="133" customFormat="false" ht="15" hidden="false" customHeight="false" outlineLevel="0" collapsed="false">
      <c r="A133" s="65" t="s">
        <v>429</v>
      </c>
      <c r="B133" s="65" t="s">
        <v>79</v>
      </c>
      <c r="C133" s="65" t="s">
        <v>430</v>
      </c>
      <c r="D133" s="65" t="s">
        <v>431</v>
      </c>
      <c r="E133" s="66" t="n">
        <f aca="false">MIN(E134:E136)</f>
        <v>44972</v>
      </c>
      <c r="F133" s="66" t="n">
        <f aca="false">MAX(F134:F136)</f>
        <v>45231</v>
      </c>
      <c r="G133" s="65" t="n">
        <f aca="false">IF(OR(E133="",F133=""),"",IF(B133="Milestone",0,F133-E133+1))</f>
        <v>260</v>
      </c>
      <c r="H133" s="65" t="s">
        <v>82</v>
      </c>
      <c r="I133" s="65" t="s">
        <v>83</v>
      </c>
      <c r="J133" s="65"/>
      <c r="K133" s="65"/>
      <c r="L133" s="65"/>
    </row>
    <row r="134" customFormat="false" ht="15" hidden="false" customHeight="false" outlineLevel="0" collapsed="false">
      <c r="A134" s="67" t="s">
        <v>432</v>
      </c>
      <c r="B134" s="67" t="s">
        <v>85</v>
      </c>
      <c r="C134" s="67" t="s">
        <v>430</v>
      </c>
      <c r="D134" s="67" t="s">
        <v>433</v>
      </c>
      <c r="E134" s="68" t="n">
        <v>44972</v>
      </c>
      <c r="F134" s="68" t="n">
        <v>45016</v>
      </c>
      <c r="G134" s="67" t="n">
        <f aca="false">IF(OR(E134="",F134=""),"",IF(B134="Milestone",0,F134-E134+1))</f>
        <v>45</v>
      </c>
      <c r="H134" s="67" t="s">
        <v>87</v>
      </c>
      <c r="I134" s="67" t="s">
        <v>46</v>
      </c>
      <c r="J134" s="67"/>
      <c r="K134" s="67"/>
      <c r="L134" s="67"/>
    </row>
    <row r="135" customFormat="false" ht="15" hidden="false" customHeight="false" outlineLevel="0" collapsed="false">
      <c r="A135" s="67" t="s">
        <v>434</v>
      </c>
      <c r="B135" s="67" t="s">
        <v>89</v>
      </c>
      <c r="C135" s="67" t="s">
        <v>430</v>
      </c>
      <c r="D135" s="67" t="s">
        <v>435</v>
      </c>
      <c r="E135" s="68" t="n">
        <v>45017</v>
      </c>
      <c r="F135" s="68" t="n">
        <v>45231</v>
      </c>
      <c r="G135" s="67" t="n">
        <f aca="false">IF(OR(E135="",F135=""),"",IF(B135="Milestone",0,F135-E135+1))</f>
        <v>215</v>
      </c>
      <c r="H135" s="67" t="s">
        <v>138</v>
      </c>
      <c r="I135" s="67" t="s">
        <v>96</v>
      </c>
      <c r="J135" s="67" t="s">
        <v>432</v>
      </c>
      <c r="K135" s="67" t="n">
        <v>1</v>
      </c>
      <c r="L135" s="67" t="s">
        <v>436</v>
      </c>
    </row>
    <row r="136" customFormat="false" ht="15" hidden="false" customHeight="false" outlineLevel="0" collapsed="false">
      <c r="A136" s="67" t="s">
        <v>437</v>
      </c>
      <c r="B136" s="67" t="s">
        <v>99</v>
      </c>
      <c r="C136" s="67" t="s">
        <v>430</v>
      </c>
      <c r="D136" s="67" t="s">
        <v>438</v>
      </c>
      <c r="E136" s="68" t="n">
        <v>45017</v>
      </c>
      <c r="F136" s="68" t="n">
        <v>45231</v>
      </c>
      <c r="G136" s="67" t="n">
        <f aca="false">IF(OR(E136="",F136=""),"",IF(B136="Milestone",0,F136-E136+1))</f>
        <v>215</v>
      </c>
      <c r="H136" s="67" t="s">
        <v>101</v>
      </c>
      <c r="I136" s="67" t="s">
        <v>46</v>
      </c>
      <c r="J136" s="67" t="s">
        <v>434</v>
      </c>
      <c r="K136" s="67"/>
      <c r="L136" s="67"/>
    </row>
    <row r="137" customFormat="false" ht="15" hidden="false" customHeight="false" outlineLevel="0" collapsed="false">
      <c r="A137" s="69" t="s">
        <v>439</v>
      </c>
      <c r="B137" s="69" t="s">
        <v>79</v>
      </c>
      <c r="C137" s="69" t="s">
        <v>440</v>
      </c>
      <c r="D137" s="69" t="s">
        <v>441</v>
      </c>
      <c r="E137" s="70" t="n">
        <f aca="false">MIN(E138:E140)</f>
        <v>44972</v>
      </c>
      <c r="F137" s="70" t="n">
        <f aca="false">MAX(F138:F140)</f>
        <v>45331</v>
      </c>
      <c r="G137" s="69" t="n">
        <f aca="false">IF(OR(E137="",F137=""),"",IF(B137="Milestone",0,F137-E137+1))</f>
        <v>360</v>
      </c>
      <c r="H137" s="69" t="s">
        <v>82</v>
      </c>
      <c r="I137" s="69" t="s">
        <v>83</v>
      </c>
      <c r="J137" s="69"/>
      <c r="K137" s="69"/>
      <c r="L137" s="69"/>
    </row>
    <row r="138" customFormat="false" ht="15" hidden="false" customHeight="false" outlineLevel="0" collapsed="false">
      <c r="A138" s="71" t="s">
        <v>442</v>
      </c>
      <c r="B138" s="71" t="s">
        <v>85</v>
      </c>
      <c r="C138" s="71" t="s">
        <v>440</v>
      </c>
      <c r="D138" s="71" t="s">
        <v>443</v>
      </c>
      <c r="E138" s="72" t="n">
        <v>44972</v>
      </c>
      <c r="F138" s="72" t="n">
        <v>45230</v>
      </c>
      <c r="G138" s="71" t="n">
        <f aca="false">IF(OR(E138="",F138=""),"",IF(B138="Milestone",0,F138-E138+1))</f>
        <v>259</v>
      </c>
      <c r="H138" s="71" t="s">
        <v>87</v>
      </c>
      <c r="I138" s="71" t="s">
        <v>46</v>
      </c>
      <c r="J138" s="71"/>
      <c r="K138" s="71"/>
      <c r="L138" s="71"/>
    </row>
    <row r="139" customFormat="false" ht="15" hidden="false" customHeight="false" outlineLevel="0" collapsed="false">
      <c r="A139" s="71" t="s">
        <v>444</v>
      </c>
      <c r="B139" s="71" t="s">
        <v>89</v>
      </c>
      <c r="C139" s="71" t="s">
        <v>440</v>
      </c>
      <c r="D139" s="71" t="s">
        <v>445</v>
      </c>
      <c r="E139" s="72" t="n">
        <v>45231</v>
      </c>
      <c r="F139" s="72" t="n">
        <v>45331</v>
      </c>
      <c r="G139" s="71" t="n">
        <f aca="false">IF(OR(E139="",F139=""),"",IF(B139="Milestone",0,F139-E139+1))</f>
        <v>101</v>
      </c>
      <c r="H139" s="71" t="s">
        <v>446</v>
      </c>
      <c r="I139" s="71" t="s">
        <v>46</v>
      </c>
      <c r="J139" s="71" t="s">
        <v>442</v>
      </c>
      <c r="K139" s="71" t="n">
        <v>2</v>
      </c>
      <c r="L139" s="71" t="s">
        <v>447</v>
      </c>
    </row>
    <row r="140" customFormat="false" ht="15" hidden="false" customHeight="false" outlineLevel="0" collapsed="false">
      <c r="A140" s="71" t="s">
        <v>448</v>
      </c>
      <c r="B140" s="71" t="s">
        <v>99</v>
      </c>
      <c r="C140" s="71" t="s">
        <v>440</v>
      </c>
      <c r="D140" s="71" t="s">
        <v>449</v>
      </c>
      <c r="E140" s="72" t="n">
        <v>45231</v>
      </c>
      <c r="F140" s="72" t="n">
        <v>45331</v>
      </c>
      <c r="G140" s="71" t="n">
        <f aca="false">IF(OR(E140="",F140=""),"",IF(B140="Milestone",0,F140-E140+1))</f>
        <v>101</v>
      </c>
      <c r="H140" s="71" t="s">
        <v>101</v>
      </c>
      <c r="I140" s="71" t="s">
        <v>46</v>
      </c>
      <c r="J140" s="71" t="s">
        <v>444</v>
      </c>
      <c r="K140" s="71"/>
      <c r="L140" s="71"/>
    </row>
    <row r="141" customFormat="false" ht="15" hidden="false" customHeight="false" outlineLevel="0" collapsed="false">
      <c r="A141" s="73" t="s">
        <v>450</v>
      </c>
      <c r="B141" s="73" t="s">
        <v>79</v>
      </c>
      <c r="C141" s="73" t="s">
        <v>451</v>
      </c>
      <c r="D141" s="73" t="s">
        <v>452</v>
      </c>
      <c r="E141" s="74" t="n">
        <f aca="false">MIN(E142:E150)</f>
        <v>44972</v>
      </c>
      <c r="F141" s="74" t="n">
        <f aca="false">MAX(F142:F150)</f>
        <v>45331</v>
      </c>
      <c r="G141" s="73" t="n">
        <f aca="false">IF(OR(E141="",F141=""),"",IF(B141="Milestone",0,F141-E141+1))</f>
        <v>360</v>
      </c>
      <c r="H141" s="73" t="s">
        <v>82</v>
      </c>
      <c r="I141" s="73" t="s">
        <v>83</v>
      </c>
      <c r="J141" s="73"/>
      <c r="K141" s="73"/>
      <c r="L141" s="73"/>
    </row>
    <row r="142" customFormat="false" ht="15" hidden="false" customHeight="false" outlineLevel="0" collapsed="false">
      <c r="A142" s="75" t="s">
        <v>453</v>
      </c>
      <c r="B142" s="75" t="s">
        <v>85</v>
      </c>
      <c r="C142" s="75" t="s">
        <v>451</v>
      </c>
      <c r="D142" s="75" t="s">
        <v>454</v>
      </c>
      <c r="E142" s="76" t="n">
        <v>44972</v>
      </c>
      <c r="F142" s="76" t="n">
        <v>45016</v>
      </c>
      <c r="G142" s="75" t="n">
        <f aca="false">IF(OR(E142="",F142=""),"",IF(B142="Milestone",0,F142-E142+1))</f>
        <v>45</v>
      </c>
      <c r="H142" s="75" t="s">
        <v>87</v>
      </c>
      <c r="I142" s="75" t="s">
        <v>46</v>
      </c>
      <c r="J142" s="75"/>
      <c r="K142" s="75"/>
      <c r="L142" s="75"/>
    </row>
    <row r="143" customFormat="false" ht="15" hidden="false" customHeight="false" outlineLevel="0" collapsed="false">
      <c r="A143" s="75" t="s">
        <v>455</v>
      </c>
      <c r="B143" s="75" t="s">
        <v>89</v>
      </c>
      <c r="C143" s="75" t="s">
        <v>451</v>
      </c>
      <c r="D143" s="75" t="s">
        <v>456</v>
      </c>
      <c r="E143" s="76" t="n">
        <v>45017</v>
      </c>
      <c r="F143" s="76" t="n">
        <v>45138</v>
      </c>
      <c r="G143" s="75" t="n">
        <f aca="false">IF(OR(E143="",F143=""),"",IF(B143="Milestone",0,F143-E143+1))</f>
        <v>122</v>
      </c>
      <c r="H143" s="75" t="s">
        <v>130</v>
      </c>
      <c r="I143" s="75" t="s">
        <v>69</v>
      </c>
      <c r="J143" s="75" t="s">
        <v>453</v>
      </c>
      <c r="K143" s="75" t="n">
        <v>10</v>
      </c>
      <c r="L143" s="75" t="s">
        <v>457</v>
      </c>
    </row>
    <row r="144" customFormat="false" ht="15" hidden="false" customHeight="false" outlineLevel="0" collapsed="false">
      <c r="A144" s="75" t="s">
        <v>458</v>
      </c>
      <c r="B144" s="75" t="s">
        <v>89</v>
      </c>
      <c r="C144" s="75" t="s">
        <v>451</v>
      </c>
      <c r="D144" s="75" t="s">
        <v>459</v>
      </c>
      <c r="E144" s="76" t="n">
        <v>45017</v>
      </c>
      <c r="F144" s="76" t="n">
        <v>45231</v>
      </c>
      <c r="G144" s="75" t="n">
        <f aca="false">IF(OR(E144="",F144=""),"",IF(B144="Milestone",0,F144-E144+1))</f>
        <v>215</v>
      </c>
      <c r="H144" s="75" t="s">
        <v>298</v>
      </c>
      <c r="I144" s="75" t="s">
        <v>96</v>
      </c>
      <c r="J144" s="75" t="s">
        <v>453</v>
      </c>
      <c r="K144" s="75" t="n">
        <v>1</v>
      </c>
      <c r="L144" s="75" t="s">
        <v>460</v>
      </c>
    </row>
    <row r="145" customFormat="false" ht="15" hidden="false" customHeight="false" outlineLevel="0" collapsed="false">
      <c r="A145" s="75" t="s">
        <v>461</v>
      </c>
      <c r="B145" s="75" t="s">
        <v>89</v>
      </c>
      <c r="C145" s="75" t="s">
        <v>451</v>
      </c>
      <c r="D145" s="75" t="s">
        <v>462</v>
      </c>
      <c r="E145" s="76" t="n">
        <v>45017</v>
      </c>
      <c r="F145" s="76" t="n">
        <v>45231</v>
      </c>
      <c r="G145" s="75" t="n">
        <f aca="false">IF(OR(E145="",F145=""),"",IF(B145="Milestone",0,F145-E145+1))</f>
        <v>215</v>
      </c>
      <c r="H145" s="75" t="s">
        <v>114</v>
      </c>
      <c r="I145" s="75" t="s">
        <v>96</v>
      </c>
      <c r="J145" s="75" t="s">
        <v>453</v>
      </c>
      <c r="K145" s="75" t="n">
        <v>4</v>
      </c>
      <c r="L145" s="75" t="s">
        <v>463</v>
      </c>
    </row>
    <row r="146" customFormat="false" ht="15" hidden="false" customHeight="false" outlineLevel="0" collapsed="false">
      <c r="A146" s="75" t="s">
        <v>464</v>
      </c>
      <c r="B146" s="75" t="s">
        <v>89</v>
      </c>
      <c r="C146" s="75" t="s">
        <v>451</v>
      </c>
      <c r="D146" s="75" t="s">
        <v>465</v>
      </c>
      <c r="E146" s="76" t="n">
        <v>45047</v>
      </c>
      <c r="F146" s="76" t="n">
        <v>45217</v>
      </c>
      <c r="G146" s="75" t="n">
        <f aca="false">IF(OR(E146="",F146=""),"",IF(B146="Milestone",0,F146-E146+1))</f>
        <v>171</v>
      </c>
      <c r="H146" s="75" t="s">
        <v>145</v>
      </c>
      <c r="I146" s="75" t="s">
        <v>96</v>
      </c>
      <c r="J146" s="75" t="s">
        <v>453</v>
      </c>
      <c r="K146" s="75" t="n">
        <v>15</v>
      </c>
      <c r="L146" s="75" t="s">
        <v>466</v>
      </c>
    </row>
    <row r="147" customFormat="false" ht="15" hidden="false" customHeight="false" outlineLevel="0" collapsed="false">
      <c r="A147" s="75" t="s">
        <v>467</v>
      </c>
      <c r="B147" s="75" t="s">
        <v>89</v>
      </c>
      <c r="C147" s="75" t="s">
        <v>451</v>
      </c>
      <c r="D147" s="75" t="s">
        <v>468</v>
      </c>
      <c r="E147" s="76" t="n">
        <v>45231</v>
      </c>
      <c r="F147" s="76" t="n">
        <v>45331</v>
      </c>
      <c r="G147" s="75" t="n">
        <f aca="false">IF(OR(E147="",F147=""),"",IF(B147="Milestone",0,F147-E147+1))</f>
        <v>101</v>
      </c>
      <c r="H147" s="75" t="s">
        <v>446</v>
      </c>
      <c r="I147" s="75" t="s">
        <v>46</v>
      </c>
      <c r="J147" s="75" t="s">
        <v>453</v>
      </c>
      <c r="K147" s="75" t="n">
        <v>1</v>
      </c>
      <c r="L147" s="75" t="s">
        <v>469</v>
      </c>
    </row>
    <row r="148" customFormat="false" ht="15" hidden="false" customHeight="false" outlineLevel="0" collapsed="false">
      <c r="A148" s="75" t="s">
        <v>470</v>
      </c>
      <c r="B148" s="75" t="s">
        <v>99</v>
      </c>
      <c r="C148" s="75" t="s">
        <v>451</v>
      </c>
      <c r="D148" s="75" t="s">
        <v>471</v>
      </c>
      <c r="E148" s="76" t="n">
        <v>45017</v>
      </c>
      <c r="F148" s="76" t="n">
        <v>45331</v>
      </c>
      <c r="G148" s="75" t="n">
        <f aca="false">IF(OR(E148="",F148=""),"",IF(B148="Milestone",0,F148-E148+1))</f>
        <v>315</v>
      </c>
      <c r="H148" s="75" t="s">
        <v>101</v>
      </c>
      <c r="I148" s="75" t="s">
        <v>46</v>
      </c>
      <c r="J148" s="75" t="s">
        <v>472</v>
      </c>
      <c r="K148" s="75"/>
      <c r="L148" s="75"/>
    </row>
    <row r="149" customFormat="false" ht="15" hidden="false" customHeight="false" outlineLevel="0" collapsed="false">
      <c r="A149" s="75" t="s">
        <v>473</v>
      </c>
      <c r="B149" s="75" t="s">
        <v>163</v>
      </c>
      <c r="C149" s="75" t="s">
        <v>451</v>
      </c>
      <c r="D149" s="75" t="s">
        <v>474</v>
      </c>
      <c r="E149" s="76" t="n">
        <v>45210</v>
      </c>
      <c r="F149" s="76" t="n">
        <v>45217</v>
      </c>
      <c r="G149" s="75" t="n">
        <f aca="false">IF(OR(E149="",F149=""),"",IF(B149="Milestone",0,F149-E149+1))</f>
        <v>8</v>
      </c>
      <c r="H149" s="75" t="s">
        <v>165</v>
      </c>
      <c r="I149" s="75" t="s">
        <v>46</v>
      </c>
      <c r="J149" s="75" t="s">
        <v>475</v>
      </c>
      <c r="K149" s="75"/>
      <c r="L149" s="75"/>
    </row>
    <row r="150" customFormat="false" ht="15" hidden="false" customHeight="false" outlineLevel="0" collapsed="false">
      <c r="A150" s="75" t="s">
        <v>476</v>
      </c>
      <c r="B150" s="75" t="s">
        <v>163</v>
      </c>
      <c r="C150" s="75" t="s">
        <v>451</v>
      </c>
      <c r="D150" s="75" t="s">
        <v>477</v>
      </c>
      <c r="E150" s="76" t="n">
        <v>45217</v>
      </c>
      <c r="F150" s="76" t="n">
        <v>45231</v>
      </c>
      <c r="G150" s="75" t="n">
        <f aca="false">IF(OR(E150="",F150=""),"",IF(B150="Milestone",0,F150-E150+1))</f>
        <v>15</v>
      </c>
      <c r="H150" s="75" t="s">
        <v>165</v>
      </c>
      <c r="I150" s="75" t="s">
        <v>46</v>
      </c>
      <c r="J150" s="75" t="s">
        <v>475</v>
      </c>
      <c r="K150" s="75"/>
      <c r="L150" s="75"/>
    </row>
    <row r="151" customFormat="false" ht="15" hidden="false" customHeight="false" outlineLevel="0" collapsed="false">
      <c r="A151" s="77" t="s">
        <v>478</v>
      </c>
      <c r="B151" s="77" t="s">
        <v>79</v>
      </c>
      <c r="C151" s="77" t="s">
        <v>479</v>
      </c>
      <c r="D151" s="77" t="s">
        <v>480</v>
      </c>
      <c r="E151" s="78" t="n">
        <f aca="false">MIN(E152:E156)</f>
        <v>44972</v>
      </c>
      <c r="F151" s="78" t="n">
        <f aca="false">MAX(F152:F156)</f>
        <v>45231</v>
      </c>
      <c r="G151" s="77" t="n">
        <f aca="false">IF(OR(E151="",F151=""),"",IF(B151="Milestone",0,F151-E151+1))</f>
        <v>260</v>
      </c>
      <c r="H151" s="77" t="s">
        <v>82</v>
      </c>
      <c r="I151" s="77" t="s">
        <v>83</v>
      </c>
      <c r="J151" s="77"/>
      <c r="K151" s="77"/>
      <c r="L151" s="77"/>
    </row>
    <row r="152" customFormat="false" ht="15" hidden="false" customHeight="false" outlineLevel="0" collapsed="false">
      <c r="A152" s="79" t="s">
        <v>481</v>
      </c>
      <c r="B152" s="79" t="s">
        <v>85</v>
      </c>
      <c r="C152" s="79" t="s">
        <v>479</v>
      </c>
      <c r="D152" s="79" t="s">
        <v>482</v>
      </c>
      <c r="E152" s="80" t="n">
        <v>44972</v>
      </c>
      <c r="F152" s="80" t="n">
        <v>45016</v>
      </c>
      <c r="G152" s="79" t="n">
        <f aca="false">IF(OR(E152="",F152=""),"",IF(B152="Milestone",0,F152-E152+1))</f>
        <v>45</v>
      </c>
      <c r="H152" s="79" t="s">
        <v>87</v>
      </c>
      <c r="I152" s="79" t="s">
        <v>46</v>
      </c>
      <c r="J152" s="79"/>
      <c r="K152" s="79"/>
      <c r="L152" s="79"/>
    </row>
    <row r="153" customFormat="false" ht="15" hidden="false" customHeight="false" outlineLevel="0" collapsed="false">
      <c r="A153" s="79" t="s">
        <v>483</v>
      </c>
      <c r="B153" s="79" t="s">
        <v>89</v>
      </c>
      <c r="C153" s="79" t="s">
        <v>479</v>
      </c>
      <c r="D153" s="79" t="s">
        <v>484</v>
      </c>
      <c r="E153" s="80" t="n">
        <v>45017</v>
      </c>
      <c r="F153" s="80" t="n">
        <v>45231</v>
      </c>
      <c r="G153" s="79" t="n">
        <f aca="false">IF(OR(E153="",F153=""),"",IF(B153="Milestone",0,F153-E153+1))</f>
        <v>215</v>
      </c>
      <c r="H153" s="79" t="s">
        <v>298</v>
      </c>
      <c r="I153" s="79" t="s">
        <v>96</v>
      </c>
      <c r="J153" s="79" t="s">
        <v>481</v>
      </c>
      <c r="K153" s="79" t="n">
        <v>1</v>
      </c>
      <c r="L153" s="79" t="s">
        <v>485</v>
      </c>
    </row>
    <row r="154" customFormat="false" ht="15" hidden="false" customHeight="false" outlineLevel="0" collapsed="false">
      <c r="A154" s="79" t="s">
        <v>486</v>
      </c>
      <c r="B154" s="79" t="s">
        <v>89</v>
      </c>
      <c r="C154" s="79" t="s">
        <v>479</v>
      </c>
      <c r="D154" s="79" t="s">
        <v>487</v>
      </c>
      <c r="E154" s="80" t="n">
        <v>45017</v>
      </c>
      <c r="F154" s="80" t="n">
        <v>45231</v>
      </c>
      <c r="G154" s="79" t="n">
        <f aca="false">IF(OR(E154="",F154=""),"",IF(B154="Milestone",0,F154-E154+1))</f>
        <v>215</v>
      </c>
      <c r="H154" s="79" t="s">
        <v>134</v>
      </c>
      <c r="I154" s="79" t="s">
        <v>46</v>
      </c>
      <c r="J154" s="79" t="s">
        <v>481</v>
      </c>
      <c r="K154" s="79" t="n">
        <v>1</v>
      </c>
      <c r="L154" s="79" t="s">
        <v>488</v>
      </c>
    </row>
    <row r="155" customFormat="false" ht="15" hidden="false" customHeight="false" outlineLevel="0" collapsed="false">
      <c r="A155" s="79" t="s">
        <v>489</v>
      </c>
      <c r="B155" s="79" t="s">
        <v>89</v>
      </c>
      <c r="C155" s="79" t="s">
        <v>479</v>
      </c>
      <c r="D155" s="79" t="s">
        <v>490</v>
      </c>
      <c r="E155" s="80" t="n">
        <v>45078</v>
      </c>
      <c r="F155" s="80" t="n">
        <v>45224</v>
      </c>
      <c r="G155" s="79" t="n">
        <f aca="false">IF(OR(E155="",F155=""),"",IF(B155="Milestone",0,F155-E155+1))</f>
        <v>147</v>
      </c>
      <c r="H155" s="79" t="s">
        <v>149</v>
      </c>
      <c r="I155" s="79" t="s">
        <v>96</v>
      </c>
      <c r="J155" s="79" t="s">
        <v>481</v>
      </c>
      <c r="K155" s="79" t="n">
        <v>2</v>
      </c>
      <c r="L155" s="79" t="s">
        <v>491</v>
      </c>
    </row>
    <row r="156" customFormat="false" ht="15" hidden="false" customHeight="false" outlineLevel="0" collapsed="false">
      <c r="A156" s="79" t="s">
        <v>492</v>
      </c>
      <c r="B156" s="79" t="s">
        <v>99</v>
      </c>
      <c r="C156" s="79" t="s">
        <v>479</v>
      </c>
      <c r="D156" s="79" t="s">
        <v>493</v>
      </c>
      <c r="E156" s="80" t="n">
        <v>45017</v>
      </c>
      <c r="F156" s="80" t="n">
        <v>45231</v>
      </c>
      <c r="G156" s="79" t="n">
        <f aca="false">IF(OR(E156="",F156=""),"",IF(B156="Milestone",0,F156-E156+1))</f>
        <v>215</v>
      </c>
      <c r="H156" s="79" t="s">
        <v>101</v>
      </c>
      <c r="I156" s="79" t="s">
        <v>46</v>
      </c>
      <c r="J156" s="79" t="s">
        <v>494</v>
      </c>
      <c r="K156" s="79"/>
      <c r="L156" s="79"/>
    </row>
    <row r="157" customFormat="false" ht="15" hidden="false" customHeight="false" outlineLevel="0" collapsed="false">
      <c r="A157" s="81" t="s">
        <v>495</v>
      </c>
      <c r="B157" s="81" t="s">
        <v>79</v>
      </c>
      <c r="C157" s="81" t="s">
        <v>496</v>
      </c>
      <c r="D157" s="81" t="s">
        <v>497</v>
      </c>
      <c r="E157" s="82" t="n">
        <f aca="false">MIN(E158:E170)</f>
        <v>44972</v>
      </c>
      <c r="F157" s="82" t="n">
        <f aca="false">MAX(F158:F170)</f>
        <v>45485</v>
      </c>
      <c r="G157" s="81" t="n">
        <f aca="false">IF(OR(E157="",F157=""),"",IF(B157="Milestone",0,F157-E157+1))</f>
        <v>514</v>
      </c>
      <c r="H157" s="81" t="s">
        <v>82</v>
      </c>
      <c r="I157" s="81" t="s">
        <v>83</v>
      </c>
      <c r="J157" s="81"/>
      <c r="K157" s="81"/>
      <c r="L157" s="81"/>
    </row>
    <row r="158" customFormat="false" ht="15" hidden="false" customHeight="false" outlineLevel="0" collapsed="false">
      <c r="A158" s="83" t="s">
        <v>498</v>
      </c>
      <c r="B158" s="83" t="s">
        <v>85</v>
      </c>
      <c r="C158" s="83" t="s">
        <v>496</v>
      </c>
      <c r="D158" s="83" t="s">
        <v>499</v>
      </c>
      <c r="E158" s="84" t="n">
        <v>44972</v>
      </c>
      <c r="F158" s="84" t="n">
        <v>45016</v>
      </c>
      <c r="G158" s="83" t="n">
        <f aca="false">IF(OR(E158="",F158=""),"",IF(B158="Milestone",0,F158-E158+1))</f>
        <v>45</v>
      </c>
      <c r="H158" s="83" t="s">
        <v>87</v>
      </c>
      <c r="I158" s="83" t="s">
        <v>46</v>
      </c>
      <c r="J158" s="83"/>
      <c r="K158" s="83"/>
      <c r="L158" s="83"/>
    </row>
    <row r="159" customFormat="false" ht="15" hidden="false" customHeight="false" outlineLevel="0" collapsed="false">
      <c r="A159" s="83" t="s">
        <v>500</v>
      </c>
      <c r="B159" s="83" t="s">
        <v>89</v>
      </c>
      <c r="C159" s="83" t="s">
        <v>496</v>
      </c>
      <c r="D159" s="83" t="s">
        <v>501</v>
      </c>
      <c r="E159" s="84" t="n">
        <v>45017</v>
      </c>
      <c r="F159" s="84" t="n">
        <v>45231</v>
      </c>
      <c r="G159" s="83" t="n">
        <f aca="false">IF(OR(E159="",F159=""),"",IF(B159="Milestone",0,F159-E159+1))</f>
        <v>215</v>
      </c>
      <c r="H159" s="83" t="s">
        <v>134</v>
      </c>
      <c r="I159" s="83" t="s">
        <v>46</v>
      </c>
      <c r="J159" s="83" t="s">
        <v>498</v>
      </c>
      <c r="K159" s="83" t="n">
        <v>1</v>
      </c>
      <c r="L159" s="83" t="s">
        <v>502</v>
      </c>
    </row>
    <row r="160" customFormat="false" ht="15" hidden="false" customHeight="false" outlineLevel="0" collapsed="false">
      <c r="A160" s="83" t="s">
        <v>503</v>
      </c>
      <c r="B160" s="83" t="s">
        <v>89</v>
      </c>
      <c r="C160" s="83" t="s">
        <v>496</v>
      </c>
      <c r="D160" s="83" t="s">
        <v>504</v>
      </c>
      <c r="E160" s="84" t="n">
        <v>45017</v>
      </c>
      <c r="F160" s="84" t="n">
        <v>45331</v>
      </c>
      <c r="G160" s="83" t="n">
        <f aca="false">IF(OR(E160="",F160=""),"",IF(B160="Milestone",0,F160-E160+1))</f>
        <v>315</v>
      </c>
      <c r="H160" s="83" t="s">
        <v>240</v>
      </c>
      <c r="I160" s="83" t="s">
        <v>46</v>
      </c>
      <c r="J160" s="83" t="s">
        <v>498</v>
      </c>
      <c r="K160" s="83" t="n">
        <v>3</v>
      </c>
      <c r="L160" s="83" t="s">
        <v>505</v>
      </c>
    </row>
    <row r="161" customFormat="false" ht="15" hidden="false" customHeight="false" outlineLevel="0" collapsed="false">
      <c r="A161" s="83" t="s">
        <v>506</v>
      </c>
      <c r="B161" s="83" t="s">
        <v>89</v>
      </c>
      <c r="C161" s="83" t="s">
        <v>496</v>
      </c>
      <c r="D161" s="83" t="s">
        <v>507</v>
      </c>
      <c r="E161" s="84" t="n">
        <v>45017</v>
      </c>
      <c r="F161" s="84" t="n">
        <v>45210</v>
      </c>
      <c r="G161" s="83" t="n">
        <f aca="false">IF(OR(E161="",F161=""),"",IF(B161="Milestone",0,F161-E161+1))</f>
        <v>194</v>
      </c>
      <c r="H161" s="83" t="s">
        <v>312</v>
      </c>
      <c r="I161" s="83" t="s">
        <v>96</v>
      </c>
      <c r="J161" s="83" t="s">
        <v>498</v>
      </c>
      <c r="K161" s="83" t="n">
        <v>3</v>
      </c>
      <c r="L161" s="83" t="s">
        <v>508</v>
      </c>
    </row>
    <row r="162" customFormat="false" ht="15" hidden="false" customHeight="false" outlineLevel="0" collapsed="false">
      <c r="A162" s="83" t="s">
        <v>509</v>
      </c>
      <c r="B162" s="83" t="s">
        <v>89</v>
      </c>
      <c r="C162" s="83" t="s">
        <v>496</v>
      </c>
      <c r="D162" s="83" t="s">
        <v>510</v>
      </c>
      <c r="E162" s="84" t="n">
        <v>45017</v>
      </c>
      <c r="F162" s="84" t="n">
        <v>45231</v>
      </c>
      <c r="G162" s="83" t="n">
        <f aca="false">IF(OR(E162="",F162=""),"",IF(B162="Milestone",0,F162-E162+1))</f>
        <v>215</v>
      </c>
      <c r="H162" s="83" t="s">
        <v>138</v>
      </c>
      <c r="I162" s="83" t="s">
        <v>96</v>
      </c>
      <c r="J162" s="83" t="s">
        <v>498</v>
      </c>
      <c r="K162" s="83" t="n">
        <v>5</v>
      </c>
      <c r="L162" s="83" t="s">
        <v>511</v>
      </c>
    </row>
    <row r="163" customFormat="false" ht="15" hidden="false" customHeight="false" outlineLevel="0" collapsed="false">
      <c r="A163" s="83" t="s">
        <v>512</v>
      </c>
      <c r="B163" s="83" t="s">
        <v>89</v>
      </c>
      <c r="C163" s="83" t="s">
        <v>496</v>
      </c>
      <c r="D163" s="83" t="s">
        <v>513</v>
      </c>
      <c r="E163" s="84" t="n">
        <v>45017</v>
      </c>
      <c r="F163" s="84" t="n">
        <v>45231</v>
      </c>
      <c r="G163" s="83" t="n">
        <f aca="false">IF(OR(E163="",F163=""),"",IF(B163="Milestone",0,F163-E163+1))</f>
        <v>215</v>
      </c>
      <c r="H163" s="83" t="s">
        <v>114</v>
      </c>
      <c r="I163" s="83" t="s">
        <v>96</v>
      </c>
      <c r="J163" s="83" t="s">
        <v>498</v>
      </c>
      <c r="K163" s="83" t="n">
        <v>1</v>
      </c>
      <c r="L163" s="83" t="s">
        <v>514</v>
      </c>
    </row>
    <row r="164" customFormat="false" ht="15" hidden="false" customHeight="false" outlineLevel="0" collapsed="false">
      <c r="A164" s="83" t="s">
        <v>515</v>
      </c>
      <c r="B164" s="83" t="s">
        <v>89</v>
      </c>
      <c r="C164" s="83" t="s">
        <v>496</v>
      </c>
      <c r="D164" s="83" t="s">
        <v>516</v>
      </c>
      <c r="E164" s="84" t="n">
        <v>45078</v>
      </c>
      <c r="F164" s="84" t="n">
        <v>45224</v>
      </c>
      <c r="G164" s="83" t="n">
        <f aca="false">IF(OR(E164="",F164=""),"",IF(B164="Milestone",0,F164-E164+1))</f>
        <v>147</v>
      </c>
      <c r="H164" s="83" t="s">
        <v>149</v>
      </c>
      <c r="I164" s="83" t="s">
        <v>96</v>
      </c>
      <c r="J164" s="83" t="s">
        <v>498</v>
      </c>
      <c r="K164" s="83" t="n">
        <v>5</v>
      </c>
      <c r="L164" s="83" t="s">
        <v>517</v>
      </c>
    </row>
    <row r="165" customFormat="false" ht="15" hidden="false" customHeight="false" outlineLevel="0" collapsed="false">
      <c r="A165" s="83" t="s">
        <v>518</v>
      </c>
      <c r="B165" s="83" t="s">
        <v>89</v>
      </c>
      <c r="C165" s="83" t="s">
        <v>496</v>
      </c>
      <c r="D165" s="83" t="s">
        <v>519</v>
      </c>
      <c r="E165" s="84" t="n">
        <v>45139</v>
      </c>
      <c r="F165" s="84" t="n">
        <v>45481</v>
      </c>
      <c r="G165" s="83" t="n">
        <f aca="false">IF(OR(E165="",F165=""),"",IF(B165="Milestone",0,F165-E165+1))</f>
        <v>343</v>
      </c>
      <c r="H165" s="83" t="s">
        <v>153</v>
      </c>
      <c r="I165" s="83" t="s">
        <v>96</v>
      </c>
      <c r="J165" s="83" t="s">
        <v>498</v>
      </c>
      <c r="K165" s="83" t="n">
        <v>29</v>
      </c>
      <c r="L165" s="83" t="s">
        <v>520</v>
      </c>
    </row>
    <row r="166" customFormat="false" ht="15" hidden="false" customHeight="false" outlineLevel="0" collapsed="false">
      <c r="A166" s="83" t="s">
        <v>521</v>
      </c>
      <c r="B166" s="83" t="s">
        <v>89</v>
      </c>
      <c r="C166" s="83" t="s">
        <v>496</v>
      </c>
      <c r="D166" s="83" t="s">
        <v>522</v>
      </c>
      <c r="E166" s="84" t="n">
        <v>45231</v>
      </c>
      <c r="F166" s="84" t="n">
        <v>45331</v>
      </c>
      <c r="G166" s="83" t="n">
        <f aca="false">IF(OR(E166="",F166=""),"",IF(B166="Milestone",0,F166-E166+1))</f>
        <v>101</v>
      </c>
      <c r="H166" s="83" t="s">
        <v>446</v>
      </c>
      <c r="I166" s="83" t="s">
        <v>46</v>
      </c>
      <c r="J166" s="83" t="s">
        <v>498</v>
      </c>
      <c r="K166" s="83" t="n">
        <v>13</v>
      </c>
      <c r="L166" s="83" t="s">
        <v>523</v>
      </c>
    </row>
    <row r="167" customFormat="false" ht="15" hidden="false" customHeight="false" outlineLevel="0" collapsed="false">
      <c r="A167" s="83" t="s">
        <v>524</v>
      </c>
      <c r="B167" s="83" t="s">
        <v>99</v>
      </c>
      <c r="C167" s="83" t="s">
        <v>496</v>
      </c>
      <c r="D167" s="83" t="s">
        <v>525</v>
      </c>
      <c r="E167" s="84" t="n">
        <v>45017</v>
      </c>
      <c r="F167" s="84" t="n">
        <v>45481</v>
      </c>
      <c r="G167" s="83" t="n">
        <f aca="false">IF(OR(E167="",F167=""),"",IF(B167="Milestone",0,F167-E167+1))</f>
        <v>465</v>
      </c>
      <c r="H167" s="83" t="s">
        <v>101</v>
      </c>
      <c r="I167" s="83" t="s">
        <v>46</v>
      </c>
      <c r="J167" s="83" t="s">
        <v>526</v>
      </c>
      <c r="K167" s="83"/>
      <c r="L167" s="83"/>
    </row>
    <row r="168" customFormat="false" ht="15" hidden="false" customHeight="false" outlineLevel="0" collapsed="false">
      <c r="A168" s="83" t="s">
        <v>527</v>
      </c>
      <c r="B168" s="83" t="s">
        <v>163</v>
      </c>
      <c r="C168" s="83" t="s">
        <v>496</v>
      </c>
      <c r="D168" s="83" t="s">
        <v>528</v>
      </c>
      <c r="E168" s="84" t="n">
        <v>45206</v>
      </c>
      <c r="F168" s="84" t="n">
        <v>45210</v>
      </c>
      <c r="G168" s="83" t="n">
        <f aca="false">IF(OR(E168="",F168=""),"",IF(B168="Milestone",0,F168-E168+1))</f>
        <v>5</v>
      </c>
      <c r="H168" s="83" t="s">
        <v>165</v>
      </c>
      <c r="I168" s="83" t="s">
        <v>46</v>
      </c>
      <c r="J168" s="83" t="s">
        <v>529</v>
      </c>
      <c r="K168" s="83"/>
      <c r="L168" s="83"/>
    </row>
    <row r="169" customFormat="false" ht="15" hidden="false" customHeight="false" outlineLevel="0" collapsed="false">
      <c r="A169" s="83" t="s">
        <v>530</v>
      </c>
      <c r="B169" s="83" t="s">
        <v>163</v>
      </c>
      <c r="C169" s="83" t="s">
        <v>496</v>
      </c>
      <c r="D169" s="83" t="s">
        <v>531</v>
      </c>
      <c r="E169" s="84" t="n">
        <v>45323</v>
      </c>
      <c r="F169" s="84" t="n">
        <v>45331</v>
      </c>
      <c r="G169" s="83" t="n">
        <f aca="false">IF(OR(E169="",F169=""),"",IF(B169="Milestone",0,F169-E169+1))</f>
        <v>9</v>
      </c>
      <c r="H169" s="83" t="s">
        <v>165</v>
      </c>
      <c r="I169" s="83" t="s">
        <v>46</v>
      </c>
      <c r="J169" s="83" t="s">
        <v>532</v>
      </c>
      <c r="K169" s="83"/>
      <c r="L169" s="83"/>
    </row>
    <row r="170" customFormat="false" ht="15" hidden="false" customHeight="false" outlineLevel="0" collapsed="false">
      <c r="A170" s="83" t="s">
        <v>533</v>
      </c>
      <c r="B170" s="83" t="s">
        <v>163</v>
      </c>
      <c r="C170" s="83" t="s">
        <v>496</v>
      </c>
      <c r="D170" s="83" t="s">
        <v>534</v>
      </c>
      <c r="E170" s="84" t="n">
        <v>45481</v>
      </c>
      <c r="F170" s="84" t="n">
        <v>45485</v>
      </c>
      <c r="G170" s="83" t="n">
        <f aca="false">IF(OR(E170="",F170=""),"",IF(B170="Milestone",0,F170-E170+1))</f>
        <v>5</v>
      </c>
      <c r="H170" s="83" t="s">
        <v>535</v>
      </c>
      <c r="I170" s="83" t="s">
        <v>40</v>
      </c>
      <c r="J170" s="83" t="s">
        <v>532</v>
      </c>
      <c r="K170" s="83"/>
      <c r="L170" s="83"/>
    </row>
  </sheetData>
  <conditionalFormatting sqref="M5:CX170">
    <cfRule type="expression" priority="2" aboveAverage="0" equalAverage="0" bottom="0" percent="0" rank="0" text="" dxfId="0">
      <formula>AND($B5="Milestone",$E5&lt;=M$4+6,$E5&gt;=M$4)</formula>
    </cfRule>
    <cfRule type="expression" priority="3" aboveAverage="0" equalAverage="0" bottom="0" percent="0" rank="0" text="" dxfId="1">
      <formula>AND($C5="CWP 01",ISNUMBER($E5),$E5&lt;=M$4+6,$F5&gt;=M$4)</formula>
    </cfRule>
    <cfRule type="expression" priority="4" aboveAverage="0" equalAverage="0" bottom="0" percent="0" rank="0" text="" dxfId="2">
      <formula>AND($C5="CWP 02",ISNUMBER($E5),$E5&lt;=M$4+6,$F5&gt;=M$4)</formula>
    </cfRule>
    <cfRule type="expression" priority="5" aboveAverage="0" equalAverage="0" bottom="0" percent="0" rank="0" text="" dxfId="3">
      <formula>AND($C5="CWP 03",ISNUMBER($E5),$E5&lt;=M$4+6,$F5&gt;=M$4)</formula>
    </cfRule>
    <cfRule type="expression" priority="6" aboveAverage="0" equalAverage="0" bottom="0" percent="0" rank="0" text="" dxfId="4">
      <formula>AND($C5="CWP 05",ISNUMBER($E5),$E5&lt;=M$4+6,$F5&gt;=M$4)</formula>
    </cfRule>
    <cfRule type="expression" priority="7" aboveAverage="0" equalAverage="0" bottom="0" percent="0" rank="0" text="" dxfId="5">
      <formula>AND($C5="CWP 06",ISNUMBER($E5),$E5&lt;=M$4+6,$F5&gt;=M$4)</formula>
    </cfRule>
    <cfRule type="expression" priority="8" aboveAverage="0" equalAverage="0" bottom="0" percent="0" rank="0" text="" dxfId="6">
      <formula>AND($C5="CWP 07",ISNUMBER($E5),$E5&lt;=M$4+6,$F5&gt;=M$4)</formula>
    </cfRule>
    <cfRule type="expression" priority="9" aboveAverage="0" equalAverage="0" bottom="0" percent="0" rank="0" text="" dxfId="7">
      <formula>AND($C5="CWP 08",ISNUMBER($E5),$E5&lt;=M$4+6,$F5&gt;=M$4)</formula>
    </cfRule>
    <cfRule type="expression" priority="10" aboveAverage="0" equalAverage="0" bottom="0" percent="0" rank="0" text="" dxfId="8">
      <formula>AND($C5="CWP 09",ISNUMBER($E5),$E5&lt;=M$4+6,$F5&gt;=M$4)</formula>
    </cfRule>
    <cfRule type="expression" priority="11" aboveAverage="0" equalAverage="0" bottom="0" percent="0" rank="0" text="" dxfId="9">
      <formula>AND($C5="CWP 10",ISNUMBER($E5),$E5&lt;=M$4+6,$F5&gt;=M$4)</formula>
    </cfRule>
    <cfRule type="expression" priority="12" aboveAverage="0" equalAverage="0" bottom="0" percent="0" rank="0" text="" dxfId="10">
      <formula>AND($C5="CWP 13",ISNUMBER($E5),$E5&lt;=M$4+6,$F5&gt;=M$4)</formula>
    </cfRule>
    <cfRule type="expression" priority="13" aboveAverage="0" equalAverage="0" bottom="0" percent="0" rank="0" text="" dxfId="11">
      <formula>AND($C5="CWP 22",ISNUMBER($E5),$E5&lt;=M$4+6,$F5&gt;=M$4)</formula>
    </cfRule>
    <cfRule type="expression" priority="14" aboveAverage="0" equalAverage="0" bottom="0" percent="0" rank="0" text="" dxfId="12">
      <formula>AND($C5="CWP 23",ISNUMBER($E5),$E5&lt;=M$4+6,$F5&gt;=M$4)</formula>
    </cfRule>
    <cfRule type="expression" priority="15" aboveAverage="0" equalAverage="0" bottom="0" percent="0" rank="0" text="" dxfId="13">
      <formula>AND($C5="CWP 26",ISNUMBER($E5),$E5&lt;=M$4+6,$F5&gt;=M$4)</formula>
    </cfRule>
    <cfRule type="expression" priority="16" aboveAverage="0" equalAverage="0" bottom="0" percent="0" rank="0" text="" dxfId="14">
      <formula>AND($C5="CWP 31",ISNUMBER($E5),$E5&lt;=M$4+6,$F5&gt;=M$4)</formula>
    </cfRule>
    <cfRule type="expression" priority="17" aboveAverage="0" equalAverage="0" bottom="0" percent="0" rank="0" text="" dxfId="15">
      <formula>AND($C5="CWP 32",ISNUMBER($E5),$E5&lt;=M$4+6,$F5&gt;=M$4)</formula>
    </cfRule>
    <cfRule type="expression" priority="18" aboveAverage="0" equalAverage="0" bottom="0" percent="0" rank="0" text="" dxfId="16">
      <formula>AND($C5="CWP 33",ISNUMBER($E5),$E5&lt;=M$4+6,$F5&gt;=M$4)</formula>
    </cfRule>
    <cfRule type="expression" priority="19" aboveAverage="0" equalAverage="0" bottom="0" percent="0" rank="0" text="" dxfId="17">
      <formula>AND($C5="CWP 40",ISNUMBER($E5),$E5&lt;=M$4+6,$F5&gt;=M$4)</formula>
    </cfRule>
    <cfRule type="expression" priority="20" aboveAverage="0" equalAverage="0" bottom="0" percent="0" rank="0" text="" dxfId="18">
      <formula>AND($C5="CWP 41",ISNUMBER($E5),$E5&lt;=M$4+6,$F5&gt;=M$4)</formula>
    </cfRule>
    <cfRule type="expression" priority="21" aboveAverage="0" equalAverage="0" bottom="0" percent="0" rank="0" text="" dxfId="19">
      <formula>AND($C5="CWP 43",ISNUMBER($E5),$E5&lt;=M$4+6,$F5&gt;=M$4)</formula>
    </cfRule>
    <cfRule type="expression" priority="22" aboveAverage="0" equalAverage="0" bottom="0" percent="0" rank="0" text="" dxfId="20">
      <formula>AND($C5="CWP 45",ISNUMBER($E5),$E5&lt;=M$4+6,$F5&gt;=M$4)</formula>
    </cfRule>
    <cfRule type="expression" priority="23" aboveAverage="0" equalAverage="0" bottom="0" percent="0" rank="0" text="" dxfId="21">
      <formula>AND($C5="CWP 46",ISNUMBER($E5),$E5&lt;=M$4+6,$F5&gt;=M$4)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30"/>
    <col collapsed="false" customWidth="true" hidden="false" outlineLevel="0" max="3" min="3" style="0" width="90"/>
  </cols>
  <sheetData>
    <row r="1" customFormat="false" ht="15" hidden="false" customHeight="false" outlineLevel="0" collapsed="false">
      <c r="A1" s="85" t="s">
        <v>536</v>
      </c>
      <c r="B1" s="85" t="s">
        <v>537</v>
      </c>
      <c r="C1" s="85" t="s">
        <v>538</v>
      </c>
    </row>
    <row r="2" customFormat="false" ht="23.85" hidden="false" customHeight="false" outlineLevel="0" collapsed="false">
      <c r="A2" s="86" t="s">
        <v>539</v>
      </c>
      <c r="B2" s="86" t="s">
        <v>540</v>
      </c>
      <c r="C2" s="86" t="s">
        <v>541</v>
      </c>
    </row>
    <row r="3" customFormat="false" ht="15" hidden="false" customHeight="false" outlineLevel="0" collapsed="false">
      <c r="A3" s="86" t="s">
        <v>542</v>
      </c>
      <c r="B3" s="87" t="n">
        <v>45000</v>
      </c>
      <c r="C3" s="86" t="s">
        <v>543</v>
      </c>
    </row>
    <row r="4" customFormat="false" ht="15" hidden="false" customHeight="false" outlineLevel="0" collapsed="false">
      <c r="A4" s="86" t="s">
        <v>73</v>
      </c>
      <c r="B4" s="87" t="n">
        <v>45499</v>
      </c>
      <c r="C4" s="86" t="s">
        <v>544</v>
      </c>
    </row>
    <row r="5" customFormat="false" ht="15" hidden="false" customHeight="false" outlineLevel="0" collapsed="false">
      <c r="A5" s="86" t="s">
        <v>76</v>
      </c>
      <c r="B5" s="87" t="n">
        <v>45581</v>
      </c>
      <c r="C5" s="86" t="s">
        <v>545</v>
      </c>
    </row>
    <row r="6" customFormat="false" ht="15" hidden="false" customHeight="false" outlineLevel="0" collapsed="false">
      <c r="A6" s="86" t="s">
        <v>546</v>
      </c>
      <c r="B6" s="86" t="n">
        <f aca="false">NETWORKDAYS(B3,B4)</f>
        <v>358</v>
      </c>
      <c r="C6" s="86" t="s">
        <v>547</v>
      </c>
    </row>
    <row r="7" customFormat="false" ht="23.85" hidden="false" customHeight="false" outlineLevel="0" collapsed="false">
      <c r="A7" s="86" t="s">
        <v>548</v>
      </c>
      <c r="B7" s="86" t="n">
        <f aca="false">NETWORKDAYS(B3,DATE(2024,8,31))</f>
        <v>383</v>
      </c>
      <c r="C7" s="86" t="s">
        <v>549</v>
      </c>
    </row>
    <row r="8" customFormat="false" ht="15" hidden="false" customHeight="false" outlineLevel="0" collapsed="false">
      <c r="A8" s="86" t="s">
        <v>550</v>
      </c>
      <c r="B8" s="86" t="n">
        <f aca="false">NETWORKDAYS(B3,B5)</f>
        <v>416</v>
      </c>
      <c r="C8" s="86"/>
    </row>
    <row r="9" customFormat="false" ht="15" hidden="false" customHeight="false" outlineLevel="0" collapsed="false">
      <c r="A9" s="86" t="s">
        <v>551</v>
      </c>
      <c r="B9" s="86" t="n">
        <v>360</v>
      </c>
      <c r="C9" s="86" t="s">
        <v>552</v>
      </c>
    </row>
    <row r="10" customFormat="false" ht="23.85" hidden="false" customHeight="false" outlineLevel="0" collapsed="false">
      <c r="A10" s="86" t="s">
        <v>553</v>
      </c>
      <c r="B10" s="86" t="s">
        <v>554</v>
      </c>
      <c r="C10" s="86" t="s">
        <v>555</v>
      </c>
    </row>
    <row r="11" customFormat="false" ht="46.25" hidden="false" customHeight="false" outlineLevel="0" collapsed="false">
      <c r="A11" s="86" t="s">
        <v>556</v>
      </c>
      <c r="B11" s="86" t="s">
        <v>557</v>
      </c>
      <c r="C11" s="86" t="s">
        <v>558</v>
      </c>
    </row>
    <row r="12" customFormat="false" ht="46.25" hidden="false" customHeight="false" outlineLevel="0" collapsed="false">
      <c r="A12" s="86" t="s">
        <v>559</v>
      </c>
      <c r="B12" s="86" t="s">
        <v>560</v>
      </c>
      <c r="C12" s="86" t="s">
        <v>561</v>
      </c>
    </row>
    <row r="13" customFormat="false" ht="35.05" hidden="false" customHeight="false" outlineLevel="0" collapsed="false">
      <c r="A13" s="86" t="s">
        <v>562</v>
      </c>
      <c r="B13" s="86" t="s">
        <v>563</v>
      </c>
      <c r="C13" s="86" t="s">
        <v>564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9"/>
    <col collapsed="false" customWidth="true" hidden="false" outlineLevel="0" max="3" min="3" style="0" width="60"/>
    <col collapsed="false" customWidth="true" hidden="false" outlineLevel="0" max="4" min="4" style="0" width="40"/>
    <col collapsed="false" customWidth="true" hidden="false" outlineLevel="0" max="5" min="5" style="0" width="28"/>
  </cols>
  <sheetData>
    <row r="1" customFormat="false" ht="15" hidden="false" customHeight="false" outlineLevel="0" collapsed="false">
      <c r="A1" s="85" t="s">
        <v>565</v>
      </c>
      <c r="B1" s="85" t="s">
        <v>25</v>
      </c>
      <c r="C1" s="85" t="s">
        <v>566</v>
      </c>
      <c r="D1" s="85" t="s">
        <v>567</v>
      </c>
      <c r="E1" s="85" t="s">
        <v>568</v>
      </c>
    </row>
    <row r="2" customFormat="false" ht="22.35" hidden="false" customHeight="false" outlineLevel="0" collapsed="false">
      <c r="A2" s="88" t="s">
        <v>569</v>
      </c>
      <c r="B2" s="88" t="s">
        <v>80</v>
      </c>
      <c r="C2" s="88" t="s">
        <v>570</v>
      </c>
      <c r="D2" s="88" t="s">
        <v>571</v>
      </c>
      <c r="E2" s="88" t="s">
        <v>572</v>
      </c>
    </row>
    <row r="3" customFormat="false" ht="22.35" hidden="false" customHeight="false" outlineLevel="0" collapsed="false">
      <c r="A3" s="88" t="s">
        <v>573</v>
      </c>
      <c r="B3" s="88" t="s">
        <v>286</v>
      </c>
      <c r="C3" s="88" t="s">
        <v>574</v>
      </c>
      <c r="D3" s="88" t="s">
        <v>575</v>
      </c>
      <c r="E3" s="88" t="s">
        <v>576</v>
      </c>
    </row>
    <row r="4" customFormat="false" ht="22.35" hidden="false" customHeight="false" outlineLevel="0" collapsed="false">
      <c r="A4" s="88" t="s">
        <v>577</v>
      </c>
      <c r="B4" s="88" t="s">
        <v>362</v>
      </c>
      <c r="C4" s="88" t="s">
        <v>578</v>
      </c>
      <c r="D4" s="88" t="s">
        <v>579</v>
      </c>
      <c r="E4" s="88" t="s">
        <v>580</v>
      </c>
    </row>
    <row r="5" customFormat="false" ht="22.35" hidden="false" customHeight="false" outlineLevel="0" collapsed="false">
      <c r="A5" s="88" t="s">
        <v>581</v>
      </c>
      <c r="B5" s="88" t="s">
        <v>362</v>
      </c>
      <c r="C5" s="88" t="s">
        <v>578</v>
      </c>
      <c r="D5" s="88" t="s">
        <v>579</v>
      </c>
      <c r="E5" s="88" t="s">
        <v>580</v>
      </c>
    </row>
    <row r="6" customFormat="false" ht="22.35" hidden="false" customHeight="false" outlineLevel="0" collapsed="false">
      <c r="A6" s="88" t="s">
        <v>582</v>
      </c>
      <c r="B6" s="88" t="s">
        <v>362</v>
      </c>
      <c r="C6" s="88" t="s">
        <v>578</v>
      </c>
      <c r="D6" s="88" t="s">
        <v>579</v>
      </c>
      <c r="E6" s="88" t="s">
        <v>580</v>
      </c>
    </row>
    <row r="7" customFormat="false" ht="22.35" hidden="false" customHeight="false" outlineLevel="0" collapsed="false">
      <c r="A7" s="88" t="s">
        <v>583</v>
      </c>
      <c r="B7" s="88" t="s">
        <v>362</v>
      </c>
      <c r="C7" s="88" t="s">
        <v>578</v>
      </c>
      <c r="D7" s="88" t="s">
        <v>579</v>
      </c>
      <c r="E7" s="88" t="s">
        <v>580</v>
      </c>
    </row>
    <row r="8" customFormat="false" ht="22.35" hidden="false" customHeight="false" outlineLevel="0" collapsed="false">
      <c r="A8" s="88" t="s">
        <v>584</v>
      </c>
      <c r="B8" s="88" t="s">
        <v>362</v>
      </c>
      <c r="C8" s="88" t="s">
        <v>578</v>
      </c>
      <c r="D8" s="88" t="s">
        <v>579</v>
      </c>
      <c r="E8" s="88" t="s">
        <v>580</v>
      </c>
    </row>
    <row r="9" customFormat="false" ht="15" hidden="false" customHeight="false" outlineLevel="0" collapsed="false">
      <c r="A9" s="88" t="s">
        <v>585</v>
      </c>
      <c r="B9" s="88" t="s">
        <v>104</v>
      </c>
      <c r="C9" s="88" t="s">
        <v>586</v>
      </c>
      <c r="D9" s="88" t="s">
        <v>587</v>
      </c>
      <c r="E9" s="88" t="s">
        <v>588</v>
      </c>
    </row>
    <row r="10" customFormat="false" ht="15" hidden="false" customHeight="false" outlineLevel="0" collapsed="false">
      <c r="A10" s="88" t="s">
        <v>589</v>
      </c>
      <c r="B10" s="88" t="s">
        <v>401</v>
      </c>
      <c r="C10" s="88" t="s">
        <v>590</v>
      </c>
      <c r="D10" s="88" t="s">
        <v>571</v>
      </c>
      <c r="E10" s="88" t="s">
        <v>572</v>
      </c>
    </row>
    <row r="11" customFormat="false" ht="15" hidden="false" customHeight="false" outlineLevel="0" collapsed="false">
      <c r="A11" s="88" t="s">
        <v>591</v>
      </c>
      <c r="B11" s="88" t="s">
        <v>104</v>
      </c>
      <c r="C11" s="88" t="s">
        <v>586</v>
      </c>
      <c r="D11" s="88" t="s">
        <v>587</v>
      </c>
      <c r="E11" s="88" t="s">
        <v>588</v>
      </c>
    </row>
    <row r="12" customFormat="false" ht="15" hidden="false" customHeight="false" outlineLevel="0" collapsed="false">
      <c r="A12" s="88" t="s">
        <v>592</v>
      </c>
      <c r="B12" s="88" t="s">
        <v>104</v>
      </c>
      <c r="C12" s="88" t="s">
        <v>586</v>
      </c>
      <c r="D12" s="88" t="s">
        <v>587</v>
      </c>
      <c r="E12" s="88" t="s">
        <v>588</v>
      </c>
    </row>
    <row r="13" customFormat="false" ht="15" hidden="false" customHeight="false" outlineLevel="0" collapsed="false">
      <c r="A13" s="88" t="s">
        <v>593</v>
      </c>
      <c r="B13" s="88" t="s">
        <v>104</v>
      </c>
      <c r="C13" s="88" t="s">
        <v>586</v>
      </c>
      <c r="D13" s="88" t="s">
        <v>587</v>
      </c>
      <c r="E13" s="88" t="s">
        <v>588</v>
      </c>
    </row>
    <row r="14" customFormat="false" ht="22.35" hidden="false" customHeight="false" outlineLevel="0" collapsed="false">
      <c r="A14" s="88" t="s">
        <v>594</v>
      </c>
      <c r="B14" s="88" t="s">
        <v>104</v>
      </c>
      <c r="C14" s="88" t="s">
        <v>586</v>
      </c>
      <c r="D14" s="88" t="s">
        <v>587</v>
      </c>
      <c r="E14" s="88" t="s">
        <v>588</v>
      </c>
    </row>
    <row r="15" customFormat="false" ht="22.35" hidden="false" customHeight="false" outlineLevel="0" collapsed="false">
      <c r="A15" s="88" t="s">
        <v>595</v>
      </c>
      <c r="B15" s="88" t="s">
        <v>104</v>
      </c>
      <c r="C15" s="88" t="s">
        <v>586</v>
      </c>
      <c r="D15" s="88" t="s">
        <v>587</v>
      </c>
      <c r="E15" s="88" t="s">
        <v>588</v>
      </c>
    </row>
    <row r="16" customFormat="false" ht="22.35" hidden="false" customHeight="false" outlineLevel="0" collapsed="false">
      <c r="A16" s="88" t="s">
        <v>596</v>
      </c>
      <c r="B16" s="88" t="s">
        <v>104</v>
      </c>
      <c r="C16" s="88" t="s">
        <v>586</v>
      </c>
      <c r="D16" s="88" t="s">
        <v>587</v>
      </c>
      <c r="E16" s="88" t="s">
        <v>588</v>
      </c>
    </row>
    <row r="17" customFormat="false" ht="15" hidden="false" customHeight="false" outlineLevel="0" collapsed="false">
      <c r="A17" s="88" t="s">
        <v>597</v>
      </c>
      <c r="B17" s="88" t="s">
        <v>104</v>
      </c>
      <c r="C17" s="88" t="s">
        <v>586</v>
      </c>
      <c r="D17" s="88" t="s">
        <v>587</v>
      </c>
      <c r="E17" s="88" t="s">
        <v>588</v>
      </c>
    </row>
    <row r="18" customFormat="false" ht="15" hidden="false" customHeight="false" outlineLevel="0" collapsed="false">
      <c r="A18" s="88" t="s">
        <v>598</v>
      </c>
      <c r="B18" s="88" t="s">
        <v>104</v>
      </c>
      <c r="C18" s="88" t="s">
        <v>599</v>
      </c>
      <c r="D18" s="88" t="s">
        <v>600</v>
      </c>
      <c r="E18" s="88" t="s">
        <v>601</v>
      </c>
    </row>
    <row r="19" customFormat="false" ht="15" hidden="false" customHeight="false" outlineLevel="0" collapsed="false">
      <c r="A19" s="88" t="s">
        <v>602</v>
      </c>
      <c r="B19" s="88" t="s">
        <v>104</v>
      </c>
      <c r="C19" s="88" t="s">
        <v>586</v>
      </c>
      <c r="D19" s="88" t="s">
        <v>587</v>
      </c>
      <c r="E19" s="88" t="s">
        <v>588</v>
      </c>
    </row>
    <row r="20" customFormat="false" ht="22.35" hidden="false" customHeight="false" outlineLevel="0" collapsed="false">
      <c r="A20" s="88" t="s">
        <v>603</v>
      </c>
      <c r="B20" s="88" t="s">
        <v>104</v>
      </c>
      <c r="C20" s="88" t="s">
        <v>586</v>
      </c>
      <c r="D20" s="88" t="s">
        <v>587</v>
      </c>
      <c r="E20" s="88" t="s">
        <v>588</v>
      </c>
    </row>
    <row r="21" customFormat="false" ht="15" hidden="false" customHeight="false" outlineLevel="0" collapsed="false">
      <c r="A21" s="88" t="s">
        <v>604</v>
      </c>
      <c r="B21" s="88" t="s">
        <v>104</v>
      </c>
      <c r="C21" s="88" t="s">
        <v>586</v>
      </c>
      <c r="D21" s="88" t="s">
        <v>587</v>
      </c>
      <c r="E21" s="88" t="s">
        <v>588</v>
      </c>
    </row>
    <row r="22" customFormat="false" ht="22.35" hidden="false" customHeight="false" outlineLevel="0" collapsed="false">
      <c r="A22" s="88" t="s">
        <v>119</v>
      </c>
      <c r="B22" s="88" t="s">
        <v>104</v>
      </c>
      <c r="C22" s="88" t="s">
        <v>605</v>
      </c>
      <c r="D22" s="88" t="s">
        <v>606</v>
      </c>
      <c r="E22" s="88" t="s">
        <v>607</v>
      </c>
    </row>
    <row r="23" customFormat="false" ht="15" hidden="false" customHeight="false" outlineLevel="0" collapsed="false">
      <c r="A23" s="88" t="s">
        <v>608</v>
      </c>
      <c r="B23" s="88" t="s">
        <v>104</v>
      </c>
      <c r="C23" s="88" t="s">
        <v>586</v>
      </c>
      <c r="D23" s="88" t="s">
        <v>587</v>
      </c>
      <c r="E23" s="88" t="s">
        <v>588</v>
      </c>
    </row>
    <row r="24" customFormat="false" ht="15" hidden="false" customHeight="false" outlineLevel="0" collapsed="false">
      <c r="A24" s="88" t="s">
        <v>609</v>
      </c>
      <c r="B24" s="88" t="s">
        <v>104</v>
      </c>
      <c r="C24" s="88" t="s">
        <v>586</v>
      </c>
      <c r="D24" s="88" t="s">
        <v>587</v>
      </c>
      <c r="E24" s="88" t="s">
        <v>588</v>
      </c>
    </row>
    <row r="25" customFormat="false" ht="22.35" hidden="false" customHeight="false" outlineLevel="0" collapsed="false">
      <c r="A25" s="88" t="s">
        <v>610</v>
      </c>
      <c r="B25" s="88" t="s">
        <v>401</v>
      </c>
      <c r="C25" s="88" t="s">
        <v>611</v>
      </c>
      <c r="D25" s="88" t="s">
        <v>600</v>
      </c>
      <c r="E25" s="88" t="s">
        <v>601</v>
      </c>
    </row>
    <row r="26" customFormat="false" ht="15" hidden="false" customHeight="false" outlineLevel="0" collapsed="false">
      <c r="A26" s="88" t="s">
        <v>612</v>
      </c>
      <c r="B26" s="88" t="s">
        <v>104</v>
      </c>
      <c r="C26" s="88" t="s">
        <v>586</v>
      </c>
      <c r="D26" s="88" t="s">
        <v>587</v>
      </c>
      <c r="E26" s="88" t="s">
        <v>588</v>
      </c>
    </row>
    <row r="27" customFormat="false" ht="22.35" hidden="false" customHeight="false" outlineLevel="0" collapsed="false">
      <c r="A27" s="88" t="s">
        <v>613</v>
      </c>
      <c r="B27" s="88" t="s">
        <v>104</v>
      </c>
      <c r="C27" s="88" t="s">
        <v>586</v>
      </c>
      <c r="D27" s="88" t="s">
        <v>587</v>
      </c>
      <c r="E27" s="88" t="s">
        <v>588</v>
      </c>
    </row>
    <row r="28" customFormat="false" ht="22.35" hidden="false" customHeight="false" outlineLevel="0" collapsed="false">
      <c r="A28" s="88" t="s">
        <v>614</v>
      </c>
      <c r="B28" s="88" t="s">
        <v>104</v>
      </c>
      <c r="C28" s="88" t="s">
        <v>586</v>
      </c>
      <c r="D28" s="88" t="s">
        <v>587</v>
      </c>
      <c r="E28" s="88" t="s">
        <v>588</v>
      </c>
    </row>
    <row r="29" customFormat="false" ht="15" hidden="false" customHeight="false" outlineLevel="0" collapsed="false">
      <c r="A29" s="88" t="s">
        <v>615</v>
      </c>
      <c r="B29" s="88" t="s">
        <v>104</v>
      </c>
      <c r="C29" s="88" t="s">
        <v>586</v>
      </c>
      <c r="D29" s="88" t="s">
        <v>587</v>
      </c>
      <c r="E29" s="88" t="s">
        <v>588</v>
      </c>
    </row>
    <row r="30" customFormat="false" ht="22.35" hidden="false" customHeight="false" outlineLevel="0" collapsed="false">
      <c r="A30" s="88" t="s">
        <v>616</v>
      </c>
      <c r="B30" s="88" t="s">
        <v>80</v>
      </c>
      <c r="C30" s="88" t="s">
        <v>617</v>
      </c>
      <c r="D30" s="88" t="s">
        <v>579</v>
      </c>
      <c r="E30" s="88" t="s">
        <v>580</v>
      </c>
    </row>
    <row r="31" customFormat="false" ht="15" hidden="false" customHeight="false" outlineLevel="0" collapsed="false">
      <c r="A31" s="88" t="s">
        <v>618</v>
      </c>
      <c r="B31" s="88" t="s">
        <v>401</v>
      </c>
      <c r="C31" s="88" t="s">
        <v>611</v>
      </c>
      <c r="D31" s="88" t="s">
        <v>600</v>
      </c>
      <c r="E31" s="88" t="s">
        <v>601</v>
      </c>
    </row>
    <row r="32" customFormat="false" ht="15" hidden="false" customHeight="false" outlineLevel="0" collapsed="false">
      <c r="A32" s="88" t="s">
        <v>619</v>
      </c>
      <c r="B32" s="88" t="s">
        <v>401</v>
      </c>
      <c r="C32" s="88" t="s">
        <v>611</v>
      </c>
      <c r="D32" s="88" t="s">
        <v>600</v>
      </c>
      <c r="E32" s="88" t="s">
        <v>601</v>
      </c>
    </row>
    <row r="33" customFormat="false" ht="15" hidden="false" customHeight="false" outlineLevel="0" collapsed="false">
      <c r="A33" s="88" t="s">
        <v>620</v>
      </c>
      <c r="B33" s="88" t="s">
        <v>401</v>
      </c>
      <c r="C33" s="88" t="s">
        <v>611</v>
      </c>
      <c r="D33" s="88" t="s">
        <v>600</v>
      </c>
      <c r="E33" s="88" t="s">
        <v>601</v>
      </c>
    </row>
    <row r="34" customFormat="false" ht="15" hidden="false" customHeight="false" outlineLevel="0" collapsed="false">
      <c r="A34" s="88" t="s">
        <v>621</v>
      </c>
      <c r="B34" s="88" t="s">
        <v>401</v>
      </c>
      <c r="C34" s="88" t="s">
        <v>611</v>
      </c>
      <c r="D34" s="88" t="s">
        <v>600</v>
      </c>
      <c r="E34" s="88" t="s">
        <v>601</v>
      </c>
    </row>
    <row r="35" customFormat="false" ht="15" hidden="false" customHeight="false" outlineLevel="0" collapsed="false">
      <c r="A35" s="88" t="s">
        <v>622</v>
      </c>
      <c r="B35" s="88" t="s">
        <v>401</v>
      </c>
      <c r="C35" s="88" t="s">
        <v>611</v>
      </c>
      <c r="D35" s="88" t="s">
        <v>600</v>
      </c>
      <c r="E35" s="88" t="s">
        <v>601</v>
      </c>
    </row>
    <row r="36" customFormat="false" ht="15" hidden="false" customHeight="false" outlineLevel="0" collapsed="false">
      <c r="A36" s="88" t="s">
        <v>623</v>
      </c>
      <c r="B36" s="88" t="s">
        <v>401</v>
      </c>
      <c r="C36" s="88" t="s">
        <v>611</v>
      </c>
      <c r="D36" s="88" t="s">
        <v>600</v>
      </c>
      <c r="E36" s="88" t="s">
        <v>601</v>
      </c>
    </row>
    <row r="37" customFormat="false" ht="15" hidden="false" customHeight="false" outlineLevel="0" collapsed="false">
      <c r="A37" s="88" t="s">
        <v>624</v>
      </c>
      <c r="B37" s="88" t="s">
        <v>401</v>
      </c>
      <c r="C37" s="88" t="s">
        <v>611</v>
      </c>
      <c r="D37" s="88" t="s">
        <v>600</v>
      </c>
      <c r="E37" s="88" t="s">
        <v>625</v>
      </c>
    </row>
    <row r="38" customFormat="false" ht="15" hidden="false" customHeight="false" outlineLevel="0" collapsed="false">
      <c r="A38" s="88" t="s">
        <v>626</v>
      </c>
      <c r="B38" s="88" t="s">
        <v>401</v>
      </c>
      <c r="C38" s="88" t="s">
        <v>611</v>
      </c>
      <c r="D38" s="88" t="s">
        <v>600</v>
      </c>
      <c r="E38" s="88" t="s">
        <v>601</v>
      </c>
    </row>
    <row r="39" customFormat="false" ht="15" hidden="false" customHeight="false" outlineLevel="0" collapsed="false">
      <c r="A39" s="88" t="s">
        <v>627</v>
      </c>
      <c r="B39" s="88" t="s">
        <v>401</v>
      </c>
      <c r="C39" s="88" t="s">
        <v>611</v>
      </c>
      <c r="D39" s="88" t="s">
        <v>600</v>
      </c>
      <c r="E39" s="88" t="s">
        <v>601</v>
      </c>
    </row>
    <row r="40" customFormat="false" ht="15" hidden="false" customHeight="false" outlineLevel="0" collapsed="false">
      <c r="A40" s="88" t="s">
        <v>628</v>
      </c>
      <c r="B40" s="88" t="s">
        <v>401</v>
      </c>
      <c r="C40" s="88" t="s">
        <v>611</v>
      </c>
      <c r="D40" s="88" t="s">
        <v>600</v>
      </c>
      <c r="E40" s="88" t="s">
        <v>625</v>
      </c>
    </row>
    <row r="41" customFormat="false" ht="15" hidden="false" customHeight="false" outlineLevel="0" collapsed="false">
      <c r="A41" s="88" t="s">
        <v>629</v>
      </c>
      <c r="B41" s="88" t="s">
        <v>401</v>
      </c>
      <c r="C41" s="88" t="s">
        <v>611</v>
      </c>
      <c r="D41" s="88" t="s">
        <v>600</v>
      </c>
      <c r="E41" s="88" t="s">
        <v>601</v>
      </c>
    </row>
    <row r="42" customFormat="false" ht="15" hidden="false" customHeight="false" outlineLevel="0" collapsed="false">
      <c r="A42" s="88" t="s">
        <v>630</v>
      </c>
      <c r="B42" s="88" t="s">
        <v>401</v>
      </c>
      <c r="C42" s="88" t="s">
        <v>611</v>
      </c>
      <c r="D42" s="88" t="s">
        <v>600</v>
      </c>
      <c r="E42" s="88" t="s">
        <v>601</v>
      </c>
    </row>
    <row r="43" customFormat="false" ht="15" hidden="false" customHeight="false" outlineLevel="0" collapsed="false">
      <c r="A43" s="88" t="s">
        <v>631</v>
      </c>
      <c r="B43" s="88" t="s">
        <v>401</v>
      </c>
      <c r="C43" s="88" t="s">
        <v>611</v>
      </c>
      <c r="D43" s="88" t="s">
        <v>600</v>
      </c>
      <c r="E43" s="88" t="s">
        <v>601</v>
      </c>
    </row>
    <row r="44" customFormat="false" ht="15" hidden="false" customHeight="false" outlineLevel="0" collapsed="false">
      <c r="A44" s="88" t="s">
        <v>632</v>
      </c>
      <c r="B44" s="88" t="s">
        <v>401</v>
      </c>
      <c r="C44" s="88" t="s">
        <v>611</v>
      </c>
      <c r="D44" s="88" t="s">
        <v>600</v>
      </c>
      <c r="E44" s="88" t="s">
        <v>601</v>
      </c>
    </row>
    <row r="45" customFormat="false" ht="15" hidden="false" customHeight="false" outlineLevel="0" collapsed="false">
      <c r="A45" s="88" t="s">
        <v>633</v>
      </c>
      <c r="B45" s="88" t="s">
        <v>401</v>
      </c>
      <c r="C45" s="88" t="s">
        <v>611</v>
      </c>
      <c r="D45" s="88" t="s">
        <v>600</v>
      </c>
      <c r="E45" s="88" t="s">
        <v>625</v>
      </c>
    </row>
    <row r="46" customFormat="false" ht="15" hidden="false" customHeight="false" outlineLevel="0" collapsed="false">
      <c r="A46" s="88" t="s">
        <v>634</v>
      </c>
      <c r="B46" s="88" t="s">
        <v>401</v>
      </c>
      <c r="C46" s="88" t="s">
        <v>611</v>
      </c>
      <c r="D46" s="88" t="s">
        <v>600</v>
      </c>
      <c r="E46" s="88" t="s">
        <v>625</v>
      </c>
    </row>
    <row r="47" customFormat="false" ht="15" hidden="false" customHeight="false" outlineLevel="0" collapsed="false">
      <c r="A47" s="88" t="s">
        <v>635</v>
      </c>
      <c r="B47" s="88" t="s">
        <v>401</v>
      </c>
      <c r="C47" s="88" t="s">
        <v>611</v>
      </c>
      <c r="D47" s="88" t="s">
        <v>600</v>
      </c>
      <c r="E47" s="88" t="s">
        <v>601</v>
      </c>
    </row>
    <row r="48" customFormat="false" ht="15" hidden="false" customHeight="false" outlineLevel="0" collapsed="false">
      <c r="A48" s="88" t="s">
        <v>636</v>
      </c>
      <c r="B48" s="88" t="s">
        <v>401</v>
      </c>
      <c r="C48" s="88" t="s">
        <v>611</v>
      </c>
      <c r="D48" s="88" t="s">
        <v>600</v>
      </c>
      <c r="E48" s="88" t="s">
        <v>601</v>
      </c>
    </row>
    <row r="49" customFormat="false" ht="15" hidden="false" customHeight="false" outlineLevel="0" collapsed="false">
      <c r="A49" s="88" t="s">
        <v>637</v>
      </c>
      <c r="B49" s="88" t="s">
        <v>401</v>
      </c>
      <c r="C49" s="88" t="s">
        <v>611</v>
      </c>
      <c r="D49" s="88" t="s">
        <v>600</v>
      </c>
      <c r="E49" s="88" t="s">
        <v>625</v>
      </c>
    </row>
    <row r="50" customFormat="false" ht="15" hidden="false" customHeight="false" outlineLevel="0" collapsed="false">
      <c r="A50" s="88" t="s">
        <v>638</v>
      </c>
      <c r="B50" s="88" t="s">
        <v>401</v>
      </c>
      <c r="C50" s="88" t="s">
        <v>611</v>
      </c>
      <c r="D50" s="88" t="s">
        <v>600</v>
      </c>
      <c r="E50" s="88" t="s">
        <v>601</v>
      </c>
    </row>
    <row r="51" customFormat="false" ht="15" hidden="false" customHeight="false" outlineLevel="0" collapsed="false">
      <c r="A51" s="88" t="s">
        <v>639</v>
      </c>
      <c r="B51" s="88" t="s">
        <v>401</v>
      </c>
      <c r="C51" s="88" t="s">
        <v>611</v>
      </c>
      <c r="D51" s="88" t="s">
        <v>600</v>
      </c>
      <c r="E51" s="88" t="s">
        <v>625</v>
      </c>
    </row>
    <row r="52" customFormat="false" ht="15" hidden="false" customHeight="false" outlineLevel="0" collapsed="false">
      <c r="A52" s="88" t="s">
        <v>640</v>
      </c>
      <c r="B52" s="88" t="s">
        <v>401</v>
      </c>
      <c r="C52" s="88" t="s">
        <v>611</v>
      </c>
      <c r="D52" s="88" t="s">
        <v>600</v>
      </c>
      <c r="E52" s="88" t="s">
        <v>601</v>
      </c>
    </row>
    <row r="53" customFormat="false" ht="15" hidden="false" customHeight="false" outlineLevel="0" collapsed="false">
      <c r="A53" s="88" t="s">
        <v>641</v>
      </c>
      <c r="B53" s="88" t="s">
        <v>401</v>
      </c>
      <c r="C53" s="88" t="s">
        <v>611</v>
      </c>
      <c r="D53" s="88" t="s">
        <v>600</v>
      </c>
      <c r="E53" s="88" t="s">
        <v>625</v>
      </c>
    </row>
    <row r="54" customFormat="false" ht="15" hidden="false" customHeight="false" outlineLevel="0" collapsed="false">
      <c r="A54" s="88" t="s">
        <v>642</v>
      </c>
      <c r="B54" s="88" t="s">
        <v>401</v>
      </c>
      <c r="C54" s="88" t="s">
        <v>611</v>
      </c>
      <c r="D54" s="88" t="s">
        <v>600</v>
      </c>
      <c r="E54" s="88" t="s">
        <v>601</v>
      </c>
    </row>
    <row r="55" customFormat="false" ht="15" hidden="false" customHeight="false" outlineLevel="0" collapsed="false">
      <c r="A55" s="88" t="s">
        <v>643</v>
      </c>
      <c r="B55" s="88" t="s">
        <v>401</v>
      </c>
      <c r="C55" s="88" t="s">
        <v>611</v>
      </c>
      <c r="D55" s="88" t="s">
        <v>600</v>
      </c>
      <c r="E55" s="88" t="s">
        <v>625</v>
      </c>
    </row>
    <row r="56" customFormat="false" ht="15" hidden="false" customHeight="false" outlineLevel="0" collapsed="false">
      <c r="A56" s="88" t="s">
        <v>644</v>
      </c>
      <c r="B56" s="88" t="s">
        <v>401</v>
      </c>
      <c r="C56" s="88" t="s">
        <v>611</v>
      </c>
      <c r="D56" s="88" t="s">
        <v>600</v>
      </c>
      <c r="E56" s="88" t="s">
        <v>601</v>
      </c>
    </row>
    <row r="57" customFormat="false" ht="15" hidden="false" customHeight="false" outlineLevel="0" collapsed="false">
      <c r="A57" s="88" t="s">
        <v>645</v>
      </c>
      <c r="B57" s="88" t="s">
        <v>104</v>
      </c>
      <c r="C57" s="88" t="s">
        <v>599</v>
      </c>
      <c r="D57" s="88" t="s">
        <v>600</v>
      </c>
      <c r="E57" s="88" t="s">
        <v>601</v>
      </c>
    </row>
    <row r="58" customFormat="false" ht="22.35" hidden="false" customHeight="false" outlineLevel="0" collapsed="false">
      <c r="A58" s="88" t="s">
        <v>646</v>
      </c>
      <c r="B58" s="88" t="s">
        <v>451</v>
      </c>
      <c r="C58" s="88" t="s">
        <v>647</v>
      </c>
      <c r="D58" s="88" t="s">
        <v>600</v>
      </c>
      <c r="E58" s="88" t="s">
        <v>601</v>
      </c>
    </row>
    <row r="59" customFormat="false" ht="22.35" hidden="false" customHeight="false" outlineLevel="0" collapsed="false">
      <c r="A59" s="88" t="s">
        <v>648</v>
      </c>
      <c r="B59" s="88" t="s">
        <v>451</v>
      </c>
      <c r="C59" s="88" t="s">
        <v>647</v>
      </c>
      <c r="D59" s="88" t="s">
        <v>600</v>
      </c>
      <c r="E59" s="88" t="s">
        <v>601</v>
      </c>
    </row>
    <row r="60" customFormat="false" ht="15" hidden="false" customHeight="false" outlineLevel="0" collapsed="false">
      <c r="A60" s="88" t="s">
        <v>649</v>
      </c>
      <c r="B60" s="88" t="s">
        <v>401</v>
      </c>
      <c r="C60" s="88" t="s">
        <v>611</v>
      </c>
      <c r="D60" s="88" t="s">
        <v>600</v>
      </c>
      <c r="E60" s="88" t="s">
        <v>601</v>
      </c>
    </row>
    <row r="61" customFormat="false" ht="15" hidden="false" customHeight="false" outlineLevel="0" collapsed="false">
      <c r="A61" s="88" t="s">
        <v>650</v>
      </c>
      <c r="B61" s="88" t="s">
        <v>401</v>
      </c>
      <c r="C61" s="88" t="s">
        <v>611</v>
      </c>
      <c r="D61" s="88" t="s">
        <v>600</v>
      </c>
      <c r="E61" s="88" t="s">
        <v>601</v>
      </c>
    </row>
    <row r="62" customFormat="false" ht="15" hidden="false" customHeight="false" outlineLevel="0" collapsed="false">
      <c r="A62" s="88" t="s">
        <v>651</v>
      </c>
      <c r="B62" s="88" t="s">
        <v>401</v>
      </c>
      <c r="C62" s="88" t="s">
        <v>611</v>
      </c>
      <c r="D62" s="88" t="s">
        <v>600</v>
      </c>
      <c r="E62" s="88" t="s">
        <v>601</v>
      </c>
    </row>
    <row r="63" customFormat="false" ht="15" hidden="false" customHeight="false" outlineLevel="0" collapsed="false">
      <c r="A63" s="88" t="s">
        <v>652</v>
      </c>
      <c r="B63" s="88" t="s">
        <v>401</v>
      </c>
      <c r="C63" s="88" t="s">
        <v>611</v>
      </c>
      <c r="D63" s="88" t="s">
        <v>600</v>
      </c>
      <c r="E63" s="88" t="s">
        <v>601</v>
      </c>
    </row>
    <row r="64" customFormat="false" ht="15" hidden="false" customHeight="false" outlineLevel="0" collapsed="false">
      <c r="A64" s="88" t="s">
        <v>653</v>
      </c>
      <c r="B64" s="88" t="s">
        <v>401</v>
      </c>
      <c r="C64" s="88" t="s">
        <v>611</v>
      </c>
      <c r="D64" s="88" t="s">
        <v>600</v>
      </c>
      <c r="E64" s="88" t="s">
        <v>601</v>
      </c>
    </row>
    <row r="65" customFormat="false" ht="15" hidden="false" customHeight="false" outlineLevel="0" collapsed="false">
      <c r="A65" s="88" t="s">
        <v>654</v>
      </c>
      <c r="B65" s="88" t="s">
        <v>401</v>
      </c>
      <c r="C65" s="88" t="s">
        <v>611</v>
      </c>
      <c r="D65" s="88" t="s">
        <v>600</v>
      </c>
      <c r="E65" s="88" t="s">
        <v>601</v>
      </c>
    </row>
    <row r="66" customFormat="false" ht="15" hidden="false" customHeight="false" outlineLevel="0" collapsed="false">
      <c r="A66" s="88" t="s">
        <v>655</v>
      </c>
      <c r="B66" s="88" t="s">
        <v>401</v>
      </c>
      <c r="C66" s="88" t="s">
        <v>611</v>
      </c>
      <c r="D66" s="88" t="s">
        <v>600</v>
      </c>
      <c r="E66" s="88" t="s">
        <v>601</v>
      </c>
    </row>
    <row r="67" customFormat="false" ht="15" hidden="false" customHeight="false" outlineLevel="0" collapsed="false">
      <c r="A67" s="88" t="s">
        <v>656</v>
      </c>
      <c r="B67" s="88" t="s">
        <v>401</v>
      </c>
      <c r="C67" s="88" t="s">
        <v>611</v>
      </c>
      <c r="D67" s="88" t="s">
        <v>600</v>
      </c>
      <c r="E67" s="88" t="s">
        <v>601</v>
      </c>
    </row>
    <row r="68" customFormat="false" ht="15" hidden="false" customHeight="false" outlineLevel="0" collapsed="false">
      <c r="A68" s="88" t="s">
        <v>657</v>
      </c>
      <c r="B68" s="88" t="s">
        <v>401</v>
      </c>
      <c r="C68" s="88" t="s">
        <v>611</v>
      </c>
      <c r="D68" s="88" t="s">
        <v>600</v>
      </c>
      <c r="E68" s="88" t="s">
        <v>601</v>
      </c>
    </row>
    <row r="69" customFormat="false" ht="15" hidden="false" customHeight="false" outlineLevel="0" collapsed="false">
      <c r="A69" s="88" t="s">
        <v>658</v>
      </c>
      <c r="B69" s="88" t="s">
        <v>401</v>
      </c>
      <c r="C69" s="88" t="s">
        <v>611</v>
      </c>
      <c r="D69" s="88" t="s">
        <v>600</v>
      </c>
      <c r="E69" s="88" t="s">
        <v>601</v>
      </c>
    </row>
    <row r="70" customFormat="false" ht="15" hidden="false" customHeight="false" outlineLevel="0" collapsed="false">
      <c r="A70" s="88" t="s">
        <v>659</v>
      </c>
      <c r="B70" s="88" t="s">
        <v>401</v>
      </c>
      <c r="C70" s="88" t="s">
        <v>611</v>
      </c>
      <c r="D70" s="88" t="s">
        <v>600</v>
      </c>
      <c r="E70" s="88" t="s">
        <v>601</v>
      </c>
    </row>
    <row r="71" customFormat="false" ht="15" hidden="false" customHeight="false" outlineLevel="0" collapsed="false">
      <c r="A71" s="88" t="s">
        <v>660</v>
      </c>
      <c r="B71" s="88" t="s">
        <v>401</v>
      </c>
      <c r="C71" s="88" t="s">
        <v>611</v>
      </c>
      <c r="D71" s="88" t="s">
        <v>600</v>
      </c>
      <c r="E71" s="88" t="s">
        <v>601</v>
      </c>
    </row>
    <row r="72" customFormat="false" ht="15" hidden="false" customHeight="false" outlineLevel="0" collapsed="false">
      <c r="A72" s="88" t="s">
        <v>661</v>
      </c>
      <c r="B72" s="88" t="s">
        <v>401</v>
      </c>
      <c r="C72" s="88" t="s">
        <v>611</v>
      </c>
      <c r="D72" s="88" t="s">
        <v>600</v>
      </c>
      <c r="E72" s="88" t="s">
        <v>601</v>
      </c>
    </row>
    <row r="73" customFormat="false" ht="22.35" hidden="false" customHeight="false" outlineLevel="0" collapsed="false">
      <c r="A73" s="88" t="s">
        <v>662</v>
      </c>
      <c r="B73" s="88" t="s">
        <v>124</v>
      </c>
      <c r="C73" s="88" t="s">
        <v>663</v>
      </c>
      <c r="D73" s="88" t="s">
        <v>600</v>
      </c>
      <c r="E73" s="88" t="s">
        <v>625</v>
      </c>
    </row>
    <row r="74" customFormat="false" ht="15" hidden="false" customHeight="false" outlineLevel="0" collapsed="false">
      <c r="A74" s="88" t="s">
        <v>664</v>
      </c>
      <c r="B74" s="88" t="s">
        <v>401</v>
      </c>
      <c r="C74" s="88" t="s">
        <v>611</v>
      </c>
      <c r="D74" s="88" t="s">
        <v>600</v>
      </c>
      <c r="E74" s="88" t="s">
        <v>601</v>
      </c>
    </row>
    <row r="75" customFormat="false" ht="15" hidden="false" customHeight="false" outlineLevel="0" collapsed="false">
      <c r="A75" s="88" t="s">
        <v>665</v>
      </c>
      <c r="B75" s="88" t="s">
        <v>401</v>
      </c>
      <c r="C75" s="88" t="s">
        <v>611</v>
      </c>
      <c r="D75" s="88" t="s">
        <v>600</v>
      </c>
      <c r="E75" s="88" t="s">
        <v>601</v>
      </c>
    </row>
    <row r="76" customFormat="false" ht="15" hidden="false" customHeight="false" outlineLevel="0" collapsed="false">
      <c r="A76" s="88" t="s">
        <v>666</v>
      </c>
      <c r="B76" s="88" t="s">
        <v>401</v>
      </c>
      <c r="C76" s="88" t="s">
        <v>611</v>
      </c>
      <c r="D76" s="88" t="s">
        <v>600</v>
      </c>
      <c r="E76" s="88" t="s">
        <v>601</v>
      </c>
    </row>
    <row r="77" customFormat="false" ht="15" hidden="false" customHeight="false" outlineLevel="0" collapsed="false">
      <c r="A77" s="88" t="s">
        <v>667</v>
      </c>
      <c r="B77" s="88" t="s">
        <v>401</v>
      </c>
      <c r="C77" s="88" t="s">
        <v>611</v>
      </c>
      <c r="D77" s="88" t="s">
        <v>600</v>
      </c>
      <c r="E77" s="88" t="s">
        <v>601</v>
      </c>
    </row>
    <row r="78" customFormat="false" ht="15" hidden="false" customHeight="false" outlineLevel="0" collapsed="false">
      <c r="A78" s="88" t="s">
        <v>668</v>
      </c>
      <c r="B78" s="88" t="s">
        <v>401</v>
      </c>
      <c r="C78" s="88" t="s">
        <v>611</v>
      </c>
      <c r="D78" s="88" t="s">
        <v>600</v>
      </c>
      <c r="E78" s="88" t="s">
        <v>601</v>
      </c>
    </row>
    <row r="79" customFormat="false" ht="15" hidden="false" customHeight="false" outlineLevel="0" collapsed="false">
      <c r="A79" s="88" t="s">
        <v>669</v>
      </c>
      <c r="B79" s="88" t="s">
        <v>401</v>
      </c>
      <c r="C79" s="88" t="s">
        <v>611</v>
      </c>
      <c r="D79" s="88" t="s">
        <v>600</v>
      </c>
      <c r="E79" s="88" t="s">
        <v>601</v>
      </c>
    </row>
    <row r="80" customFormat="false" ht="15" hidden="false" customHeight="false" outlineLevel="0" collapsed="false">
      <c r="A80" s="88" t="s">
        <v>670</v>
      </c>
      <c r="B80" s="88" t="s">
        <v>401</v>
      </c>
      <c r="C80" s="88" t="s">
        <v>611</v>
      </c>
      <c r="D80" s="88" t="s">
        <v>600</v>
      </c>
      <c r="E80" s="88" t="s">
        <v>601</v>
      </c>
    </row>
    <row r="81" customFormat="false" ht="15" hidden="false" customHeight="false" outlineLevel="0" collapsed="false">
      <c r="A81" s="88" t="s">
        <v>671</v>
      </c>
      <c r="B81" s="88" t="s">
        <v>401</v>
      </c>
      <c r="C81" s="88" t="s">
        <v>611</v>
      </c>
      <c r="D81" s="88" t="s">
        <v>600</v>
      </c>
      <c r="E81" s="88" t="s">
        <v>601</v>
      </c>
    </row>
    <row r="82" customFormat="false" ht="15" hidden="false" customHeight="false" outlineLevel="0" collapsed="false">
      <c r="A82" s="88" t="s">
        <v>672</v>
      </c>
      <c r="B82" s="88" t="s">
        <v>401</v>
      </c>
      <c r="C82" s="88" t="s">
        <v>611</v>
      </c>
      <c r="D82" s="88" t="s">
        <v>600</v>
      </c>
      <c r="E82" s="88" t="s">
        <v>601</v>
      </c>
    </row>
    <row r="83" customFormat="false" ht="15" hidden="false" customHeight="false" outlineLevel="0" collapsed="false">
      <c r="A83" s="88" t="s">
        <v>673</v>
      </c>
      <c r="B83" s="88" t="s">
        <v>401</v>
      </c>
      <c r="C83" s="88" t="s">
        <v>611</v>
      </c>
      <c r="D83" s="88" t="s">
        <v>600</v>
      </c>
      <c r="E83" s="88" t="s">
        <v>601</v>
      </c>
    </row>
    <row r="84" customFormat="false" ht="15" hidden="false" customHeight="false" outlineLevel="0" collapsed="false">
      <c r="A84" s="88" t="s">
        <v>674</v>
      </c>
      <c r="B84" s="88" t="s">
        <v>401</v>
      </c>
      <c r="C84" s="88" t="s">
        <v>611</v>
      </c>
      <c r="D84" s="88" t="s">
        <v>600</v>
      </c>
      <c r="E84" s="88" t="s">
        <v>601</v>
      </c>
    </row>
    <row r="85" customFormat="false" ht="15" hidden="false" customHeight="false" outlineLevel="0" collapsed="false">
      <c r="A85" s="88" t="s">
        <v>675</v>
      </c>
      <c r="B85" s="88" t="s">
        <v>401</v>
      </c>
      <c r="C85" s="88" t="s">
        <v>611</v>
      </c>
      <c r="D85" s="88" t="s">
        <v>600</v>
      </c>
      <c r="E85" s="88" t="s">
        <v>601</v>
      </c>
    </row>
    <row r="86" customFormat="false" ht="15" hidden="false" customHeight="false" outlineLevel="0" collapsed="false">
      <c r="A86" s="88" t="s">
        <v>676</v>
      </c>
      <c r="B86" s="88" t="s">
        <v>401</v>
      </c>
      <c r="C86" s="88" t="s">
        <v>611</v>
      </c>
      <c r="D86" s="88" t="s">
        <v>600</v>
      </c>
      <c r="E86" s="88" t="s">
        <v>601</v>
      </c>
    </row>
    <row r="87" customFormat="false" ht="15" hidden="false" customHeight="false" outlineLevel="0" collapsed="false">
      <c r="A87" s="88" t="s">
        <v>677</v>
      </c>
      <c r="B87" s="88" t="s">
        <v>401</v>
      </c>
      <c r="C87" s="88" t="s">
        <v>611</v>
      </c>
      <c r="D87" s="88" t="s">
        <v>600</v>
      </c>
      <c r="E87" s="88" t="s">
        <v>601</v>
      </c>
    </row>
    <row r="88" customFormat="false" ht="22.35" hidden="false" customHeight="false" outlineLevel="0" collapsed="false">
      <c r="A88" s="88" t="s">
        <v>678</v>
      </c>
      <c r="B88" s="88" t="s">
        <v>382</v>
      </c>
      <c r="C88" s="88" t="s">
        <v>679</v>
      </c>
      <c r="D88" s="88" t="s">
        <v>680</v>
      </c>
      <c r="E88" s="88" t="s">
        <v>681</v>
      </c>
    </row>
    <row r="89" customFormat="false" ht="22.35" hidden="false" customHeight="false" outlineLevel="0" collapsed="false">
      <c r="A89" s="88" t="s">
        <v>682</v>
      </c>
      <c r="B89" s="88" t="s">
        <v>382</v>
      </c>
      <c r="C89" s="88" t="s">
        <v>679</v>
      </c>
      <c r="D89" s="88" t="s">
        <v>680</v>
      </c>
      <c r="E89" s="88" t="s">
        <v>681</v>
      </c>
    </row>
    <row r="90" customFormat="false" ht="15" hidden="false" customHeight="false" outlineLevel="0" collapsed="false">
      <c r="A90" s="88" t="s">
        <v>683</v>
      </c>
      <c r="B90" s="88" t="s">
        <v>401</v>
      </c>
      <c r="C90" s="88" t="s">
        <v>611</v>
      </c>
      <c r="D90" s="88" t="s">
        <v>600</v>
      </c>
      <c r="E90" s="88" t="s">
        <v>601</v>
      </c>
    </row>
    <row r="91" customFormat="false" ht="15" hidden="false" customHeight="false" outlineLevel="0" collapsed="false">
      <c r="A91" s="88" t="s">
        <v>684</v>
      </c>
      <c r="B91" s="88" t="s">
        <v>401</v>
      </c>
      <c r="C91" s="88" t="s">
        <v>685</v>
      </c>
      <c r="D91" s="88" t="s">
        <v>686</v>
      </c>
      <c r="E91" s="88" t="s">
        <v>625</v>
      </c>
    </row>
    <row r="92" customFormat="false" ht="15" hidden="false" customHeight="false" outlineLevel="0" collapsed="false">
      <c r="A92" s="88" t="s">
        <v>687</v>
      </c>
      <c r="B92" s="88" t="s">
        <v>382</v>
      </c>
      <c r="C92" s="88" t="s">
        <v>688</v>
      </c>
      <c r="D92" s="88" t="s">
        <v>689</v>
      </c>
      <c r="E92" s="88" t="s">
        <v>690</v>
      </c>
    </row>
    <row r="93" customFormat="false" ht="15" hidden="false" customHeight="false" outlineLevel="0" collapsed="false">
      <c r="A93" s="88" t="s">
        <v>691</v>
      </c>
      <c r="B93" s="88" t="s">
        <v>401</v>
      </c>
      <c r="C93" s="88" t="s">
        <v>611</v>
      </c>
      <c r="D93" s="88" t="s">
        <v>600</v>
      </c>
      <c r="E93" s="88" t="s">
        <v>601</v>
      </c>
    </row>
    <row r="94" customFormat="false" ht="22.35" hidden="false" customHeight="false" outlineLevel="0" collapsed="false">
      <c r="A94" s="88" t="s">
        <v>692</v>
      </c>
      <c r="B94" s="88" t="s">
        <v>362</v>
      </c>
      <c r="C94" s="88" t="s">
        <v>693</v>
      </c>
      <c r="D94" s="88" t="s">
        <v>600</v>
      </c>
      <c r="E94" s="88" t="s">
        <v>601</v>
      </c>
    </row>
    <row r="95" customFormat="false" ht="15" hidden="false" customHeight="false" outlineLevel="0" collapsed="false">
      <c r="A95" s="88" t="s">
        <v>694</v>
      </c>
      <c r="B95" s="88" t="s">
        <v>382</v>
      </c>
      <c r="C95" s="88" t="s">
        <v>688</v>
      </c>
      <c r="D95" s="88" t="s">
        <v>689</v>
      </c>
      <c r="E95" s="88" t="s">
        <v>690</v>
      </c>
    </row>
    <row r="96" customFormat="false" ht="15" hidden="false" customHeight="false" outlineLevel="0" collapsed="false">
      <c r="A96" s="88" t="s">
        <v>220</v>
      </c>
      <c r="B96" s="88" t="s">
        <v>211</v>
      </c>
      <c r="C96" s="88" t="s">
        <v>695</v>
      </c>
      <c r="D96" s="88" t="s">
        <v>600</v>
      </c>
      <c r="E96" s="88" t="s">
        <v>601</v>
      </c>
    </row>
    <row r="97" customFormat="false" ht="15" hidden="false" customHeight="false" outlineLevel="0" collapsed="false">
      <c r="A97" s="88" t="s">
        <v>696</v>
      </c>
      <c r="B97" s="88" t="s">
        <v>401</v>
      </c>
      <c r="C97" s="88" t="s">
        <v>611</v>
      </c>
      <c r="D97" s="88" t="s">
        <v>600</v>
      </c>
      <c r="E97" s="88" t="s">
        <v>601</v>
      </c>
    </row>
    <row r="98" customFormat="false" ht="15" hidden="false" customHeight="false" outlineLevel="0" collapsed="false">
      <c r="A98" s="88" t="s">
        <v>697</v>
      </c>
      <c r="B98" s="88" t="s">
        <v>382</v>
      </c>
      <c r="C98" s="88" t="s">
        <v>688</v>
      </c>
      <c r="D98" s="88" t="s">
        <v>689</v>
      </c>
      <c r="E98" s="88" t="s">
        <v>690</v>
      </c>
    </row>
    <row r="99" customFormat="false" ht="15" hidden="false" customHeight="false" outlineLevel="0" collapsed="false">
      <c r="A99" s="88" t="s">
        <v>698</v>
      </c>
      <c r="B99" s="88" t="s">
        <v>382</v>
      </c>
      <c r="C99" s="88" t="s">
        <v>688</v>
      </c>
      <c r="D99" s="88" t="s">
        <v>689</v>
      </c>
      <c r="E99" s="88" t="s">
        <v>690</v>
      </c>
    </row>
    <row r="100" customFormat="false" ht="15" hidden="false" customHeight="false" outlineLevel="0" collapsed="false">
      <c r="A100" s="88" t="s">
        <v>699</v>
      </c>
      <c r="B100" s="88" t="s">
        <v>401</v>
      </c>
      <c r="C100" s="88" t="s">
        <v>611</v>
      </c>
      <c r="D100" s="88" t="s">
        <v>600</v>
      </c>
      <c r="E100" s="88" t="s">
        <v>601</v>
      </c>
    </row>
    <row r="101" customFormat="false" ht="22.35" hidden="false" customHeight="false" outlineLevel="0" collapsed="false">
      <c r="A101" s="88" t="s">
        <v>700</v>
      </c>
      <c r="B101" s="88" t="s">
        <v>401</v>
      </c>
      <c r="C101" s="88" t="s">
        <v>611</v>
      </c>
      <c r="D101" s="88" t="s">
        <v>600</v>
      </c>
      <c r="E101" s="88" t="s">
        <v>701</v>
      </c>
    </row>
    <row r="102" customFormat="false" ht="22.35" hidden="false" customHeight="false" outlineLevel="0" collapsed="false">
      <c r="A102" s="88" t="s">
        <v>702</v>
      </c>
      <c r="B102" s="88" t="s">
        <v>362</v>
      </c>
      <c r="C102" s="88" t="s">
        <v>693</v>
      </c>
      <c r="D102" s="88" t="s">
        <v>600</v>
      </c>
      <c r="E102" s="88" t="s">
        <v>601</v>
      </c>
    </row>
    <row r="103" customFormat="false" ht="22.35" hidden="false" customHeight="false" outlineLevel="0" collapsed="false">
      <c r="A103" s="88" t="s">
        <v>703</v>
      </c>
      <c r="B103" s="88" t="s">
        <v>286</v>
      </c>
      <c r="C103" s="88" t="s">
        <v>704</v>
      </c>
      <c r="D103" s="88" t="s">
        <v>705</v>
      </c>
      <c r="E103" s="88" t="s">
        <v>706</v>
      </c>
    </row>
    <row r="104" customFormat="false" ht="22.35" hidden="false" customHeight="false" outlineLevel="0" collapsed="false">
      <c r="A104" s="88" t="s">
        <v>707</v>
      </c>
      <c r="B104" s="88" t="s">
        <v>451</v>
      </c>
      <c r="C104" s="88" t="s">
        <v>647</v>
      </c>
      <c r="D104" s="88" t="s">
        <v>600</v>
      </c>
      <c r="E104" s="88" t="s">
        <v>601</v>
      </c>
    </row>
    <row r="105" customFormat="false" ht="22.35" hidden="false" customHeight="false" outlineLevel="0" collapsed="false">
      <c r="A105" s="88" t="s">
        <v>708</v>
      </c>
      <c r="B105" s="88" t="s">
        <v>362</v>
      </c>
      <c r="C105" s="88" t="s">
        <v>709</v>
      </c>
      <c r="D105" s="88" t="s">
        <v>710</v>
      </c>
      <c r="E105" s="88" t="s">
        <v>625</v>
      </c>
    </row>
    <row r="106" customFormat="false" ht="15" hidden="false" customHeight="false" outlineLevel="0" collapsed="false">
      <c r="A106" s="88" t="s">
        <v>377</v>
      </c>
      <c r="B106" s="88" t="s">
        <v>362</v>
      </c>
      <c r="C106" s="88" t="s">
        <v>711</v>
      </c>
      <c r="D106" s="88" t="s">
        <v>686</v>
      </c>
      <c r="E106" s="88" t="s">
        <v>625</v>
      </c>
    </row>
    <row r="107" customFormat="false" ht="22.35" hidden="false" customHeight="false" outlineLevel="0" collapsed="false">
      <c r="A107" s="88" t="s">
        <v>712</v>
      </c>
      <c r="B107" s="88" t="s">
        <v>286</v>
      </c>
      <c r="C107" s="88" t="s">
        <v>713</v>
      </c>
      <c r="D107" s="88" t="s">
        <v>710</v>
      </c>
      <c r="E107" s="88" t="s">
        <v>625</v>
      </c>
    </row>
    <row r="108" customFormat="false" ht="15" hidden="false" customHeight="false" outlineLevel="0" collapsed="false">
      <c r="A108" s="88" t="s">
        <v>714</v>
      </c>
      <c r="B108" s="88" t="s">
        <v>286</v>
      </c>
      <c r="C108" s="88" t="s">
        <v>715</v>
      </c>
      <c r="D108" s="88" t="s">
        <v>686</v>
      </c>
      <c r="E108" s="88" t="s">
        <v>625</v>
      </c>
    </row>
    <row r="109" customFormat="false" ht="22.35" hidden="false" customHeight="false" outlineLevel="0" collapsed="false">
      <c r="A109" s="88" t="s">
        <v>716</v>
      </c>
      <c r="B109" s="88" t="s">
        <v>382</v>
      </c>
      <c r="C109" s="88" t="s">
        <v>679</v>
      </c>
      <c r="D109" s="88" t="s">
        <v>680</v>
      </c>
      <c r="E109" s="88" t="s">
        <v>681</v>
      </c>
    </row>
    <row r="110" customFormat="false" ht="22.35" hidden="false" customHeight="false" outlineLevel="0" collapsed="false">
      <c r="A110" s="88" t="s">
        <v>717</v>
      </c>
      <c r="B110" s="88" t="s">
        <v>80</v>
      </c>
      <c r="C110" s="88" t="s">
        <v>617</v>
      </c>
      <c r="D110" s="88" t="s">
        <v>579</v>
      </c>
      <c r="E110" s="88" t="s">
        <v>580</v>
      </c>
    </row>
    <row r="111" customFormat="false" ht="22.35" hidden="false" customHeight="false" outlineLevel="0" collapsed="false">
      <c r="A111" s="88" t="s">
        <v>718</v>
      </c>
      <c r="B111" s="88" t="s">
        <v>362</v>
      </c>
      <c r="C111" s="88" t="s">
        <v>578</v>
      </c>
      <c r="D111" s="88" t="s">
        <v>579</v>
      </c>
      <c r="E111" s="88" t="s">
        <v>580</v>
      </c>
    </row>
    <row r="112" customFormat="false" ht="22.35" hidden="false" customHeight="false" outlineLevel="0" collapsed="false">
      <c r="A112" s="88" t="s">
        <v>719</v>
      </c>
      <c r="B112" s="88" t="s">
        <v>362</v>
      </c>
      <c r="C112" s="88" t="s">
        <v>578</v>
      </c>
      <c r="D112" s="88" t="s">
        <v>579</v>
      </c>
      <c r="E112" s="88" t="s">
        <v>580</v>
      </c>
    </row>
    <row r="113" customFormat="false" ht="22.35" hidden="false" customHeight="false" outlineLevel="0" collapsed="false">
      <c r="A113" s="88" t="s">
        <v>720</v>
      </c>
      <c r="B113" s="88" t="s">
        <v>362</v>
      </c>
      <c r="C113" s="88" t="s">
        <v>578</v>
      </c>
      <c r="D113" s="88" t="s">
        <v>579</v>
      </c>
      <c r="E113" s="88" t="s">
        <v>580</v>
      </c>
    </row>
    <row r="114" customFormat="false" ht="22.35" hidden="false" customHeight="false" outlineLevel="0" collapsed="false">
      <c r="A114" s="88" t="s">
        <v>721</v>
      </c>
      <c r="B114" s="88" t="s">
        <v>362</v>
      </c>
      <c r="C114" s="88" t="s">
        <v>578</v>
      </c>
      <c r="D114" s="88" t="s">
        <v>579</v>
      </c>
      <c r="E114" s="88" t="s">
        <v>580</v>
      </c>
    </row>
    <row r="115" customFormat="false" ht="22.35" hidden="false" customHeight="false" outlineLevel="0" collapsed="false">
      <c r="A115" s="88" t="s">
        <v>388</v>
      </c>
      <c r="B115" s="88" t="s">
        <v>382</v>
      </c>
      <c r="C115" s="88" t="s">
        <v>722</v>
      </c>
      <c r="D115" s="88" t="s">
        <v>579</v>
      </c>
      <c r="E115" s="88" t="s">
        <v>580</v>
      </c>
    </row>
    <row r="116" customFormat="false" ht="22.35" hidden="false" customHeight="false" outlineLevel="0" collapsed="false">
      <c r="A116" s="88" t="s">
        <v>723</v>
      </c>
      <c r="B116" s="88" t="s">
        <v>382</v>
      </c>
      <c r="C116" s="88" t="s">
        <v>679</v>
      </c>
      <c r="D116" s="88" t="s">
        <v>680</v>
      </c>
      <c r="E116" s="88" t="s">
        <v>681</v>
      </c>
    </row>
    <row r="117" customFormat="false" ht="15" hidden="false" customHeight="false" outlineLevel="0" collapsed="false">
      <c r="A117" s="88" t="s">
        <v>724</v>
      </c>
      <c r="B117" s="88" t="s">
        <v>401</v>
      </c>
      <c r="C117" s="88" t="s">
        <v>611</v>
      </c>
      <c r="D117" s="88" t="s">
        <v>600</v>
      </c>
      <c r="E117" s="88" t="s">
        <v>601</v>
      </c>
    </row>
    <row r="118" customFormat="false" ht="15" hidden="false" customHeight="false" outlineLevel="0" collapsed="false">
      <c r="A118" s="88" t="s">
        <v>725</v>
      </c>
      <c r="B118" s="88" t="s">
        <v>401</v>
      </c>
      <c r="C118" s="88" t="s">
        <v>611</v>
      </c>
      <c r="D118" s="88" t="s">
        <v>600</v>
      </c>
      <c r="E118" s="88" t="s">
        <v>601</v>
      </c>
    </row>
    <row r="119" customFormat="false" ht="15" hidden="false" customHeight="false" outlineLevel="0" collapsed="false">
      <c r="A119" s="88" t="s">
        <v>726</v>
      </c>
      <c r="B119" s="88" t="s">
        <v>401</v>
      </c>
      <c r="C119" s="88" t="s">
        <v>611</v>
      </c>
      <c r="D119" s="88" t="s">
        <v>600</v>
      </c>
      <c r="E119" s="88" t="s">
        <v>601</v>
      </c>
    </row>
    <row r="120" customFormat="false" ht="15" hidden="false" customHeight="false" outlineLevel="0" collapsed="false">
      <c r="A120" s="88" t="s">
        <v>727</v>
      </c>
      <c r="B120" s="88" t="s">
        <v>382</v>
      </c>
      <c r="C120" s="88" t="s">
        <v>688</v>
      </c>
      <c r="D120" s="88" t="s">
        <v>689</v>
      </c>
      <c r="E120" s="88" t="s">
        <v>690</v>
      </c>
    </row>
    <row r="121" customFormat="false" ht="22.35" hidden="false" customHeight="false" outlineLevel="0" collapsed="false">
      <c r="A121" s="88" t="s">
        <v>728</v>
      </c>
      <c r="B121" s="88" t="s">
        <v>362</v>
      </c>
      <c r="C121" s="88" t="s">
        <v>578</v>
      </c>
      <c r="D121" s="88" t="s">
        <v>579</v>
      </c>
      <c r="E121" s="88" t="s">
        <v>580</v>
      </c>
    </row>
    <row r="122" customFormat="false" ht="22.35" hidden="false" customHeight="false" outlineLevel="0" collapsed="false">
      <c r="A122" s="88" t="s">
        <v>729</v>
      </c>
      <c r="B122" s="88" t="s">
        <v>401</v>
      </c>
      <c r="C122" s="88" t="s">
        <v>611</v>
      </c>
      <c r="D122" s="88" t="s">
        <v>600</v>
      </c>
      <c r="E122" s="88" t="s">
        <v>601</v>
      </c>
    </row>
    <row r="123" customFormat="false" ht="15" hidden="false" customHeight="false" outlineLevel="0" collapsed="false">
      <c r="A123" s="88" t="s">
        <v>730</v>
      </c>
      <c r="B123" s="88" t="s">
        <v>401</v>
      </c>
      <c r="C123" s="88" t="s">
        <v>731</v>
      </c>
      <c r="D123" s="88" t="s">
        <v>710</v>
      </c>
      <c r="E123" s="88" t="s">
        <v>625</v>
      </c>
    </row>
    <row r="124" customFormat="false" ht="15" hidden="false" customHeight="false" outlineLevel="0" collapsed="false">
      <c r="A124" s="88" t="s">
        <v>732</v>
      </c>
      <c r="B124" s="88" t="s">
        <v>401</v>
      </c>
      <c r="C124" s="88" t="s">
        <v>731</v>
      </c>
      <c r="D124" s="88" t="s">
        <v>710</v>
      </c>
      <c r="E124" s="88" t="s">
        <v>625</v>
      </c>
    </row>
    <row r="125" customFormat="false" ht="15" hidden="false" customHeight="false" outlineLevel="0" collapsed="false">
      <c r="A125" s="88" t="s">
        <v>733</v>
      </c>
      <c r="B125" s="88" t="s">
        <v>401</v>
      </c>
      <c r="C125" s="88" t="s">
        <v>731</v>
      </c>
      <c r="D125" s="88" t="s">
        <v>710</v>
      </c>
      <c r="E125" s="88" t="s">
        <v>625</v>
      </c>
    </row>
    <row r="126" customFormat="false" ht="15" hidden="false" customHeight="false" outlineLevel="0" collapsed="false">
      <c r="A126" s="88" t="s">
        <v>734</v>
      </c>
      <c r="B126" s="88" t="s">
        <v>401</v>
      </c>
      <c r="C126" s="88" t="s">
        <v>611</v>
      </c>
      <c r="D126" s="88" t="s">
        <v>600</v>
      </c>
      <c r="E126" s="88" t="s">
        <v>601</v>
      </c>
    </row>
    <row r="127" customFormat="false" ht="15" hidden="false" customHeight="false" outlineLevel="0" collapsed="false">
      <c r="A127" s="88" t="s">
        <v>735</v>
      </c>
      <c r="B127" s="88" t="s">
        <v>401</v>
      </c>
      <c r="C127" s="88" t="s">
        <v>611</v>
      </c>
      <c r="D127" s="88" t="s">
        <v>600</v>
      </c>
      <c r="E127" s="88" t="s">
        <v>601</v>
      </c>
    </row>
    <row r="128" customFormat="false" ht="15" hidden="false" customHeight="false" outlineLevel="0" collapsed="false">
      <c r="A128" s="88" t="s">
        <v>736</v>
      </c>
      <c r="B128" s="88" t="s">
        <v>401</v>
      </c>
      <c r="C128" s="88" t="s">
        <v>685</v>
      </c>
      <c r="D128" s="88" t="s">
        <v>686</v>
      </c>
      <c r="E128" s="88" t="s">
        <v>625</v>
      </c>
    </row>
    <row r="129" customFormat="false" ht="15" hidden="false" customHeight="false" outlineLevel="0" collapsed="false">
      <c r="A129" s="88" t="s">
        <v>737</v>
      </c>
      <c r="B129" s="88" t="s">
        <v>401</v>
      </c>
      <c r="C129" s="88" t="s">
        <v>611</v>
      </c>
      <c r="D129" s="88" t="s">
        <v>600</v>
      </c>
      <c r="E129" s="88" t="s">
        <v>601</v>
      </c>
    </row>
    <row r="130" customFormat="false" ht="15" hidden="false" customHeight="false" outlineLevel="0" collapsed="false">
      <c r="A130" s="88" t="s">
        <v>738</v>
      </c>
      <c r="B130" s="88" t="s">
        <v>401</v>
      </c>
      <c r="C130" s="88" t="s">
        <v>611</v>
      </c>
      <c r="D130" s="88" t="s">
        <v>600</v>
      </c>
      <c r="E130" s="88" t="s">
        <v>601</v>
      </c>
    </row>
    <row r="131" customFormat="false" ht="15" hidden="false" customHeight="false" outlineLevel="0" collapsed="false">
      <c r="A131" s="88" t="s">
        <v>739</v>
      </c>
      <c r="B131" s="88" t="s">
        <v>496</v>
      </c>
      <c r="C131" s="88" t="s">
        <v>740</v>
      </c>
      <c r="D131" s="88" t="s">
        <v>686</v>
      </c>
      <c r="E131" s="88" t="s">
        <v>625</v>
      </c>
    </row>
    <row r="132" customFormat="false" ht="22.35" hidden="false" customHeight="false" outlineLevel="0" collapsed="false">
      <c r="A132" s="88" t="s">
        <v>741</v>
      </c>
      <c r="B132" s="88" t="s">
        <v>249</v>
      </c>
      <c r="C132" s="88" t="s">
        <v>742</v>
      </c>
      <c r="D132" s="88" t="s">
        <v>710</v>
      </c>
      <c r="E132" s="88" t="s">
        <v>625</v>
      </c>
    </row>
    <row r="133" customFormat="false" ht="22.35" hidden="false" customHeight="false" outlineLevel="0" collapsed="false">
      <c r="A133" s="88" t="s">
        <v>743</v>
      </c>
      <c r="B133" s="88" t="s">
        <v>104</v>
      </c>
      <c r="C133" s="88" t="s">
        <v>586</v>
      </c>
      <c r="D133" s="88" t="s">
        <v>587</v>
      </c>
      <c r="E133" s="88" t="s">
        <v>588</v>
      </c>
    </row>
    <row r="134" customFormat="false" ht="22.35" hidden="false" customHeight="false" outlineLevel="0" collapsed="false">
      <c r="A134" s="88" t="s">
        <v>744</v>
      </c>
      <c r="B134" s="88" t="s">
        <v>286</v>
      </c>
      <c r="C134" s="88" t="s">
        <v>713</v>
      </c>
      <c r="D134" s="88" t="s">
        <v>710</v>
      </c>
      <c r="E134" s="88" t="s">
        <v>625</v>
      </c>
    </row>
    <row r="135" customFormat="false" ht="22.35" hidden="false" customHeight="false" outlineLevel="0" collapsed="false">
      <c r="A135" s="88" t="s">
        <v>745</v>
      </c>
      <c r="B135" s="88" t="s">
        <v>286</v>
      </c>
      <c r="C135" s="88" t="s">
        <v>713</v>
      </c>
      <c r="D135" s="88" t="s">
        <v>710</v>
      </c>
      <c r="E135" s="88" t="s">
        <v>625</v>
      </c>
    </row>
    <row r="136" customFormat="false" ht="22.35" hidden="false" customHeight="false" outlineLevel="0" collapsed="false">
      <c r="A136" s="88" t="s">
        <v>746</v>
      </c>
      <c r="B136" s="88" t="s">
        <v>286</v>
      </c>
      <c r="C136" s="88" t="s">
        <v>713</v>
      </c>
      <c r="D136" s="88" t="s">
        <v>710</v>
      </c>
      <c r="E136" s="88" t="s">
        <v>625</v>
      </c>
    </row>
    <row r="137" customFormat="false" ht="22.35" hidden="false" customHeight="false" outlineLevel="0" collapsed="false">
      <c r="A137" s="88" t="s">
        <v>747</v>
      </c>
      <c r="B137" s="88" t="s">
        <v>286</v>
      </c>
      <c r="C137" s="88" t="s">
        <v>704</v>
      </c>
      <c r="D137" s="88" t="s">
        <v>705</v>
      </c>
      <c r="E137" s="88" t="s">
        <v>706</v>
      </c>
    </row>
    <row r="138" customFormat="false" ht="22.35" hidden="false" customHeight="false" outlineLevel="0" collapsed="false">
      <c r="A138" s="88" t="s">
        <v>748</v>
      </c>
      <c r="B138" s="88" t="s">
        <v>286</v>
      </c>
      <c r="C138" s="88" t="s">
        <v>713</v>
      </c>
      <c r="D138" s="88" t="s">
        <v>710</v>
      </c>
      <c r="E138" s="88" t="s">
        <v>625</v>
      </c>
    </row>
    <row r="139" customFormat="false" ht="15" hidden="false" customHeight="false" outlineLevel="0" collapsed="false">
      <c r="A139" s="88" t="s">
        <v>749</v>
      </c>
      <c r="B139" s="88" t="s">
        <v>451</v>
      </c>
      <c r="C139" s="88" t="s">
        <v>750</v>
      </c>
      <c r="D139" s="88" t="s">
        <v>751</v>
      </c>
      <c r="E139" s="88" t="s">
        <v>625</v>
      </c>
    </row>
    <row r="140" customFormat="false" ht="22.35" hidden="false" customHeight="false" outlineLevel="0" collapsed="false">
      <c r="A140" s="88" t="s">
        <v>752</v>
      </c>
      <c r="B140" s="88" t="s">
        <v>496</v>
      </c>
      <c r="C140" s="88" t="s">
        <v>753</v>
      </c>
      <c r="D140" s="88" t="s">
        <v>754</v>
      </c>
      <c r="E140" s="88" t="s">
        <v>625</v>
      </c>
    </row>
    <row r="141" customFormat="false" ht="15" hidden="false" customHeight="false" outlineLevel="0" collapsed="false">
      <c r="A141" s="88" t="s">
        <v>755</v>
      </c>
      <c r="B141" s="88" t="s">
        <v>496</v>
      </c>
      <c r="C141" s="88" t="s">
        <v>740</v>
      </c>
      <c r="D141" s="88" t="s">
        <v>686</v>
      </c>
      <c r="E141" s="88" t="s">
        <v>625</v>
      </c>
    </row>
    <row r="142" customFormat="false" ht="15" hidden="false" customHeight="false" outlineLevel="0" collapsed="false">
      <c r="A142" s="88" t="s">
        <v>756</v>
      </c>
      <c r="B142" s="88" t="s">
        <v>496</v>
      </c>
      <c r="C142" s="88" t="s">
        <v>740</v>
      </c>
      <c r="D142" s="88" t="s">
        <v>686</v>
      </c>
      <c r="E142" s="88" t="s">
        <v>625</v>
      </c>
    </row>
    <row r="143" customFormat="false" ht="15" hidden="false" customHeight="false" outlineLevel="0" collapsed="false">
      <c r="A143" s="88" t="s">
        <v>757</v>
      </c>
      <c r="B143" s="88" t="s">
        <v>496</v>
      </c>
      <c r="C143" s="88" t="s">
        <v>758</v>
      </c>
      <c r="D143" s="88" t="s">
        <v>710</v>
      </c>
      <c r="E143" s="88" t="s">
        <v>625</v>
      </c>
    </row>
    <row r="144" customFormat="false" ht="22.35" hidden="false" customHeight="false" outlineLevel="0" collapsed="false">
      <c r="A144" s="88" t="s">
        <v>759</v>
      </c>
      <c r="B144" s="88" t="s">
        <v>124</v>
      </c>
      <c r="C144" s="88" t="s">
        <v>760</v>
      </c>
      <c r="D144" s="88" t="s">
        <v>710</v>
      </c>
      <c r="E144" s="88" t="s">
        <v>625</v>
      </c>
    </row>
    <row r="145" customFormat="false" ht="22.35" hidden="false" customHeight="false" outlineLevel="0" collapsed="false">
      <c r="A145" s="88" t="s">
        <v>761</v>
      </c>
      <c r="B145" s="88" t="s">
        <v>124</v>
      </c>
      <c r="C145" s="88" t="s">
        <v>760</v>
      </c>
      <c r="D145" s="88" t="s">
        <v>710</v>
      </c>
      <c r="E145" s="88" t="s">
        <v>625</v>
      </c>
    </row>
    <row r="146" customFormat="false" ht="22.35" hidden="false" customHeight="false" outlineLevel="0" collapsed="false">
      <c r="A146" s="88" t="s">
        <v>762</v>
      </c>
      <c r="B146" s="88" t="s">
        <v>124</v>
      </c>
      <c r="C146" s="88" t="s">
        <v>760</v>
      </c>
      <c r="D146" s="88" t="s">
        <v>710</v>
      </c>
      <c r="E146" s="88" t="s">
        <v>625</v>
      </c>
    </row>
    <row r="147" customFormat="false" ht="22.35" hidden="false" customHeight="false" outlineLevel="0" collapsed="false">
      <c r="A147" s="88" t="s">
        <v>763</v>
      </c>
      <c r="B147" s="88" t="s">
        <v>124</v>
      </c>
      <c r="C147" s="88" t="s">
        <v>760</v>
      </c>
      <c r="D147" s="88" t="s">
        <v>710</v>
      </c>
      <c r="E147" s="88" t="s">
        <v>625</v>
      </c>
    </row>
    <row r="148" customFormat="false" ht="15" hidden="false" customHeight="false" outlineLevel="0" collapsed="false">
      <c r="A148" s="88" t="s">
        <v>764</v>
      </c>
      <c r="B148" s="88" t="s">
        <v>496</v>
      </c>
      <c r="C148" s="88" t="s">
        <v>740</v>
      </c>
      <c r="D148" s="88" t="s">
        <v>686</v>
      </c>
      <c r="E148" s="88" t="s">
        <v>625</v>
      </c>
    </row>
    <row r="149" customFormat="false" ht="22.35" hidden="false" customHeight="false" outlineLevel="0" collapsed="false">
      <c r="A149" s="88" t="s">
        <v>765</v>
      </c>
      <c r="B149" s="88" t="s">
        <v>362</v>
      </c>
      <c r="C149" s="88" t="s">
        <v>709</v>
      </c>
      <c r="D149" s="88" t="s">
        <v>710</v>
      </c>
      <c r="E149" s="88" t="s">
        <v>625</v>
      </c>
    </row>
    <row r="150" customFormat="false" ht="15" hidden="false" customHeight="false" outlineLevel="0" collapsed="false">
      <c r="A150" s="88" t="s">
        <v>766</v>
      </c>
      <c r="B150" s="88" t="s">
        <v>124</v>
      </c>
      <c r="C150" s="88" t="s">
        <v>767</v>
      </c>
      <c r="D150" s="88" t="s">
        <v>768</v>
      </c>
      <c r="E150" s="88" t="s">
        <v>625</v>
      </c>
    </row>
    <row r="151" customFormat="false" ht="22.35" hidden="false" customHeight="false" outlineLevel="0" collapsed="false">
      <c r="A151" s="88" t="s">
        <v>769</v>
      </c>
      <c r="B151" s="88" t="s">
        <v>496</v>
      </c>
      <c r="C151" s="88" t="s">
        <v>740</v>
      </c>
      <c r="D151" s="88" t="s">
        <v>686</v>
      </c>
      <c r="E151" s="88" t="s">
        <v>625</v>
      </c>
    </row>
    <row r="152" customFormat="false" ht="15" hidden="false" customHeight="false" outlineLevel="0" collapsed="false">
      <c r="A152" s="88" t="s">
        <v>770</v>
      </c>
      <c r="B152" s="88" t="s">
        <v>496</v>
      </c>
      <c r="C152" s="88" t="s">
        <v>740</v>
      </c>
      <c r="D152" s="88" t="s">
        <v>686</v>
      </c>
      <c r="E152" s="88" t="s">
        <v>625</v>
      </c>
    </row>
    <row r="153" customFormat="false" ht="22.35" hidden="false" customHeight="false" outlineLevel="0" collapsed="false">
      <c r="A153" s="88" t="s">
        <v>771</v>
      </c>
      <c r="B153" s="88" t="s">
        <v>496</v>
      </c>
      <c r="C153" s="88" t="s">
        <v>740</v>
      </c>
      <c r="D153" s="88" t="s">
        <v>686</v>
      </c>
      <c r="E153" s="88" t="s">
        <v>625</v>
      </c>
    </row>
    <row r="154" customFormat="false" ht="22.35" hidden="false" customHeight="false" outlineLevel="0" collapsed="false">
      <c r="A154" s="88" t="s">
        <v>772</v>
      </c>
      <c r="B154" s="88" t="s">
        <v>496</v>
      </c>
      <c r="C154" s="88" t="s">
        <v>740</v>
      </c>
      <c r="D154" s="88" t="s">
        <v>686</v>
      </c>
      <c r="E154" s="88" t="s">
        <v>625</v>
      </c>
    </row>
    <row r="155" customFormat="false" ht="22.35" hidden="false" customHeight="false" outlineLevel="0" collapsed="false">
      <c r="A155" s="88" t="s">
        <v>773</v>
      </c>
      <c r="B155" s="88" t="s">
        <v>496</v>
      </c>
      <c r="C155" s="88" t="s">
        <v>740</v>
      </c>
      <c r="D155" s="88" t="s">
        <v>686</v>
      </c>
      <c r="E155" s="88" t="s">
        <v>625</v>
      </c>
    </row>
    <row r="156" customFormat="false" ht="15" hidden="false" customHeight="false" outlineLevel="0" collapsed="false">
      <c r="A156" s="88" t="s">
        <v>774</v>
      </c>
      <c r="B156" s="88" t="s">
        <v>496</v>
      </c>
      <c r="C156" s="88" t="s">
        <v>740</v>
      </c>
      <c r="D156" s="88" t="s">
        <v>686</v>
      </c>
      <c r="E156" s="88" t="s">
        <v>625</v>
      </c>
    </row>
    <row r="157" customFormat="false" ht="15" hidden="false" customHeight="false" outlineLevel="0" collapsed="false">
      <c r="A157" s="88" t="s">
        <v>775</v>
      </c>
      <c r="B157" s="88" t="s">
        <v>496</v>
      </c>
      <c r="C157" s="88" t="s">
        <v>740</v>
      </c>
      <c r="D157" s="88" t="s">
        <v>686</v>
      </c>
      <c r="E157" s="88" t="s">
        <v>625</v>
      </c>
    </row>
    <row r="158" customFormat="false" ht="15" hidden="false" customHeight="false" outlineLevel="0" collapsed="false">
      <c r="A158" s="88" t="s">
        <v>776</v>
      </c>
      <c r="B158" s="88" t="s">
        <v>496</v>
      </c>
      <c r="C158" s="88" t="s">
        <v>740</v>
      </c>
      <c r="D158" s="88" t="s">
        <v>686</v>
      </c>
      <c r="E158" s="88" t="s">
        <v>625</v>
      </c>
    </row>
    <row r="159" customFormat="false" ht="15" hidden="false" customHeight="false" outlineLevel="0" collapsed="false">
      <c r="A159" s="88" t="s">
        <v>777</v>
      </c>
      <c r="B159" s="88" t="s">
        <v>496</v>
      </c>
      <c r="C159" s="88" t="s">
        <v>740</v>
      </c>
      <c r="D159" s="88" t="s">
        <v>686</v>
      </c>
      <c r="E159" s="88" t="s">
        <v>625</v>
      </c>
    </row>
    <row r="160" customFormat="false" ht="15" hidden="false" customHeight="false" outlineLevel="0" collapsed="false">
      <c r="A160" s="88" t="s">
        <v>778</v>
      </c>
      <c r="B160" s="88" t="s">
        <v>496</v>
      </c>
      <c r="C160" s="88" t="s">
        <v>740</v>
      </c>
      <c r="D160" s="88" t="s">
        <v>686</v>
      </c>
      <c r="E160" s="88" t="s">
        <v>625</v>
      </c>
    </row>
    <row r="161" customFormat="false" ht="15" hidden="false" customHeight="false" outlineLevel="0" collapsed="false">
      <c r="A161" s="88" t="s">
        <v>779</v>
      </c>
      <c r="B161" s="88" t="s">
        <v>496</v>
      </c>
      <c r="C161" s="88" t="s">
        <v>740</v>
      </c>
      <c r="D161" s="88" t="s">
        <v>686</v>
      </c>
      <c r="E161" s="88" t="s">
        <v>625</v>
      </c>
    </row>
    <row r="162" customFormat="false" ht="22.35" hidden="false" customHeight="false" outlineLevel="0" collapsed="false">
      <c r="A162" s="88" t="s">
        <v>223</v>
      </c>
      <c r="B162" s="88" t="s">
        <v>211</v>
      </c>
      <c r="C162" s="88" t="s">
        <v>780</v>
      </c>
      <c r="D162" s="88" t="s">
        <v>686</v>
      </c>
      <c r="E162" s="88" t="s">
        <v>625</v>
      </c>
    </row>
    <row r="163" customFormat="false" ht="22.35" hidden="false" customHeight="false" outlineLevel="0" collapsed="false">
      <c r="A163" s="88" t="s">
        <v>781</v>
      </c>
      <c r="B163" s="88" t="s">
        <v>249</v>
      </c>
      <c r="C163" s="88" t="s">
        <v>742</v>
      </c>
      <c r="D163" s="88" t="s">
        <v>710</v>
      </c>
      <c r="E163" s="88" t="s">
        <v>625</v>
      </c>
    </row>
    <row r="164" customFormat="false" ht="15" hidden="false" customHeight="false" outlineLevel="0" collapsed="false">
      <c r="A164" s="88" t="s">
        <v>782</v>
      </c>
      <c r="B164" s="88" t="s">
        <v>249</v>
      </c>
      <c r="C164" s="88" t="s">
        <v>742</v>
      </c>
      <c r="D164" s="88" t="s">
        <v>710</v>
      </c>
      <c r="E164" s="88" t="s">
        <v>625</v>
      </c>
    </row>
    <row r="165" customFormat="false" ht="15" hidden="false" customHeight="false" outlineLevel="0" collapsed="false">
      <c r="A165" s="88" t="s">
        <v>783</v>
      </c>
      <c r="B165" s="88" t="s">
        <v>249</v>
      </c>
      <c r="C165" s="88" t="s">
        <v>742</v>
      </c>
      <c r="D165" s="88" t="s">
        <v>710</v>
      </c>
      <c r="E165" s="88" t="s">
        <v>625</v>
      </c>
    </row>
    <row r="166" customFormat="false" ht="15" hidden="false" customHeight="false" outlineLevel="0" collapsed="false">
      <c r="A166" s="88" t="s">
        <v>784</v>
      </c>
      <c r="B166" s="88" t="s">
        <v>249</v>
      </c>
      <c r="C166" s="88" t="s">
        <v>742</v>
      </c>
      <c r="D166" s="88" t="s">
        <v>710</v>
      </c>
      <c r="E166" s="88" t="s">
        <v>625</v>
      </c>
    </row>
    <row r="167" customFormat="false" ht="15" hidden="false" customHeight="false" outlineLevel="0" collapsed="false">
      <c r="A167" s="88" t="s">
        <v>785</v>
      </c>
      <c r="B167" s="88" t="s">
        <v>249</v>
      </c>
      <c r="C167" s="88" t="s">
        <v>742</v>
      </c>
      <c r="D167" s="88" t="s">
        <v>710</v>
      </c>
      <c r="E167" s="88" t="s">
        <v>625</v>
      </c>
    </row>
    <row r="168" customFormat="false" ht="15" hidden="false" customHeight="false" outlineLevel="0" collapsed="false">
      <c r="A168" s="88" t="s">
        <v>786</v>
      </c>
      <c r="B168" s="88" t="s">
        <v>249</v>
      </c>
      <c r="C168" s="88" t="s">
        <v>742</v>
      </c>
      <c r="D168" s="88" t="s">
        <v>710</v>
      </c>
      <c r="E168" s="88" t="s">
        <v>625</v>
      </c>
    </row>
    <row r="169" customFormat="false" ht="22.35" hidden="false" customHeight="false" outlineLevel="0" collapsed="false">
      <c r="A169" s="88" t="s">
        <v>787</v>
      </c>
      <c r="B169" s="88" t="s">
        <v>124</v>
      </c>
      <c r="C169" s="88" t="s">
        <v>760</v>
      </c>
      <c r="D169" s="88" t="s">
        <v>710</v>
      </c>
      <c r="E169" s="88" t="s">
        <v>625</v>
      </c>
    </row>
    <row r="170" customFormat="false" ht="15" hidden="false" customHeight="false" outlineLevel="0" collapsed="false">
      <c r="A170" s="88" t="s">
        <v>514</v>
      </c>
      <c r="B170" s="88" t="s">
        <v>496</v>
      </c>
      <c r="C170" s="88" t="s">
        <v>788</v>
      </c>
      <c r="D170" s="88" t="s">
        <v>600</v>
      </c>
      <c r="E170" s="88" t="s">
        <v>601</v>
      </c>
    </row>
    <row r="171" customFormat="false" ht="22.35" hidden="false" customHeight="false" outlineLevel="0" collapsed="false">
      <c r="A171" s="88" t="s">
        <v>789</v>
      </c>
      <c r="B171" s="88" t="s">
        <v>401</v>
      </c>
      <c r="C171" s="88" t="s">
        <v>731</v>
      </c>
      <c r="D171" s="88" t="s">
        <v>710</v>
      </c>
      <c r="E171" s="88" t="s">
        <v>625</v>
      </c>
    </row>
    <row r="172" customFormat="false" ht="32.8" hidden="false" customHeight="false" outlineLevel="0" collapsed="false">
      <c r="A172" s="88" t="s">
        <v>790</v>
      </c>
      <c r="B172" s="88" t="s">
        <v>451</v>
      </c>
      <c r="C172" s="88" t="s">
        <v>750</v>
      </c>
      <c r="D172" s="88" t="s">
        <v>751</v>
      </c>
      <c r="E172" s="88" t="s">
        <v>625</v>
      </c>
    </row>
    <row r="173" customFormat="false" ht="15" hidden="false" customHeight="false" outlineLevel="0" collapsed="false">
      <c r="A173" s="88" t="s">
        <v>791</v>
      </c>
      <c r="B173" s="88" t="s">
        <v>451</v>
      </c>
      <c r="C173" s="88" t="s">
        <v>750</v>
      </c>
      <c r="D173" s="88" t="s">
        <v>751</v>
      </c>
      <c r="E173" s="88" t="s">
        <v>625</v>
      </c>
    </row>
    <row r="174" customFormat="false" ht="15" hidden="false" customHeight="false" outlineLevel="0" collapsed="false">
      <c r="A174" s="88" t="s">
        <v>792</v>
      </c>
      <c r="B174" s="88" t="s">
        <v>451</v>
      </c>
      <c r="C174" s="88" t="s">
        <v>750</v>
      </c>
      <c r="D174" s="88" t="s">
        <v>751</v>
      </c>
      <c r="E174" s="88" t="s">
        <v>625</v>
      </c>
    </row>
    <row r="175" customFormat="false" ht="15" hidden="false" customHeight="false" outlineLevel="0" collapsed="false">
      <c r="A175" s="88" t="s">
        <v>793</v>
      </c>
      <c r="B175" s="88" t="s">
        <v>451</v>
      </c>
      <c r="C175" s="88" t="s">
        <v>750</v>
      </c>
      <c r="D175" s="88" t="s">
        <v>751</v>
      </c>
      <c r="E175" s="88" t="s">
        <v>794</v>
      </c>
    </row>
    <row r="176" customFormat="false" ht="15" hidden="false" customHeight="false" outlineLevel="0" collapsed="false">
      <c r="A176" s="88" t="s">
        <v>795</v>
      </c>
      <c r="B176" s="88" t="s">
        <v>451</v>
      </c>
      <c r="C176" s="88" t="s">
        <v>750</v>
      </c>
      <c r="D176" s="88" t="s">
        <v>751</v>
      </c>
      <c r="E176" s="88" t="s">
        <v>625</v>
      </c>
    </row>
    <row r="177" customFormat="false" ht="15" hidden="false" customHeight="false" outlineLevel="0" collapsed="false">
      <c r="A177" s="88" t="s">
        <v>796</v>
      </c>
      <c r="B177" s="88" t="s">
        <v>451</v>
      </c>
      <c r="C177" s="88" t="s">
        <v>750</v>
      </c>
      <c r="D177" s="88" t="s">
        <v>751</v>
      </c>
      <c r="E177" s="88" t="s">
        <v>625</v>
      </c>
    </row>
    <row r="178" customFormat="false" ht="15" hidden="false" customHeight="false" outlineLevel="0" collapsed="false">
      <c r="A178" s="88" t="s">
        <v>797</v>
      </c>
      <c r="B178" s="88" t="s">
        <v>451</v>
      </c>
      <c r="C178" s="88" t="s">
        <v>750</v>
      </c>
      <c r="D178" s="88" t="s">
        <v>751</v>
      </c>
      <c r="E178" s="88" t="s">
        <v>625</v>
      </c>
    </row>
    <row r="179" customFormat="false" ht="15" hidden="false" customHeight="false" outlineLevel="0" collapsed="false">
      <c r="A179" s="88" t="s">
        <v>798</v>
      </c>
      <c r="B179" s="88" t="s">
        <v>124</v>
      </c>
      <c r="C179" s="88" t="s">
        <v>767</v>
      </c>
      <c r="D179" s="88" t="s">
        <v>768</v>
      </c>
      <c r="E179" s="88" t="s">
        <v>625</v>
      </c>
    </row>
    <row r="180" customFormat="false" ht="15" hidden="false" customHeight="false" outlineLevel="0" collapsed="false">
      <c r="A180" s="88" t="s">
        <v>799</v>
      </c>
      <c r="B180" s="88" t="s">
        <v>496</v>
      </c>
      <c r="C180" s="88" t="s">
        <v>800</v>
      </c>
      <c r="D180" s="88" t="s">
        <v>768</v>
      </c>
      <c r="E180" s="88" t="s">
        <v>625</v>
      </c>
    </row>
    <row r="181" customFormat="false" ht="15" hidden="false" customHeight="false" outlineLevel="0" collapsed="false">
      <c r="A181" s="88" t="s">
        <v>801</v>
      </c>
      <c r="B181" s="88" t="s">
        <v>496</v>
      </c>
      <c r="C181" s="88" t="s">
        <v>800</v>
      </c>
      <c r="D181" s="88" t="s">
        <v>768</v>
      </c>
      <c r="E181" s="88" t="s">
        <v>625</v>
      </c>
    </row>
    <row r="182" customFormat="false" ht="15" hidden="false" customHeight="false" outlineLevel="0" collapsed="false">
      <c r="A182" s="88" t="s">
        <v>802</v>
      </c>
      <c r="B182" s="88" t="s">
        <v>401</v>
      </c>
      <c r="C182" s="88" t="s">
        <v>803</v>
      </c>
      <c r="D182" s="88" t="s">
        <v>768</v>
      </c>
      <c r="E182" s="88" t="s">
        <v>625</v>
      </c>
    </row>
    <row r="183" customFormat="false" ht="15" hidden="false" customHeight="false" outlineLevel="0" collapsed="false">
      <c r="A183" s="88" t="s">
        <v>804</v>
      </c>
      <c r="B183" s="88" t="s">
        <v>401</v>
      </c>
      <c r="C183" s="88" t="s">
        <v>803</v>
      </c>
      <c r="D183" s="88" t="s">
        <v>768</v>
      </c>
      <c r="E183" s="88" t="s">
        <v>625</v>
      </c>
    </row>
    <row r="184" customFormat="false" ht="22.35" hidden="false" customHeight="false" outlineLevel="0" collapsed="false">
      <c r="A184" s="88" t="s">
        <v>805</v>
      </c>
      <c r="B184" s="88" t="s">
        <v>177</v>
      </c>
      <c r="C184" s="88" t="s">
        <v>806</v>
      </c>
      <c r="D184" s="88" t="s">
        <v>768</v>
      </c>
      <c r="E184" s="88" t="s">
        <v>625</v>
      </c>
    </row>
    <row r="185" customFormat="false" ht="22.35" hidden="false" customHeight="false" outlineLevel="0" collapsed="false">
      <c r="A185" s="88" t="s">
        <v>436</v>
      </c>
      <c r="B185" s="88" t="s">
        <v>430</v>
      </c>
      <c r="C185" s="88" t="s">
        <v>807</v>
      </c>
      <c r="D185" s="88" t="s">
        <v>768</v>
      </c>
      <c r="E185" s="88" t="s">
        <v>625</v>
      </c>
    </row>
    <row r="186" customFormat="false" ht="15" hidden="false" customHeight="false" outlineLevel="0" collapsed="false">
      <c r="A186" s="88" t="s">
        <v>808</v>
      </c>
      <c r="B186" s="88" t="s">
        <v>496</v>
      </c>
      <c r="C186" s="88" t="s">
        <v>800</v>
      </c>
      <c r="D186" s="88" t="s">
        <v>768</v>
      </c>
      <c r="E186" s="88" t="s">
        <v>625</v>
      </c>
    </row>
    <row r="187" customFormat="false" ht="15" hidden="false" customHeight="false" outlineLevel="0" collapsed="false">
      <c r="A187" s="88" t="s">
        <v>809</v>
      </c>
      <c r="B187" s="88" t="s">
        <v>401</v>
      </c>
      <c r="C187" s="88" t="s">
        <v>803</v>
      </c>
      <c r="D187" s="88" t="s">
        <v>768</v>
      </c>
      <c r="E187" s="88" t="s">
        <v>625</v>
      </c>
    </row>
    <row r="188" customFormat="false" ht="15" hidden="false" customHeight="false" outlineLevel="0" collapsed="false">
      <c r="A188" s="88" t="s">
        <v>810</v>
      </c>
      <c r="B188" s="88" t="s">
        <v>401</v>
      </c>
      <c r="C188" s="88" t="s">
        <v>803</v>
      </c>
      <c r="D188" s="88" t="s">
        <v>768</v>
      </c>
      <c r="E188" s="88" t="s">
        <v>625</v>
      </c>
    </row>
    <row r="189" customFormat="false" ht="22.35" hidden="false" customHeight="false" outlineLevel="0" collapsed="false">
      <c r="A189" s="88" t="s">
        <v>811</v>
      </c>
      <c r="B189" s="88" t="s">
        <v>401</v>
      </c>
      <c r="C189" s="88" t="s">
        <v>803</v>
      </c>
      <c r="D189" s="88" t="s">
        <v>768</v>
      </c>
      <c r="E189" s="88" t="s">
        <v>625</v>
      </c>
    </row>
    <row r="190" customFormat="false" ht="15" hidden="false" customHeight="false" outlineLevel="0" collapsed="false">
      <c r="A190" s="88" t="s">
        <v>812</v>
      </c>
      <c r="B190" s="88" t="s">
        <v>401</v>
      </c>
      <c r="C190" s="88" t="s">
        <v>611</v>
      </c>
      <c r="D190" s="88" t="s">
        <v>600</v>
      </c>
      <c r="E190" s="88" t="s">
        <v>601</v>
      </c>
    </row>
    <row r="191" customFormat="false" ht="15" hidden="false" customHeight="false" outlineLevel="0" collapsed="false">
      <c r="A191" s="88" t="s">
        <v>316</v>
      </c>
      <c r="B191" s="88" t="s">
        <v>286</v>
      </c>
      <c r="C191" s="88" t="s">
        <v>813</v>
      </c>
      <c r="D191" s="88" t="s">
        <v>768</v>
      </c>
      <c r="E191" s="88" t="s">
        <v>625</v>
      </c>
    </row>
    <row r="192" customFormat="false" ht="15" hidden="false" customHeight="false" outlineLevel="0" collapsed="false">
      <c r="A192" s="88" t="s">
        <v>814</v>
      </c>
      <c r="B192" s="88" t="s">
        <v>496</v>
      </c>
      <c r="C192" s="88" t="s">
        <v>753</v>
      </c>
      <c r="D192" s="88" t="s">
        <v>754</v>
      </c>
      <c r="E192" s="88" t="s">
        <v>625</v>
      </c>
    </row>
    <row r="193" customFormat="false" ht="15" hidden="false" customHeight="false" outlineLevel="0" collapsed="false">
      <c r="A193" s="88" t="s">
        <v>815</v>
      </c>
      <c r="B193" s="88" t="s">
        <v>496</v>
      </c>
      <c r="C193" s="88" t="s">
        <v>753</v>
      </c>
      <c r="D193" s="88" t="s">
        <v>754</v>
      </c>
      <c r="E193" s="88" t="s">
        <v>625</v>
      </c>
    </row>
    <row r="194" customFormat="false" ht="15" hidden="false" customHeight="false" outlineLevel="0" collapsed="false">
      <c r="A194" s="88" t="s">
        <v>816</v>
      </c>
      <c r="B194" s="88" t="s">
        <v>496</v>
      </c>
      <c r="C194" s="88" t="s">
        <v>753</v>
      </c>
      <c r="D194" s="88" t="s">
        <v>754</v>
      </c>
      <c r="E194" s="88" t="s">
        <v>625</v>
      </c>
    </row>
    <row r="195" customFormat="false" ht="15" hidden="false" customHeight="false" outlineLevel="0" collapsed="false">
      <c r="A195" s="88" t="s">
        <v>817</v>
      </c>
      <c r="B195" s="88" t="s">
        <v>496</v>
      </c>
      <c r="C195" s="88" t="s">
        <v>753</v>
      </c>
      <c r="D195" s="88" t="s">
        <v>754</v>
      </c>
      <c r="E195" s="88" t="s">
        <v>625</v>
      </c>
    </row>
    <row r="196" customFormat="false" ht="15" hidden="false" customHeight="false" outlineLevel="0" collapsed="false">
      <c r="A196" s="88" t="s">
        <v>818</v>
      </c>
      <c r="B196" s="88" t="s">
        <v>496</v>
      </c>
      <c r="C196" s="88" t="s">
        <v>753</v>
      </c>
      <c r="D196" s="88" t="s">
        <v>754</v>
      </c>
      <c r="E196" s="88" t="s">
        <v>625</v>
      </c>
    </row>
    <row r="197" customFormat="false" ht="15" hidden="false" customHeight="false" outlineLevel="0" collapsed="false">
      <c r="A197" s="88" t="s">
        <v>819</v>
      </c>
      <c r="B197" s="88" t="s">
        <v>496</v>
      </c>
      <c r="C197" s="88" t="s">
        <v>753</v>
      </c>
      <c r="D197" s="88" t="s">
        <v>754</v>
      </c>
      <c r="E197" s="88" t="s">
        <v>625</v>
      </c>
    </row>
    <row r="198" customFormat="false" ht="15" hidden="false" customHeight="false" outlineLevel="0" collapsed="false">
      <c r="A198" s="88" t="s">
        <v>820</v>
      </c>
      <c r="B198" s="88" t="s">
        <v>496</v>
      </c>
      <c r="C198" s="88" t="s">
        <v>753</v>
      </c>
      <c r="D198" s="88" t="s">
        <v>754</v>
      </c>
      <c r="E198" s="88" t="s">
        <v>625</v>
      </c>
    </row>
    <row r="199" customFormat="false" ht="15" hidden="false" customHeight="false" outlineLevel="0" collapsed="false">
      <c r="A199" s="88" t="s">
        <v>821</v>
      </c>
      <c r="B199" s="88" t="s">
        <v>496</v>
      </c>
      <c r="C199" s="88" t="s">
        <v>753</v>
      </c>
      <c r="D199" s="88" t="s">
        <v>754</v>
      </c>
      <c r="E199" s="88" t="s">
        <v>625</v>
      </c>
    </row>
    <row r="200" customFormat="false" ht="22.35" hidden="false" customHeight="false" outlineLevel="0" collapsed="false">
      <c r="A200" s="88" t="s">
        <v>822</v>
      </c>
      <c r="B200" s="88" t="s">
        <v>496</v>
      </c>
      <c r="C200" s="88" t="s">
        <v>753</v>
      </c>
      <c r="D200" s="88" t="s">
        <v>754</v>
      </c>
      <c r="E200" s="88" t="s">
        <v>625</v>
      </c>
    </row>
    <row r="201" customFormat="false" ht="22.35" hidden="false" customHeight="false" outlineLevel="0" collapsed="false">
      <c r="A201" s="88" t="s">
        <v>469</v>
      </c>
      <c r="B201" s="88" t="s">
        <v>451</v>
      </c>
      <c r="C201" s="88" t="s">
        <v>823</v>
      </c>
      <c r="D201" s="88" t="s">
        <v>754</v>
      </c>
      <c r="E201" s="88" t="s">
        <v>625</v>
      </c>
    </row>
    <row r="202" customFormat="false" ht="15" hidden="false" customHeight="false" outlineLevel="0" collapsed="false">
      <c r="A202" s="88" t="s">
        <v>824</v>
      </c>
      <c r="B202" s="88" t="s">
        <v>249</v>
      </c>
      <c r="C202" s="88" t="s">
        <v>825</v>
      </c>
      <c r="D202" s="88" t="s">
        <v>826</v>
      </c>
      <c r="E202" s="88" t="s">
        <v>625</v>
      </c>
    </row>
    <row r="203" customFormat="false" ht="15" hidden="false" customHeight="false" outlineLevel="0" collapsed="false">
      <c r="A203" s="88" t="s">
        <v>827</v>
      </c>
      <c r="B203" s="88" t="s">
        <v>249</v>
      </c>
      <c r="C203" s="88" t="s">
        <v>825</v>
      </c>
      <c r="D203" s="88" t="s">
        <v>826</v>
      </c>
      <c r="E203" s="88" t="s">
        <v>625</v>
      </c>
    </row>
    <row r="204" customFormat="false" ht="15" hidden="false" customHeight="false" outlineLevel="0" collapsed="false">
      <c r="A204" s="88" t="s">
        <v>828</v>
      </c>
      <c r="B204" s="88" t="s">
        <v>249</v>
      </c>
      <c r="C204" s="88" t="s">
        <v>825</v>
      </c>
      <c r="D204" s="88" t="s">
        <v>826</v>
      </c>
      <c r="E204" s="88" t="s">
        <v>625</v>
      </c>
    </row>
    <row r="205" customFormat="false" ht="15" hidden="false" customHeight="false" outlineLevel="0" collapsed="false">
      <c r="A205" s="88" t="s">
        <v>502</v>
      </c>
      <c r="B205" s="88" t="s">
        <v>496</v>
      </c>
      <c r="C205" s="88" t="s">
        <v>829</v>
      </c>
      <c r="D205" s="88" t="s">
        <v>826</v>
      </c>
      <c r="E205" s="88" t="s">
        <v>625</v>
      </c>
    </row>
    <row r="206" customFormat="false" ht="15" hidden="false" customHeight="false" outlineLevel="0" collapsed="false">
      <c r="A206" s="88" t="s">
        <v>488</v>
      </c>
      <c r="B206" s="88" t="s">
        <v>479</v>
      </c>
      <c r="C206" s="88" t="s">
        <v>830</v>
      </c>
      <c r="D206" s="88" t="s">
        <v>826</v>
      </c>
      <c r="E206" s="88" t="s">
        <v>625</v>
      </c>
    </row>
    <row r="207" customFormat="false" ht="15" hidden="false" customHeight="false" outlineLevel="0" collapsed="false">
      <c r="A207" s="88" t="s">
        <v>460</v>
      </c>
      <c r="B207" s="88" t="s">
        <v>451</v>
      </c>
      <c r="C207" s="88" t="s">
        <v>831</v>
      </c>
      <c r="D207" s="88" t="s">
        <v>832</v>
      </c>
      <c r="E207" s="88" t="s">
        <v>625</v>
      </c>
    </row>
    <row r="208" customFormat="false" ht="22.35" hidden="false" customHeight="false" outlineLevel="0" collapsed="false">
      <c r="A208" s="88" t="s">
        <v>833</v>
      </c>
      <c r="B208" s="88" t="s">
        <v>451</v>
      </c>
      <c r="C208" s="88" t="s">
        <v>834</v>
      </c>
      <c r="D208" s="88" t="s">
        <v>835</v>
      </c>
      <c r="E208" s="88" t="s">
        <v>625</v>
      </c>
    </row>
    <row r="209" customFormat="false" ht="15" hidden="false" customHeight="false" outlineLevel="0" collapsed="false">
      <c r="A209" s="88" t="s">
        <v>836</v>
      </c>
      <c r="B209" s="88" t="s">
        <v>401</v>
      </c>
      <c r="C209" s="88" t="s">
        <v>837</v>
      </c>
      <c r="D209" s="88" t="s">
        <v>835</v>
      </c>
      <c r="E209" s="88" t="s">
        <v>625</v>
      </c>
    </row>
    <row r="210" customFormat="false" ht="15" hidden="false" customHeight="false" outlineLevel="0" collapsed="false">
      <c r="A210" s="88" t="s">
        <v>838</v>
      </c>
      <c r="B210" s="88" t="s">
        <v>401</v>
      </c>
      <c r="C210" s="88" t="s">
        <v>837</v>
      </c>
      <c r="D210" s="88" t="s">
        <v>835</v>
      </c>
      <c r="E210" s="88" t="s">
        <v>625</v>
      </c>
    </row>
    <row r="211" customFormat="false" ht="15" hidden="false" customHeight="false" outlineLevel="0" collapsed="false">
      <c r="A211" s="88" t="s">
        <v>839</v>
      </c>
      <c r="B211" s="88" t="s">
        <v>401</v>
      </c>
      <c r="C211" s="88" t="s">
        <v>837</v>
      </c>
      <c r="D211" s="88" t="s">
        <v>835</v>
      </c>
      <c r="E211" s="88" t="s">
        <v>625</v>
      </c>
    </row>
    <row r="212" customFormat="false" ht="15" hidden="false" customHeight="false" outlineLevel="0" collapsed="false">
      <c r="A212" s="88" t="s">
        <v>840</v>
      </c>
      <c r="B212" s="88" t="s">
        <v>401</v>
      </c>
      <c r="C212" s="88" t="s">
        <v>837</v>
      </c>
      <c r="D212" s="88" t="s">
        <v>835</v>
      </c>
      <c r="E212" s="88" t="s">
        <v>625</v>
      </c>
    </row>
    <row r="213" customFormat="false" ht="15" hidden="false" customHeight="false" outlineLevel="0" collapsed="false">
      <c r="A213" s="88" t="s">
        <v>841</v>
      </c>
      <c r="B213" s="88" t="s">
        <v>451</v>
      </c>
      <c r="C213" s="88" t="s">
        <v>750</v>
      </c>
      <c r="D213" s="88" t="s">
        <v>751</v>
      </c>
      <c r="E213" s="88" t="s">
        <v>794</v>
      </c>
    </row>
    <row r="214" customFormat="false" ht="22.35" hidden="false" customHeight="false" outlineLevel="0" collapsed="false">
      <c r="A214" s="88" t="s">
        <v>842</v>
      </c>
      <c r="B214" s="88" t="s">
        <v>228</v>
      </c>
      <c r="C214" s="88" t="s">
        <v>843</v>
      </c>
      <c r="D214" s="88" t="s">
        <v>835</v>
      </c>
      <c r="E214" s="88" t="s">
        <v>625</v>
      </c>
    </row>
    <row r="215" customFormat="false" ht="15" hidden="false" customHeight="false" outlineLevel="0" collapsed="false">
      <c r="A215" s="88" t="s">
        <v>844</v>
      </c>
      <c r="B215" s="88" t="s">
        <v>249</v>
      </c>
      <c r="C215" s="88" t="s">
        <v>742</v>
      </c>
      <c r="D215" s="88" t="s">
        <v>710</v>
      </c>
      <c r="E215" s="88" t="s">
        <v>625</v>
      </c>
    </row>
    <row r="216" customFormat="false" ht="22.35" hidden="false" customHeight="false" outlineLevel="0" collapsed="false">
      <c r="A216" s="88" t="s">
        <v>845</v>
      </c>
      <c r="B216" s="88" t="s">
        <v>249</v>
      </c>
      <c r="C216" s="88" t="s">
        <v>825</v>
      </c>
      <c r="D216" s="88" t="s">
        <v>826</v>
      </c>
      <c r="E216" s="88" t="s">
        <v>625</v>
      </c>
    </row>
    <row r="217" customFormat="false" ht="15" hidden="false" customHeight="false" outlineLevel="0" collapsed="false">
      <c r="A217" s="88" t="s">
        <v>846</v>
      </c>
      <c r="B217" s="88" t="s">
        <v>249</v>
      </c>
      <c r="C217" s="88" t="s">
        <v>847</v>
      </c>
      <c r="D217" s="88" t="s">
        <v>600</v>
      </c>
      <c r="E217" s="88" t="s">
        <v>601</v>
      </c>
    </row>
    <row r="218" customFormat="false" ht="15" hidden="false" customHeight="false" outlineLevel="0" collapsed="false">
      <c r="A218" s="88" t="s">
        <v>848</v>
      </c>
      <c r="B218" s="88" t="s">
        <v>249</v>
      </c>
      <c r="C218" s="88" t="s">
        <v>847</v>
      </c>
      <c r="D218" s="88" t="s">
        <v>600</v>
      </c>
      <c r="E218" s="88" t="s">
        <v>601</v>
      </c>
    </row>
    <row r="219" customFormat="false" ht="22.35" hidden="false" customHeight="false" outlineLevel="0" collapsed="false">
      <c r="A219" s="88" t="s">
        <v>849</v>
      </c>
      <c r="B219" s="88" t="s">
        <v>249</v>
      </c>
      <c r="C219" s="88" t="s">
        <v>847</v>
      </c>
      <c r="D219" s="88" t="s">
        <v>600</v>
      </c>
      <c r="E219" s="88" t="s">
        <v>601</v>
      </c>
    </row>
    <row r="220" customFormat="false" ht="15" hidden="false" customHeight="false" outlineLevel="0" collapsed="false">
      <c r="A220" s="88" t="s">
        <v>850</v>
      </c>
      <c r="B220" s="88" t="s">
        <v>272</v>
      </c>
      <c r="C220" s="88" t="s">
        <v>851</v>
      </c>
      <c r="D220" s="88" t="s">
        <v>835</v>
      </c>
      <c r="E220" s="88" t="s">
        <v>625</v>
      </c>
    </row>
    <row r="221" customFormat="false" ht="22.35" hidden="false" customHeight="false" outlineLevel="0" collapsed="false">
      <c r="A221" s="88" t="s">
        <v>852</v>
      </c>
      <c r="B221" s="88" t="s">
        <v>272</v>
      </c>
      <c r="C221" s="88" t="s">
        <v>851</v>
      </c>
      <c r="D221" s="88" t="s">
        <v>835</v>
      </c>
      <c r="E221" s="88" t="s">
        <v>625</v>
      </c>
    </row>
    <row r="222" customFormat="false" ht="22.35" hidden="false" customHeight="false" outlineLevel="0" collapsed="false">
      <c r="A222" s="88" t="s">
        <v>853</v>
      </c>
      <c r="B222" s="88" t="s">
        <v>272</v>
      </c>
      <c r="C222" s="88" t="s">
        <v>851</v>
      </c>
      <c r="D222" s="88" t="s">
        <v>835</v>
      </c>
      <c r="E222" s="88" t="s">
        <v>625</v>
      </c>
    </row>
    <row r="223" customFormat="false" ht="15" hidden="false" customHeight="false" outlineLevel="0" collapsed="false">
      <c r="A223" s="88" t="s">
        <v>854</v>
      </c>
      <c r="B223" s="88" t="s">
        <v>272</v>
      </c>
      <c r="C223" s="88" t="s">
        <v>855</v>
      </c>
      <c r="D223" s="88" t="s">
        <v>856</v>
      </c>
      <c r="E223" s="88" t="s">
        <v>625</v>
      </c>
    </row>
    <row r="224" customFormat="false" ht="15" hidden="false" customHeight="false" outlineLevel="0" collapsed="false">
      <c r="A224" s="88" t="s">
        <v>857</v>
      </c>
      <c r="B224" s="88" t="s">
        <v>272</v>
      </c>
      <c r="C224" s="88" t="s">
        <v>855</v>
      </c>
      <c r="D224" s="88" t="s">
        <v>856</v>
      </c>
      <c r="E224" s="88" t="s">
        <v>625</v>
      </c>
    </row>
    <row r="225" customFormat="false" ht="22.35" hidden="false" customHeight="false" outlineLevel="0" collapsed="false">
      <c r="A225" s="88" t="s">
        <v>858</v>
      </c>
      <c r="B225" s="88" t="s">
        <v>440</v>
      </c>
      <c r="C225" s="88" t="s">
        <v>859</v>
      </c>
      <c r="D225" s="88" t="s">
        <v>754</v>
      </c>
      <c r="E225" s="88" t="s">
        <v>625</v>
      </c>
    </row>
    <row r="226" customFormat="false" ht="22.35" hidden="false" customHeight="false" outlineLevel="0" collapsed="false">
      <c r="A226" s="88" t="s">
        <v>860</v>
      </c>
      <c r="B226" s="88" t="s">
        <v>440</v>
      </c>
      <c r="C226" s="88" t="s">
        <v>859</v>
      </c>
      <c r="D226" s="88" t="s">
        <v>754</v>
      </c>
      <c r="E226" s="88" t="s">
        <v>625</v>
      </c>
    </row>
    <row r="227" customFormat="false" ht="22.35" hidden="false" customHeight="false" outlineLevel="0" collapsed="false">
      <c r="A227" s="88" t="s">
        <v>861</v>
      </c>
      <c r="B227" s="88" t="s">
        <v>451</v>
      </c>
      <c r="C227" s="88" t="s">
        <v>647</v>
      </c>
      <c r="D227" s="88" t="s">
        <v>600</v>
      </c>
      <c r="E227" s="88" t="s">
        <v>601</v>
      </c>
    </row>
    <row r="228" customFormat="false" ht="15" hidden="false" customHeight="false" outlineLevel="0" collapsed="false">
      <c r="A228" s="88" t="s">
        <v>862</v>
      </c>
      <c r="B228" s="88" t="s">
        <v>451</v>
      </c>
      <c r="C228" s="88" t="s">
        <v>834</v>
      </c>
      <c r="D228" s="88" t="s">
        <v>835</v>
      </c>
      <c r="E228" s="88" t="s">
        <v>701</v>
      </c>
    </row>
    <row r="229" customFormat="false" ht="15" hidden="false" customHeight="false" outlineLevel="0" collapsed="false">
      <c r="A229" s="88" t="s">
        <v>863</v>
      </c>
      <c r="B229" s="88" t="s">
        <v>479</v>
      </c>
      <c r="C229" s="88" t="s">
        <v>864</v>
      </c>
      <c r="D229" s="88" t="s">
        <v>710</v>
      </c>
      <c r="E229" s="88" t="s">
        <v>625</v>
      </c>
    </row>
    <row r="230" customFormat="false" ht="15" hidden="false" customHeight="false" outlineLevel="0" collapsed="false">
      <c r="A230" s="88" t="s">
        <v>865</v>
      </c>
      <c r="B230" s="88" t="s">
        <v>479</v>
      </c>
      <c r="C230" s="88" t="s">
        <v>864</v>
      </c>
      <c r="D230" s="88" t="s">
        <v>710</v>
      </c>
      <c r="E230" s="88" t="s">
        <v>625</v>
      </c>
    </row>
    <row r="231" customFormat="false" ht="15" hidden="false" customHeight="false" outlineLevel="0" collapsed="false">
      <c r="A231" s="88" t="s">
        <v>485</v>
      </c>
      <c r="B231" s="88" t="s">
        <v>479</v>
      </c>
      <c r="C231" s="88" t="s">
        <v>866</v>
      </c>
      <c r="D231" s="88" t="s">
        <v>832</v>
      </c>
      <c r="E231" s="88" t="s">
        <v>625</v>
      </c>
    </row>
    <row r="232" customFormat="false" ht="15" hidden="false" customHeight="false" outlineLevel="0" collapsed="false">
      <c r="A232" s="88" t="s">
        <v>867</v>
      </c>
      <c r="B232" s="88" t="s">
        <v>496</v>
      </c>
      <c r="C232" s="88" t="s">
        <v>800</v>
      </c>
      <c r="D232" s="88" t="s">
        <v>768</v>
      </c>
      <c r="E232" s="88" t="s">
        <v>625</v>
      </c>
    </row>
    <row r="233" customFormat="false" ht="22.35" hidden="false" customHeight="false" outlineLevel="0" collapsed="false">
      <c r="A233" s="88" t="s">
        <v>868</v>
      </c>
      <c r="B233" s="88" t="s">
        <v>496</v>
      </c>
      <c r="C233" s="88" t="s">
        <v>869</v>
      </c>
      <c r="D233" s="88" t="s">
        <v>870</v>
      </c>
      <c r="E233" s="88" t="s">
        <v>794</v>
      </c>
    </row>
    <row r="234" customFormat="false" ht="15" hidden="false" customHeight="false" outlineLevel="0" collapsed="false">
      <c r="A234" s="88" t="s">
        <v>306</v>
      </c>
      <c r="B234" s="88" t="s">
        <v>286</v>
      </c>
      <c r="C234" s="88" t="s">
        <v>871</v>
      </c>
      <c r="D234" s="88" t="s">
        <v>826</v>
      </c>
      <c r="E234" s="88" t="s">
        <v>625</v>
      </c>
    </row>
    <row r="235" customFormat="false" ht="15" hidden="false" customHeight="false" outlineLevel="0" collapsed="false">
      <c r="A235" s="88" t="s">
        <v>872</v>
      </c>
      <c r="B235" s="88" t="s">
        <v>496</v>
      </c>
      <c r="C235" s="88" t="s">
        <v>753</v>
      </c>
      <c r="D235" s="88" t="s">
        <v>754</v>
      </c>
      <c r="E235" s="88" t="s">
        <v>625</v>
      </c>
    </row>
    <row r="236" customFormat="false" ht="22.35" hidden="false" customHeight="false" outlineLevel="0" collapsed="false">
      <c r="A236" s="88" t="s">
        <v>873</v>
      </c>
      <c r="B236" s="88" t="s">
        <v>496</v>
      </c>
      <c r="C236" s="88" t="s">
        <v>753</v>
      </c>
      <c r="D236" s="88" t="s">
        <v>754</v>
      </c>
      <c r="E236" s="88" t="s">
        <v>625</v>
      </c>
    </row>
    <row r="237" customFormat="false" ht="22.35" hidden="false" customHeight="false" outlineLevel="0" collapsed="false">
      <c r="A237" s="88" t="s">
        <v>874</v>
      </c>
      <c r="B237" s="88" t="s">
        <v>286</v>
      </c>
      <c r="C237" s="88" t="s">
        <v>704</v>
      </c>
      <c r="D237" s="88" t="s">
        <v>705</v>
      </c>
      <c r="E237" s="88" t="s">
        <v>625</v>
      </c>
    </row>
    <row r="238" customFormat="false" ht="22.35" hidden="false" customHeight="false" outlineLevel="0" collapsed="false">
      <c r="A238" s="88" t="s">
        <v>875</v>
      </c>
      <c r="B238" s="88" t="s">
        <v>286</v>
      </c>
      <c r="C238" s="88" t="s">
        <v>704</v>
      </c>
      <c r="D238" s="88" t="s">
        <v>705</v>
      </c>
      <c r="E238" s="88" t="s">
        <v>625</v>
      </c>
    </row>
    <row r="239" customFormat="false" ht="22.35" hidden="false" customHeight="false" outlineLevel="0" collapsed="false">
      <c r="A239" s="88" t="s">
        <v>876</v>
      </c>
      <c r="B239" s="88" t="s">
        <v>286</v>
      </c>
      <c r="C239" s="88" t="s">
        <v>704</v>
      </c>
      <c r="D239" s="88" t="s">
        <v>705</v>
      </c>
      <c r="E239" s="88" t="s">
        <v>625</v>
      </c>
    </row>
    <row r="240" customFormat="false" ht="22.35" hidden="false" customHeight="false" outlineLevel="0" collapsed="false">
      <c r="A240" s="88" t="s">
        <v>877</v>
      </c>
      <c r="B240" s="88" t="s">
        <v>286</v>
      </c>
      <c r="C240" s="88" t="s">
        <v>704</v>
      </c>
      <c r="D240" s="88" t="s">
        <v>705</v>
      </c>
      <c r="E240" s="88" t="s">
        <v>625</v>
      </c>
    </row>
    <row r="241" customFormat="false" ht="22.35" hidden="false" customHeight="false" outlineLevel="0" collapsed="false">
      <c r="A241" s="88" t="s">
        <v>878</v>
      </c>
      <c r="B241" s="88" t="s">
        <v>286</v>
      </c>
      <c r="C241" s="88" t="s">
        <v>704</v>
      </c>
      <c r="D241" s="88" t="s">
        <v>705</v>
      </c>
      <c r="E241" s="88" t="s">
        <v>625</v>
      </c>
    </row>
    <row r="242" customFormat="false" ht="22.35" hidden="false" customHeight="false" outlineLevel="0" collapsed="false">
      <c r="A242" s="88" t="s">
        <v>879</v>
      </c>
      <c r="B242" s="88" t="s">
        <v>286</v>
      </c>
      <c r="C242" s="88" t="s">
        <v>704</v>
      </c>
      <c r="D242" s="88" t="s">
        <v>705</v>
      </c>
      <c r="E242" s="88" t="s">
        <v>625</v>
      </c>
    </row>
    <row r="243" customFormat="false" ht="15" hidden="false" customHeight="false" outlineLevel="0" collapsed="false">
      <c r="A243" s="88" t="s">
        <v>880</v>
      </c>
      <c r="B243" s="88" t="s">
        <v>286</v>
      </c>
      <c r="C243" s="88" t="s">
        <v>881</v>
      </c>
      <c r="D243" s="88" t="s">
        <v>882</v>
      </c>
      <c r="E243" s="88" t="s">
        <v>883</v>
      </c>
    </row>
    <row r="244" customFormat="false" ht="22.35" hidden="false" customHeight="false" outlineLevel="0" collapsed="false">
      <c r="A244" s="88" t="s">
        <v>884</v>
      </c>
      <c r="B244" s="88" t="s">
        <v>286</v>
      </c>
      <c r="C244" s="88" t="s">
        <v>885</v>
      </c>
      <c r="D244" s="88" t="s">
        <v>856</v>
      </c>
      <c r="E244" s="88" t="s">
        <v>625</v>
      </c>
    </row>
    <row r="245" customFormat="false" ht="22.35" hidden="false" customHeight="false" outlineLevel="0" collapsed="false">
      <c r="A245" s="88" t="s">
        <v>886</v>
      </c>
      <c r="B245" s="88" t="s">
        <v>286</v>
      </c>
      <c r="C245" s="88" t="s">
        <v>881</v>
      </c>
      <c r="D245" s="88" t="s">
        <v>882</v>
      </c>
      <c r="E245" s="88" t="s">
        <v>883</v>
      </c>
    </row>
    <row r="246" customFormat="false" ht="22.35" hidden="false" customHeight="false" outlineLevel="0" collapsed="false">
      <c r="A246" s="88" t="s">
        <v>887</v>
      </c>
      <c r="B246" s="88" t="s">
        <v>286</v>
      </c>
      <c r="C246" s="88" t="s">
        <v>888</v>
      </c>
      <c r="D246" s="88" t="s">
        <v>889</v>
      </c>
      <c r="E246" s="88" t="s">
        <v>890</v>
      </c>
    </row>
    <row r="247" customFormat="false" ht="22.35" hidden="false" customHeight="false" outlineLevel="0" collapsed="false">
      <c r="A247" s="88" t="s">
        <v>891</v>
      </c>
      <c r="B247" s="88" t="s">
        <v>286</v>
      </c>
      <c r="C247" s="88" t="s">
        <v>892</v>
      </c>
      <c r="D247" s="88" t="s">
        <v>606</v>
      </c>
      <c r="E247" s="88" t="s">
        <v>607</v>
      </c>
    </row>
    <row r="248" customFormat="false" ht="22.35" hidden="false" customHeight="false" outlineLevel="0" collapsed="false">
      <c r="A248" s="88" t="s">
        <v>893</v>
      </c>
      <c r="B248" s="88" t="s">
        <v>228</v>
      </c>
      <c r="C248" s="88" t="s">
        <v>894</v>
      </c>
      <c r="D248" s="88" t="s">
        <v>606</v>
      </c>
      <c r="E248" s="88" t="s">
        <v>607</v>
      </c>
    </row>
    <row r="249" customFormat="false" ht="22.35" hidden="false" customHeight="false" outlineLevel="0" collapsed="false">
      <c r="A249" s="88" t="s">
        <v>895</v>
      </c>
      <c r="B249" s="88" t="s">
        <v>286</v>
      </c>
      <c r="C249" s="88" t="s">
        <v>892</v>
      </c>
      <c r="D249" s="88" t="s">
        <v>606</v>
      </c>
      <c r="E249" s="88" t="s">
        <v>607</v>
      </c>
    </row>
    <row r="250" customFormat="false" ht="22.35" hidden="false" customHeight="false" outlineLevel="0" collapsed="false">
      <c r="A250" s="88" t="s">
        <v>896</v>
      </c>
      <c r="B250" s="88" t="s">
        <v>286</v>
      </c>
      <c r="C250" s="88" t="s">
        <v>892</v>
      </c>
      <c r="D250" s="88" t="s">
        <v>606</v>
      </c>
      <c r="E250" s="88" t="s">
        <v>607</v>
      </c>
    </row>
    <row r="251" customFormat="false" ht="22.35" hidden="false" customHeight="false" outlineLevel="0" collapsed="false">
      <c r="A251" s="88" t="s">
        <v>897</v>
      </c>
      <c r="B251" s="88" t="s">
        <v>286</v>
      </c>
      <c r="C251" s="88" t="s">
        <v>888</v>
      </c>
      <c r="D251" s="88" t="s">
        <v>889</v>
      </c>
      <c r="E251" s="88" t="s">
        <v>890</v>
      </c>
    </row>
    <row r="252" customFormat="false" ht="22.35" hidden="false" customHeight="false" outlineLevel="0" collapsed="false">
      <c r="A252" s="88" t="s">
        <v>898</v>
      </c>
      <c r="B252" s="88" t="s">
        <v>286</v>
      </c>
      <c r="C252" s="88" t="s">
        <v>888</v>
      </c>
      <c r="D252" s="88" t="s">
        <v>889</v>
      </c>
      <c r="E252" s="88" t="s">
        <v>890</v>
      </c>
    </row>
    <row r="253" customFormat="false" ht="22.35" hidden="false" customHeight="false" outlineLevel="0" collapsed="false">
      <c r="A253" s="88" t="s">
        <v>899</v>
      </c>
      <c r="B253" s="88" t="s">
        <v>286</v>
      </c>
      <c r="C253" s="88" t="s">
        <v>888</v>
      </c>
      <c r="D253" s="88" t="s">
        <v>889</v>
      </c>
      <c r="E253" s="88" t="s">
        <v>890</v>
      </c>
    </row>
    <row r="254" customFormat="false" ht="22.35" hidden="false" customHeight="false" outlineLevel="0" collapsed="false">
      <c r="A254" s="88" t="s">
        <v>900</v>
      </c>
      <c r="B254" s="88" t="s">
        <v>286</v>
      </c>
      <c r="C254" s="88" t="s">
        <v>885</v>
      </c>
      <c r="D254" s="88" t="s">
        <v>856</v>
      </c>
      <c r="E254" s="88" t="s">
        <v>625</v>
      </c>
    </row>
    <row r="255" customFormat="false" ht="22.35" hidden="false" customHeight="false" outlineLevel="0" collapsed="false">
      <c r="A255" s="88" t="s">
        <v>901</v>
      </c>
      <c r="B255" s="88" t="s">
        <v>286</v>
      </c>
      <c r="C255" s="88" t="s">
        <v>885</v>
      </c>
      <c r="D255" s="88" t="s">
        <v>856</v>
      </c>
      <c r="E255" s="88" t="s">
        <v>625</v>
      </c>
    </row>
    <row r="256" customFormat="false" ht="22.35" hidden="false" customHeight="false" outlineLevel="0" collapsed="false">
      <c r="A256" s="88" t="s">
        <v>902</v>
      </c>
      <c r="B256" s="88" t="s">
        <v>286</v>
      </c>
      <c r="C256" s="88" t="s">
        <v>704</v>
      </c>
      <c r="D256" s="88" t="s">
        <v>705</v>
      </c>
      <c r="E256" s="88" t="s">
        <v>625</v>
      </c>
    </row>
    <row r="257" customFormat="false" ht="15" hidden="false" customHeight="false" outlineLevel="0" collapsed="false">
      <c r="A257" s="88" t="s">
        <v>903</v>
      </c>
      <c r="B257" s="88" t="s">
        <v>451</v>
      </c>
      <c r="C257" s="88" t="s">
        <v>834</v>
      </c>
      <c r="D257" s="88" t="s">
        <v>835</v>
      </c>
      <c r="E257" s="88" t="s">
        <v>625</v>
      </c>
    </row>
    <row r="258" customFormat="false" ht="15" hidden="false" customHeight="false" outlineLevel="0" collapsed="false">
      <c r="A258" s="88" t="s">
        <v>904</v>
      </c>
      <c r="B258" s="88" t="s">
        <v>451</v>
      </c>
      <c r="C258" s="88" t="s">
        <v>834</v>
      </c>
      <c r="D258" s="88" t="s">
        <v>835</v>
      </c>
      <c r="E258" s="88" t="s">
        <v>625</v>
      </c>
    </row>
    <row r="259" customFormat="false" ht="15" hidden="false" customHeight="false" outlineLevel="0" collapsed="false">
      <c r="A259" s="88" t="s">
        <v>905</v>
      </c>
      <c r="B259" s="88" t="s">
        <v>451</v>
      </c>
      <c r="C259" s="88" t="s">
        <v>834</v>
      </c>
      <c r="D259" s="88" t="s">
        <v>835</v>
      </c>
      <c r="E259" s="88" t="s">
        <v>625</v>
      </c>
    </row>
    <row r="260" customFormat="false" ht="15" hidden="false" customHeight="false" outlineLevel="0" collapsed="false">
      <c r="A260" s="88" t="s">
        <v>906</v>
      </c>
      <c r="B260" s="88" t="s">
        <v>451</v>
      </c>
      <c r="C260" s="88" t="s">
        <v>834</v>
      </c>
      <c r="D260" s="88" t="s">
        <v>835</v>
      </c>
      <c r="E260" s="88" t="s">
        <v>625</v>
      </c>
    </row>
    <row r="261" customFormat="false" ht="15" hidden="false" customHeight="false" outlineLevel="0" collapsed="false">
      <c r="A261" s="88" t="s">
        <v>907</v>
      </c>
      <c r="B261" s="88" t="s">
        <v>451</v>
      </c>
      <c r="C261" s="88" t="s">
        <v>834</v>
      </c>
      <c r="D261" s="88" t="s">
        <v>835</v>
      </c>
      <c r="E261" s="88" t="s">
        <v>625</v>
      </c>
    </row>
    <row r="262" customFormat="false" ht="15" hidden="false" customHeight="false" outlineLevel="0" collapsed="false">
      <c r="A262" s="88" t="s">
        <v>908</v>
      </c>
      <c r="B262" s="88" t="s">
        <v>286</v>
      </c>
      <c r="C262" s="88" t="s">
        <v>909</v>
      </c>
      <c r="D262" s="88" t="s">
        <v>832</v>
      </c>
      <c r="E262" s="88" t="s">
        <v>794</v>
      </c>
    </row>
    <row r="263" customFormat="false" ht="15" hidden="false" customHeight="false" outlineLevel="0" collapsed="false">
      <c r="A263" s="88" t="s">
        <v>910</v>
      </c>
      <c r="B263" s="88" t="s">
        <v>286</v>
      </c>
      <c r="C263" s="88" t="s">
        <v>911</v>
      </c>
      <c r="D263" s="88" t="s">
        <v>835</v>
      </c>
      <c r="E263" s="88" t="s">
        <v>625</v>
      </c>
    </row>
    <row r="264" customFormat="false" ht="15" hidden="false" customHeight="false" outlineLevel="0" collapsed="false">
      <c r="A264" s="88" t="s">
        <v>912</v>
      </c>
      <c r="B264" s="88" t="s">
        <v>286</v>
      </c>
      <c r="C264" s="88" t="s">
        <v>911</v>
      </c>
      <c r="D264" s="88" t="s">
        <v>835</v>
      </c>
      <c r="E264" s="88" t="s">
        <v>625</v>
      </c>
    </row>
    <row r="265" customFormat="false" ht="15" hidden="false" customHeight="false" outlineLevel="0" collapsed="false">
      <c r="A265" s="88" t="s">
        <v>913</v>
      </c>
      <c r="B265" s="88" t="s">
        <v>286</v>
      </c>
      <c r="C265" s="88" t="s">
        <v>911</v>
      </c>
      <c r="D265" s="88" t="s">
        <v>835</v>
      </c>
      <c r="E265" s="88" t="s">
        <v>625</v>
      </c>
    </row>
    <row r="266" customFormat="false" ht="22.35" hidden="false" customHeight="false" outlineLevel="0" collapsed="false">
      <c r="A266" s="88" t="s">
        <v>914</v>
      </c>
      <c r="B266" s="88" t="s">
        <v>286</v>
      </c>
      <c r="C266" s="88" t="s">
        <v>911</v>
      </c>
      <c r="D266" s="88" t="s">
        <v>835</v>
      </c>
      <c r="E266" s="88" t="s">
        <v>625</v>
      </c>
    </row>
    <row r="267" customFormat="false" ht="22.35" hidden="false" customHeight="false" outlineLevel="0" collapsed="false">
      <c r="A267" s="88" t="s">
        <v>915</v>
      </c>
      <c r="B267" s="88" t="s">
        <v>286</v>
      </c>
      <c r="C267" s="88" t="s">
        <v>911</v>
      </c>
      <c r="D267" s="88" t="s">
        <v>835</v>
      </c>
      <c r="E267" s="88" t="s">
        <v>625</v>
      </c>
    </row>
    <row r="268" customFormat="false" ht="22.35" hidden="false" customHeight="false" outlineLevel="0" collapsed="false">
      <c r="A268" s="88" t="s">
        <v>916</v>
      </c>
      <c r="B268" s="88" t="s">
        <v>286</v>
      </c>
      <c r="C268" s="88" t="s">
        <v>911</v>
      </c>
      <c r="D268" s="88" t="s">
        <v>835</v>
      </c>
      <c r="E268" s="88" t="s">
        <v>625</v>
      </c>
    </row>
    <row r="269" customFormat="false" ht="22.35" hidden="false" customHeight="false" outlineLevel="0" collapsed="false">
      <c r="A269" s="88" t="s">
        <v>917</v>
      </c>
      <c r="B269" s="88" t="s">
        <v>286</v>
      </c>
      <c r="C269" s="88" t="s">
        <v>911</v>
      </c>
      <c r="D269" s="88" t="s">
        <v>835</v>
      </c>
      <c r="E269" s="88" t="s">
        <v>625</v>
      </c>
    </row>
    <row r="270" customFormat="false" ht="15" hidden="false" customHeight="false" outlineLevel="0" collapsed="false">
      <c r="A270" s="88" t="s">
        <v>918</v>
      </c>
      <c r="B270" s="88" t="s">
        <v>286</v>
      </c>
      <c r="C270" s="88" t="s">
        <v>911</v>
      </c>
      <c r="D270" s="88" t="s">
        <v>835</v>
      </c>
      <c r="E270" s="88" t="s">
        <v>625</v>
      </c>
    </row>
    <row r="271" customFormat="false" ht="22.35" hidden="false" customHeight="false" outlineLevel="0" collapsed="false">
      <c r="A271" s="88" t="s">
        <v>919</v>
      </c>
      <c r="B271" s="88" t="s">
        <v>286</v>
      </c>
      <c r="C271" s="88" t="s">
        <v>911</v>
      </c>
      <c r="D271" s="88" t="s">
        <v>835</v>
      </c>
      <c r="E271" s="88" t="s">
        <v>625</v>
      </c>
    </row>
    <row r="272" customFormat="false" ht="22.35" hidden="false" customHeight="false" outlineLevel="0" collapsed="false">
      <c r="A272" s="88" t="s">
        <v>920</v>
      </c>
      <c r="B272" s="88" t="s">
        <v>286</v>
      </c>
      <c r="C272" s="88" t="s">
        <v>911</v>
      </c>
      <c r="D272" s="88" t="s">
        <v>835</v>
      </c>
      <c r="E272" s="88" t="s">
        <v>625</v>
      </c>
    </row>
    <row r="273" customFormat="false" ht="15" hidden="false" customHeight="false" outlineLevel="0" collapsed="false">
      <c r="A273" s="88" t="s">
        <v>921</v>
      </c>
      <c r="B273" s="88" t="s">
        <v>272</v>
      </c>
      <c r="C273" s="88" t="s">
        <v>851</v>
      </c>
      <c r="D273" s="88" t="s">
        <v>835</v>
      </c>
      <c r="E273" s="88" t="s">
        <v>625</v>
      </c>
    </row>
    <row r="274" customFormat="false" ht="15" hidden="false" customHeight="false" outlineLevel="0" collapsed="false">
      <c r="A274" s="88" t="s">
        <v>922</v>
      </c>
      <c r="B274" s="88" t="s">
        <v>272</v>
      </c>
      <c r="C274" s="88" t="s">
        <v>851</v>
      </c>
      <c r="D274" s="88" t="s">
        <v>835</v>
      </c>
      <c r="E274" s="88" t="s">
        <v>625</v>
      </c>
    </row>
    <row r="275" customFormat="false" ht="15" hidden="false" customHeight="false" outlineLevel="0" collapsed="false">
      <c r="A275" s="88" t="s">
        <v>923</v>
      </c>
      <c r="B275" s="88" t="s">
        <v>272</v>
      </c>
      <c r="C275" s="88" t="s">
        <v>851</v>
      </c>
      <c r="D275" s="88" t="s">
        <v>835</v>
      </c>
      <c r="E275" s="88" t="s">
        <v>625</v>
      </c>
    </row>
    <row r="276" customFormat="false" ht="15" hidden="false" customHeight="false" outlineLevel="0" collapsed="false">
      <c r="A276" s="88" t="s">
        <v>924</v>
      </c>
      <c r="B276" s="88" t="s">
        <v>272</v>
      </c>
      <c r="C276" s="88" t="s">
        <v>851</v>
      </c>
      <c r="D276" s="88" t="s">
        <v>835</v>
      </c>
      <c r="E276" s="88" t="s">
        <v>625</v>
      </c>
    </row>
    <row r="277" customFormat="false" ht="15" hidden="false" customHeight="false" outlineLevel="0" collapsed="false">
      <c r="A277" s="88" t="s">
        <v>925</v>
      </c>
      <c r="B277" s="88" t="s">
        <v>286</v>
      </c>
      <c r="C277" s="88" t="s">
        <v>911</v>
      </c>
      <c r="D277" s="88" t="s">
        <v>835</v>
      </c>
      <c r="E277" s="88" t="s">
        <v>625</v>
      </c>
    </row>
    <row r="278" customFormat="false" ht="15" hidden="false" customHeight="false" outlineLevel="0" collapsed="false">
      <c r="A278" s="88" t="s">
        <v>926</v>
      </c>
      <c r="B278" s="88" t="s">
        <v>286</v>
      </c>
      <c r="C278" s="88" t="s">
        <v>911</v>
      </c>
      <c r="D278" s="88" t="s">
        <v>835</v>
      </c>
      <c r="E278" s="88" t="s">
        <v>625</v>
      </c>
    </row>
    <row r="279" customFormat="false" ht="15" hidden="false" customHeight="false" outlineLevel="0" collapsed="false">
      <c r="A279" s="88" t="s">
        <v>927</v>
      </c>
      <c r="B279" s="88" t="s">
        <v>286</v>
      </c>
      <c r="C279" s="88" t="s">
        <v>911</v>
      </c>
      <c r="D279" s="88" t="s">
        <v>835</v>
      </c>
      <c r="E279" s="88" t="s">
        <v>625</v>
      </c>
    </row>
    <row r="280" customFormat="false" ht="22.35" hidden="false" customHeight="false" outlineLevel="0" collapsed="false">
      <c r="A280" s="88" t="s">
        <v>928</v>
      </c>
      <c r="B280" s="88" t="s">
        <v>286</v>
      </c>
      <c r="C280" s="88" t="s">
        <v>911</v>
      </c>
      <c r="D280" s="88" t="s">
        <v>835</v>
      </c>
      <c r="E280" s="88" t="s">
        <v>625</v>
      </c>
    </row>
    <row r="281" customFormat="false" ht="15" hidden="false" customHeight="false" outlineLevel="0" collapsed="false">
      <c r="A281" s="88" t="s">
        <v>929</v>
      </c>
      <c r="B281" s="88" t="s">
        <v>496</v>
      </c>
      <c r="C281" s="88" t="s">
        <v>740</v>
      </c>
      <c r="D281" s="88" t="s">
        <v>686</v>
      </c>
      <c r="E281" s="88" t="s">
        <v>625</v>
      </c>
    </row>
    <row r="282" customFormat="false" ht="15" hidden="false" customHeight="false" outlineLevel="0" collapsed="false">
      <c r="A282" s="88" t="s">
        <v>930</v>
      </c>
      <c r="B282" s="88" t="s">
        <v>496</v>
      </c>
      <c r="C282" s="88" t="s">
        <v>740</v>
      </c>
      <c r="D282" s="88" t="s">
        <v>686</v>
      </c>
      <c r="E282" s="88" t="s">
        <v>625</v>
      </c>
    </row>
    <row r="283" customFormat="false" ht="15" hidden="false" customHeight="false" outlineLevel="0" collapsed="false">
      <c r="A283" s="88" t="s">
        <v>931</v>
      </c>
      <c r="B283" s="88" t="s">
        <v>496</v>
      </c>
      <c r="C283" s="88" t="s">
        <v>740</v>
      </c>
      <c r="D283" s="88" t="s">
        <v>686</v>
      </c>
      <c r="E283" s="88" t="s">
        <v>625</v>
      </c>
    </row>
    <row r="284" customFormat="false" ht="15" hidden="false" customHeight="false" outlineLevel="0" collapsed="false">
      <c r="A284" s="88" t="s">
        <v>932</v>
      </c>
      <c r="B284" s="88" t="s">
        <v>496</v>
      </c>
      <c r="C284" s="88" t="s">
        <v>740</v>
      </c>
      <c r="D284" s="88" t="s">
        <v>686</v>
      </c>
      <c r="E284" s="88" t="s">
        <v>625</v>
      </c>
    </row>
    <row r="285" customFormat="false" ht="15" hidden="false" customHeight="false" outlineLevel="0" collapsed="false">
      <c r="A285" s="88" t="s">
        <v>933</v>
      </c>
      <c r="B285" s="88" t="s">
        <v>286</v>
      </c>
      <c r="C285" s="88" t="s">
        <v>715</v>
      </c>
      <c r="D285" s="88" t="s">
        <v>686</v>
      </c>
      <c r="E285" s="88" t="s">
        <v>625</v>
      </c>
    </row>
    <row r="286" customFormat="false" ht="15" hidden="false" customHeight="false" outlineLevel="0" collapsed="false">
      <c r="A286" s="88" t="s">
        <v>934</v>
      </c>
      <c r="B286" s="88" t="s">
        <v>286</v>
      </c>
      <c r="C286" s="88" t="s">
        <v>715</v>
      </c>
      <c r="D286" s="88" t="s">
        <v>686</v>
      </c>
      <c r="E286" s="88" t="s">
        <v>625</v>
      </c>
    </row>
    <row r="287" customFormat="false" ht="15" hidden="false" customHeight="false" outlineLevel="0" collapsed="false">
      <c r="A287" s="88" t="s">
        <v>334</v>
      </c>
      <c r="B287" s="88" t="s">
        <v>286</v>
      </c>
      <c r="C287" s="88" t="s">
        <v>935</v>
      </c>
      <c r="D287" s="88" t="s">
        <v>936</v>
      </c>
      <c r="E287" s="88" t="s">
        <v>625</v>
      </c>
    </row>
    <row r="288" customFormat="false" ht="15" hidden="false" customHeight="false" outlineLevel="0" collapsed="false">
      <c r="A288" s="88" t="s">
        <v>937</v>
      </c>
      <c r="B288" s="88" t="s">
        <v>249</v>
      </c>
      <c r="C288" s="88" t="s">
        <v>742</v>
      </c>
      <c r="D288" s="88" t="s">
        <v>710</v>
      </c>
      <c r="E288" s="88" t="s">
        <v>625</v>
      </c>
    </row>
    <row r="289" customFormat="false" ht="15" hidden="false" customHeight="false" outlineLevel="0" collapsed="false">
      <c r="A289" s="88" t="s">
        <v>938</v>
      </c>
      <c r="B289" s="88" t="s">
        <v>249</v>
      </c>
      <c r="C289" s="88" t="s">
        <v>742</v>
      </c>
      <c r="D289" s="88" t="s">
        <v>710</v>
      </c>
      <c r="E289" s="88" t="s">
        <v>625</v>
      </c>
    </row>
    <row r="290" customFormat="false" ht="15" hidden="false" customHeight="false" outlineLevel="0" collapsed="false">
      <c r="A290" s="88" t="s">
        <v>939</v>
      </c>
      <c r="B290" s="88" t="s">
        <v>249</v>
      </c>
      <c r="C290" s="88" t="s">
        <v>742</v>
      </c>
      <c r="D290" s="88" t="s">
        <v>710</v>
      </c>
      <c r="E290" s="88" t="s">
        <v>625</v>
      </c>
    </row>
    <row r="291" customFormat="false" ht="15" hidden="false" customHeight="false" outlineLevel="0" collapsed="false">
      <c r="A291" s="88" t="s">
        <v>940</v>
      </c>
      <c r="B291" s="88" t="s">
        <v>249</v>
      </c>
      <c r="C291" s="88" t="s">
        <v>742</v>
      </c>
      <c r="D291" s="88" t="s">
        <v>710</v>
      </c>
      <c r="E291" s="88" t="s">
        <v>625</v>
      </c>
    </row>
    <row r="292" customFormat="false" ht="22.35" hidden="false" customHeight="false" outlineLevel="0" collapsed="false">
      <c r="A292" s="88" t="s">
        <v>941</v>
      </c>
      <c r="B292" s="88" t="s">
        <v>286</v>
      </c>
      <c r="C292" s="88" t="s">
        <v>713</v>
      </c>
      <c r="D292" s="88" t="s">
        <v>710</v>
      </c>
      <c r="E292" s="88" t="s">
        <v>625</v>
      </c>
    </row>
    <row r="293" customFormat="false" ht="22.35" hidden="false" customHeight="false" outlineLevel="0" collapsed="false">
      <c r="A293" s="88" t="s">
        <v>942</v>
      </c>
      <c r="B293" s="88" t="s">
        <v>286</v>
      </c>
      <c r="C293" s="88" t="s">
        <v>713</v>
      </c>
      <c r="D293" s="88" t="s">
        <v>710</v>
      </c>
      <c r="E293" s="88" t="s">
        <v>625</v>
      </c>
    </row>
    <row r="294" customFormat="false" ht="22.35" hidden="false" customHeight="false" outlineLevel="0" collapsed="false">
      <c r="A294" s="88" t="s">
        <v>943</v>
      </c>
      <c r="B294" s="88" t="s">
        <v>286</v>
      </c>
      <c r="C294" s="88" t="s">
        <v>713</v>
      </c>
      <c r="D294" s="88" t="s">
        <v>710</v>
      </c>
      <c r="E294" s="88" t="s">
        <v>625</v>
      </c>
    </row>
    <row r="295" customFormat="false" ht="22.35" hidden="false" customHeight="false" outlineLevel="0" collapsed="false">
      <c r="A295" s="88" t="s">
        <v>944</v>
      </c>
      <c r="B295" s="88" t="s">
        <v>286</v>
      </c>
      <c r="C295" s="88" t="s">
        <v>713</v>
      </c>
      <c r="D295" s="88" t="s">
        <v>710</v>
      </c>
      <c r="E295" s="88" t="s">
        <v>625</v>
      </c>
    </row>
    <row r="296" customFormat="false" ht="22.35" hidden="false" customHeight="false" outlineLevel="0" collapsed="false">
      <c r="A296" s="88" t="s">
        <v>945</v>
      </c>
      <c r="B296" s="88" t="s">
        <v>286</v>
      </c>
      <c r="C296" s="88" t="s">
        <v>713</v>
      </c>
      <c r="D296" s="88" t="s">
        <v>710</v>
      </c>
      <c r="E296" s="88" t="s">
        <v>625</v>
      </c>
    </row>
    <row r="297" customFormat="false" ht="22.35" hidden="false" customHeight="false" outlineLevel="0" collapsed="false">
      <c r="A297" s="88" t="s">
        <v>946</v>
      </c>
      <c r="B297" s="88" t="s">
        <v>286</v>
      </c>
      <c r="C297" s="88" t="s">
        <v>713</v>
      </c>
      <c r="D297" s="88" t="s">
        <v>710</v>
      </c>
      <c r="E297" s="88" t="s">
        <v>625</v>
      </c>
    </row>
    <row r="298" customFormat="false" ht="22.35" hidden="false" customHeight="false" outlineLevel="0" collapsed="false">
      <c r="A298" s="88" t="s">
        <v>947</v>
      </c>
      <c r="B298" s="88" t="s">
        <v>286</v>
      </c>
      <c r="C298" s="88" t="s">
        <v>713</v>
      </c>
      <c r="D298" s="88" t="s">
        <v>710</v>
      </c>
      <c r="E298" s="88" t="s">
        <v>625</v>
      </c>
    </row>
    <row r="299" customFormat="false" ht="22.35" hidden="false" customHeight="false" outlineLevel="0" collapsed="false">
      <c r="A299" s="88" t="s">
        <v>948</v>
      </c>
      <c r="B299" s="88" t="s">
        <v>286</v>
      </c>
      <c r="C299" s="88" t="s">
        <v>713</v>
      </c>
      <c r="D299" s="88" t="s">
        <v>710</v>
      </c>
      <c r="E299" s="88" t="s">
        <v>625</v>
      </c>
    </row>
    <row r="300" customFormat="false" ht="22.35" hidden="false" customHeight="false" outlineLevel="0" collapsed="false">
      <c r="A300" s="88" t="s">
        <v>949</v>
      </c>
      <c r="B300" s="88" t="s">
        <v>286</v>
      </c>
      <c r="C300" s="88" t="s">
        <v>713</v>
      </c>
      <c r="D300" s="88" t="s">
        <v>710</v>
      </c>
      <c r="E300" s="88" t="s">
        <v>625</v>
      </c>
    </row>
    <row r="301" customFormat="false" ht="22.35" hidden="false" customHeight="false" outlineLevel="0" collapsed="false">
      <c r="A301" s="88" t="s">
        <v>950</v>
      </c>
      <c r="B301" s="88" t="s">
        <v>286</v>
      </c>
      <c r="C301" s="88" t="s">
        <v>713</v>
      </c>
      <c r="D301" s="88" t="s">
        <v>710</v>
      </c>
      <c r="E301" s="88" t="s">
        <v>625</v>
      </c>
    </row>
    <row r="302" customFormat="false" ht="22.35" hidden="false" customHeight="false" outlineLevel="0" collapsed="false">
      <c r="A302" s="88" t="s">
        <v>951</v>
      </c>
      <c r="B302" s="88" t="s">
        <v>286</v>
      </c>
      <c r="C302" s="88" t="s">
        <v>713</v>
      </c>
      <c r="D302" s="88" t="s">
        <v>710</v>
      </c>
      <c r="E302" s="88" t="s">
        <v>625</v>
      </c>
    </row>
    <row r="303" customFormat="false" ht="22.35" hidden="false" customHeight="false" outlineLevel="0" collapsed="false">
      <c r="A303" s="88" t="s">
        <v>952</v>
      </c>
      <c r="B303" s="88" t="s">
        <v>286</v>
      </c>
      <c r="C303" s="88" t="s">
        <v>885</v>
      </c>
      <c r="D303" s="88" t="s">
        <v>856</v>
      </c>
      <c r="E303" s="88" t="s">
        <v>625</v>
      </c>
    </row>
    <row r="304" customFormat="false" ht="22.35" hidden="false" customHeight="false" outlineLevel="0" collapsed="false">
      <c r="A304" s="88" t="s">
        <v>953</v>
      </c>
      <c r="B304" s="88" t="s">
        <v>286</v>
      </c>
      <c r="C304" s="88" t="s">
        <v>885</v>
      </c>
      <c r="D304" s="88" t="s">
        <v>856</v>
      </c>
      <c r="E304" s="88" t="s">
        <v>625</v>
      </c>
    </row>
    <row r="305" customFormat="false" ht="22.35" hidden="false" customHeight="false" outlineLevel="0" collapsed="false">
      <c r="A305" s="88" t="s">
        <v>954</v>
      </c>
      <c r="B305" s="88" t="s">
        <v>286</v>
      </c>
      <c r="C305" s="88" t="s">
        <v>713</v>
      </c>
      <c r="D305" s="88" t="s">
        <v>710</v>
      </c>
      <c r="E305" s="88" t="s">
        <v>625</v>
      </c>
    </row>
    <row r="306" customFormat="false" ht="22.35" hidden="false" customHeight="false" outlineLevel="0" collapsed="false">
      <c r="A306" s="88" t="s">
        <v>955</v>
      </c>
      <c r="B306" s="88" t="s">
        <v>286</v>
      </c>
      <c r="C306" s="88" t="s">
        <v>713</v>
      </c>
      <c r="D306" s="88" t="s">
        <v>710</v>
      </c>
      <c r="E306" s="88" t="s">
        <v>625</v>
      </c>
    </row>
    <row r="307" customFormat="false" ht="22.35" hidden="false" customHeight="false" outlineLevel="0" collapsed="false">
      <c r="A307" s="88" t="s">
        <v>956</v>
      </c>
      <c r="B307" s="88" t="s">
        <v>286</v>
      </c>
      <c r="C307" s="88" t="s">
        <v>713</v>
      </c>
      <c r="D307" s="88" t="s">
        <v>710</v>
      </c>
      <c r="E307" s="88" t="s">
        <v>625</v>
      </c>
    </row>
    <row r="308" customFormat="false" ht="22.35" hidden="false" customHeight="false" outlineLevel="0" collapsed="false">
      <c r="A308" s="88" t="s">
        <v>957</v>
      </c>
      <c r="B308" s="88" t="s">
        <v>286</v>
      </c>
      <c r="C308" s="88" t="s">
        <v>885</v>
      </c>
      <c r="D308" s="88" t="s">
        <v>856</v>
      </c>
      <c r="E308" s="88" t="s">
        <v>625</v>
      </c>
    </row>
    <row r="309" customFormat="false" ht="15" hidden="false" customHeight="false" outlineLevel="0" collapsed="false">
      <c r="A309" s="88" t="s">
        <v>958</v>
      </c>
      <c r="B309" s="88" t="s">
        <v>286</v>
      </c>
      <c r="C309" s="88" t="s">
        <v>959</v>
      </c>
      <c r="D309" s="88" t="s">
        <v>870</v>
      </c>
      <c r="E309" s="88" t="s">
        <v>625</v>
      </c>
    </row>
    <row r="310" customFormat="false" ht="22.35" hidden="false" customHeight="false" outlineLevel="0" collapsed="false">
      <c r="A310" s="88" t="s">
        <v>960</v>
      </c>
      <c r="B310" s="88" t="s">
        <v>286</v>
      </c>
      <c r="C310" s="88" t="s">
        <v>959</v>
      </c>
      <c r="D310" s="88" t="s">
        <v>870</v>
      </c>
      <c r="E310" s="88" t="s">
        <v>625</v>
      </c>
    </row>
    <row r="311" customFormat="false" ht="15" hidden="false" customHeight="false" outlineLevel="0" collapsed="false">
      <c r="A311" s="88" t="s">
        <v>961</v>
      </c>
      <c r="B311" s="88" t="s">
        <v>286</v>
      </c>
      <c r="C311" s="88" t="s">
        <v>962</v>
      </c>
      <c r="D311" s="88" t="s">
        <v>751</v>
      </c>
      <c r="E311" s="88" t="s">
        <v>625</v>
      </c>
    </row>
    <row r="312" customFormat="false" ht="22.35" hidden="false" customHeight="false" outlineLevel="0" collapsed="false">
      <c r="A312" s="88" t="s">
        <v>963</v>
      </c>
      <c r="B312" s="88" t="s">
        <v>286</v>
      </c>
      <c r="C312" s="88" t="s">
        <v>964</v>
      </c>
      <c r="D312" s="88" t="s">
        <v>965</v>
      </c>
      <c r="E312" s="88" t="s">
        <v>966</v>
      </c>
    </row>
    <row r="313" customFormat="false" ht="15" hidden="false" customHeight="false" outlineLevel="0" collapsed="false">
      <c r="A313" s="88" t="s">
        <v>967</v>
      </c>
      <c r="B313" s="88" t="s">
        <v>496</v>
      </c>
      <c r="C313" s="88" t="s">
        <v>968</v>
      </c>
      <c r="D313" s="88" t="s">
        <v>856</v>
      </c>
      <c r="E313" s="88" t="s">
        <v>625</v>
      </c>
    </row>
    <row r="314" customFormat="false" ht="15" hidden="false" customHeight="false" outlineLevel="0" collapsed="false">
      <c r="A314" s="88" t="s">
        <v>969</v>
      </c>
      <c r="B314" s="88" t="s">
        <v>249</v>
      </c>
      <c r="C314" s="88" t="s">
        <v>970</v>
      </c>
      <c r="D314" s="88" t="s">
        <v>856</v>
      </c>
      <c r="E314" s="88" t="s">
        <v>625</v>
      </c>
    </row>
    <row r="315" customFormat="false" ht="15" hidden="false" customHeight="false" outlineLevel="0" collapsed="false">
      <c r="A315" s="88" t="s">
        <v>971</v>
      </c>
      <c r="B315" s="88" t="s">
        <v>249</v>
      </c>
      <c r="C315" s="88" t="s">
        <v>970</v>
      </c>
      <c r="D315" s="88" t="s">
        <v>856</v>
      </c>
      <c r="E315" s="88" t="s">
        <v>625</v>
      </c>
    </row>
    <row r="316" customFormat="false" ht="15" hidden="false" customHeight="false" outlineLevel="0" collapsed="false">
      <c r="A316" s="88" t="s">
        <v>664</v>
      </c>
      <c r="B316" s="88" t="s">
        <v>249</v>
      </c>
      <c r="C316" s="88" t="s">
        <v>970</v>
      </c>
      <c r="D316" s="88" t="s">
        <v>856</v>
      </c>
      <c r="E316" s="88" t="s">
        <v>625</v>
      </c>
    </row>
    <row r="317" customFormat="false" ht="22.35" hidden="false" customHeight="false" outlineLevel="0" collapsed="false">
      <c r="A317" s="88" t="s">
        <v>972</v>
      </c>
      <c r="B317" s="88" t="s">
        <v>286</v>
      </c>
      <c r="C317" s="88" t="s">
        <v>885</v>
      </c>
      <c r="D317" s="88" t="s">
        <v>856</v>
      </c>
      <c r="E317" s="88" t="s">
        <v>625</v>
      </c>
    </row>
    <row r="318" customFormat="false" ht="15" hidden="false" customHeight="false" outlineLevel="0" collapsed="false">
      <c r="A318" s="88" t="s">
        <v>973</v>
      </c>
      <c r="B318" s="88" t="s">
        <v>496</v>
      </c>
      <c r="C318" s="88" t="s">
        <v>968</v>
      </c>
      <c r="D318" s="88" t="s">
        <v>856</v>
      </c>
      <c r="E318" s="88" t="s">
        <v>625</v>
      </c>
    </row>
    <row r="319" customFormat="false" ht="15" hidden="false" customHeight="false" outlineLevel="0" collapsed="false">
      <c r="A319" s="88" t="s">
        <v>974</v>
      </c>
      <c r="B319" s="88" t="s">
        <v>496</v>
      </c>
      <c r="C319" s="88" t="s">
        <v>968</v>
      </c>
      <c r="D319" s="88" t="s">
        <v>856</v>
      </c>
      <c r="E319" s="88" t="s">
        <v>625</v>
      </c>
    </row>
    <row r="320" customFormat="false" ht="15" hidden="false" customHeight="false" outlineLevel="0" collapsed="false">
      <c r="A320" s="88" t="s">
        <v>975</v>
      </c>
      <c r="B320" s="88" t="s">
        <v>496</v>
      </c>
      <c r="C320" s="88" t="s">
        <v>740</v>
      </c>
      <c r="D320" s="88" t="s">
        <v>686</v>
      </c>
      <c r="E320" s="88" t="s">
        <v>701</v>
      </c>
    </row>
    <row r="321" customFormat="false" ht="15" hidden="false" customHeight="false" outlineLevel="0" collapsed="false">
      <c r="A321" s="88" t="s">
        <v>976</v>
      </c>
      <c r="B321" s="88" t="s">
        <v>496</v>
      </c>
      <c r="C321" s="88" t="s">
        <v>758</v>
      </c>
      <c r="D321" s="88" t="s">
        <v>710</v>
      </c>
      <c r="E321" s="88" t="s">
        <v>625</v>
      </c>
    </row>
    <row r="322" customFormat="false" ht="15" hidden="false" customHeight="false" outlineLevel="0" collapsed="false">
      <c r="A322" s="88" t="s">
        <v>977</v>
      </c>
      <c r="B322" s="88" t="s">
        <v>496</v>
      </c>
      <c r="C322" s="88" t="s">
        <v>740</v>
      </c>
      <c r="D322" s="88" t="s">
        <v>686</v>
      </c>
      <c r="E322" s="88" t="s">
        <v>701</v>
      </c>
    </row>
    <row r="323" customFormat="false" ht="15" hidden="false" customHeight="false" outlineLevel="0" collapsed="false">
      <c r="A323" s="88" t="s">
        <v>978</v>
      </c>
      <c r="B323" s="88" t="s">
        <v>272</v>
      </c>
      <c r="C323" s="88" t="s">
        <v>855</v>
      </c>
      <c r="D323" s="88" t="s">
        <v>856</v>
      </c>
      <c r="E323" s="88" t="s">
        <v>625</v>
      </c>
    </row>
    <row r="324" customFormat="false" ht="15" hidden="false" customHeight="false" outlineLevel="0" collapsed="false">
      <c r="A324" s="88" t="s">
        <v>979</v>
      </c>
      <c r="B324" s="88" t="s">
        <v>272</v>
      </c>
      <c r="C324" s="88" t="s">
        <v>855</v>
      </c>
      <c r="D324" s="88" t="s">
        <v>856</v>
      </c>
      <c r="E324" s="88" t="s">
        <v>625</v>
      </c>
    </row>
    <row r="325" customFormat="false" ht="15" hidden="false" customHeight="false" outlineLevel="0" collapsed="false">
      <c r="A325" s="88" t="s">
        <v>980</v>
      </c>
      <c r="B325" s="88" t="s">
        <v>272</v>
      </c>
      <c r="C325" s="88" t="s">
        <v>855</v>
      </c>
      <c r="D325" s="88" t="s">
        <v>856</v>
      </c>
      <c r="E325" s="88" t="s">
        <v>625</v>
      </c>
    </row>
    <row r="326" customFormat="false" ht="22.35" hidden="false" customHeight="false" outlineLevel="0" collapsed="false">
      <c r="A326" s="88" t="s">
        <v>981</v>
      </c>
      <c r="B326" s="88" t="s">
        <v>286</v>
      </c>
      <c r="C326" s="88" t="s">
        <v>885</v>
      </c>
      <c r="D326" s="88" t="s">
        <v>856</v>
      </c>
      <c r="E326" s="88" t="s">
        <v>625</v>
      </c>
    </row>
    <row r="327" customFormat="false" ht="22.35" hidden="false" customHeight="false" outlineLevel="0" collapsed="false">
      <c r="A327" s="88" t="s">
        <v>982</v>
      </c>
      <c r="B327" s="88" t="s">
        <v>286</v>
      </c>
      <c r="C327" s="88" t="s">
        <v>885</v>
      </c>
      <c r="D327" s="88" t="s">
        <v>856</v>
      </c>
      <c r="E327" s="88" t="s">
        <v>625</v>
      </c>
    </row>
    <row r="328" customFormat="false" ht="22.35" hidden="false" customHeight="false" outlineLevel="0" collapsed="false">
      <c r="A328" s="88" t="s">
        <v>983</v>
      </c>
      <c r="B328" s="88" t="s">
        <v>286</v>
      </c>
      <c r="C328" s="88" t="s">
        <v>885</v>
      </c>
      <c r="D328" s="88" t="s">
        <v>856</v>
      </c>
      <c r="E328" s="88" t="s">
        <v>625</v>
      </c>
    </row>
    <row r="329" customFormat="false" ht="22.35" hidden="false" customHeight="false" outlineLevel="0" collapsed="false">
      <c r="A329" s="88" t="s">
        <v>984</v>
      </c>
      <c r="B329" s="88" t="s">
        <v>286</v>
      </c>
      <c r="C329" s="88" t="s">
        <v>885</v>
      </c>
      <c r="D329" s="88" t="s">
        <v>856</v>
      </c>
      <c r="E329" s="88" t="s">
        <v>625</v>
      </c>
    </row>
    <row r="330" customFormat="false" ht="22.35" hidden="false" customHeight="false" outlineLevel="0" collapsed="false">
      <c r="A330" s="88" t="s">
        <v>985</v>
      </c>
      <c r="B330" s="88" t="s">
        <v>286</v>
      </c>
      <c r="C330" s="88" t="s">
        <v>885</v>
      </c>
      <c r="D330" s="88" t="s">
        <v>856</v>
      </c>
      <c r="E330" s="88" t="s">
        <v>625</v>
      </c>
    </row>
    <row r="331" customFormat="false" ht="15" hidden="false" customHeight="false" outlineLevel="0" collapsed="false">
      <c r="A331" s="88" t="s">
        <v>986</v>
      </c>
      <c r="B331" s="88" t="s">
        <v>451</v>
      </c>
      <c r="C331" s="88" t="s">
        <v>750</v>
      </c>
      <c r="D331" s="88" t="s">
        <v>751</v>
      </c>
      <c r="E331" s="88" t="s">
        <v>625</v>
      </c>
    </row>
    <row r="332" customFormat="false" ht="15" hidden="false" customHeight="false" outlineLevel="0" collapsed="false">
      <c r="A332" s="88" t="s">
        <v>987</v>
      </c>
      <c r="B332" s="88" t="s">
        <v>451</v>
      </c>
      <c r="C332" s="88" t="s">
        <v>750</v>
      </c>
      <c r="D332" s="88" t="s">
        <v>751</v>
      </c>
      <c r="E332" s="88" t="s">
        <v>625</v>
      </c>
    </row>
    <row r="333" customFormat="false" ht="15" hidden="false" customHeight="false" outlineLevel="0" collapsed="false">
      <c r="A333" s="88" t="s">
        <v>988</v>
      </c>
      <c r="B333" s="88" t="s">
        <v>286</v>
      </c>
      <c r="C333" s="88" t="s">
        <v>962</v>
      </c>
      <c r="D333" s="88" t="s">
        <v>751</v>
      </c>
      <c r="E333" s="88" t="s">
        <v>625</v>
      </c>
    </row>
    <row r="334" customFormat="false" ht="15" hidden="false" customHeight="false" outlineLevel="0" collapsed="false">
      <c r="A334" s="88" t="s">
        <v>989</v>
      </c>
      <c r="B334" s="88" t="s">
        <v>286</v>
      </c>
      <c r="C334" s="88" t="s">
        <v>962</v>
      </c>
      <c r="D334" s="88" t="s">
        <v>751</v>
      </c>
      <c r="E334" s="88" t="s">
        <v>625</v>
      </c>
    </row>
    <row r="335" customFormat="false" ht="15" hidden="false" customHeight="false" outlineLevel="0" collapsed="false">
      <c r="A335" s="88" t="s">
        <v>990</v>
      </c>
      <c r="B335" s="88" t="s">
        <v>286</v>
      </c>
      <c r="C335" s="88" t="s">
        <v>962</v>
      </c>
      <c r="D335" s="88" t="s">
        <v>751</v>
      </c>
      <c r="E335" s="88" t="s">
        <v>625</v>
      </c>
    </row>
    <row r="336" customFormat="false" ht="15" hidden="false" customHeight="false" outlineLevel="0" collapsed="false">
      <c r="A336" s="88" t="s">
        <v>991</v>
      </c>
      <c r="B336" s="88" t="s">
        <v>286</v>
      </c>
      <c r="C336" s="88" t="s">
        <v>962</v>
      </c>
      <c r="D336" s="88" t="s">
        <v>751</v>
      </c>
      <c r="E336" s="88" t="s">
        <v>625</v>
      </c>
    </row>
    <row r="337" customFormat="false" ht="15" hidden="false" customHeight="false" outlineLevel="0" collapsed="false">
      <c r="A337" s="88" t="s">
        <v>992</v>
      </c>
      <c r="B337" s="88" t="s">
        <v>286</v>
      </c>
      <c r="C337" s="88" t="s">
        <v>962</v>
      </c>
      <c r="D337" s="88" t="s">
        <v>751</v>
      </c>
      <c r="E337" s="88" t="s">
        <v>625</v>
      </c>
    </row>
    <row r="338" customFormat="false" ht="15" hidden="false" customHeight="false" outlineLevel="0" collapsed="false">
      <c r="A338" s="88" t="s">
        <v>993</v>
      </c>
      <c r="B338" s="88" t="s">
        <v>451</v>
      </c>
      <c r="C338" s="88" t="s">
        <v>750</v>
      </c>
      <c r="D338" s="88" t="s">
        <v>751</v>
      </c>
      <c r="E338" s="88" t="s">
        <v>625</v>
      </c>
    </row>
    <row r="339" customFormat="false" ht="15" hidden="false" customHeight="false" outlineLevel="0" collapsed="false">
      <c r="A339" s="88" t="s">
        <v>994</v>
      </c>
      <c r="B339" s="88" t="s">
        <v>451</v>
      </c>
      <c r="C339" s="88" t="s">
        <v>750</v>
      </c>
      <c r="D339" s="88" t="s">
        <v>751</v>
      </c>
      <c r="E339" s="88" t="s">
        <v>625</v>
      </c>
    </row>
    <row r="340" customFormat="false" ht="15" hidden="false" customHeight="false" outlineLevel="0" collapsed="false">
      <c r="A340" s="88" t="s">
        <v>995</v>
      </c>
      <c r="B340" s="88" t="s">
        <v>286</v>
      </c>
      <c r="C340" s="88" t="s">
        <v>962</v>
      </c>
      <c r="D340" s="88" t="s">
        <v>751</v>
      </c>
      <c r="E340" s="88" t="s">
        <v>625</v>
      </c>
    </row>
    <row r="341" customFormat="false" ht="15" hidden="false" customHeight="false" outlineLevel="0" collapsed="false">
      <c r="A341" s="88" t="s">
        <v>996</v>
      </c>
      <c r="B341" s="88" t="s">
        <v>451</v>
      </c>
      <c r="C341" s="88" t="s">
        <v>750</v>
      </c>
      <c r="D341" s="88" t="s">
        <v>751</v>
      </c>
      <c r="E341" s="88" t="s">
        <v>625</v>
      </c>
    </row>
    <row r="342" customFormat="false" ht="15" hidden="false" customHeight="false" outlineLevel="0" collapsed="false">
      <c r="A342" s="88" t="s">
        <v>997</v>
      </c>
      <c r="B342" s="88" t="s">
        <v>496</v>
      </c>
      <c r="C342" s="88" t="s">
        <v>869</v>
      </c>
      <c r="D342" s="88" t="s">
        <v>870</v>
      </c>
      <c r="E342" s="88" t="s">
        <v>625</v>
      </c>
    </row>
    <row r="343" customFormat="false" ht="15" hidden="false" customHeight="false" outlineLevel="0" collapsed="false">
      <c r="A343" s="88" t="s">
        <v>998</v>
      </c>
      <c r="B343" s="88" t="s">
        <v>496</v>
      </c>
      <c r="C343" s="88" t="s">
        <v>869</v>
      </c>
      <c r="D343" s="88" t="s">
        <v>870</v>
      </c>
      <c r="E343" s="88" t="s">
        <v>625</v>
      </c>
    </row>
    <row r="344" customFormat="false" ht="15" hidden="false" customHeight="false" outlineLevel="0" collapsed="false">
      <c r="A344" s="88" t="s">
        <v>999</v>
      </c>
      <c r="B344" s="88" t="s">
        <v>286</v>
      </c>
      <c r="C344" s="88" t="s">
        <v>959</v>
      </c>
      <c r="D344" s="88" t="s">
        <v>870</v>
      </c>
      <c r="E344" s="88" t="s">
        <v>625</v>
      </c>
    </row>
    <row r="345" customFormat="false" ht="15" hidden="false" customHeight="false" outlineLevel="0" collapsed="false">
      <c r="A345" s="88" t="s">
        <v>1000</v>
      </c>
      <c r="B345" s="88" t="s">
        <v>286</v>
      </c>
      <c r="C345" s="88" t="s">
        <v>959</v>
      </c>
      <c r="D345" s="88" t="s">
        <v>870</v>
      </c>
      <c r="E345" s="88" t="s">
        <v>625</v>
      </c>
    </row>
    <row r="346" customFormat="false" ht="15" hidden="false" customHeight="false" outlineLevel="0" collapsed="false">
      <c r="A346" s="88" t="s">
        <v>1001</v>
      </c>
      <c r="B346" s="88" t="s">
        <v>286</v>
      </c>
      <c r="C346" s="88" t="s">
        <v>959</v>
      </c>
      <c r="D346" s="88" t="s">
        <v>870</v>
      </c>
      <c r="E346" s="88" t="s">
        <v>625</v>
      </c>
    </row>
    <row r="347" customFormat="false" ht="15" hidden="false" customHeight="false" outlineLevel="0" collapsed="false">
      <c r="A347" s="88" t="s">
        <v>1002</v>
      </c>
      <c r="B347" s="88" t="s">
        <v>286</v>
      </c>
      <c r="C347" s="88" t="s">
        <v>959</v>
      </c>
      <c r="D347" s="88" t="s">
        <v>870</v>
      </c>
      <c r="E347" s="88" t="s">
        <v>625</v>
      </c>
    </row>
    <row r="348" customFormat="false" ht="15" hidden="false" customHeight="false" outlineLevel="0" collapsed="false">
      <c r="A348" s="88" t="s">
        <v>1003</v>
      </c>
      <c r="B348" s="88" t="s">
        <v>286</v>
      </c>
      <c r="C348" s="88" t="s">
        <v>909</v>
      </c>
      <c r="D348" s="88" t="s">
        <v>832</v>
      </c>
      <c r="E348" s="88" t="s">
        <v>625</v>
      </c>
    </row>
    <row r="349" customFormat="false" ht="15" hidden="false" customHeight="false" outlineLevel="0" collapsed="false">
      <c r="A349" s="88" t="s">
        <v>1004</v>
      </c>
      <c r="B349" s="88" t="s">
        <v>286</v>
      </c>
      <c r="C349" s="88" t="s">
        <v>959</v>
      </c>
      <c r="D349" s="88" t="s">
        <v>870</v>
      </c>
      <c r="E349" s="88" t="s">
        <v>625</v>
      </c>
    </row>
    <row r="350" customFormat="false" ht="15" hidden="false" customHeight="false" outlineLevel="0" collapsed="false">
      <c r="A350" s="88" t="s">
        <v>1005</v>
      </c>
      <c r="B350" s="88" t="s">
        <v>286</v>
      </c>
      <c r="C350" s="88" t="s">
        <v>911</v>
      </c>
      <c r="D350" s="88" t="s">
        <v>835</v>
      </c>
      <c r="E350" s="88" t="s">
        <v>625</v>
      </c>
    </row>
    <row r="351" customFormat="false" ht="15" hidden="false" customHeight="false" outlineLevel="0" collapsed="false">
      <c r="A351" s="88" t="s">
        <v>1006</v>
      </c>
      <c r="B351" s="88" t="s">
        <v>286</v>
      </c>
      <c r="C351" s="88" t="s">
        <v>911</v>
      </c>
      <c r="D351" s="88" t="s">
        <v>835</v>
      </c>
      <c r="E351" s="88" t="s">
        <v>625</v>
      </c>
    </row>
    <row r="352" customFormat="false" ht="22.35" hidden="false" customHeight="false" outlineLevel="0" collapsed="false">
      <c r="A352" s="88" t="s">
        <v>1007</v>
      </c>
      <c r="B352" s="88" t="s">
        <v>286</v>
      </c>
      <c r="C352" s="88" t="s">
        <v>964</v>
      </c>
      <c r="D352" s="88" t="s">
        <v>965</v>
      </c>
      <c r="E352" s="88" t="s">
        <v>966</v>
      </c>
    </row>
    <row r="353" customFormat="false" ht="22.35" hidden="false" customHeight="false" outlineLevel="0" collapsed="false">
      <c r="A353" s="88" t="s">
        <v>1008</v>
      </c>
      <c r="B353" s="88" t="s">
        <v>286</v>
      </c>
      <c r="C353" s="88" t="s">
        <v>964</v>
      </c>
      <c r="D353" s="88" t="s">
        <v>965</v>
      </c>
      <c r="E353" s="88" t="s">
        <v>966</v>
      </c>
    </row>
    <row r="354" customFormat="false" ht="22.35" hidden="false" customHeight="false" outlineLevel="0" collapsed="false">
      <c r="A354" s="88" t="s">
        <v>1009</v>
      </c>
      <c r="B354" s="88" t="s">
        <v>286</v>
      </c>
      <c r="C354" s="88" t="s">
        <v>704</v>
      </c>
      <c r="D354" s="88" t="s">
        <v>705</v>
      </c>
      <c r="E354" s="88" t="s">
        <v>706</v>
      </c>
    </row>
    <row r="355" customFormat="false" ht="15" hidden="false" customHeight="false" outlineLevel="0" collapsed="false">
      <c r="A355" s="88" t="s">
        <v>1010</v>
      </c>
      <c r="B355" s="88" t="s">
        <v>286</v>
      </c>
      <c r="C355" s="88" t="s">
        <v>911</v>
      </c>
      <c r="D355" s="88" t="s">
        <v>835</v>
      </c>
      <c r="E355" s="88" t="s">
        <v>625</v>
      </c>
    </row>
    <row r="356" customFormat="false" ht="22.35" hidden="false" customHeight="false" outlineLevel="0" collapsed="false">
      <c r="A356" s="88" t="s">
        <v>1011</v>
      </c>
      <c r="B356" s="88" t="s">
        <v>249</v>
      </c>
      <c r="C356" s="88" t="s">
        <v>742</v>
      </c>
      <c r="D356" s="88" t="s">
        <v>710</v>
      </c>
      <c r="E356" s="88" t="s">
        <v>625</v>
      </c>
    </row>
    <row r="357" customFormat="false" ht="22.35" hidden="false" customHeight="false" outlineLevel="0" collapsed="false">
      <c r="A357" s="88" t="s">
        <v>1012</v>
      </c>
      <c r="B357" s="88" t="s">
        <v>286</v>
      </c>
      <c r="C357" s="88" t="s">
        <v>574</v>
      </c>
      <c r="D357" s="88" t="s">
        <v>575</v>
      </c>
      <c r="E357" s="88" t="s">
        <v>576</v>
      </c>
    </row>
    <row r="358" customFormat="false" ht="22.35" hidden="false" customHeight="false" outlineLevel="0" collapsed="false">
      <c r="A358" s="88" t="s">
        <v>1013</v>
      </c>
      <c r="B358" s="88" t="s">
        <v>286</v>
      </c>
      <c r="C358" s="88" t="s">
        <v>1014</v>
      </c>
      <c r="D358" s="88" t="s">
        <v>579</v>
      </c>
      <c r="E358" s="88" t="s">
        <v>580</v>
      </c>
    </row>
    <row r="359" customFormat="false" ht="22.35" hidden="false" customHeight="false" outlineLevel="0" collapsed="false">
      <c r="A359" s="88" t="s">
        <v>1015</v>
      </c>
      <c r="B359" s="88" t="s">
        <v>286</v>
      </c>
      <c r="C359" s="88" t="s">
        <v>911</v>
      </c>
      <c r="D359" s="88" t="s">
        <v>835</v>
      </c>
      <c r="E359" s="88" t="s">
        <v>625</v>
      </c>
    </row>
    <row r="360" customFormat="false" ht="22.35" hidden="false" customHeight="false" outlineLevel="0" collapsed="false">
      <c r="A360" s="88" t="s">
        <v>1016</v>
      </c>
      <c r="B360" s="88" t="s">
        <v>124</v>
      </c>
      <c r="C360" s="88" t="s">
        <v>1017</v>
      </c>
      <c r="D360" s="88" t="s">
        <v>835</v>
      </c>
      <c r="E360" s="88" t="s">
        <v>625</v>
      </c>
    </row>
    <row r="361" customFormat="false" ht="15" hidden="false" customHeight="false" outlineLevel="0" collapsed="false">
      <c r="A361" s="88" t="s">
        <v>1018</v>
      </c>
      <c r="B361" s="88" t="s">
        <v>124</v>
      </c>
      <c r="C361" s="88" t="s">
        <v>1017</v>
      </c>
      <c r="D361" s="88" t="s">
        <v>835</v>
      </c>
      <c r="E361" s="88" t="s">
        <v>625</v>
      </c>
    </row>
    <row r="362" customFormat="false" ht="15" hidden="false" customHeight="false" outlineLevel="0" collapsed="false">
      <c r="A362" s="88" t="s">
        <v>1019</v>
      </c>
      <c r="B362" s="88" t="s">
        <v>451</v>
      </c>
      <c r="C362" s="88" t="s">
        <v>834</v>
      </c>
      <c r="D362" s="88" t="s">
        <v>835</v>
      </c>
      <c r="E362" s="88" t="s">
        <v>625</v>
      </c>
    </row>
    <row r="363" customFormat="false" ht="15" hidden="false" customHeight="false" outlineLevel="0" collapsed="false">
      <c r="A363" s="88" t="s">
        <v>1020</v>
      </c>
      <c r="B363" s="88" t="s">
        <v>451</v>
      </c>
      <c r="C363" s="88" t="s">
        <v>834</v>
      </c>
      <c r="D363" s="88" t="s">
        <v>835</v>
      </c>
      <c r="E363" s="88" t="s">
        <v>625</v>
      </c>
    </row>
    <row r="364" customFormat="false" ht="15" hidden="false" customHeight="false" outlineLevel="0" collapsed="false">
      <c r="A364" s="88" t="s">
        <v>1021</v>
      </c>
      <c r="B364" s="88" t="s">
        <v>272</v>
      </c>
      <c r="C364" s="88" t="s">
        <v>851</v>
      </c>
      <c r="D364" s="88" t="s">
        <v>835</v>
      </c>
      <c r="E364" s="88" t="s">
        <v>625</v>
      </c>
    </row>
    <row r="365" customFormat="false" ht="15" hidden="false" customHeight="false" outlineLevel="0" collapsed="false">
      <c r="A365" s="88" t="s">
        <v>1022</v>
      </c>
      <c r="B365" s="88" t="s">
        <v>272</v>
      </c>
      <c r="C365" s="88" t="s">
        <v>851</v>
      </c>
      <c r="D365" s="88" t="s">
        <v>835</v>
      </c>
      <c r="E365" s="88" t="s">
        <v>625</v>
      </c>
    </row>
    <row r="366" customFormat="false" ht="15" hidden="false" customHeight="false" outlineLevel="0" collapsed="false">
      <c r="A366" s="88" t="s">
        <v>1023</v>
      </c>
      <c r="B366" s="88" t="s">
        <v>272</v>
      </c>
      <c r="C366" s="88" t="s">
        <v>851</v>
      </c>
      <c r="D366" s="88" t="s">
        <v>835</v>
      </c>
      <c r="E366" s="88" t="s">
        <v>625</v>
      </c>
    </row>
    <row r="367" customFormat="false" ht="22.35" hidden="false" customHeight="false" outlineLevel="0" collapsed="false">
      <c r="A367" s="88" t="s">
        <v>217</v>
      </c>
      <c r="B367" s="88" t="s">
        <v>211</v>
      </c>
      <c r="C367" s="88" t="s">
        <v>1024</v>
      </c>
      <c r="D367" s="88" t="s">
        <v>835</v>
      </c>
      <c r="E367" s="88" t="s">
        <v>625</v>
      </c>
    </row>
    <row r="368" customFormat="false" ht="15" hidden="false" customHeight="false" outlineLevel="0" collapsed="false">
      <c r="A368" s="88" t="s">
        <v>1025</v>
      </c>
      <c r="B368" s="88" t="s">
        <v>191</v>
      </c>
      <c r="C368" s="88" t="s">
        <v>1026</v>
      </c>
      <c r="D368" s="88" t="s">
        <v>835</v>
      </c>
      <c r="E368" s="88" t="s">
        <v>625</v>
      </c>
    </row>
    <row r="369" customFormat="false" ht="15" hidden="false" customHeight="false" outlineLevel="0" collapsed="false">
      <c r="A369" s="88" t="s">
        <v>1027</v>
      </c>
      <c r="B369" s="88" t="s">
        <v>191</v>
      </c>
      <c r="C369" s="88" t="s">
        <v>1026</v>
      </c>
      <c r="D369" s="88" t="s">
        <v>835</v>
      </c>
      <c r="E369" s="88" t="s">
        <v>625</v>
      </c>
    </row>
    <row r="370" customFormat="false" ht="15" hidden="false" customHeight="false" outlineLevel="0" collapsed="false">
      <c r="A370" s="88" t="s">
        <v>1028</v>
      </c>
      <c r="B370" s="88" t="s">
        <v>191</v>
      </c>
      <c r="C370" s="88" t="s">
        <v>1026</v>
      </c>
      <c r="D370" s="88" t="s">
        <v>835</v>
      </c>
      <c r="E370" s="88" t="s">
        <v>625</v>
      </c>
    </row>
    <row r="371" customFormat="false" ht="15" hidden="false" customHeight="false" outlineLevel="0" collapsed="false">
      <c r="A371" s="88" t="s">
        <v>1029</v>
      </c>
      <c r="B371" s="88" t="s">
        <v>228</v>
      </c>
      <c r="C371" s="88" t="s">
        <v>1030</v>
      </c>
      <c r="D371" s="88" t="s">
        <v>587</v>
      </c>
      <c r="E371" s="88" t="s">
        <v>588</v>
      </c>
    </row>
    <row r="372" customFormat="false" ht="15" hidden="false" customHeight="false" outlineLevel="0" collapsed="false">
      <c r="A372" s="88" t="s">
        <v>1031</v>
      </c>
      <c r="B372" s="88" t="s">
        <v>228</v>
      </c>
      <c r="C372" s="88" t="s">
        <v>1030</v>
      </c>
      <c r="D372" s="88" t="s">
        <v>587</v>
      </c>
      <c r="E372" s="88" t="s">
        <v>588</v>
      </c>
    </row>
    <row r="373" customFormat="false" ht="22.35" hidden="false" customHeight="false" outlineLevel="0" collapsed="false">
      <c r="A373" s="88" t="s">
        <v>1032</v>
      </c>
      <c r="B373" s="88" t="s">
        <v>228</v>
      </c>
      <c r="C373" s="88" t="s">
        <v>894</v>
      </c>
      <c r="D373" s="88" t="s">
        <v>606</v>
      </c>
      <c r="E373" s="88" t="s">
        <v>607</v>
      </c>
    </row>
    <row r="374" customFormat="false" ht="22.35" hidden="false" customHeight="false" outlineLevel="0" collapsed="false">
      <c r="A374" s="88" t="s">
        <v>1033</v>
      </c>
      <c r="B374" s="88" t="s">
        <v>228</v>
      </c>
      <c r="C374" s="88" t="s">
        <v>1034</v>
      </c>
      <c r="D374" s="88" t="s">
        <v>856</v>
      </c>
      <c r="E374" s="88" t="s">
        <v>625</v>
      </c>
    </row>
    <row r="375" customFormat="false" ht="22.35" hidden="false" customHeight="false" outlineLevel="0" collapsed="false">
      <c r="A375" s="88" t="s">
        <v>1035</v>
      </c>
      <c r="B375" s="88" t="s">
        <v>228</v>
      </c>
      <c r="C375" s="88" t="s">
        <v>1034</v>
      </c>
      <c r="D375" s="88" t="s">
        <v>856</v>
      </c>
      <c r="E375" s="88" t="s">
        <v>625</v>
      </c>
    </row>
    <row r="376" customFormat="false" ht="15" hidden="false" customHeight="false" outlineLevel="0" collapsed="false">
      <c r="A376" s="88" t="s">
        <v>154</v>
      </c>
      <c r="B376" s="88" t="s">
        <v>124</v>
      </c>
      <c r="C376" s="88" t="s">
        <v>1036</v>
      </c>
      <c r="D376" s="88" t="s">
        <v>686</v>
      </c>
      <c r="E376" s="88" t="s">
        <v>625</v>
      </c>
    </row>
    <row r="377" customFormat="false" ht="15" hidden="false" customHeight="false" outlineLevel="0" collapsed="false">
      <c r="A377" s="88" t="s">
        <v>1037</v>
      </c>
      <c r="B377" s="88" t="s">
        <v>177</v>
      </c>
      <c r="C377" s="88" t="s">
        <v>1038</v>
      </c>
      <c r="D377" s="88" t="s">
        <v>686</v>
      </c>
      <c r="E377" s="88" t="s">
        <v>625</v>
      </c>
    </row>
    <row r="378" customFormat="false" ht="22.35" hidden="false" customHeight="false" outlineLevel="0" collapsed="false">
      <c r="A378" s="88" t="s">
        <v>1039</v>
      </c>
      <c r="B378" s="88" t="s">
        <v>401</v>
      </c>
      <c r="C378" s="88" t="s">
        <v>837</v>
      </c>
      <c r="D378" s="88" t="s">
        <v>835</v>
      </c>
      <c r="E378" s="88" t="s">
        <v>625</v>
      </c>
    </row>
    <row r="379" customFormat="false" ht="22.35" hidden="false" customHeight="false" outlineLevel="0" collapsed="false">
      <c r="A379" s="88" t="s">
        <v>1040</v>
      </c>
      <c r="B379" s="88" t="s">
        <v>124</v>
      </c>
      <c r="C379" s="88" t="s">
        <v>767</v>
      </c>
      <c r="D379" s="88" t="s">
        <v>768</v>
      </c>
      <c r="E379" s="88" t="s">
        <v>625</v>
      </c>
    </row>
    <row r="380" customFormat="false" ht="15" hidden="false" customHeight="false" outlineLevel="0" collapsed="false">
      <c r="A380" s="88" t="s">
        <v>1041</v>
      </c>
      <c r="B380" s="88" t="s">
        <v>124</v>
      </c>
      <c r="C380" s="88" t="s">
        <v>767</v>
      </c>
      <c r="D380" s="88" t="s">
        <v>768</v>
      </c>
      <c r="E380" s="88" t="s">
        <v>625</v>
      </c>
    </row>
    <row r="381" customFormat="false" ht="15" hidden="false" customHeight="false" outlineLevel="0" collapsed="false">
      <c r="A381" s="88" t="s">
        <v>1042</v>
      </c>
      <c r="B381" s="88" t="s">
        <v>177</v>
      </c>
      <c r="C381" s="88" t="s">
        <v>806</v>
      </c>
      <c r="D381" s="88" t="s">
        <v>768</v>
      </c>
      <c r="E381" s="88" t="s">
        <v>625</v>
      </c>
    </row>
    <row r="382" customFormat="false" ht="15" hidden="false" customHeight="false" outlineLevel="0" collapsed="false">
      <c r="A382" s="88" t="s">
        <v>1043</v>
      </c>
      <c r="B382" s="88" t="s">
        <v>177</v>
      </c>
      <c r="C382" s="88" t="s">
        <v>806</v>
      </c>
      <c r="D382" s="88" t="s">
        <v>768</v>
      </c>
      <c r="E382" s="88" t="s">
        <v>625</v>
      </c>
    </row>
    <row r="383" customFormat="false" ht="22.35" hidden="false" customHeight="false" outlineLevel="0" collapsed="false">
      <c r="A383" s="88" t="s">
        <v>1044</v>
      </c>
      <c r="B383" s="88" t="s">
        <v>177</v>
      </c>
      <c r="C383" s="88" t="s">
        <v>806</v>
      </c>
      <c r="D383" s="88" t="s">
        <v>768</v>
      </c>
      <c r="E383" s="88" t="s">
        <v>625</v>
      </c>
    </row>
    <row r="384" customFormat="false" ht="22.35" hidden="false" customHeight="false" outlineLevel="0" collapsed="false">
      <c r="A384" s="88" t="s">
        <v>1045</v>
      </c>
      <c r="B384" s="88" t="s">
        <v>124</v>
      </c>
      <c r="C384" s="88" t="s">
        <v>760</v>
      </c>
      <c r="D384" s="88" t="s">
        <v>710</v>
      </c>
      <c r="E384" s="88" t="s">
        <v>625</v>
      </c>
    </row>
    <row r="385" customFormat="false" ht="22.35" hidden="false" customHeight="false" outlineLevel="0" collapsed="false">
      <c r="A385" s="88" t="s">
        <v>1046</v>
      </c>
      <c r="B385" s="88" t="s">
        <v>124</v>
      </c>
      <c r="C385" s="88" t="s">
        <v>760</v>
      </c>
      <c r="D385" s="88" t="s">
        <v>710</v>
      </c>
      <c r="E385" s="88" t="s">
        <v>625</v>
      </c>
    </row>
    <row r="386" customFormat="false" ht="22.35" hidden="false" customHeight="false" outlineLevel="0" collapsed="false">
      <c r="A386" s="88" t="s">
        <v>1047</v>
      </c>
      <c r="B386" s="88" t="s">
        <v>124</v>
      </c>
      <c r="C386" s="88" t="s">
        <v>760</v>
      </c>
      <c r="D386" s="88" t="s">
        <v>710</v>
      </c>
      <c r="E386" s="88" t="s">
        <v>625</v>
      </c>
    </row>
    <row r="387" customFormat="false" ht="15" hidden="false" customHeight="false" outlineLevel="0" collapsed="false">
      <c r="A387" s="88" t="s">
        <v>158</v>
      </c>
      <c r="B387" s="88" t="s">
        <v>124</v>
      </c>
      <c r="C387" s="88" t="s">
        <v>1048</v>
      </c>
      <c r="D387" s="88" t="s">
        <v>882</v>
      </c>
      <c r="E387" s="88" t="s">
        <v>625</v>
      </c>
    </row>
    <row r="388" customFormat="false" ht="15" hidden="false" customHeight="false" outlineLevel="0" collapsed="false">
      <c r="A388" s="88" t="s">
        <v>1049</v>
      </c>
      <c r="B388" s="88" t="s">
        <v>286</v>
      </c>
      <c r="C388" s="88" t="s">
        <v>881</v>
      </c>
      <c r="D388" s="88" t="s">
        <v>882</v>
      </c>
      <c r="E388" s="88" t="s">
        <v>625</v>
      </c>
    </row>
    <row r="389" customFormat="false" ht="22.35" hidden="false" customHeight="false" outlineLevel="0" collapsed="false">
      <c r="A389" s="88" t="s">
        <v>1050</v>
      </c>
      <c r="B389" s="88" t="s">
        <v>124</v>
      </c>
      <c r="C389" s="88" t="s">
        <v>760</v>
      </c>
      <c r="D389" s="88" t="s">
        <v>710</v>
      </c>
      <c r="E389" s="88" t="s">
        <v>625</v>
      </c>
    </row>
    <row r="390" customFormat="false" ht="15" hidden="false" customHeight="false" outlineLevel="0" collapsed="false">
      <c r="A390" s="88" t="s">
        <v>1051</v>
      </c>
      <c r="B390" s="88" t="s">
        <v>496</v>
      </c>
      <c r="C390" s="88" t="s">
        <v>758</v>
      </c>
      <c r="D390" s="88" t="s">
        <v>710</v>
      </c>
      <c r="E390" s="88" t="s">
        <v>625</v>
      </c>
    </row>
    <row r="391" customFormat="false" ht="15" hidden="false" customHeight="false" outlineLevel="0" collapsed="false">
      <c r="A391" s="88" t="s">
        <v>135</v>
      </c>
      <c r="B391" s="88" t="s">
        <v>124</v>
      </c>
      <c r="C391" s="88" t="s">
        <v>1052</v>
      </c>
      <c r="D391" s="88" t="s">
        <v>826</v>
      </c>
      <c r="E391" s="88" t="s">
        <v>794</v>
      </c>
    </row>
    <row r="392" customFormat="false" ht="22.35" hidden="false" customHeight="false" outlineLevel="0" collapsed="false">
      <c r="A392" s="88" t="s">
        <v>146</v>
      </c>
      <c r="B392" s="88" t="s">
        <v>124</v>
      </c>
      <c r="C392" s="88" t="s">
        <v>1053</v>
      </c>
      <c r="D392" s="88" t="s">
        <v>751</v>
      </c>
      <c r="E392" s="88" t="s">
        <v>625</v>
      </c>
    </row>
    <row r="393" customFormat="false" ht="22.35" hidden="false" customHeight="false" outlineLevel="0" collapsed="false">
      <c r="A393" s="88" t="s">
        <v>1054</v>
      </c>
      <c r="B393" s="88" t="s">
        <v>124</v>
      </c>
      <c r="C393" s="88" t="s">
        <v>760</v>
      </c>
      <c r="D393" s="88" t="s">
        <v>710</v>
      </c>
      <c r="E393" s="88" t="s">
        <v>625</v>
      </c>
    </row>
    <row r="394" customFormat="false" ht="22.35" hidden="false" customHeight="false" outlineLevel="0" collapsed="false">
      <c r="A394" s="88" t="s">
        <v>1055</v>
      </c>
      <c r="B394" s="88" t="s">
        <v>124</v>
      </c>
      <c r="C394" s="88" t="s">
        <v>760</v>
      </c>
      <c r="D394" s="88" t="s">
        <v>710</v>
      </c>
      <c r="E394" s="88" t="s">
        <v>625</v>
      </c>
    </row>
    <row r="395" customFormat="false" ht="22.35" hidden="false" customHeight="false" outlineLevel="0" collapsed="false">
      <c r="A395" s="88" t="s">
        <v>1056</v>
      </c>
      <c r="B395" s="88" t="s">
        <v>124</v>
      </c>
      <c r="C395" s="88" t="s">
        <v>663</v>
      </c>
      <c r="D395" s="88" t="s">
        <v>600</v>
      </c>
      <c r="E395" s="88" t="s">
        <v>601</v>
      </c>
    </row>
    <row r="396" customFormat="false" ht="22.35" hidden="false" customHeight="false" outlineLevel="0" collapsed="false">
      <c r="A396" s="88" t="s">
        <v>1057</v>
      </c>
      <c r="B396" s="88" t="s">
        <v>124</v>
      </c>
      <c r="C396" s="88" t="s">
        <v>663</v>
      </c>
      <c r="D396" s="88" t="s">
        <v>600</v>
      </c>
      <c r="E396" s="88" t="s">
        <v>601</v>
      </c>
    </row>
    <row r="397" customFormat="false" ht="22.35" hidden="false" customHeight="false" outlineLevel="0" collapsed="false">
      <c r="A397" s="88" t="s">
        <v>1058</v>
      </c>
      <c r="B397" s="88" t="s">
        <v>124</v>
      </c>
      <c r="C397" s="88" t="s">
        <v>663</v>
      </c>
      <c r="D397" s="88" t="s">
        <v>600</v>
      </c>
      <c r="E397" s="88" t="s">
        <v>601</v>
      </c>
    </row>
    <row r="398" customFormat="false" ht="22.35" hidden="false" customHeight="false" outlineLevel="0" collapsed="false">
      <c r="A398" s="88" t="s">
        <v>1059</v>
      </c>
      <c r="B398" s="88" t="s">
        <v>124</v>
      </c>
      <c r="C398" s="88" t="s">
        <v>760</v>
      </c>
      <c r="D398" s="88" t="s">
        <v>710</v>
      </c>
      <c r="E398" s="88" t="s">
        <v>625</v>
      </c>
    </row>
    <row r="399" customFormat="false" ht="15" hidden="false" customHeight="false" outlineLevel="0" collapsed="false">
      <c r="A399" s="88" t="s">
        <v>1060</v>
      </c>
      <c r="B399" s="88" t="s">
        <v>177</v>
      </c>
      <c r="C399" s="88" t="s">
        <v>1038</v>
      </c>
      <c r="D399" s="88" t="s">
        <v>686</v>
      </c>
      <c r="E399" s="88" t="s">
        <v>701</v>
      </c>
    </row>
    <row r="400" customFormat="false" ht="15" hidden="false" customHeight="false" outlineLevel="0" collapsed="false">
      <c r="A400" s="88" t="s">
        <v>1061</v>
      </c>
      <c r="B400" s="88" t="s">
        <v>191</v>
      </c>
      <c r="C400" s="88" t="s">
        <v>1026</v>
      </c>
      <c r="D400" s="88" t="s">
        <v>835</v>
      </c>
      <c r="E400" s="88" t="s">
        <v>625</v>
      </c>
    </row>
    <row r="401" customFormat="false" ht="22.35" hidden="false" customHeight="false" outlineLevel="0" collapsed="false">
      <c r="A401" s="88" t="s">
        <v>207</v>
      </c>
      <c r="B401" s="88" t="s">
        <v>201</v>
      </c>
      <c r="C401" s="88" t="s">
        <v>1062</v>
      </c>
      <c r="D401" s="88" t="s">
        <v>710</v>
      </c>
      <c r="E401" s="88" t="s">
        <v>625</v>
      </c>
    </row>
    <row r="402" customFormat="false" ht="22.35" hidden="false" customHeight="false" outlineLevel="0" collapsed="false">
      <c r="A402" s="88" t="s">
        <v>1063</v>
      </c>
      <c r="B402" s="88" t="s">
        <v>382</v>
      </c>
      <c r="C402" s="88" t="s">
        <v>679</v>
      </c>
      <c r="D402" s="88" t="s">
        <v>680</v>
      </c>
      <c r="E402" s="88" t="s">
        <v>681</v>
      </c>
    </row>
    <row r="403" customFormat="false" ht="22.35" hidden="false" customHeight="false" outlineLevel="0" collapsed="false">
      <c r="A403" s="88" t="s">
        <v>1064</v>
      </c>
      <c r="B403" s="88" t="s">
        <v>362</v>
      </c>
      <c r="C403" s="88" t="s">
        <v>578</v>
      </c>
      <c r="D403" s="88" t="s">
        <v>579</v>
      </c>
      <c r="E403" s="88" t="s">
        <v>580</v>
      </c>
    </row>
    <row r="404" customFormat="false" ht="22.35" hidden="false" customHeight="false" outlineLevel="0" collapsed="false">
      <c r="A404" s="88" t="s">
        <v>1065</v>
      </c>
      <c r="B404" s="88" t="s">
        <v>362</v>
      </c>
      <c r="C404" s="88" t="s">
        <v>578</v>
      </c>
      <c r="D404" s="88" t="s">
        <v>579</v>
      </c>
      <c r="E404" s="88" t="s">
        <v>580</v>
      </c>
    </row>
    <row r="405" customFormat="false" ht="22.35" hidden="false" customHeight="false" outlineLevel="0" collapsed="false">
      <c r="A405" s="88" t="s">
        <v>1066</v>
      </c>
      <c r="B405" s="88" t="s">
        <v>80</v>
      </c>
      <c r="C405" s="88" t="s">
        <v>570</v>
      </c>
      <c r="D405" s="88" t="s">
        <v>571</v>
      </c>
      <c r="E405" s="88" t="s">
        <v>572</v>
      </c>
    </row>
    <row r="406" customFormat="false" ht="15" hidden="false" customHeight="false" outlineLevel="0" collapsed="false">
      <c r="A406" s="88" t="s">
        <v>1067</v>
      </c>
      <c r="B406" s="88" t="s">
        <v>401</v>
      </c>
      <c r="C406" s="88" t="s">
        <v>590</v>
      </c>
      <c r="D406" s="88" t="s">
        <v>571</v>
      </c>
      <c r="E406" s="88" t="s">
        <v>572</v>
      </c>
    </row>
    <row r="407" customFormat="false" ht="15" hidden="false" customHeight="false" outlineLevel="0" collapsed="false">
      <c r="A407" s="88" t="s">
        <v>1068</v>
      </c>
      <c r="B407" s="88" t="s">
        <v>401</v>
      </c>
      <c r="C407" s="88" t="s">
        <v>611</v>
      </c>
      <c r="D407" s="88" t="s">
        <v>600</v>
      </c>
      <c r="E407" s="88" t="s">
        <v>601</v>
      </c>
    </row>
    <row r="408" customFormat="false" ht="22.35" hidden="false" customHeight="false" outlineLevel="0" collapsed="false">
      <c r="A408" s="88" t="s">
        <v>1069</v>
      </c>
      <c r="B408" s="88" t="s">
        <v>286</v>
      </c>
      <c r="C408" s="88" t="s">
        <v>704</v>
      </c>
      <c r="D408" s="88" t="s">
        <v>705</v>
      </c>
      <c r="E408" s="88" t="s">
        <v>701</v>
      </c>
    </row>
    <row r="409" customFormat="false" ht="15" hidden="false" customHeight="false" outlineLevel="0" collapsed="false">
      <c r="A409" s="88" t="s">
        <v>1070</v>
      </c>
      <c r="B409" s="88" t="s">
        <v>124</v>
      </c>
      <c r="C409" s="88" t="s">
        <v>767</v>
      </c>
      <c r="D409" s="88" t="s">
        <v>768</v>
      </c>
      <c r="E409" s="88" t="s">
        <v>625</v>
      </c>
    </row>
    <row r="410" customFormat="false" ht="15" hidden="false" customHeight="false" outlineLevel="0" collapsed="false">
      <c r="A410" s="88" t="s">
        <v>1071</v>
      </c>
      <c r="B410" s="88" t="s">
        <v>124</v>
      </c>
      <c r="C410" s="88" t="s">
        <v>767</v>
      </c>
      <c r="D410" s="88" t="s">
        <v>768</v>
      </c>
      <c r="E410" s="88" t="s">
        <v>625</v>
      </c>
    </row>
    <row r="411" customFormat="false" ht="15" hidden="false" customHeight="false" outlineLevel="0" collapsed="false">
      <c r="A411" s="88" t="s">
        <v>1072</v>
      </c>
      <c r="B411" s="88" t="s">
        <v>496</v>
      </c>
      <c r="C411" s="88" t="s">
        <v>800</v>
      </c>
      <c r="D411" s="88" t="s">
        <v>768</v>
      </c>
      <c r="E411" s="88" t="s">
        <v>625</v>
      </c>
    </row>
    <row r="412" customFormat="false" ht="15" hidden="false" customHeight="false" outlineLevel="0" collapsed="false">
      <c r="A412" s="88" t="s">
        <v>1073</v>
      </c>
      <c r="B412" s="88" t="s">
        <v>249</v>
      </c>
      <c r="C412" s="88" t="s">
        <v>825</v>
      </c>
      <c r="D412" s="88" t="s">
        <v>826</v>
      </c>
      <c r="E412" s="88" t="s">
        <v>625</v>
      </c>
    </row>
    <row r="413" customFormat="false" ht="15" hidden="false" customHeight="false" outlineLevel="0" collapsed="false">
      <c r="A413" s="88" t="s">
        <v>1074</v>
      </c>
      <c r="B413" s="88" t="s">
        <v>401</v>
      </c>
      <c r="C413" s="88" t="s">
        <v>611</v>
      </c>
      <c r="D413" s="88" t="s">
        <v>600</v>
      </c>
      <c r="E413" s="88" t="s">
        <v>601</v>
      </c>
    </row>
    <row r="414" customFormat="false" ht="22.35" hidden="false" customHeight="false" outlineLevel="0" collapsed="false">
      <c r="A414" s="88" t="s">
        <v>1075</v>
      </c>
      <c r="B414" s="88" t="s">
        <v>124</v>
      </c>
      <c r="C414" s="88" t="s">
        <v>663</v>
      </c>
      <c r="D414" s="88" t="s">
        <v>600</v>
      </c>
      <c r="E414" s="88" t="s">
        <v>601</v>
      </c>
    </row>
    <row r="415" customFormat="false" ht="15" hidden="false" customHeight="false" outlineLevel="0" collapsed="false">
      <c r="A415" s="88" t="s">
        <v>1076</v>
      </c>
      <c r="B415" s="88" t="s">
        <v>451</v>
      </c>
      <c r="C415" s="88" t="s">
        <v>750</v>
      </c>
      <c r="D415" s="88" t="s">
        <v>751</v>
      </c>
      <c r="E415" s="88" t="s">
        <v>625</v>
      </c>
    </row>
    <row r="416" customFormat="false" ht="22.35" hidden="false" customHeight="false" outlineLevel="0" collapsed="false">
      <c r="A416" s="88" t="s">
        <v>1077</v>
      </c>
      <c r="B416" s="88" t="s">
        <v>124</v>
      </c>
      <c r="C416" s="88" t="s">
        <v>760</v>
      </c>
      <c r="D416" s="88" t="s">
        <v>710</v>
      </c>
      <c r="E416" s="88" t="s">
        <v>625</v>
      </c>
    </row>
    <row r="417" customFormat="false" ht="15" hidden="false" customHeight="false" outlineLevel="0" collapsed="false">
      <c r="A417" s="88" t="s">
        <v>1078</v>
      </c>
      <c r="B417" s="88" t="s">
        <v>249</v>
      </c>
      <c r="C417" s="88" t="s">
        <v>742</v>
      </c>
      <c r="D417" s="88" t="s">
        <v>710</v>
      </c>
      <c r="E417" s="88" t="s">
        <v>625</v>
      </c>
    </row>
    <row r="418" customFormat="false" ht="15" hidden="false" customHeight="false" outlineLevel="0" collapsed="false">
      <c r="A418" s="88" t="s">
        <v>1079</v>
      </c>
      <c r="B418" s="88" t="s">
        <v>496</v>
      </c>
      <c r="C418" s="88" t="s">
        <v>758</v>
      </c>
      <c r="D418" s="88" t="s">
        <v>710</v>
      </c>
      <c r="E418" s="88" t="s">
        <v>625</v>
      </c>
    </row>
    <row r="419" customFormat="false" ht="15" hidden="false" customHeight="false" outlineLevel="0" collapsed="false">
      <c r="A419" s="88" t="s">
        <v>976</v>
      </c>
      <c r="B419" s="88" t="s">
        <v>496</v>
      </c>
      <c r="C419" s="88" t="s">
        <v>758</v>
      </c>
      <c r="D419" s="88" t="s">
        <v>710</v>
      </c>
      <c r="E419" s="88" t="s">
        <v>794</v>
      </c>
    </row>
    <row r="420" customFormat="false" ht="15" hidden="false" customHeight="false" outlineLevel="0" collapsed="false">
      <c r="A420" s="88" t="s">
        <v>1080</v>
      </c>
      <c r="B420" s="88" t="s">
        <v>496</v>
      </c>
      <c r="C420" s="88" t="s">
        <v>740</v>
      </c>
      <c r="D420" s="88" t="s">
        <v>686</v>
      </c>
      <c r="E420" s="88" t="s">
        <v>625</v>
      </c>
    </row>
    <row r="421" customFormat="false" ht="22.35" hidden="false" customHeight="false" outlineLevel="0" collapsed="false">
      <c r="A421" s="88" t="s">
        <v>1081</v>
      </c>
      <c r="B421" s="88" t="s">
        <v>496</v>
      </c>
      <c r="C421" s="88" t="s">
        <v>740</v>
      </c>
      <c r="D421" s="88" t="s">
        <v>686</v>
      </c>
      <c r="E421" s="88" t="s">
        <v>625</v>
      </c>
    </row>
    <row r="422" customFormat="false" ht="22.35" hidden="false" customHeight="false" outlineLevel="0" collapsed="false">
      <c r="A422" s="88" t="s">
        <v>1082</v>
      </c>
      <c r="B422" s="88" t="s">
        <v>286</v>
      </c>
      <c r="C422" s="88" t="s">
        <v>574</v>
      </c>
      <c r="D422" s="88" t="s">
        <v>575</v>
      </c>
      <c r="E422" s="88" t="s">
        <v>576</v>
      </c>
    </row>
    <row r="423" customFormat="false" ht="22.35" hidden="false" customHeight="false" outlineLevel="0" collapsed="false">
      <c r="A423" s="88" t="s">
        <v>1083</v>
      </c>
      <c r="B423" s="88" t="s">
        <v>286</v>
      </c>
      <c r="C423" s="88" t="s">
        <v>704</v>
      </c>
      <c r="D423" s="88" t="s">
        <v>705</v>
      </c>
      <c r="E423" s="88" t="s">
        <v>701</v>
      </c>
    </row>
    <row r="424" customFormat="false" ht="15" hidden="false" customHeight="false" outlineLevel="0" collapsed="false">
      <c r="A424" s="88" t="s">
        <v>1084</v>
      </c>
      <c r="B424" s="88" t="s">
        <v>286</v>
      </c>
      <c r="C424" s="88" t="s">
        <v>881</v>
      </c>
      <c r="D424" s="88" t="s">
        <v>882</v>
      </c>
      <c r="E424" s="88" t="s">
        <v>794</v>
      </c>
    </row>
    <row r="425" customFormat="false" ht="22.35" hidden="false" customHeight="false" outlineLevel="0" collapsed="false">
      <c r="A425" s="88" t="s">
        <v>1085</v>
      </c>
      <c r="B425" s="88" t="s">
        <v>286</v>
      </c>
      <c r="C425" s="88" t="s">
        <v>704</v>
      </c>
      <c r="D425" s="88" t="s">
        <v>705</v>
      </c>
      <c r="E425" s="88" t="s">
        <v>701</v>
      </c>
    </row>
    <row r="426" customFormat="false" ht="15" hidden="false" customHeight="false" outlineLevel="0" collapsed="false">
      <c r="A426" s="88" t="s">
        <v>1086</v>
      </c>
      <c r="B426" s="88" t="s">
        <v>286</v>
      </c>
      <c r="C426" s="88" t="s">
        <v>911</v>
      </c>
      <c r="D426" s="88" t="s">
        <v>835</v>
      </c>
      <c r="E426" s="88" t="s">
        <v>625</v>
      </c>
    </row>
    <row r="427" customFormat="false" ht="22.35" hidden="false" customHeight="false" outlineLevel="0" collapsed="false">
      <c r="A427" s="88" t="s">
        <v>1087</v>
      </c>
      <c r="B427" s="88" t="s">
        <v>286</v>
      </c>
      <c r="C427" s="88" t="s">
        <v>704</v>
      </c>
      <c r="D427" s="88" t="s">
        <v>705</v>
      </c>
      <c r="E427" s="88" t="s">
        <v>701</v>
      </c>
    </row>
    <row r="428" customFormat="false" ht="15" hidden="false" customHeight="false" outlineLevel="0" collapsed="false">
      <c r="A428" s="88" t="s">
        <v>1088</v>
      </c>
      <c r="B428" s="88" t="s">
        <v>496</v>
      </c>
      <c r="C428" s="88" t="s">
        <v>753</v>
      </c>
      <c r="D428" s="88" t="s">
        <v>754</v>
      </c>
      <c r="E428" s="88" t="s">
        <v>625</v>
      </c>
    </row>
    <row r="429" customFormat="false" ht="22.35" hidden="false" customHeight="false" outlineLevel="0" collapsed="false">
      <c r="A429" s="88" t="s">
        <v>1089</v>
      </c>
      <c r="B429" s="88" t="s">
        <v>382</v>
      </c>
      <c r="C429" s="88" t="s">
        <v>688</v>
      </c>
      <c r="D429" s="88" t="s">
        <v>689</v>
      </c>
      <c r="E429" s="88" t="s">
        <v>690</v>
      </c>
    </row>
    <row r="430" customFormat="false" ht="22.35" hidden="false" customHeight="false" outlineLevel="0" collapsed="false">
      <c r="A430" s="88" t="s">
        <v>1090</v>
      </c>
      <c r="B430" s="88" t="s">
        <v>80</v>
      </c>
      <c r="C430" s="88" t="s">
        <v>617</v>
      </c>
      <c r="D430" s="88" t="s">
        <v>579</v>
      </c>
      <c r="E430" s="88" t="s">
        <v>580</v>
      </c>
    </row>
    <row r="431" customFormat="false" ht="22.35" hidden="false" customHeight="false" outlineLevel="0" collapsed="false">
      <c r="A431" s="88" t="s">
        <v>1091</v>
      </c>
      <c r="B431" s="88" t="s">
        <v>80</v>
      </c>
      <c r="C431" s="88" t="s">
        <v>617</v>
      </c>
      <c r="D431" s="88" t="s">
        <v>579</v>
      </c>
      <c r="E431" s="88" t="s">
        <v>580</v>
      </c>
    </row>
    <row r="432" customFormat="false" ht="22.35" hidden="false" customHeight="false" outlineLevel="0" collapsed="false">
      <c r="A432" s="88" t="s">
        <v>1092</v>
      </c>
      <c r="B432" s="88" t="s">
        <v>80</v>
      </c>
      <c r="C432" s="88" t="s">
        <v>617</v>
      </c>
      <c r="D432" s="88" t="s">
        <v>579</v>
      </c>
      <c r="E432" s="88" t="s">
        <v>580</v>
      </c>
    </row>
    <row r="433" customFormat="false" ht="22.35" hidden="false" customHeight="false" outlineLevel="0" collapsed="false">
      <c r="A433" s="88" t="s">
        <v>1093</v>
      </c>
      <c r="B433" s="88" t="s">
        <v>80</v>
      </c>
      <c r="C433" s="88" t="s">
        <v>570</v>
      </c>
      <c r="D433" s="88" t="s">
        <v>571</v>
      </c>
      <c r="E433" s="88" t="s">
        <v>572</v>
      </c>
    </row>
    <row r="434" customFormat="false" ht="22.35" hidden="false" customHeight="false" outlineLevel="0" collapsed="false">
      <c r="A434" s="88" t="s">
        <v>1094</v>
      </c>
      <c r="B434" s="88" t="s">
        <v>362</v>
      </c>
      <c r="C434" s="88" t="s">
        <v>578</v>
      </c>
      <c r="D434" s="88" t="s">
        <v>579</v>
      </c>
      <c r="E434" s="88" t="s">
        <v>580</v>
      </c>
    </row>
    <row r="435" customFormat="false" ht="22.35" hidden="false" customHeight="false" outlineLevel="0" collapsed="false">
      <c r="A435" s="88" t="s">
        <v>1095</v>
      </c>
      <c r="B435" s="88" t="s">
        <v>362</v>
      </c>
      <c r="C435" s="88" t="s">
        <v>578</v>
      </c>
      <c r="D435" s="88" t="s">
        <v>579</v>
      </c>
      <c r="E435" s="88" t="s">
        <v>580</v>
      </c>
    </row>
    <row r="436" customFormat="false" ht="22.35" hidden="false" customHeight="false" outlineLevel="0" collapsed="false">
      <c r="A436" s="88" t="s">
        <v>1096</v>
      </c>
      <c r="B436" s="88" t="s">
        <v>80</v>
      </c>
      <c r="C436" s="88" t="s">
        <v>617</v>
      </c>
      <c r="D436" s="88" t="s">
        <v>579</v>
      </c>
      <c r="E436" s="88" t="s">
        <v>580</v>
      </c>
    </row>
    <row r="437" customFormat="false" ht="22.35" hidden="false" customHeight="false" outlineLevel="0" collapsed="false">
      <c r="A437" s="88" t="s">
        <v>1097</v>
      </c>
      <c r="B437" s="88" t="s">
        <v>286</v>
      </c>
      <c r="C437" s="88" t="s">
        <v>1014</v>
      </c>
      <c r="D437" s="88" t="s">
        <v>579</v>
      </c>
      <c r="E437" s="88" t="s">
        <v>580</v>
      </c>
    </row>
    <row r="438" customFormat="false" ht="22.35" hidden="false" customHeight="false" outlineLevel="0" collapsed="false">
      <c r="A438" s="88" t="s">
        <v>1098</v>
      </c>
      <c r="B438" s="88" t="s">
        <v>80</v>
      </c>
      <c r="C438" s="88" t="s">
        <v>617</v>
      </c>
      <c r="D438" s="88" t="s">
        <v>579</v>
      </c>
      <c r="E438" s="88" t="s">
        <v>580</v>
      </c>
    </row>
    <row r="439" customFormat="false" ht="22.35" hidden="false" customHeight="false" outlineLevel="0" collapsed="false">
      <c r="A439" s="88" t="s">
        <v>1099</v>
      </c>
      <c r="B439" s="88" t="s">
        <v>80</v>
      </c>
      <c r="C439" s="88" t="s">
        <v>617</v>
      </c>
      <c r="D439" s="88" t="s">
        <v>579</v>
      </c>
      <c r="E439" s="88" t="s">
        <v>580</v>
      </c>
    </row>
    <row r="440" customFormat="false" ht="22.35" hidden="false" customHeight="false" outlineLevel="0" collapsed="false">
      <c r="A440" s="88" t="s">
        <v>1100</v>
      </c>
      <c r="B440" s="88" t="s">
        <v>80</v>
      </c>
      <c r="C440" s="88" t="s">
        <v>570</v>
      </c>
      <c r="D440" s="88" t="s">
        <v>571</v>
      </c>
      <c r="E440" s="88" t="s">
        <v>572</v>
      </c>
    </row>
    <row r="441" customFormat="false" ht="15" hidden="false" customHeight="false" outlineLevel="0" collapsed="false">
      <c r="A441" s="88" t="s">
        <v>1101</v>
      </c>
      <c r="B441" s="88" t="s">
        <v>496</v>
      </c>
      <c r="C441" s="88" t="s">
        <v>740</v>
      </c>
      <c r="D441" s="88" t="s">
        <v>686</v>
      </c>
      <c r="E441" s="88" t="s">
        <v>625</v>
      </c>
    </row>
    <row r="442" customFormat="false" ht="15" hidden="false" customHeight="false" outlineLevel="0" collapsed="false">
      <c r="A442" s="88" t="s">
        <v>1102</v>
      </c>
      <c r="B442" s="88" t="s">
        <v>496</v>
      </c>
      <c r="C442" s="88" t="s">
        <v>740</v>
      </c>
      <c r="D442" s="88" t="s">
        <v>686</v>
      </c>
      <c r="E442" s="88" t="s">
        <v>625</v>
      </c>
    </row>
    <row r="443" customFormat="false" ht="15" hidden="false" customHeight="false" outlineLevel="0" collapsed="false">
      <c r="A443" s="88" t="s">
        <v>1103</v>
      </c>
      <c r="B443" s="88" t="s">
        <v>496</v>
      </c>
      <c r="C443" s="88" t="s">
        <v>740</v>
      </c>
      <c r="D443" s="88" t="s">
        <v>686</v>
      </c>
      <c r="E443" s="88" t="s">
        <v>625</v>
      </c>
    </row>
    <row r="444" customFormat="false" ht="15" hidden="false" customHeight="false" outlineLevel="0" collapsed="false">
      <c r="A444" s="88" t="s">
        <v>1104</v>
      </c>
      <c r="B444" s="88" t="s">
        <v>451</v>
      </c>
      <c r="C444" s="88" t="s">
        <v>834</v>
      </c>
      <c r="D444" s="88" t="s">
        <v>835</v>
      </c>
      <c r="E444" s="88" t="s">
        <v>625</v>
      </c>
    </row>
    <row r="445" customFormat="false" ht="22.35" hidden="false" customHeight="false" outlineLevel="0" collapsed="false">
      <c r="A445" s="88" t="s">
        <v>1105</v>
      </c>
      <c r="B445" s="88" t="s">
        <v>496</v>
      </c>
      <c r="C445" s="88" t="s">
        <v>740</v>
      </c>
      <c r="D445" s="88" t="s">
        <v>686</v>
      </c>
      <c r="E445" s="88" t="s">
        <v>625</v>
      </c>
    </row>
    <row r="446" customFormat="false" ht="15" hidden="false" customHeight="false" outlineLevel="0" collapsed="false">
      <c r="A446" s="88" t="s">
        <v>1106</v>
      </c>
      <c r="B446" s="88" t="s">
        <v>496</v>
      </c>
      <c r="C446" s="88" t="s">
        <v>740</v>
      </c>
      <c r="D446" s="88" t="s">
        <v>686</v>
      </c>
      <c r="E446" s="88" t="s">
        <v>625</v>
      </c>
    </row>
    <row r="447" customFormat="false" ht="22.35" hidden="false" customHeight="false" outlineLevel="0" collapsed="false">
      <c r="A447" s="88" t="s">
        <v>1107</v>
      </c>
      <c r="B447" s="88" t="s">
        <v>286</v>
      </c>
      <c r="C447" s="88" t="s">
        <v>704</v>
      </c>
      <c r="D447" s="88" t="s">
        <v>705</v>
      </c>
      <c r="E447" s="88" t="s">
        <v>701</v>
      </c>
    </row>
    <row r="448" customFormat="false" ht="15" hidden="false" customHeight="false" outlineLevel="0" collapsed="false">
      <c r="A448" s="88" t="s">
        <v>1108</v>
      </c>
      <c r="B448" s="88" t="s">
        <v>496</v>
      </c>
      <c r="C448" s="88" t="s">
        <v>740</v>
      </c>
      <c r="D448" s="88" t="s">
        <v>686</v>
      </c>
      <c r="E448" s="88" t="s">
        <v>701</v>
      </c>
    </row>
  </sheetData>
  <autoFilter ref="A1:E44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2026-09-30T14:54:02Z</dcterms:created>
  <dc:creator>openpyxl</dc:creator>
  <dc:description/>
  <dc:language>en-US</dc:language>
  <cp:lastModifiedBy/>
  <dcterms:modified xsi:type="dcterms:W3CDTF">2026-09-30T14:54:03Z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