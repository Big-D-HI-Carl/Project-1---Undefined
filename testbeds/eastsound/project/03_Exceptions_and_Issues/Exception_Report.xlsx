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ceptions" sheetId="1" state="visible" r:id="rId3"/>
    <sheet name="Summary" sheetId="2" state="visible" r:id="rId4"/>
    <sheet name="Unresolved Register" sheetId="3" state="visible" r:id="rId5"/>
  </sheets>
  <definedNames>
    <definedName function="false" hidden="true" localSheetId="0" name="_xlnm._FilterDatabase" vbProcedure="false">Exceptions!$A$1:$G$572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<sst xmlns="http://schemas.openxmlformats.org/spreadsheetml/2006/main" count="3579" uniqueCount="1964">
  <si>
    <t xml:space="preserve">#</t>
  </si>
  <si>
    <t xml:space="preserve">Type</t>
  </si>
  <si>
    <t xml:space="preserve">Item</t>
  </si>
  <si>
    <t xml:space="preserve">Source A</t>
  </si>
  <si>
    <t xml:space="preserve">Source B</t>
  </si>
  <si>
    <t xml:space="preserve">Which governs</t>
  </si>
  <si>
    <t xml:space="preserve">Disposition</t>
  </si>
  <si>
    <t xml:space="preserve">Same tag, different attributes</t>
  </si>
  <si>
    <t xml:space="preserve">Combined row — DO #1 | DO-1: Combined (same printed tag, written "DO #1" and "DO-1"). Bid Item: "1; 18 — Unresolved (see 04); 19; Equipment Alternate B" (Process &amp; Mechanical, 46 53 00 package) vs "6" (Electrical &amp; Controls, 26 80 00). Specified in both 46 53 00 (DO/pH sensor in the treatment package) and 26 80 00 (Hach LDO probe and SC200 transmitter) — double-procurement risk. Location "Train 3 Aeration Zone #1" vs "Zone 1" (zone match Inferred by Electrical &amp; Controls).</t>
  </si>
  <si>
    <t xml:space="preserve">Process &amp; Mechanical: DO #1 — Dissolved oxygen / pH sensor, Train 3 Aeration Zone #1; area Train 3; sheets C3.3; spec 46 53 00; bid 1; 18 — Unresolved (see 04); 19; Equipment Alternate B [Unresolved] (Process_and_Mechanical_Ledger.csv row 19)</t>
  </si>
  <si>
    <t xml:space="preserve">Electrical &amp; Controls: DO-1 — Dissolved oxygen sensor and transmitter, Zone 1 (Hach LDO probe, SC200 transmitter, 24 VDC); area Train No.3; sheets E3.1; E7.6; spec 26 80 00; bid 6 [Verified] (Electrical_and_Controls_Ledger.csv row 50)</t>
  </si>
  <si>
    <t xml:space="preserve">Unresolved — spec vs spec (46 53 00 ¶1.03 F puts 46 53 00 over other specifications, per Process &amp; Mechanical Issue 2) and bid item (Bid Item #18 flag).</t>
  </si>
  <si>
    <t xml:space="preserve">Combined row — DO #2 | DO-2: Combined (same printed tag, written "DO #2" and "DO-2"). Same bid item and double-spec question as DO-1. Electrical &amp; Controls infers DO-2 from conduit C-DO2 (confirm on E7.x).</t>
  </si>
  <si>
    <t xml:space="preserve">Process &amp; Mechanical: DO #2 — Dissolved oxygen / pH sensor, Train 3 Aeration Zone #2; area Train 3; sheets C3.3; spec 46 53 00; bid 1; 18 — Unresolved (see 04); 19; Equipment Alternate B [Unresolved] (Process_and_Mechanical_Ledger.csv row 20)</t>
  </si>
  <si>
    <t xml:space="preserve">Electrical &amp; Controls: DO-2 — Dissolved oxygen sensor and transmitter, second monitor (Hach LDO/SC200); area Train No.3; sheets E3.1; E6.3; E7.6; spec 26 80 00; bid 6 [Inferred] (Electrical_and_Controls_Ledger.csv row 51)</t>
  </si>
  <si>
    <t xml:space="preserve">Unresolved — as DO-1.</t>
  </si>
  <si>
    <t xml:space="preserve">Tag collision — SD-1: Civil &amp; Site SD-1 is storm drain alignment SD-1, 12-in (C2.2); Electrical &amp; Controls SD-1 is the digested sludge pump, 3 HP (E4.1, E6.1). Different items, same printed tag — not combined.</t>
  </si>
  <si>
    <t xml:space="preserve">Civil &amp; Site: SD-1 — Storm drain alignment SD-1, 12-inch, 42 + 19 + 42 LF at 0.5%; area Site; sheets C2.2; spec 33 30 00; 33 41 00; bid 1 [Unresolved] (Civil_and_Site_Ledger.csv row 73)</t>
  </si>
  <si>
    <t xml:space="preserve">Electrical &amp; Controls: SD-1 — Sludge pump, 3 HP, VFD in MCC; area Treatment Building (existing; E4.1 key note 3 calls it "Dewatering Building" — see Issues); sheets E4.1; E6.1; E6.3; E7.3; E7.4; E9.1; spec —; bid 1 (equipment, Inferred per 04); 6 (power and control) [Verified-Visual] (Electrical_and_Controls_Ledger.csv row 83)</t>
  </si>
  <si>
    <t xml:space="preserve">Owner to re-tag one item (the sludge pump also matches Process &amp; Mechanical PROPOSED-DIGESTED-SLUDGE-PUMP).</t>
  </si>
  <si>
    <t xml:space="preserve">Same PROPOSED name, different Area/Building (not combined) — PROPOSED-Influent sample sump / PROPOSED-INFLUENT-SAMPLE-SUMP: Area label only (Site vs Influent Pump Station). The Civil &amp; Site row carries the product (24-in x 6-ft precast well curb, H2 Precast WC-24 or equal; C7.5 Det. 4) and 31 20 00 / 33 30 00; the Process &amp; Mechanical row has no spec.</t>
  </si>
  <si>
    <t xml:space="preserve">Civil &amp; Site: PROPOSED-Influent sample sump — Influent sample sump, 24-in x 6-ft precast well curb (H2 Precast WC-24 or equal) with traffic-rated riser and lid; area Site; sheets C7.5 (Det. 4); C7.1 (Det. 3); C1.3; C1.4; spec 31 20 00; 33 30 00; bid 1 [Inferred] (Civil_and_Site_Ledger.csv row 101)</t>
  </si>
  <si>
    <t xml:space="preserve">Process &amp; Mechanical: PROPOSED-INFLUENT-SAMPLE-SUMP — Influent sampling sump; area Influent Pump Station; sheets G0.5; G0.6; C4.1; spec —; bid 1 [Inferred] (Process_and_Mechanical_Ledger.csv row 27)</t>
  </si>
  <si>
    <t xml:space="preserve">No rule — set one Area/Building label.</t>
  </si>
  <si>
    <t xml:space="preserve">Same PROPOSED name, different Area/Building (not combined) — PROPOSED-Train 2 flow meter vault / PROPOSED-TRAIN-2-FLOW-METER-VAULT: Area label differs (Train 2 vs Influent Flow Splitter). C7.10 Det. 1 gives a precast 4 ft-2 in x 4 ft-2 in x 5 ft-0 in vault (Utility Vault 506-LA or equal); Structural &amp; Building carries one 4 x 4 ft vault (Oldcastle 4686-LA) for "Plants 2 &amp; 3" per 03 40 00 — size, model and count (two vaults vs one) differ.</t>
  </si>
  <si>
    <t xml:space="preserve">Civil &amp; Site: PROPOSED-Train 2 flow meter vault — Train 2 flow meter vault, precast 4'-2" x 4'-2" x 5'-0" (Utility Vault 506-LA or equal), H-20 hatch Halliday H1R3636, Bilco LadderUp; area Train 2; sheets C7.10 (Det. 1); spec 31 20 00; 33 30 00; bid 1 [Inferred] (Civil_and_Site_Ledger.csv row 104)</t>
  </si>
  <si>
    <t xml:space="preserve">Process &amp; Mechanical: PROPOSED-TRAIN-2-FLOW-METER-VAULT — Train 2 flow meter vault; area Influent Flow Splitter; sheets C3.1; spec —; bid 1 [Inferred] (Process_and_Mechanical_Ledger.csv row 24) || Structural &amp; Building: PROPOSED-Plants-2-and-3-Flow-Meter-Vault — Precast vault, 4 ft x 4 ft (Oldcastle Infrastructure 4686-LA), with 36 in x 36 in H-20 single-leaf hatch (Halliday H1R3636) — Plants 2 &amp; 3 Flow Meter…; area Site; sheets —; spec 03 40 00; bid 1 (Inferred per 04) [Inferred] (Structural_and_Building_Ledger.csv row 41)</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</si>
  <si>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C7.10 (two vaults) governs over 03 40 00; area label — no rule.</t>
  </si>
  <si>
    <t xml:space="preserve">Same PROPOSED name, different Area/Building (not combined) — PROPOSED-Train 3 flow meter vault / PROPOSED-TRAIN-3-FLOW-METER-VAULT: Area label differs (Train 3 vs Influent Flow Splitter). Same vault size/model/count question as the Train 2 vault (C7.10 Det. 2 vs 03 40 00).</t>
  </si>
  <si>
    <t xml:space="preserve">Civil &amp; Site: PROPOSED-Train 3 flow meter vault — Train 3 flow meter vault, precast 4'-2" x 4'-2" x 5'-0" (Utility Vault 506-LA or equal), H-20 hatch Halliday H1R3636, Bilco LadderUp; area Train 3; sheets C7.10 (Det. 2); spec 31 20 00; 33 30 00; bid 1 [Inferred] (Civil_and_Site_Ledger.csv row 105)</t>
  </si>
  <si>
    <t xml:space="preserve">Process &amp; Mechanical: PROPOSED-TRAIN-3-FLOW-METER-VAULT — Train 3 flow meter vault; area Influent Flow Splitter; sheets C3.1; spec —; bid 1 [Inferred] (Process_and_Mechanical_Ledger.csv row 25) || Structural &amp; Building: PROPOSED-Plants-2-and-3-Flow-Meter-Vault — Precast vault, 4 ft x 4 ft (Oldcastle Infrastructure 4686-LA), with 36 in x 36 in H-20 single-leaf hatch (Halliday H1R3636) — Plants 2 &amp; 3 Flow Meter…; area Site; sheets —; spec 03 40 00; bid 1 (Inferred per 04) [Inferred] (Structural_and_Building_Ledger.csv row 41)</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</si>
  <si>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C7.10 governs over 03 40 00; area label — no rule.</t>
  </si>
  <si>
    <t xml:space="preserve">Same PROPOSED name, different Area/Building (not combined) — PROPOSED-Train 2 flow meter / PROPOSED-TRAIN-2-FLOW-METER: Area label differs (Train 2 / Influent Flow Splitter; Electrical &amp; Controls puts the transmitter at the IPS panel). Bid Item 1 (Civil &amp; Site) vs 6 (Process &amp; Mechanical, Electrical &amp; Controls). Electrical &amp; Controls carries the same meter as PROPOSED-Plant-2-Flow-Meter ("Train #2 flow meter" on E7.0), Promag W400.</t>
  </si>
  <si>
    <t xml:space="preserve">Civil &amp; Site: PROPOSED-Train 2 flow meter — Train 2 flow meter, 8-inch, in Train 2 flow meter vault; area Train 2; sheets C7.10 (Det. 1); spec —; bid 1 [Inferred] (Civil_and_Site_Ledger.csv row 106)</t>
  </si>
  <si>
    <t xml:space="preserve">Process &amp; Mechanical: PROPOSED-TRAIN-2-FLOW-METER — Train 2 influent flow meter, 8-inch electromagnetic, 0-470 gpm; area Influent Flow Splitter; sheets G0.5; G0.6; G0.7; C3.1; spec —; bid 6 [Inferred] (Process_and_Mechanical_Ledger.csv row 13) || Electrical &amp; Controls: PROPOSED-Plant-2-Flow-Meter — Plant 2 magnetic flow meter ("Train #2 flow meter" on E7.0), Promag W400, remote transmitter at the IPS panel; area Influent Pump Station; sheets E4.1; E6.3; E7.0; E8.1; E10.2; spec 26 80 00; bid 6 [Inferred] (Electrical_and_Controls_Ledger.csv row 72)</t>
  </si>
  <si>
    <t xml:space="preserve">Add. 4 p.2 (26 80 00 ¶2.04 D) governs the meter model (W400); the bid item mapping is Inferred in every lane — Unresolved.</t>
  </si>
  <si>
    <t xml:space="preserve">Same PROPOSED name, different Area/Building (not combined) — PROPOSED-Train 3 flow meter / PROPOSED-TRAIN-3-FLOW-METER: Area label differs (Train 3 / Influent Flow Splitter / IPS panel for the transmitter). Bid Item 1 (Civil &amp; Site) vs 6 (Process &amp; Mechanical, Electrical &amp; Controls). Electrical &amp; Controls carries it as PROPOSED-Plant-3-Flow-Meter, Promag W400.</t>
  </si>
  <si>
    <t xml:space="preserve">Civil &amp; Site: PROPOSED-Train 3 flow meter — Train 3 flow meter, 8-inch, in Train 3 flow meter vault; area Train 3; sheets C7.10 (Det. 2); spec —; bid 1 [Inferred] (Civil_and_Site_Ledger.csv row 107)</t>
  </si>
  <si>
    <t xml:space="preserve">Process &amp; Mechanical: PROPOSED-TRAIN-3-FLOW-METER — Train 3 influent flow meter, 8-inch electromagnetic, 0-470 gpm; area Influent Flow Splitter; sheets G0.5; G0.6; G0.7; C3.1; spec —; bid 6 [Inferred] (Process_and_Mechanical_Ledger.csv row 14) || Electrical &amp; Controls: PROPOSED-Plant-3-Flow-Meter — Plant 3 magnetic flow meter ("Train #3 flow meter" on E7.0), Promag W400, remote transmitter at the IPS panel; area Influent Pump Station; sheets E4.1; E6.3; E7.0; E8.1; E10.2; spec 26 80 00; bid 6 [Inferred] (Electrical_and_Controls_Ledger.csv row 73)</t>
  </si>
  <si>
    <t xml:space="preserve">Add. 4 p.2 governs the model (W400); bid item Unresolved.</t>
  </si>
  <si>
    <t xml:space="preserve">Same PROPOSED name, different Area/Building (not combined) — PROPOSED-INFLUENT-FLOW-METER / PROPOSED-Influent-Flow-Meter: Area label differs (Influent Flow Splitter vs Influent Pump Station; transmitter at the IPS panel). 6-in (Process &amp; Mechanical) matches the E10.2 summary.</t>
  </si>
  <si>
    <t xml:space="preserve">Process &amp; Mechanical: PROPOSED-INFLUENT-FLOW-METER — Influent flow meter, 6-inch electromagnetic, 0-880 gpm; area Influent Flow Splitter; sheets G0.5; G0.6; G0.7; C3.1; spec —; bid 6 [Inferred] (Process_and_Mechanical_Ledger.csv row 12)</t>
  </si>
  <si>
    <t xml:space="preserve">Electrical &amp; Controls: PROPOSED-Influent-Flow-Meter — Influent magnetic flow meter, Endress+Hauser Promag W400, Class I Div 2, EtherNet/IP, remote transmitter at the IPS panel, two 316L grounding rings; area Influent Pump Station; sheets E4.1; E6.3; E7.0; E8.1; E10.2; spec 26 80 00; bid 6 [Inferred] (Electrical_and_Controls_Ledger.csv row 71)</t>
  </si>
  <si>
    <t xml:space="preserve">Add. 4 p.2 governs the model (W400); area label — no rule.</t>
  </si>
  <si>
    <t xml:space="preserve">Same PROPOSED name, different Area/Building (not combined) — PROPOSED-EFFLUENT-FLOW-METER / PROPOSED-Effluent-Flow-Meter: Area label differs (Site, upstream of UV vs UV Disinfection Chamber). Contract &amp; General carries PROPOSED-8in-Effluent-Flow-Meter (area and bid item not stated). Vault classification is internal to Electrical &amp; Controls (Issues #13).</t>
  </si>
  <si>
    <t xml:space="preserve">Process &amp; Mechanical: PROPOSED-EFFLUENT-FLOW-METER — Plant effluent flow meter, 8-inch electromagnetic, 0-940 gpm; area Site (upstream of UV per G0.5); sheets G0.5; G0.6; G0.7; spec —; bid 6 [Inferred] (Process_and_Mechanical_Ledger.csv row 15)</t>
  </si>
  <si>
    <t xml:space="preserve">Electrical &amp; Controls: PROPOSED-Effluent-Flow-Meter — Effluent magnetic flow meter in vault, Promag W400, remote housing, IP68 Type 6 potted submersible sensor, two 316L grounding rings; area UV Disinfection Chamber; sheets E5.1; E6.3; E7.0; E10.2; spec 26 80 00; bid 6 [Inferred] (Electrical_and_Controls_Ledger.csv row 76) || Contract &amp; General: PROPOSED-8in-Effluent-Flow-Meter — 8-inch effluent flow meter; area Not stated; sheets —; spec 00 31 13; 01 33 00; 01 70 00; bid Not stated [Inferred] (Contract_and_General_Ledger.csv row 7)</t>
  </si>
  <si>
    <t xml:space="preserve">Same PROPOSED name, different Area/Building (not combined) — PROPOSED-2W-FLOW-METER / PROPOSED-2W-Flow-Meter: Area differs (Not stated vs 2W Pump Station); Civil &amp; Site carries it as PROPOSED-Hot Box #1 flow meter (C7.6 Det. 1). Bid Item 1 (Process &amp; Mechanical, Civil &amp; Site) vs 6 (Electrical &amp; Controls). Specified twice: 43 22 10 (flow meter system in a fiberglass enclosure) and 26 80 00 (Promag W400).</t>
  </si>
  <si>
    <t xml:space="preserve">Civil &amp; Site: PROPOSED-Hot Box #1 flow meter — 1-inch flow meter in Hot Box #1, 'per electrical design requirements'; area Site; sheets C7.6 (Det. 1); spec —; bid 1 [Inferred] (Civil_and_Site_Ledger.csv row 102)</t>
  </si>
  <si>
    <t xml:space="preserve">Process &amp; Mechanical: PROPOSED-2W-FLOW-METER — Plant water (2W) flow meter, 1-inch electromagnetic, 0-25 gpm, in a fiberglass enclosure (43 22 10 flow meter system); area Not stated (2W system); sheets G0.7; spec 43 22 10; bid 1 [Inferred] (Process_and_Mechanical_Ledger.csv row 17) || Electrical &amp; Controls: PROPOSED-2W-Flow-Meter — 2W flow meter, 1-in Promag W400, 24 VAC/DC, EtherNet/IP, local display, NEMA 4X, in Hot Box #1; area 2W Pump Station; sheets E4.3; E6.3; E7.0; E10.2; spec 26 80 00; bid 6 [Inferred] (Electrical_and_Controls_Ledger.csv row 78)</t>
  </si>
  <si>
    <t xml:space="preserve">Add. 4 p.2 governs the model (W400); which section and bid item carry it — Unresolved.</t>
  </si>
  <si>
    <t xml:space="preserve">Same PROPOSED name, different Area/Building (not combined) — PROPOSED-WAS-SOLENOID-VALVES / PROPOSED-WAS-Solenoid-Valves: Area label differs (Sludge Pump and Valving Area vs Treatment Building (existing)) — the building-naming issue in Electrical &amp; Controls Issues #5. Count (3) and 120 V agree.</t>
  </si>
  <si>
    <t xml:space="preserve">Process &amp; Mechanical: PROPOSED-WAS-SOLENOID-VALVES — WAS inlet solenoid valves (3, on WAS #1-#3), ASCO Redhat 8221G013, 2-inch, normally closed, 120 V coil, NEMA 4X; area Sludge Pump and Valving Area; sheets C6.2; spec —; bid 1 [Inferred] (Process_and_Mechanical_Ledger.csv row 83)</t>
  </si>
  <si>
    <t xml:space="preserve">Electrical &amp; Controls: PROPOSED-WAS-Solenoid-Valves — WAS solenoid valves (3), WAS #1 to #3, 120 V from the IPS panel; area Treatment Building (existing; E4.1 key note 3 calls it "Dewatering Building" — see Issues); sheets E4.1; E6.3; E8.4; spec —; bid 1 (equipment, Inferred per 04); 6 (power and control) [Verified-Visual] (Electrical_and_Controls_Ledger.csv row 85)</t>
  </si>
  <si>
    <t xml:space="preserve">No rule — set one building name.</t>
  </si>
  <si>
    <t xml:space="preserve">Same PROPOSED name, different Area/Building (not combined) — PROPOSED-Influent-Sampler: Contract &amp; General gives no area; bid item "Not stated" (Contract &amp; General) vs "6 (installation, receptacle, flow-pace signal); sampler Owner-furnished" (Electrical &amp; Controls). Which lane installs it is open (Electrical &amp; Controls Issues #32).</t>
  </si>
  <si>
    <t xml:space="preserve">Electrical &amp; Controls: PROPOSED-Influent-Sampler — Influent sampler (Owner-furnished, contractor-installed); 120 V GFCI receptacle LP2-8 and 4–20 mA flow pace; area Influent Pump Station; sheets E4.1; E6.2; E6.3; E8.6; spec —; bid 6 (installation, receptacle, flow-pace signal); sampler Owner-furnished [Verified-Visual] (Electrical_and_Controls_Ledger.csv row 88)</t>
  </si>
  <si>
    <t xml:space="preserve">Contract &amp; General: PROPOSED-Influent-Sampler — Influent sampler; area Not stated; sheets —; spec 00 31 13; 01 33 00; 01 70 00; bid Not stated [Inferred] (Contract_and_General_Ledger.csv row 19)</t>
  </si>
  <si>
    <t xml:space="preserve">No rule.</t>
  </si>
  <si>
    <t xml:space="preserve">Same PROPOSED name, different Area/Building (not combined) — PROPOSED-Temporary-Backup-Generator / PROPOSED-Temporary-Back-Up-Generator: Area differs (Electric Service Area vs Not stated). Civil &amp; Site carries the same item as PROPOSED-Temporary power generator (G0.3 Note 10). All three carry "18 — Unresolved (see 04)". Rating not stated (Electrical &amp; Controls Issues #19: 120 kW example below the 156 kVA load).</t>
  </si>
  <si>
    <t xml:space="preserve">Civil &amp; Site: PROPOSED-Temporary power generator — Temporary back-up power generator; area Site; sheets G0.3; spec —; bid 18 — Unresolved (see 04) [Unresolved] (Civil_and_Site_Ledger.csv row 2)</t>
  </si>
  <si>
    <t xml:space="preserve">Electrical &amp; Controls: PROPOSED-Temporary-Backup-Generator — Temporary back-up generator (rental), connected to the permanent ATS until the permanent generator arrives; example cut sheet MQ Power 120 kW prime d…; area Electric Service Area; sheets None (Add. 4 and 26 05 00 only); spec 26 05 00; bid 18 — Unresolved (see 04) [Unresolved] (Electrical_and_Controls_Ledger.csv row 124) || Contract &amp; General: PROPOSED-Temporary-Back-Up-Generator — Temporary back-up generator (rental, 480V); area Not stated; sheets —; spec 00 31 13; bid 18 — Unresolved (see 04) [Unresolved] (Contract_and_General_Ledger.csv row 22)</t>
  </si>
  <si>
    <t xml:space="preserve">Add. 4 Clarification 5 governs the temporary generator; bid item — Bid Item #18 flag.</t>
  </si>
  <si>
    <t xml:space="preserve">Same PROPOSED name, different items — PROPOSED-Dewatering system / PROPOSED-Dewatering-System: Different items share one PROPOSED name: Civil &amp; Site = contractor groundwater dewatering system (C0.2; 31 23 19, 31 20 00); Contract &amp; General = sludge dewatering system (rotary fan press; 00 31 13, 00 41 00; Equipment Alternate C). Not combined (areas differ).</t>
  </si>
  <si>
    <t xml:space="preserve">Civil &amp; Site: PROPOSED-Dewatering system — Contractor dewatering system: pumps, backup pumps, standby generator, wells or well points, discharge treatment; area Site; sheets C0.2 (Element 10); spec 31 23 19; 31 20 00; bid 1 [Inferred] (Civil_and_Site_Ledger.csv row 110)</t>
  </si>
  <si>
    <t xml:space="preserve">Contract &amp; General: PROPOSED-Dewatering-System — Sludge dewatering system (rotary fan press); area Rotary Fan Press System; sheets —; spec 00 31 13; 00 41 00; 00 73 00; 01 33 00; 01 70 00; 01 91 00; bid 1; Equipment Alternate C [Unresolved] (Contract_and_General_Ledger.csv row 28)</t>
  </si>
  <si>
    <t xml:space="preserve">Rename one tag before approval.</t>
  </si>
  <si>
    <t xml:space="preserve">Printed tag vs PROPOSED tag — Hot Box #1 / PROPOSED-Hot-Box-1: Printed "Hot Box #1" (Civil &amp; Site: C1.3 reissue Add. 4 p.7, C7.6 Det. 1) vs PROPOSED-Hot-Box-1 (Electrical &amp; Controls: E4.3). Same enclosure (1-in 2W flow meter, isolation valve solenoid, heat trace). Area: Site vs 2W Pump Station. Not combined because one tag is PROPOSED. Add. 4 p.3 re-orients the hot box.</t>
  </si>
  <si>
    <t xml:space="preserve">Civil &amp; Site: Hot Box #1 — 2W water hot box #1 — flow meter and isolation valve (relocated per Add. 4); area Site; sheets C1.3 (Add. 4 p.7); C7.6 (Det. 1); spec —; bid 1 [Inferred] (Civil_and_Site_Ledger.csv row 57)</t>
  </si>
  <si>
    <t xml:space="preserve">Electrical &amp; Controls: PROPOSED-Hot-Box-1 — Hot Box #1 (2W): houses the 1-in 2W flow meter, isolation valve solenoid, heat trace, GFEP and J-box; area 2W Pump Station; sheets E4.3; E6.2; E6.3; spec —; bid 1 (enclosure, Inferred per 04); 6 (electrical) [Unresolved] (Electrical_and_Controls_Ledger.csv row 105)</t>
  </si>
  <si>
    <t xml:space="preserve">Add. 4 p.7 governs location; tag approval — printed tag available.</t>
  </si>
  <si>
    <t xml:space="preserve">Printed tag vs PROPOSED tag — Hot Box #2 / PROPOSED-Hot-Box-2: Printed "Hot Box #2" (Civil &amp; Site: air gap piping, relocated per Add. 4) vs PROPOSED-Hot-Box-2 (Electrical &amp; Controls: heat trace on exposed piping). Process &amp; Mechanical PROPOSED-2W-AIR-GAP-ENCLOSURE ("2W (Air Gap) Water Hot Box", 43 22 10) and Contract &amp; General PROPOSED-2W-Air-Gap-Water-System are probably the same enclosure.</t>
  </si>
  <si>
    <t xml:space="preserve">Civil &amp; Site: Hot Box #2 — 2W water hot box #2 — air gap piping (relocated per Add. 4); area Site; sheets C1.3 (Add. 4 p.7); C7.6 (Det. 2–3); spec —; bid 1 [Inferred] (Civil_and_Site_Ledger.csv row 58)</t>
  </si>
  <si>
    <t xml:space="preserve">Process &amp; Mechanical: PROPOSED-2W-AIR-GAP-ENCLOSURE — 2W air gap system in a fiberglass enclosure ("2W (Air Gap) Water Hot Box"); area Site (on C1.3 per Add. 4 p.3); sheets —; spec 43 22 10; bid 1 [Inferred] (Process_and_Mechanical_Ledger.csv row 105) || Electrical &amp; Controls: PROPOSED-Hot-Box-2 — Hot Box #2 (2W): heat trace on exposed piping; area 2W Pump Station; sheets E4.3; E6.2; E6.3; spec —; bid 1 (enclosure, Inferred per 04); 6 (electrical) [Unresolved] (Electrical_and_Controls_Ledger.csv row 106) || Contract &amp; General: PROPOSED-2W-Air-Gap-Water-System — 2W air gap water system; area 2W Pump Station; sheets —; spec 00 31 13; 01 33 00; 01 70 00; 01 91 00; bid 1 [Inferred] (Contract_and_General_Ledger.csv row 15)</t>
  </si>
  <si>
    <t xml:space="preserve">Same item, different tags (not combined)</t>
  </si>
  <si>
    <t xml:space="preserve">Biological treatment blowers (4): Count (4) and motor size (20 HP) agree. The Item 6 share for power and control is carried by Process &amp; Mechanical and Electrical &amp; Controls only. Blower enclosure fans and PTC relays sit on Electrical &amp; Controls rows.</t>
  </si>
  <si>
    <t xml:space="preserve">Process &amp; Mechanical: ESWD WWTP – Biological Treatment System Blowers (Trains 1 – 3) — Biological treatment blowers (4), Kaeser Com-paK DB 166 C, 20 HP 460 V, VFD, 315 scfm at 8.9 psig each; area Blower Building; sheets C6.4; C6.5; spec 43 11 00; bid 1; 6 [Inferred] (Process_and_Mechanical_Ledger.csv row 86)</t>
  </si>
  <si>
    <t xml:space="preserve">Electrical &amp; Controls: BL-1 — Aeration Blower No.1 — cell aeration blower, Cell 1, 20 HP, VFD in MCC; area Blower Building; sheets E2.1; E6.1; E6.3; E7.1; E7.2; E7.3; E7.4; E9.1; E9.2; spec —; bid 1 (equipment, Inferred per 04); 6 (power and control) [Inferred] (Electrical_and_Controls_Ledger.csv row 21) / BL-2 — Aeration Blower No.2 — cell aeration blower, Cell 2, 20 HP, VFD in MCC; area Blower Building; sheets E2.1; E6.1; E6.3; E7.1; E7.2; E7.3; E7.4; E9.1; E9.2; spec —; bid 1 (equipment, Inferred per 04); 6 (power and control) [Inferred] (Electrical_and_Controls_Ledger.csv row 22) / BL-3 — Aeration Blower No.3 — cell aeration blower, Cell 3, 20 HP, VFD in MCC; area Blower Building; sheets E2.1; E6.1; E6.3; E7.1; E7.2; E7.3; E7.4; E9.1; E9.2; spec —; bid 1 (equipment, Inferred per 04); 6 (power and control) [Inferred] (Electrical_and_Controls_Ledger.csv row 23) / BL-4 — Aeration Blower No.4 — backup, 20 HP, VFD in MCC; area Blower Building; sheets E2.1; E6.1; E6.3; E7.1; E7.2; E7.3; E7.4; E9.1; E9.2; spec —; bid 1 (equipment, Inferred per 04); 6 (power and control) [Inferred] (Electrical_and_Controls_Ledger.csv row 24) || Structural &amp; Building: PROPOSED-Blowers-Blower-Building — Blowers (4) on the blower pad; area Blower Building; sheets A1.1; A1.3; spec —; bid 1 (Inferred per 04) [Inferred] (Structural_and_Building_Ledger.csv row 4) || Contract &amp; General: PROPOSED-Blowers — Blower equipment (blowers and drives); area Blower Building; sheets —; spec 01 91 00; 01 33 00; 01 70 00; bid 1 [Inferred] (Contract_and_General_Ledger.csv row 45)</t>
  </si>
  <si>
    <t xml:space="preserve">No attribute conflict.</t>
  </si>
  <si>
    <t xml:space="preserve">Digester blower: Location: Process &amp; Mechanical places it in the existing metal building north of the new Blower Building and west of Train 2 (43 11 00; Add. 4 p.6 "Train #2 Building"); Electrical &amp; Controls leaves the area open (drawn on E2.1 outside the Blower Building outline). Status New vs Not stated. 5 HP agrees.</t>
  </si>
  <si>
    <t xml:space="preserve">Process &amp; Mechanical: ESWD WWTP – Aerobic Digester Blower — Aerobic digester blower (1), Kaeser Com-paK BB 52 C, 5 HP 460 V, VFD, 120 scfm at 4.0 psig, on 3.25 x 2.25 ft pad; area Existing Metal Building adjacent to Train #2 (Digester Blower); sheets C6.3; C6.4; spec 43 11 00; bid 1; 6 [Inferred] (Process_and_Mechanical_Ledger.csv row 85)</t>
  </si>
  <si>
    <t xml:space="preserve">Electrical &amp; Controls: DB — Digester blower, 5 HP, VFD in MCC; area Not stated — drawn on E2.1 outside the Blower Building outline, beside a "building interior wall"; sheets E2.1; E6.1; E6.3; E7.1; E7.2; E7.3; E7.4; E9.1; E9.2; spec —; bid 1 (equipment, Inferred per 04); 6 (power and control) [Inferred] (Electrical_and_Controls_Ledger.csv row 25)</t>
  </si>
  <si>
    <t xml:space="preserve">Add. 4 p.6 (C6.4 reissue) governs over base sheets; E2.1 is unlabeled rather than in conflict — confirm the DB area.</t>
  </si>
  <si>
    <t xml:space="preserve">Blower Building exhaust fans (2): Count (2) and 1/2 HP agree. The Process &amp; Mechanical row cites no sheet (23 34 00 only). Add. 4 p.3 moves the exhaust fans on A1.1/A1.2.</t>
  </si>
  <si>
    <t xml:space="preserve">Process &amp; Mechanical: PROPOSED-BLOWER-BLDG-WALL-FANS — Blower Building wall fans (2), Acme FQ18G6, 3,300 CFM, 1/2 HP, 120 V, each on its own Schaffer TH109 thermostat, with EBE445 gravity combination louv…; area Blower Building; sheets —; spec 23 34 00; bid 1 [Inferred] (Process_and_Mechanical_Ledger.csv row 98)</t>
  </si>
  <si>
    <t xml:space="preserve">Electrical &amp; Controls: EF-1 — Exhaust Fan 1, Blower Building (motor marked 1/2), circuit LP1-5; area Blower Building; sheets E2.2; E6.2; spec —; bid 1 (equipment, Inferred per 04); 6 (power and control) [Inferred] (Electrical_and_Controls_Ledger.csv row 37) / EF-2 — Exhaust Fan 2, Blower Building (motor marked 1/2), circuit LP1-7; area Blower Building; sheets E2.2; E6.2; spec —; bid 1 (equipment, Inferred per 04); 6 (power and control) [Inferred] (Electrical_and_Controls_Ledger.csv row 38) || Structural &amp; Building: PROPOSED-Exhaust-Fans-Blower-Building — Exhaust fans (2) with 24 in x 24 in wall vents — Blower Building east wall; area Blower Building; sheets A1.1; A1.2; spec —; bid 1 (Inferred per 04) [Inferred] (Structural_and_Building_Ledger.csv row 10)</t>
  </si>
  <si>
    <t xml:space="preserve">Add. 4 p.3 governs fan locations; no attribute conflict.</t>
  </si>
  <si>
    <t xml:space="preserve">Blower Building motorized louver, 36 x 84 in: Size agrees; product and actuator named on the Process &amp; Mechanical row (23 34 00).</t>
  </si>
  <si>
    <t xml:space="preserve">Process &amp; Mechanical: PROPOSED-BLOWER-BLDG-MOTORIZED-LOUVER — Blower Building motorized louvered vent, 36 x 84 in., Pottoroff EXD-645 with AF120 120 V spring-return actuator; area Blower Building; sheets —; spec 23 34 00; bid 1 [Inferred] (Process_and_Mechanical_Ledger.csv row 99)</t>
  </si>
  <si>
    <t xml:space="preserve">Electrical &amp; Controls: ML-1 — Motorized louver ML-1, Blower Building (motor marked 1/6), louver and HVAC control circuit LP1-3; area Blower Building; sheets E2.2; spec —; bid 1 (equipment, Inferred per 04); 6 (power and control) [Inferred] (Electrical_and_Controls_Ledger.csv row 39) || Structural &amp; Building: PROPOSED-Louver-36x84-Motorized — Louver, 36 in x 84 in, motorized — Blower Building west wall; area Blower Building; sheets A1.1; A1.2; spec —; bid 1 (Inferred per 04) [Inferred] (Structural_and_Building_Ledger.csv row 8)</t>
  </si>
  <si>
    <t xml:space="preserve">Blower Building manual louver, 24 x 24 in: Size agrees; product named on the Process &amp; Mechanical row (23 34 00).</t>
  </si>
  <si>
    <t xml:space="preserve">Process &amp; Mechanical: PROPOSED-BLOWER-BLDG-MANUAL-LOUVER — Blower Building manual louvered vent, 24 x 24 in., Pottoroff EXD-645; area Blower Building; sheets —; spec 23 34 00; bid 1 [Inferred] (Process_and_Mechanical_Ledger.csv row 100)</t>
  </si>
  <si>
    <t xml:space="preserve">Electrical &amp; Controls: PROPOSED-Blower-Building-Manual-Louver — Manual louver, Blower Building; area Blower Building; sheets E2.2; spec —; bid 1 (Inferred per 04) [Inferred] (Electrical_and_Controls_Ledger.csv row 40) || Structural &amp; Building: PROPOSED-Louver-24x24-Manual — Louver, 24 in x 24 in, manual — Blower Building west wall; area Blower Building; sheets A1.1; A1.2; spec —; bid 1 (Inferred per 04) [Inferred] (Structural_and_Building_Ledger.csv row 9)</t>
  </si>
  <si>
    <t xml:space="preserve">Motor control center: Electrical &amp; Controls and Structural &amp; Building rows are combined (tag MCC). The Contract &amp; General row is the 00 31 13 schedule item (no size). The combined row carries eight 20-in sections per Add. 4 Clarification 4.</t>
  </si>
  <si>
    <t xml:space="preserve">Electrical &amp; Controls: MCC — Motor control center, 480 V 3-ph 4-W, Blower Building, Allen-Bradley Centerline 2100 IntelliCENTER; area Blower Building; sheets E1.1; E2.1; E2.2; E6.1; E6.2; E6.3; E7.0; E9.1; E9.2; spec 26 24 19; bid 6 [Inferred] (Electrical_and_Controls_Ledger.csv row 27)</t>
  </si>
  <si>
    <t xml:space="preserve">Structural &amp; Building: MCC — Blower Building motor control center — 8 sections at 20 in, 160 in total per Add. 4; area Blower Building; sheets A1.1; spec —; bid 6 (Inferred per 04) [Inferred] (Structural_and_Building_Ledger.csv row 5) || Contract &amp; General: PROPOSED-Motor-Control-Center — Motor control center (MCC); area Blower Building; sheets —; spec 00 31 13; 01 33 00; 01 70 00; bid 6 [Inferred] (Contract_and_General_Ledger.csv row 26)</t>
  </si>
  <si>
    <t xml:space="preserve">Add. 4 Clarification 4 governs the section count; no attribute conflict.</t>
  </si>
  <si>
    <t xml:space="preserve">Main control panel (PLC): Electrical &amp; Controls and Structural &amp; Building rows are combined (tag MCP, Blower Building, relocated per Add. 4 pp.3–4). The Contract &amp; General "PLC control panel (new)" has no area; that it is the main panel is Inferred.</t>
  </si>
  <si>
    <t xml:space="preserve">Electrical &amp; Controls: MCP — Main Control Panel (PLC), Blower Building; area Blower Building; sheets E2.1; E2.2; E6.2; E6.3; E7.0; E7.1; E7.2; E7.3; E7.4; E7.5; E7.6; E7.7; spec 26 80 00; bid 6 [Unresolved] (Electrical_and_Controls_Ledger.csv row 28)</t>
  </si>
  <si>
    <t xml:space="preserve">Structural &amp; Building: MCP — Main control panel (MCP) — relocated per Add. 4; area Blower Building; sheets A1.1; spec —; bid 6 (Inferred per 04) [Inferred] (Structural_and_Building_Ledger.csv row 6) || Contract &amp; General: PROPOSED-PLC-Control-Panel — PLC control panel (new); area Not stated; sheets —; spec 00 31 13; 00 73 00; 01 33 00; 01 70 00; bid 6 [Inferred] (Contract_and_General_Ledger.csv row 27)</t>
  </si>
  <si>
    <t xml:space="preserve">Add. 4 governs the MCP location.</t>
  </si>
  <si>
    <t xml:space="preserve">2W bladder (diaphragm) tanks (2): Size: 26 x 62 in, Amtrol WX-350D, 119 gal (Process &amp; Mechanical: C4.3, 43 22 10) vs 24-in diameter (Structural &amp; Building: A1.1). Location: Train #2 Building per Add. 4 p.6 (Process &amp; Mechanical) vs Blower Building (Structural &amp; Building Area column, base A1.1; its A1.1 note records the Add. 4 relocation per C6.4).</t>
  </si>
  <si>
    <t xml:space="preserve">Process &amp; Mechanical: PROPOSED-2W-DIAPHRAGM-TANKS — 2W air diaphragm (bladder) tanks (2), Amtrol Well-X-Trol WX-350D, 119 gal (26 x 62 in.), with manifold, gauge and relief valves; area Train #2 Building (per Add. 4 p.6); sheets C4.3; C6.4; spec 43 22 10; bid 1 [Unresolved] (Process_and_Mechanical_Ledger.csv row 53)</t>
  </si>
  <si>
    <t xml:space="preserve">Structural &amp; Building: PROPOSED-2W-Bladder-Tank-Assembly — 2W bladder tank assembly — 2 tanks, 24 in diameter; area Blower Building; sheets A1.1; spec —; bid 1 (Inferred per 04) [Inferred] (Structural_and_Building_Ledger.csv row 7)</t>
  </si>
  <si>
    <t xml:space="preserve">Location: Add. 4 governs (pp.3, 4, 6 — relocated per C6.4). Diameter: Unresolved — base vs base (C4.3 / 43 22 10 vs A1.1).</t>
  </si>
  <si>
    <t xml:space="preserve">Existing dewatering / treatment building wall fans (3): Count (3) agrees. One building, three labels: "Existing Dewatering/Train 1&amp;2 Building", "Treatment Building (existing)", "Existing WWTP Building" (Electrical &amp; Controls Issues #5). Fan control differs: manual on/off (23 34 00 ¶1.01 A) vs thermostat (¶2.1 A.4) vs OFF/ON switches (E9.3) vs HOA with PLC start (26 80 00 ¶3.09 J) — Process &amp; Mechanical Issue 25, Electrical &amp; Controls Issues #14.</t>
  </si>
  <si>
    <t xml:space="preserve">Process &amp; Mechanical: PROPOSED-EXISTING-BLDG-WALL-FANS — Existing Dewatering/Train 1&amp;2 Building wall fans (3), Acme FQ18G6, 3,300 CFM, each on a manual on/off switch, with gravity combination louvers; area Existing Dewatering/Train 1&amp;2 Building Area; sheets —; spec 23 34 00; bid 1 [Unresolved] (Process_and_Mechanical_Ledger.csv row 101)</t>
  </si>
  <si>
    <t xml:space="preserve">Electrical &amp; Controls: EF-3 — Exhaust Fan EF-3, Treatment Building, motor marked 1/2, circuit LP2-7 (1,127 VA); area Treatment Building (existing; E4.1 key note 3 calls it "Dewatering Building" — see Issues); sheets E4.1; E6.2; E8.3; E9.3; spec —; bid 1 (equipment, Inferred per 04); 6 (power and control) [Inferred] (Electrical_and_Controls_Ledger.csv row 90) / EF-4 — Exhaust Fan EF-4, Treatment Building, motor marked 1/2, circuit LP2-9 (1,127 VA); area Treatment Building (existing; E4.1 key note 3 calls it "Dewatering Building" — see Issues); sheets E4.1; E6.2; E8.3; E9.3; spec —; bid 1 (equipment, Inferred per 04); 6 (power and control) [Inferred] (Electrical_and_Controls_Ledger.csv row 91) / EF-5 — Exhaust Fan EF-5, Treatment Building, motor marked 1/2, circuit LP2-11 (1,127 VA); area Treatment Building (existing; E4.1 key note 3 calls it "Dewatering Building" — see Issues); sheets E4.1; E6.2; E8.3; E9.3; spec —; bid 1 (equipment, Inferred per 04); 6 (power and control) [Inferred] (Electrical_and_Controls_Ledger.csv row 92) || Structural &amp; Building: PROPOSED-WWTP-Building-Exhaust-Fan-24x24 — Exhaust fan, 24 in x 24 in — existing WWTP building, 3 locations, 6 ft above slab; area Existing WWTP Building; sheets A1.3; spec 13 12 20; bid 1 (Inferred per 04) [Inferred] (Structural_and_Building_Ledger.csv row 19)</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</si>
  <si>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E9.3 governs over 23 34 00 and 26 80 00; spec-vs-spec conflicts inside 23 34 00 stay Unresolved.</t>
  </si>
  <si>
    <t xml:space="preserve">Existing building louvers: Count: 2 (Process &amp; Mechanical, 23 34 00) vs 3 locations (Structural &amp; Building, A1.3). Size agrees (36 x 84 in = 3 x 7 ft).</t>
  </si>
  <si>
    <t xml:space="preserve">Process &amp; Mechanical: PROPOSED-EXISTING-BLDG-LOUVERS — Existing Dewatering/Train 1&amp;2 Building manual louvered vents (2), 36 x 84 in., Pottoroff EXD-645; area Existing Dewatering/Train 1&amp;2 Building Area; sheets —; spec 23 34 00; bid 1 [Inferred] (Process_and_Mechanical_Ledger.csv row 102)</t>
  </si>
  <si>
    <t xml:space="preserve">Structural &amp; Building: PROPOSED-WWTP-Building-Louver-3x7 — Louvered vent, 3 ft x 7 ft — existing WWTP building, 3 locations; area Existing WWTP Building; sheets A1.3; spec 13 12 20; bid 1 (Inferred per 04) [Inferred] (Structural_and_Building_Ledger.csv row 18)</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</si>
  <si>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A1.3 (3 locations) governs over 23 34 00.</t>
  </si>
  <si>
    <t xml:space="preserve">Existing generator, fuel tank, exhaust and louvers — removal: One demolition scope in three lanes. Bid Item 6 (Electrical &amp; Controls, E0.2) vs Item 1 (Structural &amp; Building A1.3; Civil &amp; Site C0.5 KN 19). Civil adds the concrete fuel spill basin and asphalt restoration; Structural &amp; Building adds re-siding floor to eave.</t>
  </si>
  <si>
    <t xml:space="preserve">Civil &amp; Site: PROPOSED-Existing generator fuel tank and spill basin — Existing generator fuel tank and concrete fuel spill basin — remove, restore as asphalt pavement; area Site; sheets C0.5 (KN 19); C0.1; spec 02 41 00; bid 1 [Inferred] (Civil_and_Site_Ledger.csv row 21)</t>
  </si>
  <si>
    <t xml:space="preserve">Electrical &amp; Controls: PROPOSED-Existing-Generator-Fuel-Tank-Exhaust-Louvers — Existing diesel fuel tank, generator exhaust system and louvers; area Electric Service Area; sheets E0.2; spec —; bid 6 [Verified] (Electrical_and_Controls_Ledger.csv row 12) || Structural &amp; Building: PROPOSED-Existing-Office-Louver-4x4 — Existing louvered vent, 4 ft x 4 ft — existing office building south wall; remove, re-side floor to eave; area Existing Office Building; sheets A1.3; spec 13 12 20; bid 1 (Inferred per 04) [Inferred] (Structural_and_Building_Ledger.csv row 15) / PROPOSED-Existing-Office-Louver-2x3 — Existing louvered vent, 2 ft x 3 ft — existing office building east wall; remove, re-side floor to eave; area Existing Office Building; sheets A1.3; spec 13 12 20; bid 1 (Inferred per 04) [Inferred] (Structural_and_Building_Ledger.csv row 16) / PROPOSED-Existing-Generator-Exhaust-Assembly — Existing generator exhaust assembly — existing office building east wall; remove; area Existing Office Building; sheets A1.3; spec 13 12 20; bid 1 (Inferred per 04) [Inferred] (Structural_and_Building_Ledger.csv row 17)</t>
  </si>
  <si>
    <t xml:space="preserve">Unresolved — 04 puts E-sheet work in Item 6 (00 24 13 ¶6) and all other work in Item 1 (¶1); the same removal is on both.</t>
  </si>
  <si>
    <t xml:space="preserve">Train 3 concrete tank: Wall thickness agrees (12 in). Bid Item: "1; 18 — Unresolved; 19; Equipment Alternate B" (Process &amp; Mechanical) vs "1 (Inferred per 04)" (Structural &amp; Building).</t>
  </si>
  <si>
    <t xml:space="preserve">Process &amp; Mechanical: PROPOSED-TRAIN-3-TANK — Train 3 tank, reinforced concrete bullseye tank, 32-ft ID, 34-ft OD, 12-inch walls; area Train 3; sheets G0.5; G0.6; G0.7; C3.3; C3.4; C3.5; spec 46 53 00; bid 1; 18 — Unresolved (see 04); 19; Equipment Alternate B [Unresolved] (Process_and_Mechanical_Ledger.csv row 26)</t>
  </si>
  <si>
    <t xml:space="preserve">Structural &amp; Building: PROPOSED-Train-3-Concrete-Tank — Train 3 cast-in-place concrete tank — 12 in circular wall on 12 in mat slab with raised center pedestal; area Train 3; sheets S2.1; S1.1; S4.1; spec 03 30 00; bid 1 (Inferred per 04) [Unresolved] (Structural_and_Building_Ledger.csv row 20)</t>
  </si>
  <si>
    <t xml:space="preserve">Bid item: Bid Item #18 carry-forward flag.</t>
  </si>
  <si>
    <t xml:space="preserve">Train 3 biological treatment package: Bid Items agree (1; 18 — Unresolved; 19; Equipment Alternate B). Basis of design Smith &amp; Loveless (both).</t>
  </si>
  <si>
    <t xml:space="preserve">Process &amp; Mechanical: PROPOSED-TRAIN-3-TREATMENT-SYSTEM — Train 3 biological treatment system package, Smith &amp; Loveless Model R Oxigest (basis of design) or approved equal; area Train 3; sheets G0.5; G0.6; G0.7; C3.3; C3.4; C3.5; spec 46 53 00; bid 1; 18 — Unresolved (see 04); 19; Equipment Alternate B [Unresolved] (Process_and_Mechanical_Ledger.csv row 29)</t>
  </si>
  <si>
    <t xml:space="preserve">Contract &amp; General: PROPOSED-Train-3-Biological-Treatment-Equipment — Train 3 biological treatment system equipment; area Train 3; sheets —; spec 00 24 13; 00 41 00; 01 33 00; 01 70 00; 01 91 00; 01 45 00; bid 1; Equipment Alternate B; 18 — Unresolved (see 04); 19 [Unresolved] (Contract_and_General_Ledger.csv row 21)</t>
  </si>
  <si>
    <t xml:space="preserve">Train 3 control panel: Printed tag TCP-3 exists (E6.1, per Electrical &amp; Controls); Process &amp; Mechanical uses a PROPOSED tag. NEMA 4X 316 SS agrees. Bid Item: 1; 18; 19; Alt B (Process &amp; Mechanical) vs 1 + 6 (Electrical &amp; Controls).</t>
  </si>
  <si>
    <t xml:space="preserve">Process &amp; Mechanical: PROPOSED-TRAIN-3-CONTROL-PANEL — Treatment system control panel, NEMA 4X 316 SS, 460 V 3-phase input, UL listed; area Train 3; sheets —; spec 46 53 00; bid 1; 18 — Unresolved (see 04); 19; Equipment Alternate B [Unresolved] (Process_and_Mechanical_Ledger.csv row 39)</t>
  </si>
  <si>
    <t xml:space="preserve">Electrical &amp; Controls: TCP-3 — Train No.3 control panel TCP-3 (by treatment system provider), 480 V 3-ph input, NEMA 4X Type 316 SS; area Train No.3; sheets E3.1; E6.1; E6.3; E7.3; E9.1; spec —; bid 1 (equipment, Inferred per 04); 6 (power and control) [Inferred] (Electrical_and_Controls_Ledger.csv row 45)</t>
  </si>
  <si>
    <t xml:space="preserve">Tag approval: printed tag TCP-3 is available. Bid item: Bid Item #18 flag.</t>
  </si>
  <si>
    <t xml:space="preserve">Train 3 anoxic mixers (2): Count (2) agrees; 5 HP (Process &amp; Mechanical). Bid Item: Process &amp; Mechanical adds 18/19/Alt B; Electrical &amp; Controls 1 + 6. Supplier split 46 53 00 vs 46 41 23 (Process &amp; Mechanical Issue 30).</t>
  </si>
  <si>
    <t xml:space="preserve">Process &amp; Mechanical: PROPOSED-TRAIN-3-ANOXIC-MIXERS — Train 3 submersible mixers (2), 5 HP, 460 V 3-phase, one per anoxic zone; area Train 3; sheets G0.7; C3.3; C3.4; spec 46 53 00; 46 41 23; bid 1; 18 — Unresolved (see 04); 19; Equipment Alternate B [Unresolved] (Process_and_Mechanical_Ledger.csv row 34)</t>
  </si>
  <si>
    <t xml:space="preserve">Electrical &amp; Controls: PROPOSED-Train-3-Submersible-Mixer-A — Train No.3 submersible mixer A; area Train No.3; sheets E3.1; E6.3; spec —; bid 1 (equipment, Inferred per 04); 6 (power and control) [Inferred] (Electrical_and_Controls_Ledger.csv row 47) / PROPOSED-Train-3-Submersible-Mixer-B — Train No.3 submersible mixer B; area Train No.3; sheets E3.1; E6.3; spec —; bid 1 (equipment, Inferred per 04); 6 (power and control) [Inferred] (Electrical_and_Controls_Ledger.csv row 48)</t>
  </si>
  <si>
    <t xml:space="preserve">Unresolved (Process &amp; Mechanical Issue 30); bid item: Bid Item #18 flag.</t>
  </si>
  <si>
    <t xml:space="preserve">Train 3 clarifier: The Electrical &amp; Controls drive motor is part of the Process &amp; Mechanical clarifier mechanism (center drive); the Contract &amp; General row is the clarifier structure for leakage testing (01 45 00, 01 50 00).</t>
  </si>
  <si>
    <t xml:space="preserve">Process &amp; Mechanical: PROPOSED-TRAIN-3-CLARIFIER-MECHANISM — Train 3 clarifier mechanism, 18-ft dia.: center drive, feed well, rake arms, skimmer, scum baffle, effluent trough and weirs, scum airlift; area Train 3; sheets C3.3; C3.4; C3.5; spec 46 53 00; bid 1; 18 — Unresolved (see 04); 19; Equipment Alternate B [Unresolved] (Process_and_Mechanical_Ledger.csv row 31)</t>
  </si>
  <si>
    <t xml:space="preserve">Electrical &amp; Controls: PROPOSED-Train-3-Clarifier-Drive-Motor — Train No.3 clarifier drive motor; area Train No.3; sheets E3.1; E6.3; spec —; bid 1 (equipment, Inferred per 04); 6 (power and control) [Inferred] (Electrical_and_Controls_Ledger.csv row 46) || Contract &amp; General: PROPOSED-Clarifier — Clarifier (Train 3); area Train 3; sheets —; spec 01 45 00; 01 50 00; 01 91 00; bid 1 [Inferred] (Contract_and_General_Ledger.csv row 43)</t>
  </si>
  <si>
    <t xml:space="preserve">No attribute conflict (component overlap).</t>
  </si>
  <si>
    <t xml:space="preserve">Train 3 walkways, guardrail and ladders: Material: aluminum grating and handrail (46 53 00, Process &amp; Mechanical) vs railing material conflict steel vs aluminum (Structural &amp; Building Issues §1 #6: 05 50 00 vs 05 52 00). Bid Item: 18 only (Structural &amp; Building) vs 1; 18; 19; Alt B (Process &amp; Mechanical) vs 1 (Contract &amp; General "Handrails", area not stated).</t>
  </si>
  <si>
    <t xml:space="preserve">Process &amp; Mechanical: PROPOSED-TRAIN-3-WALKWAYS-AND-LADDER — Train 3 access walkway (3-ft clarifier bridge), 2-ft peripheral service walkway, aluminum grating and handrail, aluminum ladder with concrete pad; area Train 3; sheets C3.3; C3.4; C3.5; spec 46 53 00; bid 1; 18 — Unresolved (see 04); 19; Equipment Alternate B [Unresolved] (Process_and_Mechanical_Ledger.csv row 32)</t>
  </si>
  <si>
    <t xml:space="preserve">Structural &amp; Building: PROPOSED-Train-3-Guardrail-and-Ladders — Train 3 guardrail and ladders — shown "per civil"; area Train 3; sheets S2.1; spec 05 52 00; 05 51 10; bid 18 — Unresolved (see 04) [Unresolved] (Structural_and_Building_Ledger.csv row 21) || Contract &amp; General: PROPOSED-Handrails — Handrails; area Not stated; sheets —; spec 01 70 00; bid 1 [Inferred] (Contract_and_General_Ledger.csv row 49)</t>
  </si>
  <si>
    <t xml:space="preserve">Unresolved — spec vs spec (05 50 00 vs 05 52 00 vs 46 53 00); Bid Item #18 flag.</t>
  </si>
  <si>
    <t xml:space="preserve">Train 3 dissolved oxygen and pH sensors: Contract &amp; General carries separate DO and pH rows (package, Equipment Alternate B); Process &amp; Mechanical rows are combined DO/pH sensors (46 53 00); Electrical &amp; Controls rows are DO only (Hach LDO, 26 80 00).</t>
  </si>
  <si>
    <t xml:space="preserve">Process &amp; Mechanical: DO #1 — Dissolved oxygen / pH sensor, Train 3 Aeration Zone #1; area Train 3; sheets C3.3; spec 46 53 00; bid 1; 18 — Unresolved (see 04); 19; Equipment Alternate B [Unresolved] (Process_and_Mechanical_Ledger.csv row 19) / DO #2 — Dissolved oxygen / pH sensor, Train 3 Aeration Zone #2; area Train 3; sheets C3.3; spec 46 53 00; bid 1; 18 — Unresolved (see 04); 19; Equipment Alternate B [Unresolved] (Process_and_Mechanical_Ledger.csv row 20)</t>
  </si>
  <si>
    <t xml:space="preserve">Electrical &amp; Controls: DO-1 — Dissolved oxygen sensor and transmitter, Zone 1 (Hach LDO probe, SC200 transmitter, 24 VDC); area Train No.3; sheets E3.1; E7.6; spec 26 80 00; bid 6 [Verified] (Electrical_and_Controls_Ledger.csv row 50) / DO-2 — Dissolved oxygen sensor and transmitter, second monitor (Hach LDO/SC200); area Train No.3; sheets E3.1; E6.3; E7.6; spec 26 80 00; bid 6 [Inferred] (Electrical_and_Controls_Ledger.csv row 51) || Contract &amp; General: PROPOSED-Train-3-Dissolved-Oxygen-Sensors — Dissolved oxygen (DO) sensors, Train 3; area Train 3; sheets —; spec 01 91 00; 01 33 00; 01 70 00; bid 1; Equipment Alternate B (package — Inferred) [Inferred] (Contract_and_General_Ledger.csv row 46) / PROPOSED-Train-3-pH-Sensors — pH sensors, Train 3; area Train 3; sheets —; spec 01 91 00; 01 33 00; 01 70 00; bid 1; Equipment Alternate B (package — Inferred) [Inferred] (Contract_and_General_Ledger.csv row 47)</t>
  </si>
  <si>
    <t xml:space="preserve">See the combined-row exceptions for DO-1 and DO-2.</t>
  </si>
  <si>
    <t xml:space="preserve">Influent pumps (4): Agree: 2 small (120–220 gpm, 3 HP) + 2 large (320–500 gpm, 5 HP). Electrical &amp; Controls status Not stated.</t>
  </si>
  <si>
    <t xml:space="preserve">Process &amp; Mechanical: PROPOSED-INFLUENT-PUMPS-SMALL — Influent pumps, small, submersible, duplex (2), 120-220 gpm each; area Influent Pump Station; sheets G0.7; C4.1; spec 22 13 29; bid 1; Equipment Alternate A [Inferred] (Process_and_Mechanical_Ledger.csv row 42) / PROPOSED-INFLUENT-PUMPS-LARGE — Influent pumps, large, submersible, duplex (2), 320-500 gpm each; area Influent Pump Station; sheets G0.7; C4.1; spec 22 13 29; bid 1; Equipment Alternate A [Inferred] (Process_and_Mechanical_Ledger.csv row 43)</t>
  </si>
  <si>
    <t xml:space="preserve">Electrical &amp; Controls: IP-1 — Influent Pump No.1, 3 HP, explosion-proof (XP), 4.8 FLA; area Influent Pump Station; sheets E4.1; E4.2; E6.1; E6.3; E8.1; E8.2; E8.3; E8.4; spec —; bid 1 (equipment, Inferred per 04); 6 (power and control) [Verified-Visual] (Electrical_and_Controls_Ledger.csv row 54) / IP-2 — Influent Pump No.2, 3 HP, explosion-proof (XP), 4.8 FLA; area Influent Pump Station; sheets E4.1; E4.2; E6.1; E6.3; E8.1; E8.2; E8.3; E8.4; spec —; bid 1 (equipment, Inferred per 04); 6 (power and control) [Verified-Visual] (Electrical_and_Controls_Ledger.csv row 55) / IP-3 — Influent Pump No.3, 5 HP, explosion-proof (XP), 7.6 FLA; area Influent Pump Station; sheets E4.1; E4.2; E6.1; E6.3; E8.1; E8.2; E8.3; E8.4; spec —; bid 1 (equipment, Inferred per 04); 6 (power and control) [Verified-Visual] (Electrical_and_Controls_Ledger.csv row 56) / IP-4 — Influent Pump No.4, 5 HP, explosion-proof (XP), 7.6 FLA; area Influent Pump Station; sheets E4.1; E4.2; E6.1; E6.3; E8.1; E8.2; E8.3; E8.4; spec —; bid 1 (equipment, Inferred per 04); 6 (power and control) [Verified-Visual] (Electrical_and_Controls_Ledger.csv row 57) || Contract &amp; General: PROPOSED-Submersible-Pump-Equipment — Submersible pump equipment; area Influent Pump Station; sheets —; spec 00 41 00; 01 33 00; 01 70 00; 01 91 00; 01 45 00; bid 1; Equipment Alternate A [Inferred] (Contract_and_General_Ledger.csv row 17)</t>
  </si>
  <si>
    <t xml:space="preserve">Influent Pump Station wet well: 96-in precast agrees. Structural &amp; Building also carries a "Drain Pump Station" wet well (S2.4) whose identity is open (Structural &amp; Building Issues §2 #4; Civil &amp; Site CS-09).</t>
  </si>
  <si>
    <t xml:space="preserve">Process &amp; Mechanical: PROPOSED-INFLUENT-PUMP-STATION-WET-WELL — Influent Pump Station wet well, 96-inch precast on 12-inch precast base, bottom elev 9.0, top 23.30, with vent and clean outs; area Influent Pump Station; sheets G0.5; G0.6; C4.1; spec 22 13 29; bid 1 [Unresolved] (Process_and_Mechanical_Ledger.csv row 41)</t>
  </si>
  <si>
    <t xml:space="preserve">Structural &amp; Building: PROPOSED-Influent-Pump-Station-Precast-Wet-Well — Precast wet well, 8 ft ID (Oldcastle Infrastructure 96 in diameter), with 48 in x 30 in H-20 aluminum hatch and safety grate (LW Products HD-3C) — In…; area Influent Pump Station; sheets —; spec 03 40 00; bid 1 (Inferred per 04) [Unresolved] (Structural_and_Building_Ledger.csv row 37) || Contract &amp; General: PROPOSED-Influent-Pump-Station — Influent pump station; area Influent Pump Station; sheets —; spec 00 31 13; 00 73 00; 01 45 00; 01 50 00; bid 1 [Inferred] (Contract_and_General_Ledger.csv row 16)</t>
  </si>
  <si>
    <t xml:space="preserve">Influent Pump Station hatches: C4.1: 36 x 36 in and 30 x 48 in H-20 single-leaf hatches (Process &amp; Mechanical). 03 40 00 ¶2.02 E.2: one 48 x 30 in H-20 aluminum hatch with safety grate; ¶2.02 D.1: 3 ft x 5 ft light-duty aluminum hatch (Structural &amp; Building). S2.4 "Drain Pump Station" lid: two 2 ft-6 in x 4 ft-0 in openings.</t>
  </si>
  <si>
    <t xml:space="preserve">Process &amp; Mechanical: PROPOSED-IPS-HATCHES — Influent Pump Station access hatches: 36x36-in. single leaf H-20 (Halliday H1R3636) and 30x48-in. single leaf H-20 over pumps (Halliday H1R3048); area Influent Pump Station; sheets C4.1; spec —; bid 1 [Inferred] (Process_and_Mechanical_Ledger.csv row 47)</t>
  </si>
  <si>
    <t xml:space="preserve">Structural &amp; Building: PROPOSED-Drain-Pump-Station-Hatches — Access hatches (2), 2 ft-6 in x 4 ft-0 in rough openings, in the drain pump station lid — per civil; area Drain Pump Station; sheets S2.4; spec —; bid 1 (Inferred per 04) [Inferred] (Structural_and_Building_Ledger.csv row 30) / PROPOSED-Influent-Pump-Station-Precast-Wet-Well — Precast wet well, 8 ft ID (Oldcastle Infrastructure 96 in diameter), with 48 in x 30 in H-20 aluminum hatch and safety grate (LW Products HD-3C) — In…; area Influent Pump Station; sheets —; spec 03 40 00; bid 1 (Inferred per 04) [Unresolved] (Structural_and_Building_Ledger.csv row 37) / PROPOSED-Influent-Pump-Station-Top-Slab — Influent Pump Station top slab per Contract Plan details, with new aluminum access hatch and safety grates; area Influent Pump Station; sheets —; spec 03 40 00; bid 1 (Inferred per 04) [Unresolved] (Structural_and_Building_Ledger.csv row 38)</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</si>
  <si>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C4.1 governs over 03 40 00; the internal 03 40 00 conflict (Structural &amp; Building Issues §1 #5) and the S2.4 identity stay open.</t>
  </si>
  <si>
    <t xml:space="preserve">Influent Pump Station level transducer: Bid Item 1 (Process &amp; Mechanical, 22 13 29) vs 6 (Electrical &amp; Controls, 26 80 00) — specified in two sections. The 0–15 psi vs 0–15 ft range question is internal to Electrical &amp; Controls (Issues #7).</t>
  </si>
  <si>
    <t xml:space="preserve">Process &amp; Mechanical: PROPOSED-IPS-LEVEL-TRANSDUCER — Influent Pump Station wet well level transducer, set 6 in. above floor (set points T1-T7); area Influent Pump Station; sheets C4.1; spec 22 13 29; bid 1 [Inferred] (Process_and_Mechanical_Ledger.csv row 44)</t>
  </si>
  <si>
    <t xml:space="preserve">Electrical &amp; Controls: LT (Influent Pump Station) — Submersible level transducer: WIKA pressure transmitter, 316 SS, 0–15 psi, LevelGuard, 4–20 mA loop powered, vented, NEMA 4X termination enclosure; area Influent Pump Station; sheets E4.1; E4.2; E6.3; E8.1; E8.5; E10.1; spec 26 80 00; bid 6 [Unresolved] (Electrical_and_Controls_Ledger.csv row 62)</t>
  </si>
  <si>
    <t xml:space="preserve">Unresolved — which section and bid item carry it.</t>
  </si>
  <si>
    <t xml:space="preserve">Influent Pump Station floats F1–F4: One Process &amp; Mechanical roll-up row vs four Electrical &amp; Controls rows. Bid Item 1 (22 13 29) vs 6 (26 80 00). Float-to-pump assignment E4.2 vs E8.3 (Electrical &amp; Controls Issues #9).</t>
  </si>
  <si>
    <t xml:space="preserve">Process &amp; Mechanical: F1–F4 [Influent Pump Station] — Influent Pump Station backup float switches F1-F4, timer control; area Influent Pump Station; sheets C4.1; spec 22 13 29; bid 1 [Inferred] (Process_and_Mechanical_Ledger.csv row 45)</t>
  </si>
  <si>
    <t xml:space="preserve">Electrical &amp; Controls: F1 (Influent Pump Station) — Float switch F1, Eco-Float GP60NONC, non-mercury NO/NC — redundant large lag on at 19.00 (with timer); area Influent Pump Station; sheets E4.1; E4.2; E6.3; E8.1; E8.3; E10.1; spec 26 80 00; bid 6 [Inferred] (Electrical_and_Controls_Ledger.csv row 58) / F2 (Influent Pump Station) — Float switch F2, Eco-Float GP60NONC, non-mercury NO/NC — redundant large lead on at 18.50; area Influent Pump Station; sheets E4.1; E4.2; E6.3; E8.1; E8.3; E10.1; spec 26 80 00; bid 6 [Inferred] (Electrical_and_Controls_Ledger.csv row 59) / F3 (Influent Pump Station) — Float switch F3, Eco-Float GP60NONC, non-mercury NO/NC — redundant small lag on at 18.00; area Influent Pump Station; sheets E4.1; E4.2; E6.3; E8.1; E8.3; E10.1; spec 26 80 00; bid 6 [Inferred] (Electrical_and_Controls_Ledger.csv row 60) / F4 (Influent Pump Station) — Float switch F4, Eco-Float GP60NONC, non-mercury NO/NC — redundant small lead on at 17.50; area Influent Pump Station; sheets E4.1; E4.2; E6.3; E8.1; E8.3; E10.1; spec 26 80 00; bid 6 [Inferred] (Electrical_and_Controls_Ledger.csv row 61)</t>
  </si>
  <si>
    <t xml:space="preserve">Unresolved — which section and bid item carry them.</t>
  </si>
  <si>
    <t xml:space="preserve">Influent Pump Station valve vaults (2): C4.1: 4 ft-2 in x 4 ft-2 in x 5 ft-6 in min. inside, Utility Vault 506-LA or equal (Process &amp; Mechanical) vs 03 40 00: 4 x 4 ft, Oldcastle 4686-LA, 36 x 36 in hatch (Structural &amp; Building).</t>
  </si>
  <si>
    <t xml:space="preserve">Process &amp; Mechanical: PROPOSED-IPS-VALVE-VAULTS — Influent Pump Station valve vaults (2), precast 4 ft 2 in x 4 ft 2 in x 5 ft 6 in min. inside, Utility Vault Co. 506-LA or equal; area Influent Pump Station; sheets C4.1; spec 22 13 29; bid 1 [Inferred] (Process_and_Mechanical_Ledger.csv row 46)</t>
  </si>
  <si>
    <t xml:space="preserve">Structural &amp; Building: PROPOSED-Influent-Pump-Station-Meter-Vaults — Precast vaults, 4 ft x 4 ft (Oldcastle Infrastructure 4686-LA), with 36 in x 36 in H-20 single-leaf hatches (Halliday H1R3636) — Influent Pump Statio…; area Influent Pump Station; sheets —; spec 03 40 00; bid 1 (Inferred per 04) [Inferred] (Structural_and_Building_Ledger.csv row 42)</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</si>
  <si>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C4.1 governs over 03 40 00.</t>
  </si>
  <si>
    <t xml:space="preserve">Influent pump seal-fail and overtemperature relays: Who furnishes: Contractor supplies to the Control Systems Integrator (22 13 29, Process &amp; Mechanical) vs pump manufacturer (E8.1 key note 3, Electrical &amp; Controls). Bid Item 1 + Alt A vs 1 + 6.</t>
  </si>
  <si>
    <t xml:space="preserve">Process &amp; Mechanical: PROPOSED-IPS-MOTOR-SAVER-RELAYS — Flygt MiniCAS-120 motor saver relays for the influent pumps, supplied by Contractor to the Control Systems Integrator; area Influent Pump Station; sheets —; spec 22 13 29; bid 1; Equipment Alternate A [Inferred] (Process_and_Mechanical_Ledger.csv row 93)</t>
  </si>
  <si>
    <t xml:space="preserve">Electrical &amp; Controls: PROPOSED-Influent-Pump-Seal-Fail-Overtemp-Relays — Influent pump seal-fail and overtemperature relays (4), Mini-CAS or equal, furnished by the pump manufacturer, installed in the IPS panel; area Influent Pump Station; sheets E8.1; spec —; bid 1 (equipment, Inferred per 04); 6 (power and control) [Inferred] (Electrical_and_Controls_Ledger.csv row 123)</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</si>
  <si>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E8.1 governs over 22 13 29 on who furnishes.</t>
  </si>
  <si>
    <t xml:space="preserve">WAS flow meter: Area: Sludge Pump and Valving Area (C6.2) vs Treatment Building (E4.1). Which line the meter serves is open (Process &amp; Mechanical Issue 18).</t>
  </si>
  <si>
    <t xml:space="preserve">Process &amp; Mechanical: PROPOSED-WAS-FLOW-METER — WAS flow meter, 2-inch, on the WAS line to the digester, per electrical design requirements; area Sludge Pump and Valving Area; sheets C6.2; spec —; bid 6 [Unresolved] (Process_and_Mechanical_Ledger.csv row 112)</t>
  </si>
  <si>
    <t xml:space="preserve">Electrical &amp; Controls: PROPOSED-WAS-Dewatering-Flow-Meter — Dewatering flow meter ("WAS flow meter" on E7.0), Promag W400 with local display, Cat 6 to the IPS panel; area Treatment Building (existing; E4.1 key note 3 calls it "Dewatering Building" — see Issues); sheets E4.1; E6.3; E7.0; E10.2; spec 26 80 00; bid 6 [Inferred] (Electrical_and_Controls_Ledger.csv row 75)</t>
  </si>
  <si>
    <t xml:space="preserve">Unresolved (Process &amp; Mechanical Issue 18).</t>
  </si>
  <si>
    <t xml:space="preserve">Influent flow meter vault: Structural &amp; Building gives the 03 40 00 vault (4 x 4 ft, Oldcastle 4686-LA); Process &amp; Mechanical gives the location only (C3.1). C7.9 (unavailable) may detail it.</t>
  </si>
  <si>
    <t xml:space="preserve">Process &amp; Mechanical: PROPOSED-INFLUENT-FLOW-METER-VAULT — Flow meter vault on the splitter inlet line (north); area Influent Flow Splitter; sheets C3.1; spec —; bid 1 [Inferred] (Process_and_Mechanical_Ledger.csv row 23)</t>
  </si>
  <si>
    <t xml:space="preserve">Structural &amp; Building: PROPOSED-Influent-Flow-Meter-Valve-Vault — Precast vault, 4 ft x 4 ft (Oldcastle Infrastructure 4686-LA), with 36 in x 36 in H-20 single-leaf hatch (Halliday H1R3636) — Influent Flow Meter Val…; area Site; sheets —; spec 03 40 00; bid 1 (Inferred per 04) [Inferred] (Structural_and_Building_Ledger.csv row 39)</t>
  </si>
  <si>
    <t xml:space="preserve">No attribute conflict stated.</t>
  </si>
  <si>
    <t xml:space="preserve">2W pumps (2): Count agrees (1 duty, 1 standby; 5 HP). Tags differ inside Electrical &amp; Controls: 2W-P1/2W-P2 (E6.1) vs P-2W-1/P-2W-2 (E4.3) — Electrical &amp; Controls Issues #3.</t>
  </si>
  <si>
    <t xml:space="preserve">Process &amp; Mechanical: PROPOSED-2W-PUMPS — 2W plant water pumps (2), submersible well pumps, 1 duty and 1 standby, 20-80 gpm; area 2W Pump Station; sheets G0.7; C4.2; spec 43 22 10; bid 1; 6 [Inferred] (Process_and_Mechanical_Ledger.csv row 51)</t>
  </si>
  <si>
    <t xml:space="preserve">Electrical &amp; Controls: 2W-P1 — 2W Water Pump No.1, 5 HP, VFD in MCC (E4.3 tags it P-2W-1); area 2W Pump Station; sheets E4.3; E6.1; E6.3; E7.3; E7.4; E9.1; spec —; bid 1 (equipment, Inferred per 04); 6 (power and control) [Unresolved] (Electrical_and_Controls_Ledger.csv row 98) / 2W-P2 — 2W Water Pump No.2, 5 HP, VFD in MCC (E4.3 tags it P-2W-2); area 2W Pump Station; sheets E4.3; E6.1; E6.3; E7.3; E7.4; E9.1; spec —; bid 1 (equipment, Inferred per 04); 6 (power and control) [Unresolved] (Electrical_and_Controls_Ledger.csv row 99)</t>
  </si>
  <si>
    <t xml:space="preserve">Unresolved (tag — Electrical &amp; Controls Issues #3).</t>
  </si>
  <si>
    <t xml:space="preserve">2W floats F1–F4: One Process &amp; Mechanical roll-up row vs four Electrical &amp; Controls rows; E&amp;C prints LSH-111 (F1) and LSL-111 (F4). Functions agree (valve close/open, high and low alarms). Bid Item 1 vs 6.</t>
  </si>
  <si>
    <t xml:space="preserve">Process &amp; Mechanical: F1–F4 [2W Pump Station] — 2W pump station float switches F1-F4; area 2W Pump Station; sheets C4.2; spec 43 22 10; bid 1 [Inferred] (Process_and_Mechanical_Ledger.csv row 52)</t>
  </si>
  <si>
    <t xml:space="preserve">Electrical &amp; Controls: LSH-111 — 2W float F1: high level alarm and redundant valve close at 22.00 (factory float tree); area 2W Pump Station; sheets E4.3; E7.3; spec 26 80 00; bid 6 [Verified-Visual] (Electrical_and_Controls_Ledger.csv row 100) / F2 (2W Pump Station) — 2W float F2: valve close at 20.00 (factory float tree); area 2W Pump Station; sheets E4.3; E7.3; spec 26 80 00; bid 6 [Verified-Visual] (Electrical_and_Controls_Ledger.csv row 101) / F3 (2W Pump Station) — 2W float F3: valve open at 19.00 (factory float tree); area 2W Pump Station; sheets E4.3; E7.3; spec 26 80 00; bid 6 [Verified-Visual] (Electrical_and_Controls_Ledger.csv row 102) / LSL-111 — 2W float F4: low level alarm and pumps off at 15.00 (factory float tree); area 2W Pump Station; sheets E4.3; E7.3; spec 26 80 00; bid 6 [Verified-Visual] (Electrical_and_Controls_Ledger.csv row 103)</t>
  </si>
  <si>
    <t xml:space="preserve">No functional conflict; tag format and bid item to settle.</t>
  </si>
  <si>
    <t xml:space="preserve">2W pump station wet well: Process &amp; Mechanical and Contract &amp; General rows are combined (same PROPOSED name and area). 96-in precast agrees; Structural &amp; Building adds the 48 x 30 in H-20 hatch (03 40 00).</t>
  </si>
  <si>
    <t xml:space="preserve">Process &amp; Mechanical: PROPOSED-2W-PUMP-STATION-WET-WELL — 2W plant water pump station wet well, 96-inch precast, floor 10.00, top 21.50, with 30-inch fiberglass access structure, insulated gasketed lid and 3…; area 2W Pump Station; sheets C4.2; spec 43 22 10; bid 1 [Inferred] (Process_and_Mechanical_Ledger.csv row 50)</t>
  </si>
  <si>
    <t xml:space="preserve">Structural &amp; Building: PROPOSED-2W-Pump-Station-Precast-Wet-Well — Precast wet well, 8 ft ID (Oldcastle Infrastructure 96 in diameter), with 48 in x 30 in H-20 aluminum hatch and safety grate (LW Products HD-3C) — 2W…; area 2W Pump Station; sheets —; spec 03 40 00; bid 1 (Inferred per 04) [Inferred] (Structural_and_Building_Ledger.csv row 36) || Contract &amp; General: PROPOSED-2W-Pump-Station-Wet-Well — 2W water system pump station wet well; area 2W Pump Station; sheets —; spec 01 45 00; 01 50 00; bid 1 [Inferred] (Contract_and_General_Ledger.csv row 44)</t>
  </si>
  <si>
    <t xml:space="preserve">2W system pressure transducer: Printed tag PIT-620 on C4.3 (Process &amp; Mechanical); Electrical &amp; Controls kept a PROPOSED tag (E7.5 shows "PT" only). Location: "2W Equipment Layout" (C4.3) vs Blower Building (E2.1 base). Add. 4 moves the bladder tank assembly to the Train #2 building (pp.3, 6). Bid Item 1 vs 6.</t>
  </si>
  <si>
    <t xml:space="preserve">Process &amp; Mechanical: PIT-620 — 2W system pressure transducer, 0-150 psi (operating 55-75 psi); area 2W Equipment Layout (room not named on C4.3); sheets C4.3; spec 43 22 10; bid 1 [Inferred] (Process_and_Mechanical_Ledger.csv row 54)</t>
  </si>
  <si>
    <t xml:space="preserve">Electrical &amp; Controls: PROPOSED-2W-Pressure-Transducer — 2W system pressure transducer, 0–150 psi, 4–20 mA, Blower Building; area Blower Building; sheets E2.1; E6.3; E7.5; spec 26 80 00; 26 80 00; bid 6 [Verified] (Electrical_and_Controls_Ledger.csv row 34)</t>
  </si>
  <si>
    <t xml:space="preserve">Add. 4 governs the tank assembly location; the transducer location is not stated in Add. 4 — Unresolved.</t>
  </si>
  <si>
    <t xml:space="preserve">Hot Box #1 solenoid valve: ASCO Redhat 8221, 3/4-in, normally closed, 120 VAC (C7.6 Det. 1) vs isolation valve solenoid (E4.3). Agree.</t>
  </si>
  <si>
    <t xml:space="preserve">Civil &amp; Site: PROPOSED-Hot Box #1 solenoid valve — Solenoid valve, ASCO Redhat 8221, 3/4-inch, slow-closing, normally closed, 120 VAC, NEMA 4X; area Site; sheets C7.6 (Det. 1); spec —; bid 1 [Inferred] (Civil_and_Site_Ledger.csv row 103)</t>
  </si>
  <si>
    <t xml:space="preserve">Electrical &amp; Controls: PROPOSED-2W-Isolation-Valve-Solenoid — Isolation valve solenoid in Hot Box #1 (2W line); area 2W Pump Station; sheets E4.3; E6.3; E7.4; spec —; bid 1 (equipment, Inferred per 04); 6 (power and control) [Verified-Visual] (Electrical_and_Controls_Ledger.csv row 108)</t>
  </si>
  <si>
    <t xml:space="preserve">2W discharge line: Process &amp; Mechanical: 2-in SCH 80 PVC to 3-in HDPE; Civil &amp; Site Pipe ID 10: 3-in HDPE (Add. 4; base 2-in Sch. 80 PVC).</t>
  </si>
  <si>
    <t xml:space="preserve">Civil &amp; Site: Pipe ID 10 — 3-inch 2W water line, HDPE (Add. 4; base: 2-inch Sch. 80 PVC force main); area Site; Existing building (C1.6A); sheets C1.3 (Add. 4 p.7); C1.6A (Add. 4 p.8); spec 33 31 00; 33 30 00; 33 05 00; 33 33 00; bid 1 [Inferred] (Civil_and_Site_Ledger.csv row 39)</t>
  </si>
  <si>
    <t xml:space="preserve">Process &amp; Mechanical: PROPOSED-2W-DISCHARGE-LINE — 2W plant water discharge, 2-inch SCH 80 PVC to 3-inch HDPE; area 2W Pump Station; sheets C4.2; C6.3; C6.4; spec 43 22 10; bid 1 [Inferred] (Process_and_Mechanical_Ledger.csv row 55)</t>
  </si>
  <si>
    <t xml:space="preserve">Add. 4 p.7 (C1.3 reissue) governs — 3-in HDPE.</t>
  </si>
  <si>
    <t xml:space="preserve">2W supply to the bladder tanks: 1-in below the existing floor (C6.4) vs Pipe ID 23, 1-in 2W HDPE (C1.3, C1.6A; Add. 4).</t>
  </si>
  <si>
    <t xml:space="preserve">Civil &amp; Site: Pipe ID 23 — 1-inch 2W water line, HDPE (Add. 4); area Site; Existing building (C1.6A); sheets C1.3 (Add. 4 p.7); C1.6A (Add. 4 p.8); spec 33 31 00; 33 30 00; 33 05 00; 33 33 00; bid 1 [Inferred] (Civil_and_Site_Ledger.csv row 52)</t>
  </si>
  <si>
    <t xml:space="preserve">Process &amp; Mechanical: PROPOSED-2W-BLADDER-TANK-SUPPLY — 1-inch 2W supply piping to the bladder tanks, routed below existing concrete floor, slab penetration at tank connection; area Train #2 Building (per Add. 4 p.6); sheets C6.4; spec 43 22 10; bid 1 [Inferred] (Process_and_Mechanical_Ledger.csv row 91)</t>
  </si>
  <si>
    <t xml:space="preserve">Add. 4 governs; no attribute conflict.</t>
  </si>
  <si>
    <t xml:space="preserve">Yard hydrants: Quantity not stated (15 40 00) vs 3 locations (C1.3 reissue).</t>
  </si>
  <si>
    <t xml:space="preserve">Civil &amp; Site: Pipe ID 22 — 1-inch yard hydrants, 3 locations (Add. 4); area Site; sheets C1.3 (Add. 4 p.7); C7.1 (Det. 1); C7.5 (Det. 1); spec 33 31 00; 33 30 00; 33 05 00; bid 1 [Unresolved] (Civil_and_Site_Ledger.csv row 51)</t>
  </si>
  <si>
    <t xml:space="preserve">Process &amp; Mechanical: PROPOSED-YARD-HYDRANTS — 1-inch frost-proof yard hydrants with vacuum breakers (quantity not stated); area Site; sheets —; spec 15 40 00; 43 22 10; bid 1 [Inferred] (Process_and_Mechanical_Ledger.csv row 95)</t>
  </si>
  <si>
    <t xml:space="preserve">Add. 4 p.7 governs the count; which detail applies is open (Civil &amp; Site CS-19).</t>
  </si>
  <si>
    <t xml:space="preserve">Post hydrants: 2-in; quantity and location not stated in either lane (C7.5 Det. 2 "see plan for size"; C1.1 unavailable).</t>
  </si>
  <si>
    <t xml:space="preserve">Civil &amp; Site: PROPOSED-Post hydrant — Post hydrant on 2-inch HDPE supply with buried 2-inch gate valve; area Site; sheets C7.5 (Det. 2); spec 33 30 00; bid 1 [Unresolved] (Civil_and_Site_Ledger.csv row 99)</t>
  </si>
  <si>
    <t xml:space="preserve">Process &amp; Mechanical: PROPOSED-POST-HYDRANTS — 2-inch post hydrants with 2-inch atmospheric vacuum breakers (quantity not stated); area Site; sheets —; spec 15 40 00; bid 1 [Inferred] (Process_and_Mechanical_Ledger.csv row 96)</t>
  </si>
  <si>
    <t xml:space="preserve">No attribute conflict; location Unresolved.</t>
  </si>
  <si>
    <t xml:space="preserve">UV disinfection units (2): Two channels/units agree. Module and lamp count is internal to Process &amp; Mechanical (G0.7 vs C5.4 / 46 66 00 — Issue 13).</t>
  </si>
  <si>
    <t xml:space="preserve">Process &amp; Mechanical: PROPOSED-UV-SYSTEM — UV disinfection system, Trojan UV3000 PTP or equal: 2 open-channel systems (UV Channels #1 and #2), 6 modules per bank, 4 lamps per module, 48 lamps,…; area UV Disinfection Chamber &amp; Digester; sheets G0.5; G0.6; G0.7; C5.1; C5.2; C5.3; C5.4; spec 46 66 00; bid 1; Equipment Alternate D [Unresolved] (Process_and_Mechanical_Ledger.csv row 58)</t>
  </si>
  <si>
    <t xml:space="preserve">Electrical &amp; Controls: UV1 — UV disinfection unit No.1 (UV modules on 10-ft cords, 2 per PDR); area UV Disinfection Chamber; sheets E5.1; E6.2; E6.3; E7.3; E7.5; spec —; bid 1 (equipment, Inferred per 04); 6 (power and control) [Inferred] (Electrical_and_Controls_Ledger.csv row 109) / UV2 — UV disinfection unit No.2 (UV modules on 10-ft cords, 2 per PDR); area UV Disinfection Chamber; sheets E5.1; E6.2; E6.3; E7.3; E7.5; spec —; bid 1 (equipment, Inferred per 04); 6 (power and control) [Inferred] (Electrical_and_Controls_Ledger.csv row 110) || Contract &amp; General: PROPOSED-UV-Disinfection-System — UV disinfection system equipment; area UV Disinfection Chamber &amp; Digester; sheets —; spec 00 31 13; 00 41 00; 00 73 00; 01 33 00; 01 70 00; 01 91 00; bid 1; Equipment Alternate D [Inferred] (Contract_and_General_Ledger.csv row 11)</t>
  </si>
  <si>
    <t xml:space="preserve">No cross-lane attribute conflict.</t>
  </si>
  <si>
    <t xml:space="preserve">UV control panels and power distribution: Process &amp; Mechanical bundles control panels, splitter panel, receptacles and system monitor (46 66 00, Item 1); Electrical &amp; Controls splits the UV controllers (furnished with the UV system) from contractor-provided splitter panels (26 27 26, Item 6). Monitor distance 15 ft (C5.4) vs 12 ft (46 66 00) — Process &amp; Mechanical Issue 33.</t>
  </si>
  <si>
    <t xml:space="preserve">Process &amp; Mechanical: PROPOSED-UV-CONTROL-PANELS — UV control panels on chamber walls (2 on C5.1): splitter panel, power distribution receptacles and wall-mounted system monitor per UV unit (C5.4); area UV Disinfection Chamber &amp; Digester; sheets C5.1; C5.2; C5.3; C5.4; spec 46 66 00; bid 1; Equipment Alternate D [Unresolved] (Process_and_Mechanical_Ledger.csv row 59)</t>
  </si>
  <si>
    <t xml:space="preserve">Electrical &amp; Controls: PROPOSED-UV-Control-Panel-1 — UV control panel 1 (UV system controller), furnished with the UV system, installed by the contractor; area UV Disinfection Chamber; sheets E5.1; E6.3; spec —; bid 1 (equipment, Inferred per 04); 6 (power and control) [Inferred] (Electrical_and_Controls_Ledger.csv row 111) / PROPOSED-UV-Control-Panel-2 — UV control panel 2 (UV system controller), furnished with the UV system, installed by the contractor; area UV Disinfection Chamber; sheets E5.1; E6.3; spec —; bid 1 (equipment, Inferred per 04); 6 (power and control) [Inferred] (Electrical_and_Controls_Ledger.csv row 112) / PROPOSED-UV-Power-Distribution-1 — UV power distribution 1: stainless splitter panel within 10 ft of the module power end, wiring gutter, J-boxes and (3) duplex GFCI power distribution…; area UV Disinfection Chamber; sheets E5.1; E6.2; E6.3; spec 26 27 26; bid 6 [Verified-Visual] (Electrical_and_Controls_Ledger.csv row 113) / PROPOSED-UV-Power-Distribution-2 — UV power distribution 2: stainless splitter panel within 10 ft of the module power end, wiring gutter, J-boxes and (3) duplex GFCI power distribution…; area UV Disinfection Chamber; sheets E5.1; E6.2; E6.3; spec 26 27 26; bid 6 [Verified-Visual] (Electrical_and_Controls_Ledger.csv row 114)</t>
  </si>
  <si>
    <t xml:space="preserve">Unresolved — furnish/install split between the UV supplier and electrical; monitor distance: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C5.4 governs over 46 66 00.</t>
  </si>
  <si>
    <t xml:space="preserve">UV chamber and digester structure: One Process &amp; Mechanical structure row (about 45 x 13 ft) vs two Structural &amp; Building rows (UV basin 8-in walls; digester 12-in walls; S2.2, 03 30 00) vs two Contract &amp; General schedule rows.</t>
  </si>
  <si>
    <t xml:space="preserve">Process &amp; Mechanical: PROPOSED-UV-DIGESTER-STRUCTURE — UV Disinfection Chamber &amp; Digester structure, concrete, about 45 x 13 ft: UV chamber, effluent sample chamber, aerobic digester; area UV Disinfection Chamber &amp; Digester; sheets G0.5; G0.6; C5.1; C5.2; C5.3; spec —; bid 1 [Unresolved] (Process_and_Mechanical_Ledger.csv row 57)</t>
  </si>
  <si>
    <t xml:space="preserve">Structural &amp; Building: PROPOSED-UV-Disinfection-Chamber-Basin — UV Disinfection Chamber basin — 8 in CIP concrete walls on 12 in mat slab, with 8 in equipment support walls (4); area UV Disinfection Chamber &amp; Digester; sheets S2.2; S1.1; S4.1; spec 03 30 00; bid 1 (Inferred per 04) [Unresolved] (Structural_and_Building_Ledger.csv row 23) / PROPOSED-Digester-Concrete-Tank — Digester — 12 in CIP concrete walls on 12 in mat slab with sloped unreinforced topping; area UV Disinfection Chamber &amp; Digester; sheets S2.2; S1.1; S4.1; spec 03 30 00; bid 1 (Inferred per 04) [Unresolved] (Structural_and_Building_Ledger.csv row 24) || Contract &amp; General: PROPOSED-Aerobic-Digester — Aerobic digester; area UV Disinfection Chamber &amp; Digester; sheets —; spec 00 24 13; 00 31 13; 00 73 00; 01 45 00; 01 50 00; bid 1 [Inferred] (Contract_and_General_Ledger.csv row 9) / PROPOSED-UV-Disinfection-Chamber — UV disinfection chamber (UV channels #1 and #2); area UV Disinfection Chamber &amp; Digester; sheets —; spec 00 31 13; 01 45 00; 01 50 00; bid 1 [Inferred] (Contract_and_General_Ledger.csv row 10)</t>
  </si>
  <si>
    <t xml:space="preserve">UV / digester grating, guardrail and ladders: Grating: removable grating over the digester (C5.1–C5.3) vs aluminum solid plank on HDG angles (S2.2) vs bar grating on FRP angles (05 53 00) — Structural &amp; Building Issues §1 #7.</t>
  </si>
  <si>
    <t xml:space="preserve">Process &amp; Mechanical: PROPOSED-UV-DIGESTER-GRATING-GUARDRAIL — UV/digester guardrail with removable guard chains, removable grating over digester, aluminum access ladders (nominal 2 ft wide); area UV Disinfection Chamber &amp; Digester; sheets C5.1; C5.2; C5.3; spec —; bid 1 [Inferred] (Process_and_Mechanical_Ledger.csv row 62)</t>
  </si>
  <si>
    <t xml:space="preserve">Structural &amp; Building: PROPOSED-UV-Digester-Grating — Aluminum solid plank grating with continuous HDG edge angles — UV basin and digester; area UV Disinfection Chamber &amp; Digester; sheets S2.2; spec 05 53 00; bid 1 (Inferred per 04) [Unresolved] (Structural_and_Building_Ledger.csv row 26) / PROPOSED-UV-Digester-Guardrail-and-Ladders — Guardrail and ladders at the UV basin and digester — shown "per civil"; area UV Disinfection Chamber &amp; Digester; sheets S2.2; spec 05 52 00; 05 51 10; bid 1 (Inferred per 04) [Unresolved] (Structural_and_Building_Ledger.csv row 27)</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</si>
  <si>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S2.2 governs over 05 53 00; C5.x vs S2.2 (drawing vs drawing) stays Unresolved.</t>
  </si>
  <si>
    <t xml:space="preserve">Digester level instrument: S1 high alarm 25.55 / S2 low alarm 15.30 (C5.3) vs WIKA 0–15 psi transducer (E5.1; range vs 0–15 ft on E7.5 — Electrical &amp; Controls Issues #7). Bid Item 1 vs 6.</t>
  </si>
  <si>
    <t xml:space="preserve">Process &amp; Mechanical: S1–S2 [Aerobic Digester] — Aerobic digester transducer level sensor(s): S1 high alarm 25.55, S2 low alarm 15.30; area UV Disinfection Chamber &amp; Digester; sheets C5.3; spec —; bid 1 [Inferred] (Process_and_Mechanical_Ledger.csv row 69)</t>
  </si>
  <si>
    <t xml:space="preserve">Electrical &amp; Controls: PROPOSED-Digester-Level-Transducer — Digester level transducer: WIKA submersible, 316 SS, 0–15 psi, LevelGuard, 4–20 mA, vented, desiccant, NEMA 4X; J-box with terminals and desiccant on…; area Digester; sheets E5.1; E6.3; E7.1; E7.5; spec 26 80 00; bid 6 [Unresolved] (Electrical_and_Controls_Ledger.csv row 115)</t>
  </si>
  <si>
    <t xml:space="preserve">Unresolved (Electrical &amp; Controls Issues #7).</t>
  </si>
  <si>
    <t xml:space="preserve">WAS pump: 3 HP agrees. Area label: Sludge Pump and Valving Area vs Treatment Building (Electrical &amp; Controls Issues #5). Contract &amp; General "Sludge pumps" covers the WAS, swing and digested sludge pumps.</t>
  </si>
  <si>
    <t xml:space="preserve">Process &amp; Mechanical: PROPOSED-WAS-PUMP — WAS pump, packaged sludge pump, 3 HP; area Sludge Pump and Valving Area; sheets G0.5; G0.6; G0.7; C6.2; spec 22 13 36; bid 1; 6 [Inferred] (Process_and_Mechanical_Ledger.csv row 80)</t>
  </si>
  <si>
    <t xml:space="preserve">Electrical &amp; Controls: WP-1 — WAS Pump No.1, 3 HP, VFD in MCC; area Treatment Building (existing; E4.1 key note 3 calls it "Dewatering Building" — see Issues); sheets E4.1; E6.1; E6.3; E7.3; E7.4; E9.1; spec —; bid 1 (equipment, Inferred per 04); 6 (power and control) [Verified-Visual] (Electrical_and_Controls_Ledger.csv row 81) || Contract &amp; General: PROPOSED-Sludge-Pumps — Sludge pumps (peristaltic; WAS and digested sludge); area Sludge Pump and Valving Area; sheets —; spec 00 31 13; 01 33 00; 01 70 00; 01 91 00; 01 45 00; bid 1 [Inferred] (Contract_and_General_Ledger.csv row 12)</t>
  </si>
  <si>
    <t xml:space="preserve">No attribute conflict; building naming open.</t>
  </si>
  <si>
    <t xml:space="preserve">Swing sludge pump: 3 HP agrees; standby for either service. Area label differs as above.</t>
  </si>
  <si>
    <t xml:space="preserve">Process &amp; Mechanical: PROPOSED-SWING-SLUDGE-PUMP — Swing pump, packaged sludge pump, 3 HP, standby for either the WAS or digested sludge pump; area Sludge Pump and Valving Area; sheets G0.5; G0.6; G0.7; C6.2; spec 22 13 36; bid 1; 6 [Inferred] (Process_and_Mechanical_Ledger.csv row 81)</t>
  </si>
  <si>
    <t xml:space="preserve">Electrical &amp; Controls: WP-2 — WAS Pump No.2 / swing pump, 3 HP, VFD in MCC; area Treatment Building (existing; E4.1 key note 3 calls it "Dewatering Building" — see Issues); sheets E4.1; E6.1; E6.3; E7.3; E7.4; E9.1; spec —; bid 1 (equipment, Inferred per 04); 6 (power and control) [Verified-Visual] (Electrical_and_Controls_Ledger.csv row 82)</t>
  </si>
  <si>
    <t xml:space="preserve">Digested sludge pump: 3 HP agrees. The Electrical &amp; Controls tag SD-1 is also Civil &amp; Site storm drain SD-1 (tag collision). Speed control: press PLC vs main PLC (Process &amp; Mechanical Issue 36).</t>
  </si>
  <si>
    <t xml:space="preserve">Process &amp; Mechanical: PROPOSED-DIGESTED-SLUDGE-PUMP — Digested sludge pump, packaged sludge pump, 3 HP; area Sludge Pump and Valving Area; sheets G0.5; G0.6; G0.7; C6.2; spec 22 13 36; 46 76 26; bid 1; 6 [Unresolved] (Process_and_Mechanical_Ledger.csv row 82)</t>
  </si>
  <si>
    <t xml:space="preserve">Add. 4 p.2 (22 13 36 ¶2.01 A) governs the VFD location (MCC); speed control Unresolved.</t>
  </si>
  <si>
    <t xml:space="preserve">Sludge pump local panels vs local disconnects (3): Local electrical control panels by the pump manufacturer (22 13 36) vs local motor disconnects (26 28 16). May be different devices.</t>
  </si>
  <si>
    <t xml:space="preserve">Process &amp; Mechanical: PROPOSED-SLUDGE-PUMP-LOCAL-PANELS — Sludge pump local electrical control panels (3), by pump manufacturer; area Sludge Pump and Valving Area; sheets —; spec 22 13 36; bid 1; 6 [Inferred] (Process_and_Mechanical_Ledger.csv row 94)</t>
  </si>
  <si>
    <t xml:space="preserve">Electrical &amp; Controls: PROPOSED-WAS-and-Sludge-Pump-Local-Disconnects — Local motor disconnects for WP-1, WP-2 and SD-1 (3); area Treatment Building (existing; E4.1 key note 3 calls it "Dewatering Building" — see Issues); sheets E4.1; E6.1; spec 26 28 16; bid 6 [Inferred] (Electrical_and_Controls_Ledger.csv row 84)</t>
  </si>
  <si>
    <t xml:space="preserve">Owner to confirm whether both are required.</t>
  </si>
  <si>
    <t xml:space="preserve">Rotary fan press and skid control panel: Electrical &amp; Controls DW-1: dewatering skid, 15 HP, 480 V, with skid control panel; Process &amp; Mechanical carries the press and its control panel. Equipment Alternate C on Process &amp; Mechanical and Contract &amp; General rows only.</t>
  </si>
  <si>
    <t xml:space="preserve">Process &amp; Mechanical: PROPOSED-ROTARY-FAN-PRESS — Rotary fan press (rotary press model), steel, 1 unit; area Rotary Fan Press System; sheets G0.5; G0.6; G0.7; C6.1; spec 46 76 26; bid 1; Equipment Alternate C [Inferred] (Process_and_Mechanical_Ledger.csv row 70) / PROPOSED-RFP-CONTROL-PANEL — Rotary fan press control panel with operator interface, 1; area Rotary Fan Press System; sheets C6.1; spec 46 76 26; bid 1; Equipment Alternate C [Unresolved] (Process_and_Mechanical_Ledger.csv row 75)</t>
  </si>
  <si>
    <t xml:space="preserve">Electrical &amp; Controls: DW-1 — Dewatering skid with skid control panel DW-1: pre-wired and factory tested, UL/ETL labeled per WA L&amp;I, 15 HP, 480 V 3-ph; skid PLC, operator interfac…; area Treatment Building (existing; E4.1 key note 3 calls it "Dewatering Building" — see Issues); sheets E4.1; E6.1; E6.3; E7.0; E9.1; spec —; bid 1 (equipment, Inferred per 04); 6 (power and control) [Verified-Visual] (Electrical_and_Controls_Ledger.csv row 80) || Contract &amp; General: PROPOSED-Dewatering-System — Sludge dewatering system (rotary fan press); area Rotary Fan Press System; sheets —; spec 00 31 13; 00 41 00; 00 73 00; 01 33 00; 01 70 00; 01 91 00; bid 1; Equipment Alternate C [Unresolved] (Contract_and_General_Ledger.csv row 28)</t>
  </si>
  <si>
    <t xml:space="preserve">Polymer system / polymer feed pump: Emulsion polymer make-up system (46 33 33) vs polymer feed pump at the skid (E4.1). The "dry polymer mix unit" plan label is internal to Process &amp; Mechanical (Issue 16).</t>
  </si>
  <si>
    <t xml:space="preserve">Process &amp; Mechanical: PROPOSED-POLYMER-SYSTEM — Emulsion (liquid) polymer make-up system, Fournier frame with Watson-Marlow peristaltic dosing pump; C6.1 plan labels a dry polymer mix unit; area Rotary Fan Press System; sheets C6.1; spec 46 33 33; bid 1; Equipment Alternate C [Unresolved] (Process_and_Mechanical_Ledger.csv row 76)</t>
  </si>
  <si>
    <t xml:space="preserve">Electrical &amp; Controls: PROPOSED-Polymer-Feed-Pump — Polymer feed pump at the dewatering skid; 120 V GFCI receptacle LP2-6 and 4–20 mA flow pace; area Treatment Building (existing; E4.1 key note 3 calls it "Dewatering Building" — see Issues); sheets E4.1; E6.2; E6.3; E8.6; E10.2; spec —; bid 1 (equipment, Inferred per 04); 6 (power and control) [Verified-Visual] (Electrical_and_Controls_Ledger.csv row 86)</t>
  </si>
  <si>
    <t xml:space="preserve">Permanent standby generator: 125 kW / 156 kVA, 480Y/277V (E1.1, E10.3; 26 32 13). The generator on S2.4 is not identified as permanent or temporary (Structural &amp; Building Issues §2 #5). All three carry Item 1 or 6 — Unresolved.</t>
  </si>
  <si>
    <t xml:space="preserve">Electrical &amp; Controls: GEN — Standby diesel generator, 480Y/277V, 125 kW / 156 kVA, sound-attenuated outdoor enclosure with sub-base diesel fuel tank (permanent); area Electric Service Area; sheets E1.1; E6.1; E6.3; E7.3; E10.3; spec 26 32 13; bid Unresolved — 1 or 6 (see 04, Other bid-item conflicts #1); Equipment Alternate E [Unresolved] (Electrical_and_Controls_Ledger.csv row 7)</t>
  </si>
  <si>
    <t xml:space="preserve">Structural &amp; Building: PROPOSED-Generator-on-S2.4 — Generator shown on the generator slab — "per civil, attachment by others"; area Generator Pad; sheets S2.4; spec —; bid 1 or 6 — Unresolved (see 04) [Unresolved] (Structural_and_Building_Ledger.csv row 32) || Contract &amp; General: PROPOSED-Permanent-Standby-Generator — Permanent 480V standby generator; area Not stated; sheets —; spec 00 31 13; 00 41 00; 00 73 00; 01 33 00; 01 70 00; bid 1 or 6 — Unresolved (see 04); Equipment Alternate E [Unresolved] (Contract_and_General_Ledger.csv row 24)</t>
  </si>
  <si>
    <t xml:space="preserve">Bid item: permanent generator carry-forward flag.</t>
  </si>
  <si>
    <t xml:space="preserve">Automatic transfer switch (permanent): Bid Item: "6; 18 — Unresolved (see 04) for the temporary-generator connection" (Electrical &amp; Controls) vs "18 — Unresolved (see 04)" (Contract &amp; General). 400 A, service-entrance rated (26 36 00).</t>
  </si>
  <si>
    <t xml:space="preserve">Electrical &amp; Controls: ATS — Automatic transfer switch, service-entrance rated, 480Y/277V, 400 A (permanent); area Electric Service Area; sheets E1.1; E6.1; E6.3; E7.3; spec 26 36 00; bid 6; 18 — Unresolved (see 04) for the temporary-generator connection [Unresolved] (Electrical_and_Controls_Ledger.csv row 4)</t>
  </si>
  <si>
    <t xml:space="preserve">Contract &amp; General: PROPOSED-Automatic-Transfer-Switch — Automatic transfer switch (permanent); area Not stated; sheets —; spec 01 33 00; 01 70 00; bid 18 — Unresolved (see 04) [Unresolved] (Contract_and_General_Ledger.csv row 23)</t>
  </si>
  <si>
    <t xml:space="preserve">Construction power service: Bid Item 6 (Electrical &amp; Controls, 26 05 00) vs 1 (Contract &amp; General, 01 50 00).</t>
  </si>
  <si>
    <t xml:space="preserve">Electrical &amp; Controls: PROPOSED-Construction-Power-Service — Dedicated construction power service (contractor-provided, contractor-paid energy); area Not stated; sheets Not shown; spec 26 05 00; bid 6 (Division 26 per 04) [Verified] (Electrical_and_Controls_Ledger.csv row 125)</t>
  </si>
  <si>
    <t xml:space="preserve">Contract &amp; General: PROPOSED-Temporary-Construction-Power — Temporary construction power and lighting (poles, transformer if required, cords, outlets, lamps); area Site; sheets —; spec 01 50 00; bid 1 [Unresolved] (Contract_and_General_Ledger.csv row 37)</t>
  </si>
  <si>
    <t xml:space="preserve">Unresolved — 04 ¶6 (Division 26) vs ¶1 (Division 01 work).</t>
  </si>
  <si>
    <t xml:space="preserve">Bypass pumping: Same temporary scope from G0.3 / C0.5 (Civil &amp; Site) and 01 50 00 / 00 31 13 (Contract &amp; General); Contract &amp; General splits the bypass pipe and alarm monitoring into their own rows.</t>
  </si>
  <si>
    <t xml:space="preserve">Civil &amp; Site: PROPOSED-Temporary bypass pumping system — Temporary bypass pumping, piping, holding tanks and storage; area Site; sheets G0.3; C0.5; spec —; bid 1 [Inferred] (Civil_and_Site_Ledger.csv row 1)</t>
  </si>
  <si>
    <t xml:space="preserve">Contract &amp; General: PROPOSED-Temporary-Bypass-Pipe — Temporary bypass pipe (chlorine contact tank outlet to 8-inch plant outlet); area Site; sheets —; spec 00 31 13; bid 1 [Inferred] (Contract_and_General_Ledger.csv row 4) / PROPOSED-Bypass-Pumping-System — Bypass pumping systems (influent and effluent) for WWTP shutdowns; area Site; sheets —; spec 01 33 00; 01 50 00; bid 1 [Inferred] (Contract_and_General_Ledger.csv row 33) / PROPOSED-Temporary-Bypass-Alarm-Monitoring — Temporary bypass alarm and status monitoring (cellular notification; wired to the existing WWTP control system); area Not stated; sheets —; spec 01 50 00; bid 1 [Inferred] (Contract_and_General_Ledger.csv row 40)</t>
  </si>
  <si>
    <t xml:space="preserve">Construction dewatering: Same scope; pay basis is open (Civil &amp; Site CS-25). Not the sludge dewatering system (see the "dewatering system" name collision).</t>
  </si>
  <si>
    <t xml:space="preserve">Contract &amp; General: PROPOSED-Temporary-Construction-Dewatering — Temporary construction dewatering (excavations); area Site; sheets —; spec 01 11 10; 00 31 13; bid 1 [Inferred] (Contract_and_General_Ledger.csv row 34)</t>
  </si>
  <si>
    <t xml:space="preserve">Shoring and trench safety: Bid Item: Civil &amp; Site puts all shoring and trench safety under Item 2; Contract &amp; General splits trench safety (Item 2) from other excavation support (Item 1).</t>
  </si>
  <si>
    <t xml:space="preserve">Civil &amp; Site: PROPOSED-Temporary shoring and trench safety systems — Temporary shoring, bracing and trench excavation safety systems (PE-designed where required); area Site; sheets G0.3 (Note 7); spec 31 40 00; 31 23 33; bid 2 [Inferred] (Civil_and_Site_Ledger.csv row 113)</t>
  </si>
  <si>
    <t xml:space="preserve">Contract &amp; General: PROPOSED-Trench-Safety-System — Trench safety system; area Site; sheets —; spec 00 24 13; 00 41 00; bid 2 [Unresolved] (Contract_and_General_Ledger.csv row 2) / PROPOSED-Temporary-Excavation-Support — Temporary excavation support (shoring, bracing, sheeting, cribbing); area Site; sheets —; spec 01 11 10; bid 1; 2 (trench safety only) [Inferred] (Contract_and_General_Ledger.csv row 35)</t>
  </si>
  <si>
    <t xml:space="preserve">Unresolved — 00 24 13 ¶2 scope boundary.</t>
  </si>
  <si>
    <t xml:space="preserve">TESC / SWPPP best management practices: Bid Item: Civil &amp; Site rows carry Item 4, SWPPP Preparation (04: TESC plans and 31 32 11 in ¶4). Contract &amp; General carries Item 5, Maintenance Work for SWPPP (00 24 13 ¶5 names the quarry spall entrance, track clean plates, silt fencing and other BMPs, maintained for the life of the project).</t>
  </si>
  <si>
    <t xml:space="preserve">Civil &amp; Site: PROPOSED-Plastic covering for slopes and stockpiles — Plastic covering for slopes and stockpiles (TESC); area Site; sheets C0.4 (Det. 1); C0.3; spec 31 32 11; bid 4 [Inferred] (Civil_and_Site_Ledger.csv row 3) / PROPOSED-Catch basin inserts — Catch basin inserts (inlet protection, TESC); area Site; sheets C0.4 (Det. 2); C0.2; C0.3; spec 31 32 11; bid 4 [Inferred] (Civil_and_Site_Ledger.csv row 4) / PROPOSED-Filter fabric fence — Filter fabric (silt) fence (TESC); area Site; sheets C0.4 (Det. 3); C0.2; C0.6; C0.3; spec 31 32 11; bid 4 [Unresolved] (Civil_and_Site_Ledger.csv row 5) / PROPOSED-Stabilized construction entrance — Stabilized construction entrance (quarry spalls on geotextile); area Site; sheets C0.4 (Det. 4); C0.2; C0.3; spec 31 32 11; bid 4 [Unresolved] (Civil_and_Site_Ledger.csv row 6) / PROPOSED-Geotextile encased check dams — Geotextile encased check dams (BMP C208); area Site; sheets C0.4 (Det. 5); C0.3; spec 31 32 11; bid 4 [Unresolved] (Civil_and_Site_Ledger.csv row 7) / PROPOSED-Compost berm — Compost berm (TESC); area Site; sheets —; spec 31 32 11; bid 4 [Unresolved] (Civil_and_Site_Ledger.csv row 111) / PROPOSED-Orange barrier fence — Orange high-visibility barrier fence (TESC / clearing limits); area Site; sheets C0.4 (Det. 3 note); spec 31 32 11; bid 4 [Unresolved] (Civil_and_Site_Ledger.csv row 112)</t>
  </si>
  <si>
    <t xml:space="preserve">Contract &amp; General: PROPOSED-Erosion-and-Sediment-Control-Measures — Erosion and sediment control measures (SWPPP); area Site; sheets TESC plans (civil sheets, not numbered in source); spec 00 24 13; 00 41 00; 01 50 00; bid 5 [Inferred] (Contract_and_General_Ledger.csv row 3)</t>
  </si>
  <si>
    <t xml:space="preserve">Unresolved — 00 24 13 ¶4 vs ¶5, both base.</t>
  </si>
  <si>
    <t xml:space="preserve">Temporary construction / funding recognition sign: 15 08 13 sign, 4 x 8 ft plywood, Ecology and CDBG Commerce (Civil &amp; Site) vs 00 53 00 Ecology funding recognition sign (Contract &amp; General). One sign or two is not stated.</t>
  </si>
  <si>
    <t xml:space="preserve">Civil &amp; Site: PROPOSED-Temporary construction sign — Temporary construction sign, 4 x 8 ft plywood, Ecology and CDBG Commerce requirements; area Site; sheets —; spec 15 08 13; bid 1 [Inferred] (Civil_and_Site_Ledger.csv row 109)</t>
  </si>
  <si>
    <t xml:space="preserve">Contract &amp; General: PROPOSED-Funding-Recognition-Sign — Funding recognition sign (Ecology financial assistance); area Site; sheets —; spec 00 53 00; bid 1 [Inferred] (Contract_and_General_Ledger.csv row 30)</t>
  </si>
  <si>
    <t xml:space="preserve">Unresolved.</t>
  </si>
  <si>
    <t xml:space="preserve">Site surfacing and paving: Contract &amp; General adds Bid Item 8 for extra HMA only; Civil &amp; Site rows carry Item 1. Paving limits are on C2.6 (unavailable).</t>
  </si>
  <si>
    <t xml:space="preserve">Civil &amp; Site: PROPOSED-HMA pavement — Asphalt concrete pavement, 4-in HMA Class 1/2-in PG 58H-22 over 4-in CSBC and 12-in gravel base, thickened edge; area Site; sheets C7.3 (Det. 3); C7.4 (Det. 2); C2.6; spec 32 12 16; bid 1 [Unresolved] (Civil_and_Site_Ledger.csv row 97) / PROPOSED-Gravel surfacing — Gravel surfacing, 4-in compacted base course over subgrade at 95%; area Site; sheets C7.3 (Det. 5); C2.6; spec —; bid 1 [Unresolved] (Civil_and_Site_Ledger.csv row 98)</t>
  </si>
  <si>
    <t xml:space="preserve">Contract &amp; General: PROPOSED-Site-Final-Surfacing-and-Pavement — Final surfacing and pavement (entire site); area Site; sheets —; spec 00 31 13; 00 24 13; 00 41 00; 00 73 00; 01 45 00; bid 1; 8 (extra HMA only) [Inferred] (Contract_and_General_Ledger.csv row 29)</t>
  </si>
  <si>
    <t xml:space="preserve">No attribute conflict (Item 8 pays extra quantities only).</t>
  </si>
  <si>
    <t xml:space="preserve">Interim / temporary 8-in effluent pipe: Agree; routing and removal are on C0.7 (unavailable).</t>
  </si>
  <si>
    <t xml:space="preserve">Civil &amp; Site: PROPOSED-Interim 8in HDPE effluent pipe — Interim 8-inch HDPE effluent pipe; area Site; sheets C0.5 (KN 1, 8); C0.7 (cited); spec 33 33 00; bid 1 [Unresolved] (Civil_and_Site_Ledger.csv row 9)</t>
  </si>
  <si>
    <t xml:space="preserve">Contract &amp; General: PROPOSED-Temporary-8in-Effluent-Piping — Temporary 8-inch effluent piping; area Site; sheets —; spec 00 31 13; bid 1 [Inferred] (Contract_and_General_Ledger.csv row 5)</t>
  </si>
  <si>
    <t xml:space="preserve">Influent flow splitter: Prefabricated 316 SS, 4 equal chambers (C3.2 KN 7). No specification section in any lane (Process &amp; Mechanical Issue 40).</t>
  </si>
  <si>
    <t xml:space="preserve">Process &amp; Mechanical: PROPOSED-FLOW-SPLITTER-BOX — Influent flow splitter box, prefabricated 316 SS, 4 equal chambers with adjustable weirs, removable cover; area Influent Flow Splitter; sheets G0.5; G0.6; C3.1; C3.2; spec —; bid 1 [Inferred] (Process_and_Mechanical_Ledger.csv row 21)</t>
  </si>
  <si>
    <t xml:space="preserve">Structural &amp; Building: PROPOSED-Flow-Splitter — Flow splitter — per civil, attachment by others; area Flow Splitter; sheets S2.4; spec —; bid 1 (Inferred per 04) [Inferred] (Structural_and_Building_Ledger.csv row 34) || Contract &amp; General: PROPOSED-Influent-Flow-Splitter — Influent flow splitter; area Influent Flow Splitter; sheets —; spec 00 31 13; 00 73 00; 01 45 00; 01 50 00; bid 1 [Inferred] (Contract_and_General_Ledger.csv row 18)</t>
  </si>
  <si>
    <t xml:space="preserve">No attribute conflict; spec gap listed under the coverage check.</t>
  </si>
  <si>
    <t xml:space="preserve">Flow splitter pad: About 6.5 x 4.0 x 1.3 ft, top 26.00 (C3.1–C3.2) vs equipment pad on the existing slab-on-grade (S2.4; 03 30 00).</t>
  </si>
  <si>
    <t xml:space="preserve">Process &amp; Mechanical: PROPOSED-FLOW-SPLITTER-SUPPORT — Concrete support pad for flow splitter box, about 6.5 x 4.0 x 1.3 ft tall, top elev 26.00; area Influent Flow Splitter; sheets C3.1; C3.2; spec —; bid 1 [Inferred] (Process_and_Mechanical_Ledger.csv row 22)</t>
  </si>
  <si>
    <t xml:space="preserve">Structural &amp; Building: PROPOSED-Flow-Splitter-Pad — Concrete equipment pad for the flow splitter, on the existing equipment slab-on-grade; area Flow Splitter; sheets S2.4; spec 03 30 00; bid 1 (Inferred per 04) [Inferred] (Structural_and_Building_Ledger.csv row 33)</t>
  </si>
  <si>
    <t xml:space="preserve">Existing influent pipe removal: C3.1 (Process &amp; Mechanical) and C0.5 KN 24 (Civil &amp; Site); Civil &amp; Site CS-03 asks Merge to reconcile the removal with the C3.1 sequence notes.</t>
  </si>
  <si>
    <t xml:space="preserve">Civil &amp; Site: PROPOSED-Existing 8in influent pipe — Existing 8-inch influent pipe — abandon and remove; area Site; sheets C0.5 (KN 24); C3.1 (cited); spec 02 41 00; bid 1 [Inferred] (Civil_and_Site_Ledger.csv row 25)</t>
  </si>
  <si>
    <t xml:space="preserve">Process &amp; Mechanical: PROPOSED-EXISTING-INFLUENT-PIPING-REMOVAL — Existing influent piping conflicts at the splitter: dewater, abandon, remove; area Influent Flow Splitter; sheets C3.1; spec —; bid 1 [Inferred] (Process_and_Mechanical_Ledger.csv row 11)</t>
  </si>
  <si>
    <t xml:space="preserve">Existing slab cut for sub-floor piping: Core or saw cut and repair (C1.6A) vs trench cut and concrete infill, 24 in max. (S4.1 Detail 8, Add. 4 p.10).</t>
  </si>
  <si>
    <t xml:space="preserve">Civil &amp; Site: PROPOSED-Existing slab coring and repair — Existing building slab — core or saw cut for under-slab piping, then repair; area Existing building (C1.6A); sheets C1.6A (Add. 4 p.8); spec —; bid 1 [Inferred] (Civil_and_Site_Ledger.csv row 72)</t>
  </si>
  <si>
    <t xml:space="preserve">Structural &amp; Building: PROPOSED-Existing-Slab-Trench-Infill — Trench cut and concrete infill in existing slab for sub-floor sludge piping (Detail 8); area Not stated (existing building per C1.6A); sheets S4.1; spec 03 30 00; bid 1 (Inferred per 04) [Inferred] (Structural_and_Building_Ledger.csv row 35)</t>
  </si>
  <si>
    <t xml:space="preserve">Add. 4 governs (C1.6A p.8; S4.1 p.10).</t>
  </si>
  <si>
    <t xml:space="preserve">Train 1 influent line (INF1 = Pipe ID 14): 8-in agrees; DI gravity per C1.3 (material not stated by Process &amp; Mechanical).</t>
  </si>
  <si>
    <t xml:space="preserve">Civil &amp; Site: Pipe ID 14 — 8-inch Train 1 influent (DI gravity), 0.4% min; area Site; sheets C1.3 (Add. 4 p.7); spec 33 31 00; 33 30 00; 33 05 00; bid 1 [Inferred] (Civil_and_Site_Ledger.csv row 43)</t>
  </si>
  <si>
    <t xml:space="preserve">Process &amp; Mechanical: INF1 — Train 1 influent line, flow splitter to existing Train 1, 8-inch; area Influent Flow Splitter; sheets G0.5; C3.1; C3.2; spec —; bid 1 [Inferred] (Process_and_Mechanical_Ledger.csv row 1)</t>
  </si>
  <si>
    <t xml:space="preserve">Train 2 influent line (INF2 = Pipe ID 13): 8-in DI agrees.</t>
  </si>
  <si>
    <t xml:space="preserve">Civil &amp; Site: Pipe ID 13 — 8-inch Train 2 influent (DI gravity), 0.4% min; area Site; sheets C1.3 (Add. 4 p.7); spec 33 31 00; 33 30 00; 33 05 00; bid 1 [Inferred] (Civil_and_Site_Ledger.csv row 42)</t>
  </si>
  <si>
    <t xml:space="preserve">Process &amp; Mechanical: INF2 — Train 2 influent line, flow splitter to existing Train 2, 8-inch DI; area Influent Flow Splitter; sheets G0.5; C3.1; C3.2; spec —; bid 1 [Inferred] (Process_and_Mechanical_Ledger.csv row 2)</t>
  </si>
  <si>
    <t xml:space="preserve">Train 3 influent line (INF3 = Pipe ID 11): 8-in agrees. C7.10 labels the vault piping force main in plan and gravity in elevation (Civil &amp; Site CS-16).</t>
  </si>
  <si>
    <t xml:space="preserve">Civil &amp; Site: Pipe ID 11 — 8-inch Train 3 influent (DI gravity), 0.4% min; area Site; sheets C1.3 (Add. 4 p.7); spec 33 31 00; 33 30 00; 33 05 00; bid 1 [Inferred] (Civil_and_Site_Ledger.csv row 40)</t>
  </si>
  <si>
    <t xml:space="preserve">Process &amp; Mechanical: INF3 — Train 3 influent line, flow splitter to Train 3, 8-inch; area Influent Flow Splitter; Train 3; sheets G0.5; C3.1; C3.2; C3.3; C3.5; spec —; bid 1 [Inferred] (Process_and_Mechanical_Ledger.csv row 3)</t>
  </si>
  <si>
    <t xml:space="preserve">No attribute conflict between lanes.</t>
  </si>
  <si>
    <t xml:space="preserve">Train 1 secondary effluent (SE1 = Pipe ID 24): Pipe ID 24 is added by Add. 4 (8-in DI gravity); Process &amp; Mechanical status Not stated.</t>
  </si>
  <si>
    <t xml:space="preserve">Civil &amp; Site: Pipe ID 24 — 8-inch Train 1 effluent (DI gravity), 0.4% min (Add. 4); area Site; sheets C1.3 (Add. 4 p.7); spec 33 31 00; 33 30 00; 33 05 00; bid 1 [Inferred] (Civil_and_Site_Ledger.csv row 53)</t>
  </si>
  <si>
    <t xml:space="preserve">Process &amp; Mechanical: SE1 — Train 1 secondary effluent line to effluent flow meter and UV; area Site; sheets G0.5; spec —; bid 1 [Inferred] (Process_and_Mechanical_Ledger.csv row 4)</t>
  </si>
  <si>
    <t xml:space="preserve">Add. 4 p.7 governs.</t>
  </si>
  <si>
    <t xml:space="preserve">Train 2 secondary effluent (SE2 = Pipe ID 16): 8-in DI gravity on C1.3; size not stated by Process &amp; Mechanical.</t>
  </si>
  <si>
    <t xml:space="preserve">Civil &amp; Site: Pipe ID 16 — 8-inch Train 2 effluent (DI gravity), 0.4% min; area Site; Existing building (C1.6A); sheets C1.3 (Add. 4 p.7); C1.6A (Add. 4 p.8); spec 33 31 00; 33 30 00; 33 05 00; bid 1 [Inferred] (Civil_and_Site_Ledger.csv row 45)</t>
  </si>
  <si>
    <t xml:space="preserve">Process &amp; Mechanical: SE2 — Train 2 secondary effluent line to effluent flow meter and UV; area Site; sheets G0.5; spec —; bid 1 [Inferred] (Process_and_Mechanical_Ledger.csv row 5)</t>
  </si>
  <si>
    <t xml:space="preserve">Train 3 secondary effluent (SE3 = Pipe ID 17): 8-in agrees.</t>
  </si>
  <si>
    <t xml:space="preserve">Civil &amp; Site: Pipe ID 17 — 8-inch Train 3 effluent (DI gravity), 0.4% min; area Site; sheets C1.3 (Add. 4 p.7); spec 33 31 00; 33 30 00; 33 05 00; bid 1 [Inferred] (Civil_and_Site_Ledger.csv row 46)</t>
  </si>
  <si>
    <t xml:space="preserve">Process &amp; Mechanical: SE3 — Train 3 secondary effluent line, 8-inch; area Train 3; sheets G0.5; C3.3; C3.5; spec —; bid 1 [Inferred] (Process_and_Mechanical_Ledger.csv row 6)</t>
  </si>
  <si>
    <t xml:space="preserve">Train 3 WAS line (WAS3 = Pipe ID 15): 2-in agrees. Material Sch. 80 PVC (C1.3) vs buried WAS in DI (33 31 00 ¶2.01 F.2) — Civil &amp; Site CS-29.</t>
  </si>
  <si>
    <t xml:space="preserve">Civil &amp; Site: Pipe ID 15 — 2-inch Train 3 WAS (Sch. 80 PVC gravity), positive drainage throughout; area Site; Existing building (C1.6A); sheets C1.3 (Add. 4 p.7); C1.6A (Add. 4 p.8); spec 33 31 00; 33 30 00; 33 05 00; bid 1 [Unresolved] (Civil_and_Site_Ledger.csv row 44)</t>
  </si>
  <si>
    <t xml:space="preserve">Process &amp; Mechanical: WAS3 — Train 3 WAS / clarifier drain line to WAS pump manifold, 2-inch; area Train 3; sheets G0.5; C3.3; C3.4; C6.2; spec 46 53 00; bid 1 [Inferred] (Process_and_Mechanical_Ledger.csv row 9)</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</si>
  <si>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C1.3 governs over 33 31 00.</t>
  </si>
  <si>
    <t xml:space="preserve">Influent pump station discharge to splitter (Pipe ID 18): 6-in DI; Process &amp; Mechanical adds the rise to 12-in DI at the box (C3.1–C3.2).</t>
  </si>
  <si>
    <t xml:space="preserve">Civil &amp; Site: Pipe ID 18 — 6-inch influent to flow splitter (DI force main), positive slope throughout; area Site; sheets C1.3 (Add. 4 p.7); spec 33 31 00; 33 30 00; 33 05 00; bid 1 [Inferred] (Civil_and_Site_Ledger.csv row 47)</t>
  </si>
  <si>
    <t xml:space="preserve">Process &amp; Mechanical: PROPOSED-IPS-DISCHARGE-TO-SPLITTER — Influent Pump Station discharge to flow splitter, 6-inch DI restrained rising to 12-inch DI at the box; area Influent Flow Splitter; sheets G0.5; C3.1; C3.2; C4.1; spec 22 13 29; bid 1 [Inferred] (Process_and_Mechanical_Ledger.csv row 10)</t>
  </si>
  <si>
    <t xml:space="preserve">STEP influent to the influent pump station (Pipe ID 3): 8-in agrees (IE 19.50).</t>
  </si>
  <si>
    <t xml:space="preserve">Civil &amp; Site: Pipe ID 3 — 8-inch influent (DI gravity), 0.4% min; area Site; sheets C1.3 (Add. 4 p.7); spec 33 31 00; 33 30 00; 33 05 00; bid 1 [Inferred] (Civil_and_Site_Ledger.csv row 32)</t>
  </si>
  <si>
    <t xml:space="preserve">Process &amp; Mechanical: PROPOSED-STEP-INFLUENT-CONNECTION — 8-inch STEP influent connection to the new Influent Pump Station, IE 19.50; area Influent Pump Station; sheets G0.5; G0.6; C3.1; C4.1; spec —; bid 1 [Inferred] (Process_and_Mechanical_Ledger.csv row 49)</t>
  </si>
  <si>
    <t xml:space="preserve">UV chamber drain (Pipe ID 2): 4-in agrees; the Civil &amp; Site line also carries digester supernatant.</t>
  </si>
  <si>
    <t xml:space="preserve">Civil &amp; Site: Pipe ID 2 — 4-inch UV disinfection drain and digester supernatant (DI gravity), 2% min; area Site; sheets C1.3 (Add. 4 p.7); spec 33 31 00; 33 30 00; 33 05 00; bid 1 [Inferred] (Civil_and_Site_Ledger.csv row 31)</t>
  </si>
  <si>
    <t xml:space="preserve">Process &amp; Mechanical: PROPOSED-UV-CHAMBER-DRAIN — UV chamber drain, 4-inch, with 4-inch gate valves; area UV Disinfection Chamber &amp; Digester; sheets G0.5; C5.1; C5.2; C5.3; spec —; bid 1 [Inferred] (Process_and_Mechanical_Ledger.csv row 61)</t>
  </si>
  <si>
    <t xml:space="preserve">Plant drain line (Pipe ID 25): 4-in. The Process &amp; Mechanical line carries filtrate, pressate and supernatant; Civil &amp; Site splits pressate (ID 25, Add. 4) and supernatant (ID 2).</t>
  </si>
  <si>
    <t xml:space="preserve">Civil &amp; Site: Pipe ID 25 — 4-inch pressate drain (DI gravity), 2% min (Add. 4); area Site; Existing building (C1.6A); sheets C1.3 (Add. 4 p.7); C1.6A (Add. 4 p.8); spec 33 31 00; 33 30 00; 33 05 00; bid 1 [Inferred] (Civil_and_Site_Ledger.csv row 54)</t>
  </si>
  <si>
    <t xml:space="preserve">Process &amp; Mechanical: PROPOSED-PLANT-DRAIN-LINE — Filtrate, pressate and digester supernatant drain line to Influent Pump Station, 4-inch (IE 13.40 at wet well); area Site; sheets G0.5; G0.6; C4.1; C5.1; C5.3; C6.1; spec 46 76 26; bid 1 [Inferred] (Process_and_Mechanical_Ledger.csv row 48)</t>
  </si>
  <si>
    <t xml:space="preserve">Add. 4 governs ID 25.</t>
  </si>
  <si>
    <t xml:space="preserve">Digested sludge line (Pipe ID 7): 2-in Sch. 80 PVC agrees; C6.2 shows 4-in (Process &amp; Mechanical Issue 17).</t>
  </si>
  <si>
    <t xml:space="preserve">Civil &amp; Site: Pipe ID 7 — 2-inch digested sludge (Sch. 80 PVC force main), positive slope throughout; area Site; Existing building (C1.6A); sheets C1.3 (Add. 4 p.7); C1.6A (Add. 4 p.8); spec 33 31 00; 33 30 00; 33 05 00; bid 1 [Inferred] (Civil_and_Site_Ledger.csv row 36)</t>
  </si>
  <si>
    <t xml:space="preserve">Process &amp; Mechanical: PROPOSED-DIGESTED-SLUDGE-LINE — Digested sludge line, 2-inch SCH 80 PVC, digester to digested sludge pumps; area UV Disinfection Chamber &amp; Digester; sheets G0.5; C5.1; C5.3; C6.2; spec —; bid 1 [Unresolved] (Process_and_Mechanical_Ledger.csv row 66)</t>
  </si>
  <si>
    <t xml:space="preserve">Unresolved (Process &amp; Mechanical Issue 17 — drawing vs drawing).</t>
  </si>
  <si>
    <t xml:space="preserve">WAS pump discharge to digester (Pipe ID 19): Size: 3-in (C5.1, C5.3) vs 2-in (C1.3 reissue, Add. 4 p.7; C6.2).</t>
  </si>
  <si>
    <t xml:space="preserve">Civil &amp; Site: Pipe ID 19 — 2-inch digester WAS influent (Sch. 80 PVC gravity); area Site; Existing building (C1.6A); sheets C1.3 (Add. 4 p.7); C1.6A (Add. 4 p.8); spec 33 31 00; 33 30 00; 33 05 00; bid 1 [Unresolved] (Civil_and_Site_Ledger.csv row 48)</t>
  </si>
  <si>
    <t xml:space="preserve">Process &amp; Mechanical: PROPOSED-WAS-PUMP-DISCHARGE-TO-DIGESTER — WAS pump discharge to aerobic digester, 3-inch; area UV Disinfection Chamber &amp; Digester; sheets G0.5; C5.1; C5.3; C6.2; spec —; bid 1 [Unresolved] (Process_and_Mechanical_Ledger.csv row 67)</t>
  </si>
  <si>
    <t xml:space="preserve">Unresolved — the C1.3 reissue shows 2-in, but the Add. 4 p.3 edit list does not change it (drawing vs drawing).</t>
  </si>
  <si>
    <t xml:space="preserve">Final effluent line (Pipe ID 5): 10-in DI on C1.3 and C5.2/C5.3 vs a "12-in D.I. FINAL EFFLUENT" label on C5.3 (Process &amp; Mechanical Issue 15). C1.3 is new cross-lane evidence for 10-in.</t>
  </si>
  <si>
    <t xml:space="preserve">Civil &amp; Site: Pipe ID 5 — 10-inch UV disinfection effluent (DI gravity), 0.28% min; area Site; sheets C1.3 (Add. 4 p.7); spec 33 31 00; 33 30 00; 33 05 00; bid 1 [Inferred] (Civil_and_Site_Ledger.csv row 34)</t>
  </si>
  <si>
    <t xml:space="preserve">Process &amp; Mechanical: PROPOSED-FINAL-EFFLUENT-LINE — Final effluent, UV chamber to existing SSMH *1288 and 12-inch outfall, 10-inch; area Site; sheets G0.5; G0.6; C5.2; C5.3; spec —; bid 1 [Unresolved] (Process_and_Mechanical_Ledger.csv row 68)</t>
  </si>
  <si>
    <t xml:space="preserve">Unresolved — not an Add. 4 change (drawing vs drawing).</t>
  </si>
  <si>
    <t xml:space="preserve">Aeration air to Train 3 (Pipe ID 20): 6-in SS agrees. 33 31 00 ¶2.01 D.2 calls for poly-wrapped DI for buried aeration piping 4 in and larger (Civil &amp; Site CS-29).</t>
  </si>
  <si>
    <t xml:space="preserve">Civil &amp; Site: Pipe ID 20 — 6-inch Cell 3 air (SS); area Site; sheets C1.3 (Add. 4 p.7); spec 33 31 00; 33 30 00; 33 05 00; bid 1 [Unresolved] (Civil_and_Site_Ledger.csv row 49)</t>
  </si>
  <si>
    <t xml:space="preserve">Process &amp; Mechanical: PROPOSED-AIR-TO-TRAIN-3 — 6-inch SS aeration air line, Blower Building to Train 3 (buried, IE 15.90 at drop); area Blower Building; Train 3; sheets C6.4; C6.5; C3.3; C3.5; spec 33 31 00 (cited on C6.4); 46 53 00; bid 1 [Inferred] (Process_and_Mechanical_Ledger.csv row 88)</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</si>
  <si>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C1.3 / C6.4 govern over 33 31 00.</t>
  </si>
  <si>
    <t xml:space="preserve">Digester air line (Pipe ID 21): 3-in and 4-in (Process &amp; Mechanical) vs 4-in SS (C1.3); same 33 31 00 material question (CS-29).</t>
  </si>
  <si>
    <t xml:space="preserve">Civil &amp; Site: Pipe ID 21 — 4-inch digester air (SS); area Site; Existing building (C1.6A); sheets C1.3 (Add. 4 p.7); C1.6A (Add. 4 p.8); spec 33 31 00; 33 30 00; 33 05 00; bid 1 [Unresolved] (Civil_and_Site_Ledger.csv row 50)</t>
  </si>
  <si>
    <t xml:space="preserve">Process &amp; Mechanical: PROPOSED-DIGESTER-AIR-LINES — Aerobic digester air supply lines, 3-inch and 4-inch; area UV Disinfection Chamber &amp; Digester; sheets C5.1; C5.2; C5.3; C6.3; spec —; bid 1 [Inferred] (Process_and_Mechanical_Ledger.csv row 65)</t>
  </si>
  <si>
    <t xml:space="preserve">Drawing with no spec, or spec with no drawing</t>
  </si>
  <si>
    <t xml:space="preserve">On drawings, no technical spec section — Hot Box #1 — 2W water hot box #1 — flow meter and isolation valve (relocated per Add. 4) / PROPOSED-Hot-Box-1 — Hot Box #1 (2W): houses the 1-in 2W flow meter, isolation valve solenoid, heat trace, GFE…</t>
  </si>
  <si>
    <t xml:space="preserve">Civil &amp; Site; Electrical &amp; Controls — sheets: C1.3 (Add. 4 p.7); C7.6 (Det. 1); E4.3; E6.2; E6.3</t>
  </si>
  <si>
    <t xml:space="preserve">No row for this item cites a Division 02–46 section or a technical appendix.</t>
  </si>
  <si>
    <t xml:space="preserve">— (coverage check)</t>
  </si>
  <si>
    <t xml:space="preserve">On drawings, no technical spec section — PROPOSED-Parking stall striping — Parking stall striping, including van-accessible stall and signs</t>
  </si>
  <si>
    <t xml:space="preserve">Civil &amp; Site — sheets: C7.1 (Det. 4); C2.6</t>
  </si>
  <si>
    <t xml:space="preserve">On drawings, no technical spec section — PROPOSED-Concrete walkway — Concrete walkway / pavement, 6-inch minimum, #3 at 12 in each way</t>
  </si>
  <si>
    <t xml:space="preserve">Civil &amp; Site — sheets: C7.2 (Det. 1); C7.4 (Det. 4); C2.6</t>
  </si>
  <si>
    <t xml:space="preserve">On drawings, no technical spec section — PROPOSED-WWTP tank and building signs — WWTP tank and building signs, 9 (UV Disinfection Chamber, Blower Building, Dewatering Fac…</t>
  </si>
  <si>
    <t xml:space="preserve">Civil &amp; Site — sheets: C7.3 (Det. 1)</t>
  </si>
  <si>
    <t xml:space="preserve">On drawings, no technical spec section — PROPOSED-Buried valve label markers — Bronze buried valve label markers (Berntsen #C35FB) with cast iron valve boxes and concre…</t>
  </si>
  <si>
    <t xml:space="preserve">Civil &amp; Site — sheets: C7.3 (Det. 2, 4); C1.4</t>
  </si>
  <si>
    <t xml:space="preserve">On drawings, no technical spec section — PROPOSED-Hot Box #1 solenoid valve — Solenoid valve, ASCO Redhat 8221, 3/4-inch, slow-closing, normally closed, 120 VAC, NEMA… / PROPOSED-2W-Isolation-Valve-Solenoid — Isolation valve solenoid in Hot Box #1 (2W line)</t>
  </si>
  <si>
    <t xml:space="preserve">Civil &amp; Site; Electrical &amp; Controls — sheets: C7.6 (Det. 1); E4.3; E6.3; E7.4</t>
  </si>
  <si>
    <t xml:space="preserve">On drawings, no technical spec section — WAS1 — Train 1 waste activated sludge line to WAS pump</t>
  </si>
  <si>
    <t xml:space="preserve">Process &amp; Mechanical — sheets: G0.5; C6.2</t>
  </si>
  <si>
    <t xml:space="preserve">On drawings, no technical spec section — WAS2 — Train 2 waste activated sludge line to WAS pump</t>
  </si>
  <si>
    <t xml:space="preserve">On drawings, no technical spec section — PROPOSED-FLOW-SPLITTER-BOX — Influent flow splitter box, prefabricated 316 SS, 4 equal chambers with adjustable weirs,… / PROPOSED-Flow-Splitter — Flow splitter — per civil, attachment by others / PROPOSED-Influent-Flow-Splitter — Influent flow splitter</t>
  </si>
  <si>
    <t xml:space="preserve">Process &amp; Mechanical; Structural &amp; Building; Contract &amp; General — sheets: G0.5; G0.6; C3.1; C3.2; S2.4</t>
  </si>
  <si>
    <t xml:space="preserve">No row for this item cites a Division 02–46 section or a technical appendix. Sections cited: 00 31 13; 00 73 00; 01 45 00; 01 50 00. Lane evidence: Process &amp; Mechanical Issue 40: none of the 17 P&amp;M sections covers the prefabricated 316 SS splitter box.</t>
  </si>
  <si>
    <t xml:space="preserve">On drawings, no technical spec section — PROPOSED-EFFLUENT-SAMPLE-SUMP — Effluent sample sump (effluent sample chamber)</t>
  </si>
  <si>
    <t xml:space="preserve">Process &amp; Mechanical — sheets: G0.6; C5.1; C5.2; C5.3</t>
  </si>
  <si>
    <t xml:space="preserve">On drawings, no technical spec section — PROPOSED-EFFLUENT-HEADER-TO-UV — Secondary effluent header through 8-inch effluent flow meter to UV Channels #1 and #2, 8-… / PROPOSED-8in-Effluent-Piping — 8-inch effluent piping (new)</t>
  </si>
  <si>
    <t xml:space="preserve">Process &amp; Mechanical; Contract &amp; General — sheets: G0.5; C5.1; C5.2; C5.3</t>
  </si>
  <si>
    <t xml:space="preserve">No row for this item cites a Division 02–46 section or a technical appendix. Sections cited: 00 31 13; 01 45 00.</t>
  </si>
  <si>
    <t xml:space="preserve">On drawings, no technical spec section — PROPOSED-DIGESTED-SLUDGE-FEED-TO-PRESS — Digested sludge feed to rotary fan press, 3-inch</t>
  </si>
  <si>
    <t xml:space="preserve">Process &amp; Mechanical — sheets: G0.5; C6.1; C6.2</t>
  </si>
  <si>
    <t xml:space="preserve">On drawings, no technical spec section — PROPOSED-WAS-SOLENOID-VALVES — WAS inlet solenoid valves (3, on WAS #1-#3), ASCO Redhat 8221G013, 2-inch, normally close… / PROPOSED-WAS-Solenoid-Valves — WAS solenoid valves (3), WAS #1 to #3, 120 V from the IPS panel</t>
  </si>
  <si>
    <t xml:space="preserve">Process &amp; Mechanical; Electrical &amp; Controls — sheets: C6.2; E4.1; E6.3; E8.4</t>
  </si>
  <si>
    <t xml:space="preserve">On drawings, no technical spec section — PROPOSED-AIR-TO-TRAIN-1-STUB — 6-inch air piping to Train #1, terminated with blind flange inside existing metal building</t>
  </si>
  <si>
    <t xml:space="preserve">Process &amp; Mechanical — sheets: C6.5</t>
  </si>
  <si>
    <t xml:space="preserve">On drawings, no technical spec section — PROPOSED-AIR-TO-TRAIN-2-STUB — 6-inch air piping to Train #2, terminated with blind flange inside existing metal building</t>
  </si>
  <si>
    <t xml:space="preserve">Specified, no drawing — PROPOSED-EXTERIOR-SANITARY-DRAINS — Exterior sanitary drain piping, ABS DWV, with unions and cleanouts</t>
  </si>
  <si>
    <t xml:space="preserve">Process &amp; Mechanical — spec: 15 40 00</t>
  </si>
  <si>
    <t xml:space="preserve">No row for this item cites a drawing sheet. Lane evidence: 15 40 00; locations not on any P&amp;M sheet (cross-lane #20).</t>
  </si>
  <si>
    <t xml:space="preserve">Specified, no drawing — Receiving Conveyor — Receiving conveyor, horizontal shaftless, 9-in. flight, 6 ft 9 in., 304 SS U-trough, two…</t>
  </si>
  <si>
    <t xml:space="preserve">Process &amp; Mechanical — spec: 41 12 13</t>
  </si>
  <si>
    <t xml:space="preserve">No row for this item cites a drawing sheet.</t>
  </si>
  <si>
    <t xml:space="preserve">Specified, no drawing — Inclined Conveyor — Inclined conveyor, shafted, 9-in. flight at 5-in. pitch, 17 ft 4 in. at 35 degrees, 304 S…</t>
  </si>
  <si>
    <t xml:space="preserve">Specified, no drawing — PROPOSED-EYE-WASH-STATIONS — Wall-mount eye wash stations (quantity and locations not stated)</t>
  </si>
  <si>
    <t xml:space="preserve">Process &amp; Mechanical — spec: 43 22 10</t>
  </si>
  <si>
    <t xml:space="preserve">No row for this item cites a drawing sheet. Lane evidence: 43 22 10 ¶1.01 B.6–B.7; locations and count not stated (Process &amp; Mechanical cross-lane #26).</t>
  </si>
  <si>
    <t xml:space="preserve">Specified, no drawing — PROPOSED-UV-INTENSITY-SENSORS — UV intensity sensors (2, one per bank), submersible, with low-UV alarm contact</t>
  </si>
  <si>
    <t xml:space="preserve">Process &amp; Mechanical — spec: 46 66 00</t>
  </si>
  <si>
    <t xml:space="preserve">No row for this item cites a drawing sheet. Lane evidence: 46 66 00; part of the UV package — no sheet shows the sensors.</t>
  </si>
  <si>
    <t xml:space="preserve">Specified, no drawing — PROPOSED-UV-TRANSMISSIVITY-ANALYZER — UV transmissivity analyzer, Hach DR 1900 (1)</t>
  </si>
  <si>
    <t xml:space="preserve">Process &amp; Mechanical — spec: 46 66 10</t>
  </si>
  <si>
    <t xml:space="preserve">No row for this item cites a drawing sheet. Lane evidence: 46 66 10; no sheet shows the analyzer location.</t>
  </si>
  <si>
    <t xml:space="preserve">Specified, no drawing — PROPOSED-RFP-POLYMER-FLOWMETER — Rotary press polymer (dilution) flowmeter, 1-inch electromagnetic (E+H 10P), 5-80 gpm, at…</t>
  </si>
  <si>
    <t xml:space="preserve">Process &amp; Mechanical — spec: 46 76 26; 46 33 33</t>
  </si>
  <si>
    <t xml:space="preserve">Specified, no drawing — PROPOSED-RFP-INLET-PRESSURE-TRANSMITTER — Flocculator inlet pressure transmitter, E+H PMC71, 0-30 psi, HART</t>
  </si>
  <si>
    <t xml:space="preserve">Process &amp; Mechanical — spec: 46 76 26</t>
  </si>
  <si>
    <t xml:space="preserve">On drawings, no technical spec section — PROPOSED-Blower-High-Temperature-Switches — High-temperature switches at the aeration blowers (typ.)</t>
  </si>
  <si>
    <t xml:space="preserve">Electrical &amp; Controls — sheets: E2.1; E7.3</t>
  </si>
  <si>
    <t xml:space="preserve">On drawings, no technical spec section — PROPOSED-Blower-Building-Ventilation-Control-Panel — Ventilation control panel: relay controls, one thermostat per exhaust fan, louver interlo…</t>
  </si>
  <si>
    <t xml:space="preserve">Electrical &amp; Controls — sheets: E2.2</t>
  </si>
  <si>
    <t xml:space="preserve">On drawings, no technical spec section — PROPOSED-Train-1-Flow-Meter — Train #1 flow meter, 8 in — future project, not in this project; Phase I provides transmi…</t>
  </si>
  <si>
    <t xml:space="preserve">Electrical &amp; Controls — sheets: E7.0; E8.1; E10.2</t>
  </si>
  <si>
    <t xml:space="preserve">On drawings, no technical spec section — PROPOSED-Hypochlorite-Feed-Pump — Hypochlorite feed pump; 120 V GFCI receptacle on LP1-16 and 4–20 mA flow pace</t>
  </si>
  <si>
    <t xml:space="preserve">Electrical &amp; Controls — sheets: E2.2; E4.1; E6.2; E6.3; E7.7; E10.2</t>
  </si>
  <si>
    <t xml:space="preserve">No row for this item cites a Division 02–46 section or a technical appendix. Lane evidence: Appears only on E sheets; no Process &amp; Mechanical row or section.</t>
  </si>
  <si>
    <t xml:space="preserve">On drawings, no technical spec section — PROPOSED-Influent-Sampler — Influent sampler (Owner-furnished, contractor-installed); 120 V GFCI receptacle LP2-8 and… / PROPOSED-Influent-Sampler — Influent sampler</t>
  </si>
  <si>
    <t xml:space="preserve">Electrical &amp; Controls; Contract &amp; General — sheets: E4.1; E6.2; E6.3; E8.6</t>
  </si>
  <si>
    <t xml:space="preserve">No row for this item cites a Division 02–46 section or a technical appendix. Sections cited: 00 31 13; 01 33 00; 01 70 00.</t>
  </si>
  <si>
    <t xml:space="preserve">On drawings, no technical spec section — PROPOSED-Effluent-Sampler — Effluent sampler (Owner-furnished, contractor-installed); 120 V GFCI receptacle on LP1-14…</t>
  </si>
  <si>
    <t xml:space="preserve">Electrical &amp; Controls — sheets: E2.2; E4.1; E6.2; E6.3; E7.7</t>
  </si>
  <si>
    <t xml:space="preserve">On drawings, no technical spec section — PROPOSED-Hot-Box-Heat-Trace — Heat trace on all exposed 2W piping in Hot Boxes #1 and #2: Raychem BTV self-regulating o…</t>
  </si>
  <si>
    <t xml:space="preserve">Electrical &amp; Controls — sheets: E4.3; E6.2; E6.3</t>
  </si>
  <si>
    <t xml:space="preserve">On drawings, no technical spec section — TCP-1 — Train No.1 control panel (FUTURE); MCC 30/3 unit and feeder P-TCP1</t>
  </si>
  <si>
    <t xml:space="preserve">Electrical &amp; Controls — sheets: E6.1; E6.3; E7.3; E7.6; E9.1</t>
  </si>
  <si>
    <t xml:space="preserve">On drawings, no technical spec section — TCP-2 — Train No.2 control panel (FUTURE); MCC 30/3 unit and feeder P-TCP2</t>
  </si>
  <si>
    <t xml:space="preserve">On drawings, no technical spec section — PROPOSED-Blower-PTC-Relay-Modules — Blower motor PTC relay modules (5), furnished by the blower supplier, installed in the ma…</t>
  </si>
  <si>
    <t xml:space="preserve">Electrical &amp; Controls — sheets: E7.1; E7.2; E7.3</t>
  </si>
  <si>
    <t xml:space="preserve">On drawings, no technical spec section — PROPOSED-Blower-Building-Foundation-Drains — Perimeter foundation drains, 4 in rigid ABS perforated pipe or drain tile in drain rock —…</t>
  </si>
  <si>
    <t xml:space="preserve">Structural &amp; Building — sheets: S2.3</t>
  </si>
  <si>
    <t xml:space="preserve">Specified, no drawing — PROPOSED-Boot-Brush-and-Pad — Boot and shoe brush with scraper (Gempler's #2900) on a concrete pad next to the Blower B…</t>
  </si>
  <si>
    <t xml:space="preserve">Structural &amp; Building — spec: 08 70 00</t>
  </si>
  <si>
    <t xml:space="preserve">No row for this item cites a drawing sheet. Lane evidence: 08 70 00; location to be coordinated with the Owner.</t>
  </si>
  <si>
    <t xml:space="preserve">Specified, no drawing — PROPOSED-Influent-Pump-Station-Interior-Coating — Epoxy protective lining, spray-applied 100% solids (Raven 405 or Tnemec G436), on all int…</t>
  </si>
  <si>
    <t xml:space="preserve">Structural &amp; Building — spec: 09 97 23</t>
  </si>
  <si>
    <t xml:space="preserve">No row for this item cites a drawing sheet. Lane evidence: 09 97 23 ¶1.01 B.1 "see drawings" — C4.1 (Process &amp; Mechanical lane).</t>
  </si>
  <si>
    <t xml:space="preserve">No drawing and no technical spec — PROPOSED-Bollards — Bollards</t>
  </si>
  <si>
    <t xml:space="preserve">Contract &amp; General — named in: 00 24 13; 00 41 00</t>
  </si>
  <si>
    <t xml:space="preserve">No row for this item cites a sheet or a Division 02–46 section. Lane evidence: Bid Item 3, 12 EA (00 41 00 p.23). No Civil &amp; Site row; the paving plan C2.6 is unavailable.</t>
  </si>
  <si>
    <t xml:space="preserve">Bid item with no Ledger rows</t>
  </si>
  <si>
    <t xml:space="preserve">Bid Item 7 — Minor Changes (1 EST., Unit Quantity): no Project Ledger row carries it.</t>
  </si>
  <si>
    <t xml:space="preserve">04_Bid_Item_Spine.md: Item 7, bid form 00 41 00 p.23; scope 00 24 13 ¶7 p.17 (Verified per 04).</t>
  </si>
  <si>
    <t xml:space="preserve">Owner-entered $100,000.00 estimate for minor changes (General Conditions change procedure) — no physical scope expected.</t>
  </si>
  <si>
    <t xml:space="preserve">Bid Item 9 — Structural Concrete (10 CY, Extra Work): no Project Ledger row carries it.</t>
  </si>
  <si>
    <t xml:space="preserve">04_Bid_Item_Spine.md: Item 9, bid form 00 41 00 p.24; scope 00 24 13 ¶9 p.18 (Verified per 04).</t>
  </si>
  <si>
    <t xml:space="preserve">Structural &amp; Building Issues §2 #2: no row could be mapped; 03 30 00 ¶1.03 lists only overexcavation and structural fill as extra work (31 20 00). Concrete rows carry Item 1 (Inferred).</t>
  </si>
  <si>
    <t xml:space="preserve">Bid Item 10 — Over Excavation (10 CY, Extra Work): no Project Ledger row carries it.</t>
  </si>
  <si>
    <t xml:space="preserve">04_Bid_Item_Spine.md: Item 10, bid form 00 41 00 p.24; scope 00 24 13 ¶10 p.18 (Verified per 04).</t>
  </si>
  <si>
    <t xml:space="preserve">Structural &amp; Building Issues §3 #19: overexcavation and structural fill (03 30 00 ¶1.03; 03 40 00 ¶1.03) referred to 31 20 00; no Civil &amp; Site row.</t>
  </si>
  <si>
    <t xml:space="preserve">Bid Item 11 — Crushed Surfacing Top Course (10 TN, Extra Work): no Project Ledger row carries it.</t>
  </si>
  <si>
    <t xml:space="preserve">04_Bid_Item_Spine.md: Item 11, bid form 00 41 00 p.24; scope 00 24 13 ¶11 p.18 (Verified per 04).</t>
  </si>
  <si>
    <t xml:space="preserve">Extra-work unit item; material per WSDOT 9-03.9(3) — Unresolved: external reference, not staged.</t>
  </si>
  <si>
    <t xml:space="preserve">Bid Item 12 — Crushed Surfacing Base Course (10 TN, Extra Work): no Project Ledger row carries it.</t>
  </si>
  <si>
    <t xml:space="preserve">04_Bid_Item_Spine.md: Item 12, bid form 00 41 00 p.24; scope 00 24 13 ¶12 p.18 (Verified per 04).</t>
  </si>
  <si>
    <t xml:space="preserve">Extra-work unit item (WSDOT 9-03.9(3), not staged). The Civil &amp; Site HMA row cites 4-in CSBC under Item 1 (base scope).</t>
  </si>
  <si>
    <t xml:space="preserve">Bid Item 13 — Gravel Base (10 TN, Extra Work): no Project Ledger row carries it.</t>
  </si>
  <si>
    <t xml:space="preserve">04_Bid_Item_Spine.md: Item 13, bid form 00 41 00 p.24; scope 00 24 13 ¶13 p.19 (Verified per 04).</t>
  </si>
  <si>
    <t xml:space="preserve">Extra-work unit item (WSDOT 9-03.10, not staged). The Civil &amp; Site HMA row cites 12-in gravel base under Item 1.</t>
  </si>
  <si>
    <t xml:space="preserve">Bid Item 14 — Gravel Backfill for Pipe Zone Bedding (10 TN, Extra Work): no Project Ledger row carries it.</t>
  </si>
  <si>
    <t xml:space="preserve">04_Bid_Item_Spine.md: Item 14, bid form 00 41 00 p.24; scope 00 24 13 ¶14 p.19 (Verified per 04).</t>
  </si>
  <si>
    <t xml:space="preserve">Extra-work unit item (WSDOT 9-03.12(3), not staged); 31 23 33 ¶2.02 A pipe-zone bedding (Civil &amp; Site CS-23).</t>
  </si>
  <si>
    <t xml:space="preserve">Bid Item 15 — Gravel Borrow (10 TN, Extra Work): no Project Ledger row carries it.</t>
  </si>
  <si>
    <t xml:space="preserve">04_Bid_Item_Spine.md: Item 15, bid form 00 41 00 p.24; scope 00 24 13 ¶15 p.19 (Verified per 04).</t>
  </si>
  <si>
    <t xml:space="preserve">Extra-work unit item (WSDOT 9-03.14(1), not staged).</t>
  </si>
  <si>
    <t xml:space="preserve">Bid Item 16 — Bank Run Gravel for Trench Backfill (10 TN, Extra Work): no Project Ledger row carries it.</t>
  </si>
  <si>
    <t xml:space="preserve">04_Bid_Item_Spine.md: Item 16, bid form 00 41 00 p.24; scope 00 24 13 ¶16 p.19 (Verified per 04).</t>
  </si>
  <si>
    <t xml:space="preserve">Extra-work unit item (WSDOT 9-03.19, not staged); 31 23 33 ¶2.01 A bank-run backfill (Civil &amp; Site CS-23).</t>
  </si>
  <si>
    <t xml:space="preserve">Bid Item 17 — Extra SCADA/PLC Programmer Services (1 FA, Extra Work): no Project Ledger row carries it.</t>
  </si>
  <si>
    <t xml:space="preserve">04_Bid_Item_Spine.md: Item 17, bid form 00 41 00 p.24; scope 00 24 13 ¶17 pp.19–20 (Verified per 04).</t>
  </si>
  <si>
    <t xml:space="preserve">Owner-entered $100,000.00 force account. The Electrical &amp; Controls row PROPOSED-SCADA-Computer-System notes "extra SCADA/PLC programming, if ordered, is Item 17" but carries Item 6.</t>
  </si>
  <si>
    <t xml:space="preserve">Cross-lane item (Issues file)</t>
  </si>
  <si>
    <t xml:space="preserve">Civil &amp; Site Issues CS-02: Temporary back-up generator named in G0.3 General Note 10. Owner / governs (lane): Electrical &amp; Controls (03 item map). Needed: Ledger row kept with 'Cross-lane: Electrical &amp; Controls' for Merge; Bid Item #18 conflict already flagged (04) [Verified]</t>
  </si>
  <si>
    <t xml:space="preserve">Civil &amp; Site: G0.3 Note 10 (plans_1 p.3)</t>
  </si>
  <si>
    <t xml:space="preserve">Add. 4 p.1, Clarification 5 Merge check: Electrical &amp; Controls carries the item (PROPOSED-Temporary-Backup-Generator), as does Contract &amp; General; see the same-name exception. Linked exceptions: #14, #255.</t>
  </si>
  <si>
    <t xml:space="preserve">Owner: Electrical &amp; Controls (03 item map)</t>
  </si>
  <si>
    <t xml:space="preserve">Civil &amp; Site Issues CS-03: Existing 8-in influent pipe removal follows C3.1 construction sequence notes. Owner / governs (lane): Process &amp; Mechanical. Needed: Merge to reconcile C0.5 removal with C3.1 sequence [Verified-Visual]</t>
  </si>
  <si>
    <t xml:space="preserve">Civil &amp; Site: C0.5 KN 24 (plans_2Part-4 p.1)</t>
  </si>
  <si>
    <t xml:space="preserve">C3.1 (Process &amp; Mechanical; not read) Merge check: Matched to Process &amp; Mechanical PROPOSED-EXISTING-INFLUENT-PIPING-REMOVAL (C3.1). Linked exceptions: #77.</t>
  </si>
  <si>
    <t xml:space="preserve">Owner: Process &amp; Mechanical</t>
  </si>
  <si>
    <t xml:space="preserve">Civil &amp; Site Issues CS-04: Existing basin work in C0.5 phasing: new concrete walls, three weir gates, coatings, penetrations, discharge basin #2 piping, and 'new flow splitter'. Owner / governs (lane): Process &amp; Mechanical. Needed: Weir gates, walls and piping not carried in this Ledger; Merge to confirm ownership. Slab and internal-piping removals are carried here with a cross-lane note [Verified-Visual]</t>
  </si>
  <si>
    <t xml:space="preserve">Civil &amp; Site: C0.5 Construction Phasing 2–4, Demolition Schedule 3 (plans_2Part-4 p.1)</t>
  </si>
  <si>
    <t xml:space="preserve">C3.1–C3.2 Influent Flow Splitter (Process &amp; Mechanical; not read) Merge check: Process &amp; Mechanical carries the flow splitter box and pad; no lane carries the new basin walls, the three weir gates or the coatings in the existing basin — coverage gap. Linked exceptions: #75, #76.</t>
  </si>
  <si>
    <t xml:space="preserve">Civil &amp; Site Issues CS-07: Blower Building extended 2 ft east to 44 ft (not 42 ft), 10-ft east and south setbacks kept. Owner / governs (lane): Structural &amp; Building (A1.1, S2.3). Needed: Not carried in this Ledger; Merge to confirm the S&amp;B row reflects Add. 4 [Verified]</t>
  </si>
  <si>
    <t xml:space="preserve">Civil &amp; Site: Add. 4 p.7 C1.3 markup</t>
  </si>
  <si>
    <t xml:space="preserve">Add. 4 p.1 Clarification 4 (footprint 9.25 ft x 44.00 ft) and p.3 (A1.1, A1.2 edits) Merge check: Confirmed: the combined Blower Building row (Process &amp; Mechanical, Structural &amp; Building, Contract &amp; General) records 44.00 x 9.25 ft per Add. 4.</t>
  </si>
  <si>
    <t xml:space="preserve">Add. 4 governs.</t>
  </si>
  <si>
    <t xml:space="preserve">Civil &amp; Site Issues CS-08: Bladder tanks moved from the Blower Building to the existing building. Owner / governs (lane): Process &amp; Mechanical. Needed: Not carried in this Ledger; C1.3 Pipe ID 23 (1-in 2W from bladder tanks) is carried here [Verified]</t>
  </si>
  <si>
    <t xml:space="preserve">Add. 4 p.3 (A1.1, A1.2, C6.4 clarification) Merge check: Structural &amp; Building still lists the tanks with Area "Blower Building"; see the bladder-tank exception. Linked exceptions: #25, #51.</t>
  </si>
  <si>
    <t xml:space="preserve">Civil &amp; Site Issues CS-10: Relocated power and communications where in conflict with storm drain, retaining wall or fence (conditional). Owner / governs (lane): Electrical &amp; Controls. Needed: Merge to confirm who carries relocation scope; not carried in this Ledger [Verified-Visual]</t>
  </si>
  <si>
    <t xml:space="preserve">Civil &amp; Site: C2.5 Keyed Note 3 (plans_3Part-8 p.1)</t>
  </si>
  <si>
    <t xml:space="preserve">C0.5 Keyed Note 13 (plans_2Part-4 p.1) Merge check: No Electrical &amp; Controls row carries conditional relocation of existing power or communications — coverage gap.</t>
  </si>
  <si>
    <t xml:space="preserve">Owner: Electrical &amp; Controls</t>
  </si>
  <si>
    <t xml:space="preserve">Civil &amp; Site Issues CS-20: D.O. probe mounting and typical mechanical equipment pad details on a civil sheet. Owner / governs (lane): Process &amp; Mechanical (probes, equipment); Electrical &amp; Controls (power, wiring); Structural &amp; Building (pads). Needed: Not carried in this Ledger; Merge to confirm the owning lanes reference C7.4 [Verified-Visual]</t>
  </si>
  <si>
    <t xml:space="preserve">Civil &amp; Site: C7.4 Details 1 and 3 (plans_6 p.6)</t>
  </si>
  <si>
    <t xml:space="preserve">Merge check: Process &amp; Mechanical DO rows cite 1/C7.4 as a sheet it did not read; the digester blower pad (3/C7.4) has no Civil &amp; Site or Structural &amp; Building row. Linked exceptions: #1, #2, #19.</t>
  </si>
  <si>
    <t xml:space="preserve">Owner: Process &amp; Mechanical (probes, equipment); Electrical &amp; Controls (power, wiring); Structural &amp; Building (pads)</t>
  </si>
  <si>
    <t xml:space="preserve">Civil &amp; Site Issues CS-21: Instruments and powered devices shown on civil details: Train 2 and Train 3 8-in flow meters, Hot Box #1 1-in flow meter and solenoid valve, hot box heat trace and receptacles. Owner / governs (lane): Electrical &amp; Controls. Needed: Rows carried with 'Cross-lane' notes; Merge to match E&amp;C tags [Verified-Visual]</t>
  </si>
  <si>
    <t xml:space="preserve">Civil &amp; Site: C7.10 Details 1–2 (plans_7 p.4); C7.6 Detail 1 and Material List (plans_6 p.8)</t>
  </si>
  <si>
    <t xml:space="preserve">Add. 4 p.2, 26 80 00 ¶2.04 D (electromagnetic meter model change) Merge check: Matched in Electrical &amp; Controls: Plant 2 / Plant 3 flow meters, 2W flow meter, 2W isolation valve solenoid, hot box heat trace. Linked exceptions: #7, #8, #11, #49, #16.</t>
  </si>
  <si>
    <t xml:space="preserve">Civil &amp; Site Issues CS-36: Interim operation items owned by Electrical &amp; Controls. Owner / governs (lane): Electrical &amp; Controls. Needed: Merge to confirm with Electrical &amp; Controls; C0.5 fuel tank row carries the cross-check [Verified]</t>
  </si>
  <si>
    <t xml:space="preserve">Civil &amp; Site: Appendix F §5.1: new transformer connection per 'Specification 26 05 26 Section 1.013 and 1.016' (p.618); §5.3.1: demolition of the existing generator and switchgear after the new generator is in use (p.619)</t>
  </si>
  <si>
    <t xml:space="preserve">02 index: 26 05 26 is Grounding and Bonding, one page (main spec p.289) — the cited paragraphs look wrong (Inferred) Merge check: Electrical &amp; Controls carries the demolition (GEN (E), SES (E), ATS (E), existing fuel tank / exhaust). Its rows cite 26 05 00 ¶1.016 C for temporary power, so the Appendix F pointer "26 05 26 Section 1.013 and 1.016" likely means 26 05 00 (Inferred — 26 05 26 is one page). Linked exceptions: #28.</t>
  </si>
  <si>
    <t xml:space="preserve">Civil &amp; Site Issues CS-09: 'New plant drain pump station' named on C0.5 but not defined on any Civil &amp; Site sheet. Owner / governs (lane): —. Needed: Engineer or Process &amp; Mechanical to identify the plant drain pump station (sheet and tag) and its force main; not carried in this Ledger [Unresolved]</t>
  </si>
  <si>
    <t xml:space="preserve">Civil &amp; Site: C0.5 Keyed Notes 3, 5, 11, 12 (plans_2Part-4 p.1); C0.5 Keyed Note 4 names the influent pump station separately</t>
  </si>
  <si>
    <t xml:space="preserve">33 30 00 ¶3.04.8 b tests a 'West Plant Drain Pump Station Forcemain' at 150 psi (p.428); Appendix C §1.0 lists a new plant drain pump station 17.4 ft below grade (p.542) Merge check: Process &amp; Mechanical G0.6 note labels a "proposed influent &amp; plant drain pump station" (plans_1 p.6, Verified-Visual), so the plant drain pump station may be the Influent Pump Station (Inferred). Same open item as the Structural &amp; Building "Drain Pump Station" (S2.4). Linked exceptions: #222, #37.</t>
  </si>
  <si>
    <t xml:space="preserve">—</t>
  </si>
  <si>
    <t xml:space="preserve">Civil &amp; Site Issues CS-23: Native material in trench backfill. Owner / governs (lane): Unresolved — both base documents; order of precedence not in this lane. Needed: Engineer to confirm; Contract &amp; General to cite the precedence clause [Unresolved]</t>
  </si>
  <si>
    <t xml:space="preserve">Civil &amp; Site: 31 23 33 ¶2.01 A and ¶2.02 A: bank-run gravel backfill and pipe-zone gravel bedding, 'no native backfill' and 'no native bedding' (p.394)</t>
  </si>
  <si>
    <t xml:space="preserve">C7.4 Detail 2, Keyed Note H: 'select native backfill compacted to 95%' in the grass-area trench section (plans_6 p.6) Merge check: Precedence clause found in the Contract &amp; General note for 00 73 00.</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</si>
  <si>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C7.4 governs over 31 23 33.</t>
  </si>
  <si>
    <t xml:space="preserve">Civil &amp; Site Issues CS-25: Pay basis for dewatering and construction-related stormwater. Owner / governs (lane): Unresolved. Needed: Contract &amp; General to confirm which bid item carries dewatering and stormwater management [Unresolved]</t>
  </si>
  <si>
    <t xml:space="preserve">Civil &amp; Site: 31 20 00 ¶1.04 A.2 and B: dewatering incidental, included in the contract price (pp.384)</t>
  </si>
  <si>
    <t xml:space="preserve">31 23 19 ¶3.1: stormwater costs 'included as part of the unit cost' (p.391); 04 has no dewatering or stormwater unit item (SWPPP items 4–5 only) Merge check: Contract &amp; General carries construction dewatering under Item 1 (01 11 10, 00 31 13); no lane maps dewatering or stormwater to a unit item, consistent with 31 20 00 ¶1.04 (incidental). Linked exceptions: #69.</t>
  </si>
  <si>
    <t xml:space="preserve">Unresolved</t>
  </si>
  <si>
    <t xml:space="preserve">Civil &amp; Site Issues CS-32: Who provides construction staking. Owner / governs (lane): Unresolved — G0.3 points to Supplementary Conditions No. 7 (00 73 00, Contract &amp; General). Needed: Contract &amp; General to confirm from 00 73 00 [Unresolved]</t>
  </si>
  <si>
    <t xml:space="preserve">Civil &amp; Site: G0.3 General Note 9: 'The Engineer will provide construction staking' (plans_1 p.3); 33 32 00 ¶3.04 A.1: layout staking 'provided by the Owner' (p.440)</t>
  </si>
  <si>
    <t xml:space="preserve">33 41 00 ¶3.02 B.1: 'Contractor to provide construction layout staking' (p.448) Merge check: Contract &amp; General records SC 7 (00 73 00 p.90) as the County permit clause (Issues 1.9); no staking clause appears in the Contract &amp; General notes, so G0.3's pointer to SC No. 7 is unconfirmed.</t>
  </si>
  <si>
    <t xml:space="preserve">Unresolved — G0.3 points to Supplementary Conditions No. 7 (00 73 00, Contract &amp; General)</t>
  </si>
  <si>
    <t xml:space="preserve">Process &amp; Mechanical Issues, cross-lane #1: Six electromagnetic flow meters (G0.7) and the digested sludge meter (G0.5). Owner lane: Electrical &amp; Controls. Affects: Flow meter rows: Bid Item 6 Inferred; model not applied</t>
  </si>
  <si>
    <t xml:space="preserve">Process &amp; Mechanical: Instrument spec not in P&amp;M stack; Add. 4 p.2 revises 26 80 00 ¶2.04 D Electromagnetic Flow Meters (L400 to W400)</t>
  </si>
  <si>
    <t xml:space="preserve">Merge check: Electrical &amp; Controls carries all the meters with Promag W400 per Add. 4 p.2; see linked. Linked exceptions: #9, #7, #8, #10, #11, #43.</t>
  </si>
  <si>
    <t xml:space="preserve">Add. 4 p.2 governs the meter model.</t>
  </si>
  <si>
    <t xml:space="preserve">Process &amp; Mechanical Issues, cross-lane #2: Flow meter vaults (3) on C3.1. Owner lane: Civil &amp; Site. Affects: Vault rows</t>
  </si>
  <si>
    <t xml:space="preserve">Process &amp; Mechanical: C7.9 (Assigned — unavailable) and C7.10 Flow Meter &amp; Valve Vault Details, per 01 titles; Add. 4 Clarification 2 (precast vault joints) mapped away from this lane in 03</t>
  </si>
  <si>
    <t xml:space="preserve">Merge check: Civil &amp; Site carries the Train 2 and Train 3 vaults (C7.10); the influent meter vault has no Civil &amp; Site row (C7.9 unavailable); Structural &amp; Building carries the 03 40 00 vault rows. Linked exceptions: #5, #6, #44.</t>
  </si>
  <si>
    <t xml:space="preserve">Owner: Civil &amp; Site (03 lane scopes)</t>
  </si>
  <si>
    <t xml:space="preserve">Process &amp; Mechanical Issues, cross-lane #3: Flow splitter concrete support. Owner lane: Structural &amp; Building. Affects: PROPOSED-FLOW-SPLITTER-SUPPORT</t>
  </si>
  <si>
    <t xml:space="preserve">Process &amp; Mechanical: C3.2 keyed note 2 "see structural drawings"; S2.4 title includes Flow Splitter Pad (01)</t>
  </si>
  <si>
    <t xml:space="preserve">Merge check: Matched: Structural &amp; Building PROPOSED-Flow-Splitter-Pad (S2.4). Linked exceptions: #76.</t>
  </si>
  <si>
    <t xml:space="preserve">Owner: Structural &amp; Building (03 lane scopes)</t>
  </si>
  <si>
    <t xml:space="preserve">Process &amp; Mechanical Issues, cross-lane #4: Train 3 concrete tank. Owner lane: Structural &amp; Building. Affects: PROPOSED-TRAIN-3-TANK</t>
  </si>
  <si>
    <t xml:space="preserve">Process &amp; Mechanical: S2.1 Train 3 Plans &amp; Section (01); 46 53 00 ¶2.01 B.1 outer wall reinforced concrete</t>
  </si>
  <si>
    <t xml:space="preserve">Merge check: Matched: Structural &amp; Building PROPOSED-Train-3-Concrete-Tank (S2.1). Linked exceptions: #29.</t>
  </si>
  <si>
    <t xml:space="preserve">Process &amp; Mechanical Issues, cross-lane #5: Train 3 aeration air piping outside the tank. Owner lane: Civil &amp; Site. Affects: Air test ¶2.01 E.2 stays with this lane</t>
  </si>
  <si>
    <t xml:space="preserve">Process &amp; Mechanical: 46 53 00 ¶2.01 E.1 (p.498) points to 33 31 00 ¶2.01 D Aeration Piping</t>
  </si>
  <si>
    <t xml:space="preserve">Merge check: Civil &amp; Site Pipe ID 20 (6-in Cell 3 air, SS) — material question under CS-29. Linked exceptions: #93.</t>
  </si>
  <si>
    <t xml:space="preserve">Process &amp; Mechanical Issues, cross-lane #6: DO/pH sensor mounting detail 1/C7.4; pipe support detail 5/C7.2. Owner lane: Civil &amp; Site. Affects: DO #1, DO #2; splitter piping rows</t>
  </si>
  <si>
    <t xml:space="preserve">Process &amp; Mechanical: Cited on C3.3 and C3.1–C3.2; 01 lists C7.4 as a P&amp;M cross-check</t>
  </si>
  <si>
    <t xml:space="preserve">Merge check: The details exist on Civil &amp; Site sheets; Civil &amp; Site CS-20 routes the probe detail back to Process &amp; Mechanical and Electrical &amp; Controls. Linked exceptions: #148, #35, #1, #2.</t>
  </si>
  <si>
    <t xml:space="preserve">Process &amp; Mechanical Issues, cross-lane #7: Treatment system control panel field wiring; carbon feed flow pacing. Owner lane: Electrical &amp; Controls. Affects: PROPOSED-TRAIN-3-CONTROL-PANEL; PROPOSED-CARBON-FEED-PUMPS</t>
  </si>
  <si>
    <t xml:space="preserve">Process &amp; Mechanical: 46 53 00 ¶2.01 F.2.n (p.499); ¶2.01 C.8 cites 26 80 00 ¶3.09 C (p.498)</t>
  </si>
  <si>
    <t xml:space="preserve">Merge check: Electrical &amp; Controls TCP-3 matches the Process &amp; Mechanical panel; no Electrical &amp; Controls row covers carbon feed pump power or flow pacing — coverage gap. Linked exceptions: #31.</t>
  </si>
  <si>
    <t xml:space="preserve">Owner: Electrical &amp; Controls (03 lane scopes)</t>
  </si>
  <si>
    <t xml:space="preserve">Process &amp; Mechanical Issues, cross-lane #8: Line IDs INF1–3, SE1–3, WAS1–3 on site piping sheets. Owner lane: Civil &amp; Site. Affects: Piping rows</t>
  </si>
  <si>
    <t xml:space="preserve">Process &amp; Mechanical: C1.3 Site Piping Plan With Piping ID (01; reissued Add. 4 p.7) may carry the same IDs</t>
  </si>
  <si>
    <t xml:space="preserve">Merge check: C1.3 uses Pipe ID numbers, not INF/SE/WAS. Matched: INF1–ID 14, INF2–ID 13, INF3–ID 11, SE1–ID 24, SE2–ID 16, SE3–ID 17, WAS3–ID 15. WAS1 and WAS2 have no C1.3 match. Linked exceptions: #79, #80, #81, #82, #83, #84, #85.</t>
  </si>
  <si>
    <t xml:space="preserve">Process &amp; Mechanical Issues, cross-lane #9: Existing influent piping removal. Owner lane: Civil &amp; Site. Affects: PROPOSED-EXISTING-INFLUENT-PIPING-REMOVAL</t>
  </si>
  <si>
    <t xml:space="preserve">Process &amp; Mechanical: C0.5 Demolition Plan (01 title)</t>
  </si>
  <si>
    <t xml:space="preserve">Merge check: Matched: Civil &amp; Site PROPOSED-Existing 8in influent pipe (C0.5 KN 24). Linked exceptions: #77.</t>
  </si>
  <si>
    <t xml:space="preserve">Process &amp; Mechanical Issues, cross-lane #10: Influent sampling sump. Owner lane: Civil &amp; Site. Affects: PROPOSED-INFLUENT-SAMPLE-SUMP</t>
  </si>
  <si>
    <t xml:space="preserve">Process &amp; Mechanical: 00 register: C1.3 revision "Add Inf. Sample Sump" 5/10/22</t>
  </si>
  <si>
    <t xml:space="preserve">Merge check: Matched: Civil &amp; Site PROPOSED-Influent sample sump. Linked exceptions: #4.</t>
  </si>
  <si>
    <t xml:space="preserve">Process &amp; Mechanical Issues, cross-lane #11: Stainless alternate scope, Items 18–19. Owner lane: Contract &amp; General. Affects: Issue 9; all Train 3 rows</t>
  </si>
  <si>
    <t xml:space="preserve">Process &amp; Mechanical: 00 24 13 ¶18–19 (p.20) per 04</t>
  </si>
  <si>
    <t xml:space="preserve">Merge check: Contract &amp; General rows do not define the component list either; 00 24 13 ¶18–19 p.20 references 46 53 00 only (04). Linked exceptions: #255.</t>
  </si>
  <si>
    <t xml:space="preserve">Owner: Contract &amp; General (03 lane scopes)</t>
  </si>
  <si>
    <t xml:space="preserve">Process &amp; Mechanical Issues, cross-lane #12: Influent Pump Station top slab (1/S2.4, 2/S2.4) and UV/digester structure (S2.2; C5.1 HDG I-beam "see structural"). Owner lane: Structural &amp; Building. Affects: Wet well and UV/digester structure rows</t>
  </si>
  <si>
    <t xml:space="preserve">Process &amp; Mechanical: C4.1 keyed note 19; C5.1 label; 01 titles for S2.2, S2.4</t>
  </si>
  <si>
    <t xml:space="preserve">Merge check: Structural &amp; Building carries the IPS top slab, UV basin and digester tank. Linked exceptions: #37, #38, #56.</t>
  </si>
  <si>
    <t xml:space="preserve">Process &amp; Mechanical Issues, cross-lane #13: Pump station power and controls: suspended cable hooks and incoming conduits (C4.1 keyed notes 22, 23); control panels. Owner lane: Electrical &amp; Controls. Affects: Pump, float and transducer rows</t>
  </si>
  <si>
    <t xml:space="preserve">Process &amp; Mechanical: C4.1 notes cite electrical drawings; E4.1–E4.3, E8.1–E8.6 per 01 titles</t>
  </si>
  <si>
    <t xml:space="preserve">Merge check: Electrical &amp; Controls carries IP-1–IP-4, the IPS panel, floats and level transducer. Linked exceptions: #36, #39, #40.</t>
  </si>
  <si>
    <t xml:space="preserve">Process &amp; Mechanical Issues, cross-lane #14: Details 3/C7.5 (2W lid), 4/C7.5 (influent sample sump), 7/C7.2 (pipe brace and wall-mount supports). Owner lane: Civil &amp; Site. Affects: Wet well, sample sump, UV/digester rows</t>
  </si>
  <si>
    <t xml:space="preserve">Process &amp; Mechanical: Cited on C4.1, C4.2, C5.1</t>
  </si>
  <si>
    <t xml:space="preserve">Merge check: The Civil &amp; Site influent sample sump row cites C7.5 Det. 4; no Civil &amp; Site row for the 2W lid (3/C7.5) or the pipe brace (7/C7.2). Linked exceptions: #4.</t>
  </si>
  <si>
    <t xml:space="preserve">Process &amp; Mechanical Issues, cross-lane #15: 2W air gap hot box and fill connection. Owner lane: Civil &amp; Site. Affects: Issue 12; PROPOSED-2W-FILL-LINE</t>
  </si>
  <si>
    <t xml:space="preserve">Process &amp; Mechanical: Add. 4 p.3 C1.3 item; C4.2 fill label</t>
  </si>
  <si>
    <t xml:space="preserve">Merge check: Hot box: see the Hot Box #2 exception. No Civil &amp; Site row matches PROPOSED-2W-FILL-LINE (4-in SCH 80 PVC). Linked exceptions: #17.</t>
  </si>
  <si>
    <t xml:space="preserve">Process &amp; Mechanical Issues, cross-lane #16: Blower Building: prefabricated metal building, 9.25 x 44.00 ft footprint, 9-inch max separation, 10-ft setbacks. Owner lane: Structural &amp; Building. Affects: PROPOSED-BLOWER-BUILDING</t>
  </si>
  <si>
    <t xml:space="preserve">Process &amp; Mechanical: Add. 4 p.1 Clarifications 3-4, p.3 item and p.6; A1.1, A1.2, S2.3 (01)</t>
  </si>
  <si>
    <t xml:space="preserve">Merge check: Confirmed: the combined Blower Building row carries 44.00 x 9.25 ft (Add. 4).</t>
  </si>
  <si>
    <t xml:space="preserve">Process &amp; Mechanical Issues, cross-lane #17: Sludge piping below an existing floor (Add. 4 p.3 C1.6A item). Owner lane: Civil &amp; Site. Affects: Sludge line rows (routing not checked here)</t>
  </si>
  <si>
    <t xml:space="preserve">Process &amp; Mechanical: 03 map: C1.6A primary Civil &amp; Site, also affects Process &amp; Mechanical process piping</t>
  </si>
  <si>
    <t xml:space="preserve">Merge check: Civil &amp; Site attaches the C1.6A under-slab segments to Pipe IDs 7, 10, 15, 16, 19, 21, 23 and 25 (Area "Existing building (C1.6A)"). Linked exceptions: #78, #90, #91.</t>
  </si>
  <si>
    <t xml:space="preserve">Process &amp; Mechanical Issues, cross-lane #18: Sludge 2-inch flow meter "per electrical design requirements"; WAS solenoid valves 120 V. Owner lane: Electrical &amp; Controls. Affects: PROPOSED-DIGESTED-SLUDGE-FLOW-METER; PROPOSED-WAS-SOLENOID-VALVES</t>
  </si>
  <si>
    <t xml:space="preserve">Process &amp; Mechanical: C6.2 keyed notes 1, 2</t>
  </si>
  <si>
    <t xml:space="preserve">Merge check: Electrical &amp; Controls carries the WAS/dewatering meter and the WAS solenoid valves. Linked exceptions: #43, #12.</t>
  </si>
  <si>
    <t xml:space="preserve">Process &amp; Mechanical Issues, cross-lane #19: Digester blower pad detail 3/C7.4. Owner lane: Civil &amp; Site. Affects: ESWD WWTP – Aerobic Digester Blower</t>
  </si>
  <si>
    <t xml:space="preserve">Process &amp; Mechanical: C6.3 keyed note 1</t>
  </si>
  <si>
    <t xml:space="preserve">Merge check: No Civil &amp; Site or Structural &amp; Building row for the digester blower pad — coverage gap. Linked exceptions: #19.</t>
  </si>
  <si>
    <t xml:space="preserve">Process &amp; Mechanical Issues, cross-lane #20: Misc. plumbing locations and quantities (yard hydrants, post hydrants, exterior drains). Owner lane: Civil &amp; Site. Affects: Hydrant and drain rows</t>
  </si>
  <si>
    <t xml:space="preserve">Process &amp; Mechanical: 15 40 00 ¶1.01 A "as shown on plans"; no P&amp;M stack sheet shows them</t>
  </si>
  <si>
    <t xml:space="preserve">Merge check: Civil &amp; Site carries yard hydrants (3, C1.3) and a post hydrant; no row for the exterior sanitary drains (ABS DWV). Linked exceptions: #52, #53.</t>
  </si>
  <si>
    <t xml:space="preserve">Process &amp; Mechanical Issues, cross-lane #21: Ventilation: wall fans, louvers, thermostats and the motorized louver actuator. Owner lane: Electrical &amp; Controls; Structural &amp; Building. Affects: Wall fan and louver rows</t>
  </si>
  <si>
    <t xml:space="preserve">Process &amp; Mechanical: 02 decision D note (cross-check E9.3 and A sheets); Add. 4 p.3 moves "Exhaust Fans" on A1.1/A1.2</t>
  </si>
  <si>
    <t xml:space="preserve">Merge check: Matched in Electrical &amp; Controls and Structural &amp; Building. Linked exceptions: #20, #21, #22, #26, #27.</t>
  </si>
  <si>
    <t xml:space="preserve">Owner: Electrical &amp; Controls; Structural &amp; Building (03 lane scopes)</t>
  </si>
  <si>
    <t xml:space="preserve">Process &amp; Mechanical Issues, cross-lane #22: Blower and sludge pump VFDs in the MCC; blower sensor wiring to the PLC control panel. Owner lane: Electrical &amp; Controls. Affects: Blower and pump rows (Bid Item 6 share)</t>
  </si>
  <si>
    <t xml:space="preserve">Process &amp; Mechanical: 43 11 00 ¶2.01 Q; 22 13 36 and 43 22 10 per Add. 4 p.2</t>
  </si>
  <si>
    <t xml:space="preserve">Merge check: Electrical &amp; Controls PROPOSED-VFDs-in-MCC (10 VFDs) plus the blower and pump rows. Linked exceptions: #18, #59, #60, #61.</t>
  </si>
  <si>
    <t xml:space="preserve">Add. 4 p.2 governs the VFD location (MCC).</t>
  </si>
  <si>
    <t xml:space="preserve">Process &amp; Mechanical Issues, cross-lane #23: Valve schedule and valve IDs for valve tags and label markers. Owner lane: Civil &amp; Site. Affects: Valve rows</t>
  </si>
  <si>
    <t xml:space="preserve">Process &amp; Mechanical: 45 05 00 ¶2.015–2.016 (p.479); C1.4 Site Piping Plan With Buried Valve ID (01 title)</t>
  </si>
  <si>
    <t xml:space="preserve">Merge check: Civil &amp; Site carries Buried Valve ID 1–13 (C1.4); the C1.4 vs C7.3 valve list conflict is Civil &amp; Site CS-13.</t>
  </si>
  <si>
    <t xml:space="preserve">Process &amp; Mechanical Issues, cross-lane #24: Check valve limit switches; mixer motor-sensor relays; polymer system and screw conveyor control from the rotary press PLC. Owner lane: Electrical &amp; Controls. Affects: Valve, mixer, polymer and conveyor rows</t>
  </si>
  <si>
    <t xml:space="preserve">Process &amp; Mechanical: 45 05 00 ¶2.06 A; 46 41 23 ¶2.01 B.4; 46 33 33 items 3.0–4.0; 41 12 13 ¶1.12–1.13</t>
  </si>
  <si>
    <t xml:space="preserve">Merge check: No Electrical &amp; Controls rows for check-valve limit switches or mixer motor relays — coverage gap; press, polymer and conveyor control sit with DW-1. Linked exceptions: #63.</t>
  </si>
  <si>
    <t xml:space="preserve">Process &amp; Mechanical Issues, cross-lane #25: Painting and labeling of exposed plant water piping. Owner lane: Structural &amp; Building. Affects: 2W piping rows; Issue 27</t>
  </si>
  <si>
    <t xml:space="preserve">Process &amp; Mechanical: 43 22 10 ¶2.05 cites "09 91 00" (09 90 00 per 02)</t>
  </si>
  <si>
    <t xml:space="preserve">Merge check: Structural &amp; Building lists the same item (09 90 00 ¶3.05) without a row. Linked exceptions: #244.</t>
  </si>
  <si>
    <t xml:space="preserve">Process &amp; Mechanical Issues, cross-lane #26: Eye wash stations and yard hydrant locations and counts. Owner lane: Civil &amp; Site (locations); owner not determinable. Affects: PROPOSED-EYE-WASH-STATIONS; hydrant rows</t>
  </si>
  <si>
    <t xml:space="preserve">Process &amp; Mechanical: 43 22 10 ¶1.01 B.6–B.7; 15 40 00 ¶1.01 A</t>
  </si>
  <si>
    <t xml:space="preserve">Merge check: No Civil &amp; Site row for eye wash stations; yard hydrants are 3 locations on C1.3 (Pipe ID 22). Linked exceptions: #52.</t>
  </si>
  <si>
    <t xml:space="preserve">Owner: Civil &amp; Site (locations); owner not determinable (03 lane scopes)</t>
  </si>
  <si>
    <t xml:space="preserve">Process &amp; Mechanical Issue 2: Train 3 zone volumes: drawings vs 46 53 00. Needed: Engineer confirmation; this is the basis of the process performance guarantee (¶1.05 C).</t>
  </si>
  <si>
    <t xml:space="preserve">Process &amp; Mechanical: G0.7 (plans_1 p.7) — anoxic #1 15,686 gal + #2 8,789 gal = 24,475 gal; aeration #1 29,793 gal + #2 9,889 gal = 39,682 gal [Verified]. C3.3 (plans_4Part-4 p.1) — 2,097 + 1,175 CF anoxic, 3,983 + 1,322 CF aeration, which match G0.7 at 7.48 gal/CF [Verified-Visual; arithmetic Inferred].</t>
  </si>
  <si>
    <t xml:space="preserve">46 53 00 ¶2.01 C.1 (p.495) — anoxic combined capacity 26,508 gal in two compartments; annular aeration compartments total 43,000 gal [Verified]. Merge check: Precedence clause found in the Contract &amp; General note for 00 73 00.</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</si>
  <si>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G0.7 / C3.3 govern over 46 53 00.</t>
  </si>
  <si>
    <t xml:space="preserve">Process &amp; Mechanical Issue 9: Stainless steel alternates (Items 18, 19): which Train 3 parts change is not defined in the P&amp;M stack. Needed: 00 24 13 ¶18–19 (Contract &amp; General lane) and, for Item 18, the existing 04 conflict resolution (not re-raised; see flags below).</t>
  </si>
  <si>
    <t xml:space="preserve">Process &amp; Mechanical: 46 53 00 specifies structural steel plate inner walls (¶2.01 B.1 p.494), aluminum grating and handrail (¶2.01 B.2 p.495) and steel clarifier parts (¶2.01 C.3 p.496) [Verified]; it has no stainless alternate language. 04 maps Items 18 ("Train 3 – Stainless Steel Fabrication Above Water Surface") and 19 ("... Throughout") to 46 53 00 through 00 24 13 ¶18–19 (p.20) [per 04].</t>
  </si>
  <si>
    <t xml:space="preserve">the list of Train 3 components that switch to stainless under each alternate. Merge check: Contract &amp; General rows do not list the stainless components; 00 24 13 ¶18–19 names 46 53 00 only (04). Linked exceptions: #255.</t>
  </si>
  <si>
    <t xml:space="preserve">Process &amp; Mechanical Issue 12: 2W fill: air gap reference and float-controlled valve not on this lane's sheets. Needed: Correct sheet reference and identification of the controlled fill valve (Civil &amp; Site C1.3; Electrical &amp; Controls for the float logic).</t>
  </si>
  <si>
    <t xml:space="preserve">Process &amp; Mechanical: C4.2 (plans_4Part-8 p.1) — "2W WATER FROM AIR GAP SEE C4.3", 4" SCH 80 PVC at 2%, and floats F1 "redundant valve close", F2 "valve close", F3 "valve open" [Verified-Visual]. C4.3 (plans_5 p.1) shows only the diaphragm tanks and manifold — no air gap and no fill valve [Verified-Visual]. Add. 4 p.3 (C1.3 item) says the "2W (Air Gap) Water Hot Box orientation has been adjusted" on C1.3 [Verified].</t>
  </si>
  <si>
    <t xml:space="preserve">the air gap and the valve the floats open and close are not identified on C4.2 or C4.3; the C4.2 reference to C4.3 appears to point at the wrong sheet [Inferred]. Merge check: Civil &amp; Site Hot Box #2 (air gap piping, C1.3 reissue); the float-controlled fill valve has no row in any lane. Linked exceptions: #17, #46.</t>
  </si>
  <si>
    <t xml:space="preserve">Add. 4 p.3 places the air gap hot box on C1.3 (Civil &amp; Site); Add. 4 governs its location.</t>
  </si>
  <si>
    <t xml:space="preserve">Process &amp; Mechanical Issue 18: Sludge flow meter: which line. Needed: Engineer to confirm location, service and size; E&amp;C lane for the meter itself.</t>
  </si>
  <si>
    <t xml:space="preserve">Process &amp; Mechanical: G0.5 (plans_1 p.5) — flow meter on the digested sludge pump discharge toward the rotary fan press [Verified-Visual].</t>
  </si>
  <si>
    <t xml:space="preserve">C6.2 keyed note 2 (plans_5 p.7) — "2" FLOW METER PER ELECTRICAL DESIGN REQUIREMENTS" on the 2" WAS line to the digester [Verified-Visual, zoomed]. Merge check: Electrical &amp; Controls carries PROPOSED-WAS-Dewatering-Flow-Meter ("WAS flow meter" on E7.0, 2-in per E10.2). Linked exceptions: #43.</t>
  </si>
  <si>
    <t xml:space="preserve">Process &amp; Mechanical Issue 19: Building separation: C6.3 2" vs Add. 4 9". Needed: Nothing to resolve; logged so the Merge carries the Add. 4 dimension onto C6.3.</t>
  </si>
  <si>
    <t xml:space="preserve">Process &amp; Mechanical: C6.3 (plans_5 p.8) — "2" SEPARATION BETWEEN BUILDINGS" and the blower pad 3.00' from the south wall [Verified-Visual].</t>
  </si>
  <si>
    <t xml:space="preserve">Add. 4 p.3 — "approx. 9" clearance between existing Train 2 building and new blower building" [Verified]; Add. 4 p.6 (C6.4 reissue) — "Increase the building separation distance to 9 inches (max)" and "Increase distance between blower pad and wall to 4-ft" [Verified text; Verified-Visual]. Merge check: Merge carries the Add. 4 dimension: the Process &amp; Mechanical digester blower row already cites Add. 4 (Issue 19); Structural &amp; Building S2.3 reissue shows the widened grade beam. Linked exceptions: #19.</t>
  </si>
  <si>
    <t xml:space="preserve">Add. 4 governs (9-in separation; 4-ft pad-to-wall).</t>
  </si>
  <si>
    <t xml:space="preserve">Process &amp; Mechanical Issue 25: Wall fan control: thermostat vs manual switch (low). Needed: Engineer confirmation; cross-check E9.3 ventilation control panel (Electrical &amp; Controls).</t>
  </si>
  <si>
    <t xml:space="preserve">Process &amp; Mechanical: 23 34 00 ¶1.01 A (p.265) — Blower Building fans on individual thermostats; the three Existing Dewatering/Train 1&amp;2 Building fans each on a manual on/off switch [Verified].</t>
  </si>
  <si>
    <t xml:space="preserve">23 34 00 ¶2.1 A.4 (p.265) — "Wall fans to be dual speed and thermostat controlled" for all fans [Verified]. Merge check: Electrical &amp; Controls E9.3 shows OFF/ON switches per fan (Issues #14). Linked exceptions: #26.</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</si>
  <si>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E9.3 governs over 23 34 00.</t>
  </si>
  <si>
    <t xml:space="preserve">Process &amp; Mechanical Issue 27: 43 22 10 cites a painting section that does not exist (low). Needed: Engineer confirmation.</t>
  </si>
  <si>
    <t xml:space="preserve">Process &amp; Mechanical: 43 22 10 ¶2.05 A (p.474) — "See Section 09 91 00 Painting" [Verified].</t>
  </si>
  <si>
    <t xml:space="preserve">02 — the spec has 09 90 00 Misc. Plant Painting (Structural &amp; Building lane) and no 09 91 00 [Verified against 02]. Merge check: Structural &amp; Building 09 90 00 exists; no 09 91 00 (02). Linked exceptions: #244.</t>
  </si>
  <si>
    <t xml:space="preserve">Unresolved (low impact).</t>
  </si>
  <si>
    <t xml:space="preserve">Process &amp; Mechanical Issue 31: Sludge area ball valves: PVC (C6.2) vs stainless (45 05 00). Needed: Engineer confirmation of valve material for sludge service.</t>
  </si>
  <si>
    <t xml:space="preserve">Process &amp; Mechanical: C6.2 keyed note 7 (plans_5 p.7) — "2" PVC MANUAL BALL VALVE" [Verified-Visual].</t>
  </si>
  <si>
    <t xml:space="preserve">45 05 00 ¶2.09 A (p.478) — ball valves under 4" for general, non-potable, exposed use shall be Watts S-FBV-1 two-piece full-port stainless [Verified]. Merge check: Precedence clause found in the Contract &amp; General note for 00 73 00.</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</si>
  <si>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C6.2 governs over 45 05 00.</t>
  </si>
  <si>
    <t xml:space="preserve">Process &amp; Mechanical Issue 36: Who sets the digested sludge pump speed. Needed: Electrical &amp; Controls to confirm the control interface between the press PLC and the main PLC (26 80 00 ¶3.09 H, not in this stack).</t>
  </si>
  <si>
    <t xml:space="preserve">Process &amp; Mechanical: 46 76 26 ¶1.7 (p.514) and ¶4.1 (p.520) — the rotary fan press control system controls the digested sludge pump feed rate, its variable speed drive holding the flocculator inlet pressure [Verified].</t>
  </si>
  <si>
    <t xml:space="preserve">Add. 4 p.2 (22 13 36 ¶2.01 A) — sludge pumps powered from VFDs in the MCC, "controlled by the PLC in the Main Control Panel" [Verified]; 22 13 36 ¶2.02 (p.263) — controls per 26 80 00 ¶3.09 A and H [Verified]. Merge check: Electrical &amp; Controls has no row or note settling the press PLC / main PLC interface for the digested sludge pump. Linked exceptions: #61.</t>
  </si>
  <si>
    <t xml:space="preserve">Add. 4 governs the VFD location (MCC); which PLC commands the digested sludge pump speed is Unresolved.</t>
  </si>
  <si>
    <t xml:space="preserve">Process &amp; Mechanical Issue 37: Rotary fan press has no field start-up, testing or training requirement. Needed: Confirm whether 01 91 00 Commissioning (Contract &amp; General lane) covers the press, or add manufacturer start-up and training.</t>
  </si>
  <si>
    <t xml:space="preserve">Process &amp; Mechanical: 46 76 26 requires shop testing (¶1.0 A "tested"; ¶2.2.1 feed manifold at 100 psi, p.515), submittals and an O&amp;M manual (¶5.0–5.2) and a 1-year warranty (¶6.1), and nothing for field start-up, field testing or operator training [Verified by reading the full section pp.510–531]. Comparable sections in this stack require 2 days of start-up and 1 day of training (22 13 36 ¶3.02, 46 41 23 ¶3.02, 46 66 00 ¶3.02).</t>
  </si>
  <si>
    <t xml:space="preserve">Merge check: Contract &amp; General: 01 91 00 ¶1.07.A covers dewatering commissioning — suppliers give "a minimum of one" day and "(2) days" in the same sentence (Contract &amp; General Issues 1.21). The press is covered by 01 91 00, duration open. Linked exceptions: #246.</t>
  </si>
  <si>
    <t xml:space="preserve">Process &amp; Mechanical Issue 38: Flocculator breather needs a potable water line not shown in this lane. Needed: Confirm the water source for the breather backwash and any backflow protection (Civil &amp; Site site water; 43 22 10 2W is plant water).</t>
  </si>
  <si>
    <t xml:space="preserve">Process &amp; Mechanical: 46 76 26 ¶2.1 (p.515) — the flocculator air breather hooks "to the potable water line for occasional back wash and to the drain line" [Verified]. The P&amp;M sheets show only 2W plant water at the press (C6.1 "2" 2W water", "2W water supply pipe") [Verified-Visual]; no potable water service is shown.</t>
  </si>
  <si>
    <t xml:space="preserve">Merge check: No Civil &amp; Site potable water row at the press; Civil &amp; Site Pipe ID 12 (2-in water) is the only potable line and its service is not labeled.</t>
  </si>
  <si>
    <t xml:space="preserve">Electrical &amp; Controls Issues #1: Blower Building wall construction: E2.2 says "CMU installer"; Add. 4 describes a prefabricated metal building. Needed: Engineer to confirm wall construction and the concealment method for Blower Building raceways. Cross-lane: Structural &amp; Building. [Unresolved]</t>
  </si>
  <si>
    <t xml:space="preserve">Electrical &amp; Controls: E2.2 gen. note 3 (plans_9 p.4): all conduit and boxes underground or concealed in walls; "coordinate installation with CMU installer where necessary" (Verified).</t>
  </si>
  <si>
    <t xml:space="preserve">Add. 4 p.1, Clarification 3: the prefabricated metal blower building has factory-finished exterior and interior (13 12 20 ¶2.03 roof panels, ¶2.04 wall panels); Add. 4 p.3 describes Zee girts and exterior metal wall panels (Verified). Merge check: Structural &amp; Building: the combined Blower Building row is a pre-engineered metal building (13 12 20; Add. 4 Clarifications 3–4).</t>
  </si>
  <si>
    <t xml:space="preserve">Add. 4 governs the building type (metal building). E2.2's concealment requirement stands, but how raceway is concealed in metal-panel walls is not stated.</t>
  </si>
  <si>
    <t xml:space="preserve">Electrical &amp; Controls Issues #3: 2W pump tags and conduits differ between E4.3 and E6.1. Needed: Engineer to confirm the pump tags and whether both pumps share one 2" conduit (E4.3, E6.3) or run separately (E6.1). Cross-lane: Process &amp; Mechanical (43 22 10) uses its own tags. [Unresolved]</t>
  </si>
  <si>
    <t xml:space="preserve">Electrical &amp; Controls: E4.3 plan (plans_9 p.8): equipment tag boxes "P-2W-1" and "P-2W-2"; home runs P-2W and C-2W; meter signal S-FM2W at Hot Box #1 and S-2WFM at the home run (Verified-Visual).</t>
  </si>
  <si>
    <t xml:space="preserve">E6.1 one-line and load calculations (plans_10 p.2): tags 2W-P1 and 2W-P2 with separate feeders P-2W-P1 and P-2W-P2 (Verified-Visual); E6.3 (plans_10 p.4): one 2" P-2W with (2) 3C cables and signal S-FM2W (Verified-Visual). Merge check: Process &amp; Mechanical carries one PROPOSED-2W-PUMPS row (43 22 10). Linked exceptions: #45, #16.</t>
  </si>
  <si>
    <t xml:space="preserve">Neither governs. Ledger rows use the E6.1 tags (2W-P1, 2W-P2) with the E4.3 tags in the Name, tagged Unresolved.</t>
  </si>
  <si>
    <t xml:space="preserve">Electrical &amp; Controls Issues #5: One building, two names: "Dewatering Building" vs "Treatment Building". Needed: Merge to set one building name for the Area/Building column across lanes. [Inferred]</t>
  </si>
  <si>
    <t xml:space="preserve">Electrical &amp; Controls: E4.1 key note 3 (plans_9 p.6) and E0.4 (plans_9 p.1): "Dewatering Building with dewatering press", unclassified with Type C ventilation (Verified).</t>
  </si>
  <si>
    <t xml:space="preserve">E4.1 key note 7 (plans_9 p.6) and E6.2 LP2 schedule (plans_10 p.3): three ventilation fans EF-3 to EF-5 "in Treatment Building"; E0.2 and E6.1 place Panel TPS in the "Treatment Building" (Verified). The E4.1 plan draws the dewatering skid, WAS pumps and EF-3/EF-4 inside one building outline (Verified-Visual). Merge check: Labels for this building across lanes: "Treatment Building (existing …)" (Electrical &amp; Controls); "Existing Dewatering/Train 1&amp;2 Building Area" and "Sludge Pump and Valving Area" (Process &amp; Mechanical); "Existing WWTP Building" (Structural &amp; Building); "Existing building (C1.6A)" (Civil &amp; Site). Merge did not relabel (no rule). Linked exceptions: #26, #59, #12.</t>
  </si>
  <si>
    <t xml:space="preserve">Same building by the E4.1 plan (Inferred). Ledger Area column reads "Treatment Building (existing; ... \"Dewatering Building\" ...)".</t>
  </si>
  <si>
    <t xml:space="preserve">Electrical &amp; Controls Issues #8: MCC length: E9.1 seven sections (140 in) vs Add. 4 eight sections (160 in). Needed: Nothing for the section count. The contents of the added section are not stated; E9.1 general note 1 leaves the final MCC layout to the contractor. [Verified]</t>
  </si>
  <si>
    <t xml:space="preserve">Electrical &amp; Controls: E9.1 elevation (plans_12 p.3): seven 20-in sections, 140 in (11.7 ft) (Verified-Visual).</t>
  </si>
  <si>
    <t xml:space="preserve">Add. 4 p.1 Clarification 4: MCC "increased to eight 20” wide sections (160-inches, total length)"; Blower Building footprint 9.25 ft x 44.00 ft; see attached A1.1 (Verified). Merge check: The combined MCC row (Electrical &amp; Controls + Structural &amp; Building) agrees: 8 sections, 160 in. Linked exceptions: #23.</t>
  </si>
  <si>
    <t xml:space="preserve">Electrical &amp; Controls Issues #14: Dewatering-area ventilation: continuous 6 ACH and HOA auto control vs OFF/ON switches with no PLC fan outputs. Needed: Engineer to confirm (1) continuous 24/7 ventilation vs ventilation only during dewatering, which sets the E0.4 classification, and (2) the fan control: HOA with PLC fan outputs per 26 80 00, or OFF/ON per E9.3. [Unresolved]</t>
  </si>
  <si>
    <t xml:space="preserve">Electrical &amp; Controls: E0.4 (plans_9 p.1) and E4.1 key note 3 (plans_9 p.6): unclassified only with Type C ventilation, "continuously ventilated at 6 air changes per hour" (Verified). 26 80 00 ¶3.09 J (main spec p.376): fans de-classify the dewatering area "during dewatering system operation"; HOA per fan; in AUTO all three start on a dewatering PLC signal and on an H2S or combustible gas alarm, running continuously while dewatering operates (Verified).</t>
  </si>
  <si>
    <t xml:space="preserve">E9.3 (plans_12 p.5): a two-position OFF/ON switch per fan energizes its call-to-run relay; no PLC start contact. E8.4 (plans_11 p.8): IPS PLC outputs cover the alarm light and horn station, alarm horn and H2S and methane lights only, with no fan outputs (Verified-Visual). Merge check: Same subject as Process &amp; Mechanical Issue 25. Linked exceptions: #26.</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</si>
  <si>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 E0.4 / E9.3 govern over 26 80 00 ¶3.09 J.</t>
  </si>
  <si>
    <t xml:space="preserve">Electrical &amp; Controls Issues #18: Phase I scope of the "future" Train 1 and 2 provisions. Needed: State whether Phase I furnishes the MCC units NP-2A/NP-2B, feeders and PLC inputs for Trains 1 and 2 (also bears on the Add. 4 Clarification 4 MCC section count). The Train #1 flow meter is settled by E10.2: transmitter space only. [Unresolved]</t>
  </si>
  <si>
    <t xml:space="preserve">Electrical &amp; Controls: E6.1 (plans_10 p.2): MCC 30/3 units and panels TCP-1 and TCP-2 drawn greyed and labeled "(FUTURE)"; load calculations carry both at 10 HP with generator factor 1 (Verified-Visual).</t>
  </si>
  <si>
    <t xml:space="preserve">E6.3 (plans_10 p.4): P-TCP1 and P-TCP2 1" 3 #10 from "MCC (FUTURE)"; E7.0 (plans_10 p.5): "Train #1 flow meter (future)" on the IPS network switch (Verified-Visual). E7.3 (plans_10 p.8): Treatment Cell 1 and Cell 2 control panel (FUTURE) running/alarm/shutdown, 6 inputs drawn greyed on input card 4; E7.6 (plans_11 p.3): Cell #1 and Cell #2 DO zone 1 and 2 (FUTURE), 4 of the 8 channels on the second analog input card; E8.1 key note 2 (plans_11 p.5): Cell 1 flow transmitter "(FUTURE SPACE)" in the IPS panel (Verified-Visual; added in batch 3). E9.1 (plans_12 p.3): MCC units NP-2A and NP-2B "TRAIN NO.1 / NO.2 PANEL FEEDER (FUTURE)" (Verified-Visual; added in batch 4). E10.2 flow meter summary item 2 (plans_12 p.7): Train #1 meter is a "FUTURE PROJECT - NOT IN THIS PROJECT"; provide space for its transmitter in the influent control panel (Verified-Visual; added in batch 5). Merge check: No other lane addresses TCP-1 / TCP-2. Add. 4 Clarification 4 sets 8 MCC sections without stating their contents.</t>
  </si>
  <si>
    <t xml:space="preserve">Electrical &amp; Controls Issues #19: Required rating of the temporary back-up generator. Needed: Required temporary generator rating (kW/kVA at 480Y/277V), runtime or refuel expectation, and rental duration for pricing. [Unresolved]</t>
  </si>
  <si>
    <t xml:space="preserve">Electrical &amp; Controls: Add. 4 p.1 Clarification 5: temporary generator connects to the permanent ATS until the permanent genset arrives; tests of connections and automatic load transfer; 60 dBA or lower at full load; "An example cut sheet for a rental generator is attached" (Verified). Exhibit p.12: MQ Power 120 kW prime rating (Verified-Visual).</t>
  </si>
  <si>
    <t xml:space="preserve">E6.1 load calculations (plans_10 p.2): generator load 188.0 A, 156 kVA at 480 V; E10.3: permanent unit 125 kW / 156 kVA standby (Verified-Visual; Verified). Merge check: Civil &amp; Site and Contract &amp; General carry the same generator; none states a rating. Linked exceptions: #14, #255.</t>
  </si>
  <si>
    <t xml:space="preserve">Add. 4 governs the temporary generator but states no kW, kVA or voltage. 120 kW at 0.8 pf is about 150 kVA, below the 156 kVA generator load (Inferred arithmetic).</t>
  </si>
  <si>
    <t xml:space="preserve">Electrical &amp; Controls Issues #20: No Division 26 section covers three items shown on the E sheets. Needed: Engineer or Merge to name the governing specification or furnisher for each; the Ledger Submittal and Testing columns read "Not stated" until then. [Unresolved]</t>
  </si>
  <si>
    <t xml:space="preserve">Electrical &amp; Controls: Blower Building ventilation control panel (E2.2, plans_9 p.4): 26 80 00 ¶2.02 A.3 (main spec p.357) lists one ventilation control panel, the Treatment Building unit described in ¶3.09 J (p.376) (Verified).</t>
  </si>
  <si>
    <t xml:space="preserve">Blower high-temperature switches (E2.1, plans_9 p.3; E7.3 "HIGH ENCLOSURE TEMP" inputs, plans_10 p.8): furnisher not stated and not in 26 80 00 ¶2.04; hot box heat trace (E4.3 key note 3, plans_9 p.8): no Division 26 section covers it (Verified). Merge check: The Merge coverage check already lists all three as on drawings with no technical spec section; their Ledger rows keep Submittal and Testing "Not stated" until a furnisher or section is named.</t>
  </si>
  <si>
    <t xml:space="preserve">Electrical &amp; Controls Issues #21: Building openings left by the demolished generator exhaust and louvers. Owner: Structural &amp; Building; Civil &amp; Site. Merge asked: Carry "repair building openings per civil/architectural" into that lane's scope; the E sheet names no detail. [Verified]</t>
  </si>
  <si>
    <t xml:space="preserve">Electrical &amp; Controls: E0.2 demo note D2 (plans_8 p.7)</t>
  </si>
  <si>
    <t xml:space="preserve">Merge check: Structural &amp; Building carries the louver and exhaust removals with re-siding (A1.3). Linked exceptions: #28.</t>
  </si>
  <si>
    <t xml:space="preserve">Owner: Structural &amp; Building; Civil &amp; Site (03 lane scopes)</t>
  </si>
  <si>
    <t xml:space="preserve">Electrical &amp; Controls Issues #22: Generator pad. Owner: Civil &amp; Site; Structural &amp; Building (01 lists S2.4 "PUMP STATION LID, GENERATOR PAD, &amp; FLOW SPLITTER PAD"). Merge asked: Confirm which sheet governs the pad (E1.1 says civil; the S2.4 title says structural) and carry the rebar-bond requirement. [Unresolved]</t>
  </si>
  <si>
    <t xml:space="preserve">Electrical &amp; Controls: E1.1 plan label "CONCRETE GENERATOR PAD PER CIVIL"; grounding note G2 bonds pad rebar (plans_9 p.2)</t>
  </si>
  <si>
    <t xml:space="preserve">Merge check: Structural &amp; Building PROPOSED-Generator-Slab (S2.4, 03 30 00); no Civil &amp; Site row. E1.1 says "per civil"; S2.4 is structural. Linked exceptions: #65.</t>
  </si>
  <si>
    <t xml:space="preserve">Owner: Civil &amp; Site; Structural &amp; Building (01 lists S2.4 "PUMP STATION LID, GENERATOR PAD, &amp; FLOW SPLITTER PAD") (03 lane scopes)</t>
  </si>
  <si>
    <t xml:space="preserve">Electrical &amp; Controls Issues #23: Aeration blowers BL-1 to BL-4 and digester blower DB. Owner: Process &amp; Mechanical (43 11 00; C6.3, C6.4 reissued Add. 4 p.6, C6.5). Merge asked: De-duplicate. Confirm DB location/building (drawn outside the Blower Building outline) and the units of the motor marking "20". [Inferred]</t>
  </si>
  <si>
    <t xml:space="preserve">Electrical &amp; Controls: E2.1 (plans_9 p.3)</t>
  </si>
  <si>
    <t xml:space="preserve">Merge check: Matched in Process &amp; Mechanical. Linked exceptions: #18, #19.</t>
  </si>
  <si>
    <t xml:space="preserve">Owner: Process &amp; Mechanical (43 11 00; C6.3, C6.4 reissued Add. 4 p.6, C6.5) (03 lane scopes)</t>
  </si>
  <si>
    <t xml:space="preserve">Electrical &amp; Controls Issues #24: Exhaust fans EF-1, EF-2, motorized louver ML-1, manual louver. Owner: Process &amp; Mechanical (23 34 00; 02 notes 23 34 00 cross-checks E9.3). Merge asked: De-duplicate; carry the Add. 4 p.3 exhaust fan relocation (A1.1 reissue). [Inferred]</t>
  </si>
  <si>
    <t xml:space="preserve">Electrical &amp; Controls: E2.2 (plans_9 p.4)</t>
  </si>
  <si>
    <t xml:space="preserve">Merge check: Matched in Process &amp; Mechanical and Structural &amp; Building. Linked exceptions: #20, #21, #22.</t>
  </si>
  <si>
    <t xml:space="preserve">Add. 4 p.3 governs fan locations.</t>
  </si>
  <si>
    <t xml:space="preserve">Electrical &amp; Controls Issues #25: Train No.3 control panel, clarifier drive motor, submersible mixers A and B. Owner: Process &amp; Mechanical (46 53 00, 46 41 23 by title). Merge asked: De-duplicate; check that the E3.1 key note 1 panel feature list matches the treatment-system spec. [Inferred]</t>
  </si>
  <si>
    <t xml:space="preserve">Electrical &amp; Controls: E3.1 (plans_9 p.5)</t>
  </si>
  <si>
    <t xml:space="preserve">Merge check: Matched in Process &amp; Mechanical. Linked exceptions: #31, #32, #33.</t>
  </si>
  <si>
    <t xml:space="preserve">Owner: Process &amp; Mechanical (46 53 00, 46 41 23 by title) (03 lane scopes)</t>
  </si>
  <si>
    <t xml:space="preserve">Electrical &amp; Controls Issues #26: Dewatering Building ventilation sets its area classification; E&amp;C provides fans, gas sensors and alarm. Owner: Process &amp; Mechanical (fan selection and airflow, 23 34 00); Electrical &amp; Controls keeps sensors, alarm light and horn, fan power and control. Merge asked: Fan airflow (cfm) and building volume to confirm 6 ACH; whether ventilation runs continuously or only during dewatering is a separate conflict in this file (26 80 00 ¶3.09 J vs E0.4). If not met, the E0.4 classification and E4.1 wiring methods change. (Revised in batch 2 after E4.1 key note 3.) [Unresolved]</t>
  </si>
  <si>
    <t xml:space="preserve">Electrical &amp; Controls: E0.4 classified area notes (plans_9 p.1): unclassified only with Type C ventilation, continuous 6 air changes per hour (NFPA 820-2020 Table 6.2.2 Row 12a, Ch. 9). E4.1 key note 3 (plans_9 p.6): "PROVIDE VENTILATION FANS, GAS SENSORS, LOCAL ALARM LIGHT AND HORN, AND ACCESSORIES" to meet NFPA 820 — contractor scope on an E sheet. The only fans drawn are EF-3 to EF-5 (1/2 HP, LP2 circuits 7, 9, 11, "Treatment Building"; E4.1, E6.2 plans_10 p.3); no airflow or ACH is stated for them in this stack (Verified; EF-3 to EF-5 as the Type C fans Inferred from the plan). 26 80 00 ¶3.09 J (main spec p.376): three wall fans in the treatment building "de-classify the dewatering area during dewatering system operation" — confirms EF-3 to EF-5 as the NFPA 820 fans; E9.3 names them ventilation fans 1–3 (Verified; added in batch 7)</t>
  </si>
  <si>
    <t xml:space="preserve">Merge check: Process &amp; Mechanical gives 3 fans at 3,300 CFM each (23 34 00); building volume is not stated in any lane, so 6 ACH cannot be checked. Linked exceptions: #26.</t>
  </si>
  <si>
    <t xml:space="preserve">Owner: Process &amp; Mechanical (fan selection and airflow, 23 34 00); Electrical &amp; Controls keeps sensors, alarm light and horn, fan power and control (03 lane scopes)</t>
  </si>
  <si>
    <t xml:space="preserve">Electrical &amp; Controls Issues #27: 2W hot box re-orientation (Add. 4 C1.3 item) may move hot box conduit and wiring. Owner: Civil &amp; Site (C1.3 reissue, Add. 4 p.7). Merge asked: 04 (Bid Item Spine, "Drawings — C1.3") assigns hot box conduit and wiring moves to Items 1 and 6, but 03 maps the C1.3 item to Civil &amp; Site only. Confirm which hot box is re-oriented and carry any conduit/heat-trace changes into this lane. [Unresolved]</t>
  </si>
  <si>
    <t xml:space="preserve">Electrical &amp; Controls: E4.3 Hot Box #1 and #2 details, P-HB1, P-HB2, P-2WSV, S-FM2W (plans_9 p.8); Add. 4 p.3: "the 2W (Air Gap) Water Hot Box orientation has been adjusted slightly to allow for vehicle traffic"</t>
  </si>
  <si>
    <t xml:space="preserve">Merge check: Civil &amp; Site Hot Box #1 and #2 rows both say "relocated per Add. 4"; which box was re-oriented is not stated in either lane. Linked exceptions: #16, #17.</t>
  </si>
  <si>
    <t xml:space="preserve">Electrical &amp; Controls Issues #28: Influent, WAS, sludge and dewatering process equipment. Owner: Process &amp; Mechanical (22 13 36 and other equipment sections). Merge asked: De-duplicate. Add. 4 p.2 (22 13 36 ¶2.01 A) moves the sludge-pump VFDs to the MCC; E6.1 already shows them there. [Inferred]</t>
  </si>
  <si>
    <t xml:space="preserve">Electrical &amp; Controls: E4.1, E4.2, E6.1 (IP-1 to IP-4, WP-1, WP-2, SD-1, DW-1, WAS solenoids, polymer and hypochlorite feed pumps)</t>
  </si>
  <si>
    <t xml:space="preserve">Merge check: Matched in Process &amp; Mechanical; no Process &amp; Mechanical row for the hypochlorite feed pump. Linked exceptions: #36, #59, #60, #61, #63, #64, #12, #3.</t>
  </si>
  <si>
    <t xml:space="preserve">Add. 4 p.2 governs the VFD location.</t>
  </si>
  <si>
    <t xml:space="preserve">Electrical &amp; Controls Issues #29: 2W pumps, float tree and isolation valve solenoid. Owner: Process &amp; Mechanical (43 22 10). Merge asked: De-duplicate and settle the tag conflict (Issues above). Add. 4 p.2 (43 22 10 ¶2.01 A) moves the 2W VFDs to the MCC; E6.1 already shows them there. [Inferred]</t>
  </si>
  <si>
    <t xml:space="preserve">Electrical &amp; Controls: E4.3, E6.1</t>
  </si>
  <si>
    <t xml:space="preserve">Merge check: Matched in Process &amp; Mechanical. Linked exceptions: #45, #46, #49.</t>
  </si>
  <si>
    <t xml:space="preserve">Electrical &amp; Controls Issues #30: UV disinfection units UV1, UV2 and their control panels. Owner: Process &amp; Mechanical (UV equipment). Merge asked: De-duplicate; E&amp;C installs the UV control panels ("install", key note 3) and provides power distribution, PDRs and wiring. [Inferred]</t>
  </si>
  <si>
    <t xml:space="preserve">Electrical &amp; Controls: E5.1 (plans_10 p.1)</t>
  </si>
  <si>
    <t xml:space="preserve">Merge check: Matched in Process &amp; Mechanical. Linked exceptions: #54, #55.</t>
  </si>
  <si>
    <t xml:space="preserve">Owner: Process &amp; Mechanical (UV equipment) (03 lane scopes)</t>
  </si>
  <si>
    <t xml:space="preserve">Electrical &amp; Controls Issues #31: Treatment Building exhaust fans EF-3, EF-4, EF-5. Owner: Process &amp; Mechanical (23 34 00). Merge asked: De-duplicate; airflow tracked in the Dewatering/Treatment Building ventilation item. [Inferred]</t>
  </si>
  <si>
    <t xml:space="preserve">Electrical &amp; Controls: E4.1 key notes 3 and 7 (plans_9 p.6); E6.2 LP2 circuits 7, 9, 11 (plans_10 p.3)</t>
  </si>
  <si>
    <t xml:space="preserve">Merge check: Matched in Process &amp; Mechanical and Structural &amp; Building. Linked exceptions: #26.</t>
  </si>
  <si>
    <t xml:space="preserve">Owner: Process &amp; Mechanical (23 34 00) (03 lane scopes)</t>
  </si>
  <si>
    <t xml:space="preserve">Electrical &amp; Controls Issues #32: Owner-furnished influent and effluent samplers. Owner: Process &amp; Mechanical (installation). Merge asked: E&amp;C provides the GFCI receptacles and flow-pace signals; confirm which lane installs the samplers. [Unresolved]</t>
  </si>
  <si>
    <t xml:space="preserve">Electrical &amp; Controls: E4.1 key note 6 (plans_9 p.6)</t>
  </si>
  <si>
    <t xml:space="preserve">Merge check: Process &amp; Mechanical carries the sample sumps, not the samplers; Contract &amp; General carries the influent sampler. Linked exceptions: #13.</t>
  </si>
  <si>
    <t xml:space="preserve">Owner: Process &amp; Mechanical (installation) (03 lane scopes)</t>
  </si>
  <si>
    <t xml:space="preserve">Electrical &amp; Controls Issues #33: UV-area pole light concrete base. Owner: Civil &amp; Site. Merge asked: Carry the pole base and basin attachment. [Verified]</t>
  </si>
  <si>
    <t xml:space="preserve">Electrical &amp; Controls: E5.1 key note 5 (plans_10 p.1): concrete pole base secured to the basin side, "field coordinate with civil"</t>
  </si>
  <si>
    <t xml:space="preserve">Merge check: No Civil &amp; Site row for the pole base — coverage gap.</t>
  </si>
  <si>
    <t xml:space="preserve">Electrical &amp; Controls Issues #34: Concrete pads under the main PLC panel and the Influent Pump Station panel. Owner: Civil &amp; Site per the drawing notes; the main PLC panel pad sits inside the Blower Building (E2.1), so Merge to settle Civil &amp; Site vs Structural &amp; Building. Merge asked: 26 05 00 ¶2.04 (main spec p.278) makes a housekeeping pad under each floor-mounted MCC and electrical equipment Division 26 work: 3 in wider than the base on both ends, 3 in minimum height (E9.1 shows 4 in under the MCC). Merge to confirm the pads stay in Item 6 with concrete per the civil specifications (row PROPOSED-Electrical-Equipment-Housekeeping-Pads). [Verified]</t>
  </si>
  <si>
    <t xml:space="preserve">Electrical &amp; Controls: E7.1 exterior elevation "CONCRETE HOUSKEEPING PAD PER CIVIL SPECS" (plans_10 p.6); E8.1 exterior elevation "CONCRETE EQUIPMENT PAD PER CIVIL SPECIFICATIONS" (plans_11 p.5)</t>
  </si>
  <si>
    <t xml:space="preserve">Merge check: No Civil &amp; Site or Structural &amp; Building row for the pads; the Electrical &amp; Controls row keeps them in Item 6 (26 05 00 ¶2.04).</t>
  </si>
  <si>
    <t xml:space="preserve">Owner: Civil &amp; Site per the drawing notes; the main PLC panel pad sits inside the Blower Building (E2.1), so Merge to settle Civil &amp; Site vs Structural &amp; Building (03 lane scopes)</t>
  </si>
  <si>
    <t xml:space="preserve">Electrical &amp; Controls Issues #35: Supplier-furnished relays installed in Electrical &amp; Controls panels. Owner: Process &amp; Mechanical (blower and influent pump supply). Merge asked: Confirm the blower and influent pump specifications include these relays; this lane installs and wires them (rows PROPOSED-Blower-PTC-Relay-Modules, PROPOSED-Influent-Pump-Seal-Fail-Overtemp-Relays). [Verified]</t>
  </si>
  <si>
    <t xml:space="preserve">Electrical &amp; Controls: E7.1, E7.2 key note 1 and E7.3 key note 1: five blower motor PTC relay modules "supplied by blower manufacturer" (plans_10 pp.6–8); E8.1 key note 3: influent pump seal-fail and overtemperature relays, Mini-CAS or equal, "as provided by pump manufacturer" (plans_11 p.5)</t>
  </si>
  <si>
    <t xml:space="preserve">Merge check: Influent pump relays matched; no Process &amp; Mechanical row or 43 11 00 citation for the blower PTC relays. Linked exceptions: #42, #18.</t>
  </si>
  <si>
    <t xml:space="preserve">Owner: Process &amp; Mechanical (blower and influent pump supply) (03 lane scopes)</t>
  </si>
  <si>
    <t xml:space="preserve">Electrical &amp; Controls Issues #36: Blower enclosure fans powered from the MCC. Owner: Process &amp; Mechanical (blower packages BL-1 to BL-4, DB). Merge asked: Carry the enclosure fans in the blower supply and return the fan rating in the blower submittal so this lane can size the circuits. [Verified]</t>
  </si>
  <si>
    <t xml:space="preserve">Electrical &amp; Controls: E9.2 key note 1 (plans_12 p.4): 120 V blower fan circuit from each MCC unit for each blower; basis of design 0.21 HP and 1.51 A per fan, confirm with the manufacturer during submittals</t>
  </si>
  <si>
    <t xml:space="preserve">Merge check: No Process &amp; Mechanical row for the blower enclosure fans — coverage gap. Linked exceptions: #18.</t>
  </si>
  <si>
    <t xml:space="preserve">Owner: Process &amp; Mechanical (blower packages BL-1 to BL-4, DB) (03 lane scopes)</t>
  </si>
  <si>
    <t xml:space="preserve">Electrical &amp; Controls Issues #37: Flow meter sizes: E10.2 summary vs "size per civil drawings". Owner: Civil &amp; Site / Process &amp; Mechanical (piping). Merge asked: Check the E10.2 sizes against the civil piping sheets; the civil sheets govern by key note 1. [Verified]</t>
  </si>
  <si>
    <t xml:space="preserve">Electrical &amp; Controls: E10.2 key note 1 "SIZE PER CIVIL DRAWINGS" and flow meter summary: influent 6 in, Train #2 and #3 8 in, plant drain 4 in, effluent 8 in, WAS 2 in, 2W 1 in, Train #1 8 in future (plans_12 p.7)</t>
  </si>
  <si>
    <t xml:space="preserve">Merge check: Checked: sizes agree wherever both lanes state them — influent 6-in, Train 2/3 8-in, plant drain 4-in, effluent 8-in, WAS 2-in, 2W 1-in.</t>
  </si>
  <si>
    <t xml:space="preserve">No conflict.</t>
  </si>
  <si>
    <t xml:space="preserve">Structural &amp; Building Issues §1 #3: Add. 4 reissue revision entries (index vs source). Needed: Setup thread to amend 01 log #12 (S-sheet supersession is readable from the revision block)</t>
  </si>
  <si>
    <t xml:space="preserve">Structural &amp; Building: 01 log #12: reissued pages carry no Add. 4 revision entry</t>
  </si>
  <si>
    <t xml:space="preserve">Add. 4 p.9 (S2.3) and p.10 (S4.1) revision blocks show revision 3 "Blower Building" TH 2/8/23 (Verified-Visual); A1.1 and A1.2 reissues (pp.4–5) show no new entry Merge check: Setup-thread item (01 log #12), not a lane conflict.</t>
  </si>
  <si>
    <t xml:space="preserve">Source governs; index statement is partly wrong for S sheets</t>
  </si>
  <si>
    <t xml:space="preserve">Structural &amp; Building Issues §1 #5: Influent Pump Station hatch. Needed: Engineer to confirm hatch size and load rating</t>
  </si>
  <si>
    <t xml:space="preserve">Structural &amp; Building: 03 40 00 ¶2.02 D.1: new 3'-0"×5'-0" light-duty aluminum hatch with safety grates, Flygt FLED-13 or equal (main spec p.183 — Verified)</t>
  </si>
  <si>
    <t xml:space="preserve">03 40 00 ¶2.02 E.2 table: 48"×30" H-20 aluminum hatch with safety grate, LW Products HD-3C (same page — Verified) Merge check: Process &amp; Mechanical C4.1 shows 36 x 36 in and 30 x 48 in hatches. Linked exceptions: #38.</t>
  </si>
  <si>
    <t xml:space="preserve">Unresolved — same section; station drawing C4.1 is Process &amp; Mechanical lane</t>
  </si>
  <si>
    <t xml:space="preserve">Structural &amp; Building Issues §1 #6: Handrail and guardrail material. Needed: Engineer confirmation</t>
  </si>
  <si>
    <t xml:space="preserve">Structural &amp; Building: 05 50 00 ¶2.014 A: 1-1/4" steel pipe, ASTM A53 Gr B (main spec p.196 — Verified)</t>
  </si>
  <si>
    <t xml:space="preserve">05 52 00 Part 2 A: aluminum, 1-1/2" IPS Sch 40 (p.203); 05 51 10 ¶1.03 A.3: handrails aluminum per civil (p.200); 05 50 00 ¶2.02 B.1: aluminum pipe railings (p.191) — Verified Merge check: Process &amp; Mechanical Train 3 and UV rows use aluminum (46 53 00; C5.x). Linked exceptions: #34, #57.</t>
  </si>
  <si>
    <t xml:space="preserve">Unresolved; likely 05 52 00 as the dedicated section (Inferred)</t>
  </si>
  <si>
    <t xml:space="preserve">Structural &amp; Building Issues §1 #7: Grating type and support angles at UV basin and digester. Needed: Engineer to confirm grating type over the digester and the support-angle material</t>
  </si>
  <si>
    <t xml:space="preserve">Structural &amp; Building: S2.2 Details 5–6 (typical): aluminum solid plank grating on continuous HDG steel angles; digester section B-B "grating per spec" (plans_8 p.2 — Verified-Visual)</t>
  </si>
  <si>
    <t xml:space="preserve">05 53 00 ¶2.01: solid plank for UV channels only, angles per manufacturer; ¶1.01 A and ¶2.02 C: aluminum bar grating on pultruded FRP embedment angles (main spec p.205 — Verified) Merge check: Process &amp; Mechanical shows removable grating over the digester (C5.1–C5.3). Linked exceptions: #57.</t>
  </si>
  <si>
    <t xml:space="preserve">Structural &amp; Building Issues §2 #2: Bid Item 9 — Structural Concrete (Extra Work, approx. 10 CY). Needed: Contract &amp; General lane or Merge to state what Item 9 pays for [Unresolved]</t>
  </si>
  <si>
    <t xml:space="preserve">Structural &amp; Building: 04 (lane: Structural &amp; Building)</t>
  </si>
  <si>
    <t xml:space="preserve">Scope text 00 24 13 ¶9 (p.18) is outside this lane's stack and 04 lists no references in scope, so no ledger row can be mapped to Item 9; concrete rows carry Item 1 (Inferred); 03 30 00 ¶1.03 lists only overexcavation and structural fill as extra-work items (31 20 00), with no extra-work structural concrete (main spec p.172 — Verified) Merge check: No row in any lane carries Item 9. Linked exceptions: #133.</t>
  </si>
  <si>
    <t xml:space="preserve">Structural &amp; Building Issues §2 #4: Identity of the "Drain Pump Station". Needed: Civil &amp; Site or Process &amp; Mechanical lane / Merge to identify the station and its civil sheet [Unresolved]</t>
  </si>
  <si>
    <t xml:space="preserve">Structural &amp; Building: S2.4 detail titles and S1.1 concrete schedule (plans_8 p.4; plans_7 p.8); sheet title says "Pump Station Lid"</t>
  </si>
  <si>
    <t xml:space="preserve">S2.4 defers wet well, hatches and dimensions to civil without naming a sheet; 01 has no sheet titled "drain pump station" (C4.1 Influent Pump Station, C4.2 2W Pump Station). 03 40 00 ¶2.02 E.2 schedules 96" wet wells only at the 2W Plant Water Pump Station (C4.2) and Influent Pump Station (C4.1), one 48"×30" hatch each; ¶2.02 D.1 builds the Influent Pump Station top slab "per the details included on the Contract Plans"; ¶1.01 A.1 names an "effluent wet well" not in the table (main spec pp.181, 183 — Verified); S2.4 shows two 30"×48" openings Merge check: Process &amp; Mechanical G0.6 note: "proposed influent &amp; plant drain pump station"; Civil &amp; Site CS-09 asks the same question. Linked exceptions: #151, #37, #38.</t>
  </si>
  <si>
    <t xml:space="preserve">Structural &amp; Building Issues §2 #5: Generator on S2.4 — permanent or temporary. Needed: Electrical &amp; Controls lane / Merge to tie the slab to the permanent standby generator or the temporary back-up generator [Unresolved]</t>
  </si>
  <si>
    <t xml:space="preserve">Structural &amp; Building: S2.4 Detail 4 (plans_8 p.4)</t>
  </si>
  <si>
    <t xml:space="preserve">"Generator per civil, attachment by others"; no civil sheet named; permanent vs. temporary (Add. 4 Clarification 5) not stated Merge check: Electrical &amp; Controls GEN row places the permanent generator on E1.1; the temporary generator has no location in any lane. Linked exceptions: #65, #14.</t>
  </si>
  <si>
    <t xml:space="preserve">Structural &amp; Building Issues §3 #1: Blowers (4). Owner: Process &amp; Mechanical. Structural &amp; Building rows: PROPOSED-Blowers-Blower-Building</t>
  </si>
  <si>
    <t xml:space="preserve">Structural &amp; Building: A1.1, A1.3 (plans_7 p.5, p.7); basis: 43 11 00; C6.4/C6.5 in P&amp;M lane (01)</t>
  </si>
  <si>
    <t xml:space="preserve">Merge check: PROPOSED-Blowers-Blower-Building → matched (see linked). Linked exceptions: #18.</t>
  </si>
  <si>
    <t xml:space="preserve">Owner: Process &amp; Mechanical (03 lane scopes)</t>
  </si>
  <si>
    <t xml:space="preserve">Structural &amp; Building Issues §3 #2: Motor control center. Owner: Electrical &amp; Controls. Structural &amp; Building rows: MCC</t>
  </si>
  <si>
    <t xml:space="preserve">Structural &amp; Building: A1.1; Add. 4 p.1 Clarification 4, p.4; basis: E9.1; 03 Add. 4 map (Clarification 4 primary E&amp;C)</t>
  </si>
  <si>
    <t xml:space="preserve">Merge check: MCC → combined with the Electrical &amp; Controls row (same tag).</t>
  </si>
  <si>
    <t xml:space="preserve">Structural &amp; Building Issues §3 #3: Main control panel. Owner: Electrical &amp; Controls. Structural &amp; Building rows: MCP</t>
  </si>
  <si>
    <t xml:space="preserve">Structural &amp; Building: A1.1 via Add. 4 p.3, p.4; basis: 03 Add. 4 map ("Also affects: E&amp;C")</t>
  </si>
  <si>
    <t xml:space="preserve">Merge check: MCP → combined with the Electrical &amp; Controls row (same tag).</t>
  </si>
  <si>
    <t xml:space="preserve">Structural &amp; Building Issues §3 #4: 2W bladder tank assembly. Owner: Process &amp; Mechanical. Structural &amp; Building rows: PROPOSED-2W-Bladder-Tank-Assembly</t>
  </si>
  <si>
    <t xml:space="preserve">Structural &amp; Building: A1.1; Add. 4 p.4; basis: C4.3, C6.4 in P&amp;M lane (01)</t>
  </si>
  <si>
    <t xml:space="preserve">Merge check: PROPOSED-2W-Bladder-Tank-Assembly → matched (see linked). Linked exceptions: #25.</t>
  </si>
  <si>
    <t xml:space="preserve">Structural &amp; Building Issues §3 #5: Blower Building louvers and exhaust fans. Owner: Process &amp; Mechanical. Structural &amp; Building rows: PROPOSED-Louver-36x84-Motorized; PROPOSED-Louver-24x24-Manual; PROPOSED-Exhaust-Fans-Blower-Building</t>
  </si>
  <si>
    <t xml:space="preserve">Structural &amp; Building: A1.1, A1.2 (plans_7 p.5, p.6); basis: 23 34 00 per 02 judgment call (cross-check E9.3 and A sheets)</t>
  </si>
  <si>
    <t xml:space="preserve">Merge check: PROPOSED-Louver-36x84-Motorized → matched (see linked); PROPOSED-Louver-24x24-Manual → matched (see linked); PROPOSED-Exhaust-Fans-Blower-Building → matched (see linked). Linked exceptions: #21, #22, #20.</t>
  </si>
  <si>
    <t xml:space="preserve">Structural &amp; Building Issues §3 #6: Existing WWTP building louvers and exhaust fans (3 each). Owner: Process &amp; Mechanical. Structural &amp; Building rows: PROPOSED-WWTP-Building-Louver-3x7; PROPOSED-WWTP-Building-Exhaust-Fan-24x24</t>
  </si>
  <si>
    <t xml:space="preserve">Structural &amp; Building: A1.3 (plans_7 p.7); basis: 23 34 00 per 02 judgment call</t>
  </si>
  <si>
    <t xml:space="preserve">Merge check: PROPOSED-WWTP-Building-Louver-3x7 → matched (see linked); PROPOSED-WWTP-Building-Exhaust-Fan-24x24 → matched (see linked). Linked exceptions: #27, #26.</t>
  </si>
  <si>
    <t xml:space="preserve">Structural &amp; Building Issues §3 #7: Existing generator exhaust assembly removal. Owner: Electrical &amp; Controls. Structural &amp; Building rows: PROPOSED-Existing-Generator-Exhaust-Assembly</t>
  </si>
  <si>
    <t xml:space="preserve">Structural &amp; Building: A1.3 (plans_7 p.7); basis: Inferred: existing generator system</t>
  </si>
  <si>
    <t xml:space="preserve">Merge check: PROPOSED-Existing-Generator-Exhaust-Assembly → matched (see linked). Linked exceptions: #28.</t>
  </si>
  <si>
    <t xml:space="preserve">Structural &amp; Building Issues §3 #8: Process air and 2W piping in the Blower Building. Owner: Process &amp; Mechanical / Civil &amp; Site. Structural &amp; Building rows: None — not drawn on my sheets</t>
  </si>
  <si>
    <t xml:space="preserve">Structural &amp; Building: A1.1 General Note 1; A1.3 General Note 1; basis: Notes point to C1.1 (unavailable), C6.4, C6.5</t>
  </si>
  <si>
    <t xml:space="preserve">Merge check: Process &amp; Mechanical PROPOSED-AERATION-AIR-HEADER (C6.4, C6.5); 2W piping per Civil &amp; Site Pipe IDs 10 and 23. Linked exceptions: #50, #51.</t>
  </si>
  <si>
    <t xml:space="preserve">Owner: Process &amp; Mechanical / Civil &amp; Site (03 lane scopes)</t>
  </si>
  <si>
    <t xml:space="preserve">Structural &amp; Building Issues §3 #9: Train 3 guardrail, mechanical equipment and ladders "per civil". Owner: Process &amp; Mechanical. Structural &amp; Building rows: PROPOSED-Train-3-Guardrail-and-Ladders</t>
  </si>
  <si>
    <t xml:space="preserve">Structural &amp; Building: S2.1 Detail 4 (plans_8 p.1); basis: Train 3 civil sheets C3.3–C3.5 are P&amp;M lane (01); Inferred</t>
  </si>
  <si>
    <t xml:space="preserve">Merge check: PROPOSED-Train-3-Guardrail-and-Ladders → matched (see linked). Linked exceptions: #34.</t>
  </si>
  <si>
    <t xml:space="preserve">Structural &amp; Building Issues §3 #10: Blower equipment pad thickness and layout "per civil". Owner: Process &amp; Mechanical (shared). Structural &amp; Building rows: PROPOSED-Blower-Pad</t>
  </si>
  <si>
    <t xml:space="preserve">Structural &amp; Building: S2.3 Detail 1 (plans_8 p.3; Add. 4 p.9); basis: Civil blower sheets C6.4/C6.5 are P&amp;M lane (01); pad concrete is this lane</t>
  </si>
  <si>
    <t xml:space="preserve">Merge check: No Process &amp; Mechanical row for the blower pad; Structural &amp; Building PROPOSED-Blower-Pad stands (Add. 4 p.9: 3-1/2 in, per civil).</t>
  </si>
  <si>
    <t xml:space="preserve">Owner: Process &amp; Mechanical (shared) (03 lane scopes)</t>
  </si>
  <si>
    <t xml:space="preserve">Structural &amp; Building Issues §3 #11: UV basin and digester guardrail and ladders "per civil"; 3" mechanical equipment pads "reinforce per civil"; UV equipment drawn unlabeled. Owner: Process &amp; Mechanical. Structural &amp; Building rows: PROPOSED-UV-Digester-Guardrail-and-Ladders; PROPOSED-UV-Disinfection-Chamber-Basin</t>
  </si>
  <si>
    <t xml:space="preserve">Structural &amp; Building: S2.2 Details 1, 3 (plans_8 p.2); basis: C5.1–C5.4 are P&amp;M lane (01); 46 66 00 — Inferred</t>
  </si>
  <si>
    <t xml:space="preserve">Merge check: PROPOSED-UV-Digester-Guardrail-and-Ladders → matched (see linked); PROPOSED-UV-Disinfection-Chamber-Basin → matched (see linked). Linked exceptions: #57, #56.</t>
  </si>
  <si>
    <t xml:space="preserve">Structural &amp; Building Issues §3 #12: Precast wet well and hatches "per civil". Owner: Process &amp; Mechanical (wet well) / Civil &amp; Site. Structural &amp; Building rows: PROPOSED-Drain-Pump-Station-Precast-Wet-Well; PROPOSED-Drain-Pump-Station-Hatches</t>
  </si>
  <si>
    <t xml:space="preserve">Structural &amp; Building: S2.4 Details 1–3 (plans_8 p.4); Add. 4 p.1 Clarification 2; basis: 03 Add. 4 map for Clarification 2</t>
  </si>
  <si>
    <t xml:space="preserve">Merge check: PROPOSED-Drain-Pump-Station-Precast-Wet-Well → no owner-lane row matched; PROPOSED-Drain-Pump-Station-Hatches → matched (see linked). Linked exceptions: #38.</t>
  </si>
  <si>
    <t xml:space="preserve">Owner: Process &amp; Mechanical (wet well) / Civil &amp; Site (03 lane scopes)</t>
  </si>
  <si>
    <t xml:space="preserve">Structural &amp; Building Issues §3 #13: Generator "per civil, attachment by others". Owner: Electrical &amp; Controls. Structural &amp; Building rows: PROPOSED-Generator-on-S2.4</t>
  </si>
  <si>
    <t xml:space="preserve">Structural &amp; Building: S2.4 Detail 4 (plans_8 p.4); basis: 26 32 13; E10.3 by title — Inferred</t>
  </si>
  <si>
    <t xml:space="preserve">Merge check: PROPOSED-Generator-on-S2.4 → matched (see linked). Linked exceptions: #65.</t>
  </si>
  <si>
    <t xml:space="preserve">Structural &amp; Building Issues §3 #14: Flow splitter "per civil, attachment by others". Owner: Process &amp; Mechanical. Structural &amp; Building rows: PROPOSED-Flow-Splitter</t>
  </si>
  <si>
    <t xml:space="preserve">Structural &amp; Building: S2.4 Detail 5 (plans_8 p.4); basis: C3.1/C3.2 Influent Flow Splitter (01) — Inferred by title</t>
  </si>
  <si>
    <t xml:space="preserve">Merge check: PROPOSED-Flow-Splitter → matched (see linked). Linked exceptions: #75.</t>
  </si>
  <si>
    <t xml:space="preserve">Structural &amp; Building Issues §3 #15: Sub-floor sludge piping under existing slab. Owner: Civil &amp; Site (primary) / Process &amp; Mechanical. Structural &amp; Building rows: PROPOSED-Existing-Slab-Trench-Infill</t>
  </si>
  <si>
    <t xml:space="preserve">Structural &amp; Building: S4.1 Detail 8 (Add. 4 p.10); Add. 4 p.3 C1.6A item; basis: 03 Add. 4 map: C1.6A primary Civil &amp; Site, also P&amp;M</t>
  </si>
  <si>
    <t xml:space="preserve">Merge check: PROPOSED-Existing-Slab-Trench-Infill → matched (see linked). Linked exceptions: #78.</t>
  </si>
  <si>
    <t xml:space="preserve">Owner: Civil &amp; Site (primary) / Process &amp; Mechanical (03 lane scopes)</t>
  </si>
  <si>
    <t xml:space="preserve">Structural &amp; Building Issues §3 #16: Foundation drain discharge and drainage plan review. Owner: Civil &amp; Site. Structural &amp; Building rows: PROPOSED-Blower-Building-Foundation-Drains</t>
  </si>
  <si>
    <t xml:space="preserve">Structural &amp; Building: S2.3 Detail 7 (plans_8 p.3; Add. 4 p.9); basis: Detail 7 notes send discharge and plan review to civil</t>
  </si>
  <si>
    <t xml:space="preserve">Merge check: No Civil &amp; Site row for the Blower Building foundation drain discharge — coverage gap.</t>
  </si>
  <si>
    <t xml:space="preserve">Structural &amp; Building Issues §3 #17: Precast wet wells, top slab and vaults scheduled in 03 40 00. Owner: Process &amp; Mechanical (C4.1, C4.2) / Civil &amp; Site (C7.4). Structural &amp; Building rows: PROPOSED-2W-Pump-Station-Precast-Wet-Well; PROPOSED-Influent-Pump-Station-Precast-Wet-Well; PROPOSED-Influent-Pump-Station-Top-Slab; PROPOSED-Influent-Flow-Meter-Valve-Vault; PROPOSED-Effluent-Flow-Meter-Valve-Vault; PROPOSED-Plants-2-and-3-Flow-Meter-Vault; PROPOSED-Influent-Pump-Station-Meter-Vaults</t>
  </si>
  <si>
    <t xml:space="preserve">Structural &amp; Building: 03 40 00 ¶2.02 D–E (main spec p.183); basis: Drawing sheets named in the vault table; lanes per 01</t>
  </si>
  <si>
    <t xml:space="preserve">Merge check: PROPOSED-2W-Pump-Station-Precast-Wet-Well → matched (see linked); PROPOSED-Influent-Pump-Station-Precast-Wet-Well → matched (see linked); PROPOSED-Influent-Pump-Station-Top-Slab → matched (see linked); PROPOSED-Influent-Flow-Meter-Valve-Vault → matched (see linked); PROPOSED-Effluent-Flow-Meter-Valve-Vault → no owner-lane row matched; PROPOSED-Plants-2-and-3-Flow-Meter-Vault → matched (see linked); PROPOSED-Influent-Pump-Station-Meter-Vaults → matched (see linked). Linked exceptions: #47, #37, #38, #44, #5, #6, #41.</t>
  </si>
  <si>
    <t xml:space="preserve">Owner: Process &amp; Mechanical (C4.1, C4.2) / Civil &amp; Site (C7.4) (03 lane scopes)</t>
  </si>
  <si>
    <t xml:space="preserve">Structural &amp; Building Issues §3 #18: Locations of stairs, ladders, platforms and railings. Owner: Process &amp; Mechanical / Civil &amp; Site. Structural &amp; Building rows: PROPOSED-Steel-Stairs-Ladders-Platforms</t>
  </si>
  <si>
    <t xml:space="preserve">Structural &amp; Building: 05 51 10 ¶1.01 A.1, ¶1.03 A.3; 05 52 00 ¶1.01 A; basis: Sections place items "where shown on the plans" / "on Civil Drawings"; none drawn on S/A sheets</t>
  </si>
  <si>
    <t xml:space="preserve">Merge check: PROPOSED-Steel-Stairs-Ladders-Platforms → no owner-lane row matched.</t>
  </si>
  <si>
    <t xml:space="preserve">Structural &amp; Building Issues §3 #19: Overexcavation and structural fill (extra work). Owner: Civil &amp; Site. Structural &amp; Building rows: None</t>
  </si>
  <si>
    <t xml:space="preserve">Structural &amp; Building: 03 30 00 ¶1.03; 03 40 00 ¶1.03; basis: Referred to 31 20 00</t>
  </si>
  <si>
    <t xml:space="preserve">Merge check: No lane row; Bid Item 10 (Over Excavation) has no Ledger rows. Linked exceptions: #134.</t>
  </si>
  <si>
    <t xml:space="preserve">Structural &amp; Building Issues §3 #20: Influent Pump Station interior epoxy lining. Owner: Process &amp; Mechanical. Structural &amp; Building rows: PROPOSED-Influent-Pump-Station-Interior-Coating</t>
  </si>
  <si>
    <t xml:space="preserve">Structural &amp; Building: 09 97 23 ¶1.01 B.1 (main spec p.236); basis: Locations "see drawings" — C4.1 (P&amp;M lane per 01)</t>
  </si>
  <si>
    <t xml:space="preserve">Merge check: No Process &amp; Mechanical row; the Structural &amp; Building row stands.</t>
  </si>
  <si>
    <t xml:space="preserve">Structural &amp; Building Issues §3 #21: Exposed piping colors and labels. Owner: Process &amp; Mechanical. Structural &amp; Building rows: None</t>
  </si>
  <si>
    <t xml:space="preserve">Structural &amp; Building: 09 90 00 ¶3.05 (main spec p.235); basis: Pipe services (2W, air, sludge, effluent) are P&amp;M items</t>
  </si>
  <si>
    <t xml:space="preserve">Merge check: No row in any lane; Process &amp; Mechanical Issue 27 (43 22 10 cites a 09 91 00 that does not exist).</t>
  </si>
  <si>
    <t xml:space="preserve">Contract &amp; General Issues 1.19: When temporary facilities come out. Needed: Owner confirmation; sets demobilization timing for the temporary facility rows</t>
  </si>
  <si>
    <t xml:space="preserve">Contract &amp; General: 01 70 00 ¶1.03.A.3 p.152: temporary facilities and services discontinued and removed before the Substantial Completion request</t>
  </si>
  <si>
    <t xml:space="preserve">01 50 00 ¶1.01.C, ¶1.04.A.4, ¶1.04.B.3, ¶1.04.D.1 pp.142–143: removed at completion of the work or when directed; 00 73 00 SC 19 p.92: removal of temporary pump/process equipment is part of Final Completion Merge check: Temporary rows in Civil &amp; Site (bypass pumping, dewatering, TESC, shoring, signs) and Electrical &amp; Controls (construction power, temporary generator) carry no removal milestone. Linked exceptions: #68, #69, #70, #67.</t>
  </si>
  <si>
    <t xml:space="preserve">SC 19 governs for temporary pump/process equipment and bypass pumping (Inferred — SC 2 ranking as 1.10); for construction power, water and restrooms both sources are Division 01 — Unresolved</t>
  </si>
  <si>
    <t xml:space="preserve">Contract &amp; General Issues 1.21: Dewatering commissioning duration. Needed: Engineer clarification (1 vs 2 days per supplier)</t>
  </si>
  <si>
    <t xml:space="preserve">Contract &amp; General: 01 91 00 ¶1.07.A p.159: suppliers each provide "a minimum of one" day</t>
  </si>
  <si>
    <t xml:space="preserve">Same sentence: "(2) days" Merge check: Linked from Process &amp; Mechanical Issue 37 (rotary fan press start-up). Linked exceptions: #190.</t>
  </si>
  <si>
    <t xml:space="preserve">Neither — internal to one paragraph</t>
  </si>
  <si>
    <t xml:space="preserve">Contract &amp; General Issues 1.22: Leakage-test list repeated with different names (record only). Needed: None. Merge should match on both names</t>
  </si>
  <si>
    <t xml:space="preserve">Contract &amp; General: 01 45 00 ¶1.09 pp.139–140: 8 structures incl. "Aeration Basins", "Anoxic Basins", "Clarifier", "UV Disinfection Chamber", "2W Water System Pump Station"</t>
  </si>
  <si>
    <t xml:space="preserve">01 50 00 ¶1.04.C p.143: 6 entries — "Train #3 (including Aeration Basins, Anoxic Basins, and Clarifier)", "UV Disinfection Channel #1 and #2", "2W Water system Pump Station Wet Well"; same 2-hour test Merge check: Matched: "Train #3" = aeration and anoxic basins + clarifier; "UV Disinfection Channel #1 and #2" = UV disinfection chamber; "2W Water system Pump Station Wet Well" = the combined 2W wet well row. Linked exceptions: #33, #56, #47.</t>
  </si>
  <si>
    <t xml:space="preserve">No conflict in scope — same structures</t>
  </si>
  <si>
    <t xml:space="preserve">Contract &amp; General Issues 2.6: "General Conditions" not in the library. Needed: Confirm the WSDOT Standard Specifications (2022) Division 1 serve as the General Conditions; stage them if Merge needs the LD sum and pre-con time frame</t>
  </si>
  <si>
    <t xml:space="preserve">Contract &amp; General: 00 41 00 p.27 (liquidated damages sum); 01 11 10 ¶1.02.A.7 p.123 (permits and fees); 01 31 00 ¶1.03.A p.126 (pre-con time frame); 01 41 00 ¶1.01 p.133 (quoted compliance duty); QA plan §6.3.1 p.14 (pre-con agenda: "Review the General Conditions, Supplementary Conditions, and Division 1")</t>
  </si>
  <si>
    <t xml:space="preserve">[Unresolved: external reference, not staged — no General Conditions section in 02; 00 73 00 p.88 says the SCs modify the WSDOT Standard Specifications, which therefore act as the general conditions (Inferred)] Merge check: The drawing-vs-spec order is settled by SC 2 without the General Conditions; needed by Civil &amp; Site CS-23, Process &amp; Mechanical Issues 2 and 31, Electrical &amp; Controls Issues #14. Linked exceptions: #152, #181, #188, #196.</t>
  </si>
  <si>
    <t xml:space="preserve">Drawing vs spec: 00 73 00 SC 2 (main spec p.88), as recorded in the Contract &amp; General note for 00 73 00 (Verified): precedence runs Change Orders, Contract Form, Addenda, permits, Drawings, Supplemental Conditions, Technical Specifications, District standards, WSDOT drawings, WSDOT specs — Drawings rank above Technical Specifications. The liquidated damages sum and pre-construction time frame still need the General Conditions.</t>
  </si>
  <si>
    <t xml:space="preserve">Contract &amp; General Issues 2.8: Commissioning section gaps. Needed: Engineer to confirm nothing was dropped at ¶1.08–1.09 and ¶1.11.A; owning lanes' equipment sections may carry start-up duties</t>
  </si>
  <si>
    <t xml:space="preserve">Contract &amp; General: 01 91 00 p.159: paragraphs jump from 1.07 to 1.10 and ¶1.11 starts at "B"; no commissioning paragraph for the temporary or permanent generator, transfer switch, MCC, PLC panel, 480V service or influent sampler (Verified)</t>
  </si>
  <si>
    <t xml:space="preserve">[Unresolved — the checklist is stated as not exhaustive (¶1.01.B.3), so the gap may be intentional; missing ¶1.08–1.09 content cannot be ruled out] Merge check: Electrical &amp; Controls Testing/Startup column — GEN Y (26 32 13); ATS Y (26 36 00); MCC Y (26 24 19); MCP Y (26 80 00); influent sampler Not stated (no section). Where Y, the owning lane's Division 26 section carries start-up; the temporary generator relies on Add. 4 Clarification 5 testing. Linked exceptions: #65, #66, #23, #24, #14.</t>
  </si>
  <si>
    <t xml:space="preserve">Contract &amp; General Issues §3: 13 Contract &amp; General rows owned by Civil &amp; Site</t>
  </si>
  <si>
    <t xml:space="preserve">Contract &amp; General rows: PROPOSED-Bollards; PROPOSED-Trench-Safety-System; PROPOSED-Erosion-and-Sediment-Control-Measures; PROPOSED-Temporary-Bypass-Pipe; PROPOSED-Temporary-8in-Effluent-Piping; PROPOSED-8in-Effluent-Piping; PROPOSED-Yard-Piping; PROPOSED-Yard-Piping-Vaults; PROPOSED-Site-Final-Surfacing-and-Pavement; PROPOSED-Funding-Recognition-Sign; PROPOSED-Temporary-Construction-Dewatering; PROPOSED-Temporary-Excavation-Support; PROPOSED-Bypass-Pumping-System. Sources: 00 24 13; 00 31 13; 00 41 00; 00 53 00; 00 73 00; 01 11 10; 01 33 00</t>
  </si>
  <si>
    <t xml:space="preserve">Merge check: PROPOSED-Bollards → no owner-lane row found; PROPOSED-Trench-Safety-System → #70; PROPOSED-Erosion-and-Sediment-Control-Measures → #71; PROPOSED-Temporary-Bypass-Pipe → #68; PROPOSED-Temporary-8in-Effluent-Piping → #74; PROPOSED-8in-Effluent-Piping → roll-up of 1 owner-lane detail row; PROPOSED-Yard-Piping → roll-up of 26 owner-lane detail rows; PROPOSED-Yard-Piping-Vaults → roll-up of 10 owner-lane detail rows; PROPOSED-Site-Final-Surfacing-and-Pavement → #73; PROPOSED-Funding-Recognition-Sign → #72; PROPOSED-Temporary-Construction-Dewatering → #69; PROPOSED-Temporary-Excavation-Support → #70; PROPOSED-Bypass-Pumping-System → #68. Linked exceptions: #68, #69, #70, #71, #72, #73, #74.</t>
  </si>
  <si>
    <t xml:space="preserve">Contract &amp; General Issues §3: 21 Contract &amp; General rows owned by Process &amp; Mechanical</t>
  </si>
  <si>
    <t xml:space="preserve">Contract &amp; General rows: PROPOSED-Aerobic-Digester; PROPOSED-UV-Disinfection-System; PROPOSED-Sludge-Pumps; PROPOSED-2W-Air-Gap-Water-System; PROPOSED-Influent-Pump-Station; PROPOSED-Submersible-Pump-Equipment; PROPOSED-Influent-Flow-Splitter; PROPOSED-Influent-Sampler; PROPOSED-Train-3; PROPOSED-Train-3-Biological-Treatment-Equipment; PROPOSED-Dewatering-System; PROPOSED-Temporary-Pump-and-Process-Equipment; PROPOSED-Bypass-Pumping-System; PROPOSED-Blowers; PROPOSED-Aeration-Basins; PROPOSED-Anoxic-Basins; PROPOSED-Clarifier; PROPOSED-2W-Pump-Station-Wet-Well; PROPOSED-Train-3-Dissolved-Oxygen-Sensors; PROPOSED-Train-3-pH-Sensors; PROPOSED-Magnetic-Flow-Meters. Sources: 00 24 13; 00 31 13; 00 41 00; 00 73 00; 01 33 00; 01 45 00; 01 50 00; 01 91 00</t>
  </si>
  <si>
    <t xml:space="preserve">Merge check: PROPOSED-Aerobic-Digester → #56; PROPOSED-UV-Disinfection-System → #54; PROPOSED-Sludge-Pumps → #59; PROPOSED-2W-Air-Gap-Water-System → #17; PROPOSED-Influent-Pump-Station → #37; PROPOSED-Submersible-Pump-Equipment → #36; PROPOSED-Influent-Flow-Splitter → #75; PROPOSED-Influent-Sampler → #13; PROPOSED-Train-3 → roll-up of 3 owner-lane detail rows; PROPOSED-Train-3-Biological-Treatment-Equipment → #30; PROPOSED-Dewatering-System → #15, #63; PROPOSED-Temporary-Pump-and-Process-Equipment → no owner-lane row found; PROPOSED-Bypass-Pumping-System → #68; PROPOSED-Blowers → #18; PROPOSED-Aeration-Basins → roll-up of 2 owner-lane detail rows; PROPOSED-Anoxic-Basins → roll-up of 2 owner-lane detail rows; PROPOSED-Clarifier → #33; PROPOSED-2W-Pump-Station-Wet-Well → combined with Process &amp; Mechanical; Contract &amp; General rows; PROPOSED-Train-3-Dissolved-Oxygen-Sensors → #35; PROPOSED-Train-3-pH-Sensors → #35; PROPOSED-Magnetic-Flow-Meters → roll-up of 14 owner-lane detail rows. Linked exceptions: #18, #30, #33, #35, #36, #37, #47, #54, #56, #59, #63, #68, #75, #15, #13, #17.</t>
  </si>
  <si>
    <t xml:space="preserve">Contract &amp; General Issues §3: 8 Contract &amp; General rows owned by Structural &amp; Building</t>
  </si>
  <si>
    <t xml:space="preserve">Contract &amp; General rows: PROPOSED-Blower-Building; PROPOSED-UV-Disinfection-Chamber; PROPOSED-Aerobic-Digester; PROPOSED-Aeration-Basins; PROPOSED-Anoxic-Basins; PROPOSED-Clarifier; PROPOSED-2W-Pump-Station-Wet-Well; PROPOSED-Handrails. Sources: 00 24 13; 00 31 13; 01 45 00; 01 50 00; 01 70 00</t>
  </si>
  <si>
    <t xml:space="preserve">Merge check: PROPOSED-Blower-Building → combined with Process &amp; Mechanical; Structural &amp; Building; Contract &amp; General rows; PROPOSED-UV-Disinfection-Chamber → #56; PROPOSED-Aerobic-Digester → #56; PROPOSED-Aeration-Basins → roll-up of 2 owner-lane detail rows; PROPOSED-Anoxic-Basins → roll-up of 2 owner-lane detail rows; PROPOSED-Clarifier → #33; PROPOSED-2W-Pump-Station-Wet-Well → combined with Process &amp; Mechanical; Contract &amp; General rows; PROPOSED-Handrails → #34. Linked exceptions: #33, #47, #56.</t>
  </si>
  <si>
    <t xml:space="preserve">Contract &amp; General Issues §3: 11 Contract &amp; General rows owned by Electrical &amp; Controls</t>
  </si>
  <si>
    <t xml:space="preserve">Contract &amp; General rows: PROPOSED-Temporary-Back-Up-Generator; PROPOSED-Automatic-Transfer-Switch; PROPOSED-Permanent-Standby-Generator; PROPOSED-480V-Electrical-Service; PROPOSED-Motor-Control-Center; PROPOSED-PLC-Control-Panel; PROPOSED-8in-Effluent-Flow-Meter; PROPOSED-Temporary-Bypass-Alarm-Monitoring; PROPOSED-Magnetic-Flow-Meters; PROPOSED-Train-3-Dissolved-Oxygen-Sensors; PROPOSED-Train-3-pH-Sensors. Sources: 00 31 13; 00 41 00; 00 73 00; Add. 4 p.1 Clarification 5; 01 50 00; 01 91 00</t>
  </si>
  <si>
    <t xml:space="preserve">Merge check: PROPOSED-Temporary-Back-Up-Generator → #14; PROPOSED-Automatic-Transfer-Switch → #66; PROPOSED-Permanent-Standby-Generator → #65; PROPOSED-480V-Electrical-Service → roll-up of 4 owner-lane detail rows; PROPOSED-Motor-Control-Center → #23; PROPOSED-PLC-Control-Panel → #24; PROPOSED-8in-Effluent-Flow-Meter → #10; PROPOSED-Temporary-Bypass-Alarm-Monitoring → #68; PROPOSED-Magnetic-Flow-Meters → roll-up of 14 owner-lane detail rows; PROPOSED-Train-3-Dissolved-Oxygen-Sensors → #35; PROPOSED-Train-3-pH-Sensors → #35. Linked exceptions: #23, #24, #35, #65, #66, #68, #10, #14.</t>
  </si>
  <si>
    <t xml:space="preserve">Contract &amp; General Issues §3: lane-wide requirements to apply to other lanes' rows — American Iron and Steel (00 53 00 pp.42–43); Subcontractor approval (00 54 00 p.67); Wages (00 11 16 p.10; 00 41 00 p.27; 00 53 00 p.43; 00 54 00 pp.68–74); Completion milestones (00 73 00 SC 19 p.92); Record drawings (00 73 00 SC 22 p.93; 01 33 00 ¶1.03.J p.130); O&amp;M manuals (01 33 00 ¶1.05.G pp.131–132); Contract terms (00 73 00 pp.91–93); Testing split (01 45 00 ¶1.05.B pp.137–138, summary p.141); Start-up (01 70 00 ¶1.06 p.155); Substantial Completion prerequisites (01 70 00 ¶1.03.A p.152); Products (01 60 00, repeated in 01 66 00); Wage rates and CDBG forms; QA plan, informational only (not a Contract Document, §1.3 p.5)</t>
  </si>
  <si>
    <t xml:space="preserve">Contract &amp; General: American Iron and Steel (00 53 00 pp.42–43); subcontractor approval (00 54 00 p.67); wages (00 11 16 p.10, 00 53 00 p.43, 00 54 00 pp.68–74); milestones (00 73 00 SC 19 p.92); record drawings (SC 22 p.93; 01 33 00 ¶1.03.J); O&amp;M manuals (01 33 00 ¶1.05.G); contract terms (SC 12, 14, 17, 25); testing split (01 45 00 ¶1.05.B); start-up (01 70 00 ¶1.06; 01 91 00); Substantial Completion prerequisites (01 70 00 ¶1.03.A); products (01 60 00); wage appendices D, E, I; QA plan (informational).</t>
  </si>
  <si>
    <t xml:space="preserve">Merge check: not applied to other lanes' rows — the Ledger schema has no requirement columns. Route to Requirements_Schema.csv (Phase 1 workflow).</t>
  </si>
  <si>
    <t xml:space="preserve">03 carry-forward flag</t>
  </si>
  <si>
    <t xml:space="preserve">Bid Item #18 (owner flag, 03 / 04). Add. 4 calls the temporary back-up generator "Bid Item #18"; the base bid form Item 18 is Train 3 stainless steel fabrication (Bid Alternate 1). Ledger rows carrying "18 — Unresolved (see 04)": 23.</t>
  </si>
  <si>
    <t xml:space="preserve">Add. 4 p.1, Clarification 5: "Temporary Back Up Generator (Bid Item #18)"; rental generator exhibit pp.11–13 (04; Electrical &amp; Controls note "Add. 4 Generator Exhibit", Verified).</t>
  </si>
  <si>
    <t xml:space="preserve">00 41 00 p.25: Item 18 = Train 3 – Stainless Steel Fabrication Above Water Surface, 1 LS, Bid Alternate 1; 00 24 13 ¶18 p.20. Base temporary generator: 00 31 13 p.21; 26 05 00 ¶1.016 C p.276 and ¶3.03 E.5 p.279 (04; Contract &amp; General and Electrical &amp; Controls notes, Verified).</t>
  </si>
  <si>
    <t xml:space="preserve">Unresolved — Add. 4 does not reissue the bid form. Needed: Addenda 1–3 or the conformed bid form.</t>
  </si>
  <si>
    <t xml:space="preserve">Geotechnical report date (owner flag, 03).</t>
  </si>
  <si>
    <t xml:space="preserve">31 20 00 ¶1.01 B p.383: GeoEngineers report dated Sept 7, 2021 — also cited by 31 23 19 ¶1.3 p.390 and 33 41 00 ¶2.02 E, ¶3.02 F pp.448–449 (Civil &amp; Site Issues) and by S1.1 Foundations &amp; Subgrade note 2, plans_7 p.8 (Structural &amp; Building Issues §5).</t>
  </si>
  <si>
    <t xml:space="preserve">Appendix C: GeoEngineers report dated Nov 8, 2022 (p.537) and report addendum Dec 16, 2022 (p.577); p.542 calls itself a "revised report" (Civil &amp; Site; Inferred: the 2022 report revises the 2021 one).</t>
  </si>
  <si>
    <t xml:space="preserve">Unresolved — both base documents. Needed: engineer confirmation or the 2021 report.</t>
  </si>
  <si>
    <t xml:space="preserve">Permanent generator bid item (candidate flag, 03 / 04 other conflict #1). Ledger rows: GEN (Electrical &amp; Controls), PROPOSED-Permanent-Standby-Generator (Contract &amp; General), PROPOSED-Generator-on-S2.4 (Structural &amp; Building) all carry Item 1 or 6 — Unresolved.</t>
  </si>
  <si>
    <t xml:space="preserve">00 41 00 p.26: Base Bid Item #1 is based on the listed generator makes; Equipment Alternate E is its deduction (04).</t>
  </si>
  <si>
    <t xml:space="preserve">00 24 13 ¶6 p.17: all Division 26 work is Item 6; the generator is specified in 26 32 13 (04).</t>
  </si>
  <si>
    <t xml:space="preserve">Unresolved — owner to confirm.</t>
  </si>
  <si>
    <t xml:space="preserve">E5.1 sheet title (carry, lower priority, 03).</t>
  </si>
  <si>
    <t xml:space="preserve">Cover index, plans_1 p.1: "UV DISINFECTION &amp; CLARIFIER ELECTRICAL PLAN AND ELEVATION" (01 log #1).</t>
  </si>
  <si>
    <t xml:space="preserve">Title block, plans_10 p.1: "UV DISINFECTION CHAMBER &amp; DIGESTER ELECTRICAL PLAN AND ELEVATION". New lane evidence: the E0.1 electrical sheet index (plans_8 p.6) matches the title block (Electrical &amp; Controls Issues, already-flagged table; Verified). Structural &amp; Building Issues §2 #7: "clarifier" in the specs matches no sheet except this alias.</t>
  </si>
  <si>
    <t xml:space="preserve">01 indexes by the title block; 2 of 3 sources agree with it. Engineer confirmation still needed.</t>
  </si>
  <si>
    <t xml:space="preserve">Section 01 11 10 / 01 11 00 (carry, lower priority, 03).</t>
  </si>
  <si>
    <t xml:space="preserve">Body: SECTION 01 11 10 – Summary of Work (main spec p.123).</t>
  </si>
  <si>
    <t xml:space="preserve">TOC p.4 and running header: 01 11 00. Cited as "01 11 00" by G0.3 Note 10 and 02 41 00 ¶1.01 A.2 (Civil &amp; Site) and by 01 31 00 ¶1.02.A.3 and 01 50 00 ¶1.02.A.1 (Contract &amp; General).</t>
  </si>
  <si>
    <t xml:space="preserve">Body governs (decision 4); alias 01 11 00 accepted (decision E); stays Unresolved — confirm.</t>
  </si>
  <si>
    <t xml:space="preserve">PROPOSED tag awaiting approval</t>
  </si>
  <si>
    <t xml:space="preserve">PROPOSED-Temporary bypass pumping system — Temporary bypass pumping, piping, holding tanks and storage [Site]</t>
  </si>
  <si>
    <t xml:space="preserve">Civil &amp; Site — sheets: G0.3; C0.5; spec: —; Wiki: G0.3; C0.5; Appendix F</t>
  </si>
  <si>
    <t xml:space="preserve">Other lanes' tags in the same item group: PROPOSED-Temporary-Bypass-Pipe (Contract &amp; General); PROPOSED-Temporary-Bypass-Alarm-Monitoring (Contract &amp; General); PROPOSED-Bypass-Pumping-System (Contract &amp; General). See #68.</t>
  </si>
  <si>
    <t xml:space="preserve">Owner approval (lane rule: no printed tag → PROPOSED-&lt;plain name&gt;)</t>
  </si>
  <si>
    <t xml:space="preserve">PROPOSED-Temporary power generator — Temporary back-up power generator [Site]</t>
  </si>
  <si>
    <t xml:space="preserve">Civil &amp; Site — sheets: G0.3; spec: —; Wiki: G0.3</t>
  </si>
  <si>
    <t xml:space="preserve">Other lanes' tags in the same item group: PROPOSED-Temporary-Backup-Generator (Electrical &amp; Controls); PROPOSED-Temporary-Back-Up-Generator (Contract &amp; General). See #14.</t>
  </si>
  <si>
    <t xml:space="preserve">PROPOSED-Plastic covering for slopes and stockpiles — Plastic covering for slopes and stockpiles (TESC) [Site]</t>
  </si>
  <si>
    <t xml:space="preserve">Civil &amp; Site — sheets: C0.4 (Det. 1); C0.3; spec: 31 32 11; Wiki: C0.4; 31 32 11</t>
  </si>
  <si>
    <t xml:space="preserve">Other lanes' tags in the same item group: PROPOSED-Erosion-and-Sediment-Control-Measures (Contract &amp; General). See #71.</t>
  </si>
  <si>
    <t xml:space="preserve">PROPOSED-Catch basin inserts — Catch basin inserts (inlet protection, TESC) [Site]</t>
  </si>
  <si>
    <t xml:space="preserve">Civil &amp; Site — sheets: C0.4 (Det. 2); C0.2; C0.3; spec: 31 32 11; Wiki: C0.4; C0.2; 31 32 11</t>
  </si>
  <si>
    <t xml:space="preserve">PROPOSED-Filter fabric fence — Filter fabric (silt) fence (TESC) [Site]</t>
  </si>
  <si>
    <t xml:space="preserve">Civil &amp; Site — sheets: C0.4 (Det. 3); C0.2; C0.6; C0.3; spec: 31 32 11; Wiki: C0.4; C0.2; C0.6; 31 32 11</t>
  </si>
  <si>
    <t xml:space="preserve">PROPOSED-Stabilized construction entrance — Stabilized construction entrance (quarry spalls on geotextile) [Site]</t>
  </si>
  <si>
    <t xml:space="preserve">Civil &amp; Site — sheets: C0.4 (Det. 4); C0.2; C0.3; spec: 31 32 11; Wiki: C0.4; C0.2; 31 32 11</t>
  </si>
  <si>
    <t xml:space="preserve">PROPOSED-Geotextile encased check dams — Geotextile encased check dams (BMP C208) [Site]</t>
  </si>
  <si>
    <t xml:space="preserve">Civil &amp; Site — sheets: C0.4 (Det. 5); C0.3; spec: 31 32 11; Wiki: C0.4; 31 32 11</t>
  </si>
  <si>
    <t xml:space="preserve">PROPOSED-Existing 8in effluent outfall pipe — Existing 8-inch effluent (outfall) pipe, 40 LF — abandon and remove [Site]</t>
  </si>
  <si>
    <t xml:space="preserve">Civil &amp; Site — sheets: C0.5 (KN 1); C0.7 (cited); spec: 02 41 00; Wiki: C0.5; 02 41 00</t>
  </si>
  <si>
    <t xml:space="preserve">PROPOSED-Interim 8in HDPE effluent pipe — Interim 8-inch HDPE effluent pipe [Site]</t>
  </si>
  <si>
    <t xml:space="preserve">Civil &amp; Site — sheets: C0.5 (KN 1, 8); C0.7 (cited); spec: 33 33 00; Wiki: C0.5; 33 33 00; Appendix F</t>
  </si>
  <si>
    <t xml:space="preserve">Other lanes' tags in the same item group: PROPOSED-Temporary-8in-Effluent-Piping (Contract &amp; General). See #74.</t>
  </si>
  <si>
    <t xml:space="preserve">PROPOSED-Existing 4in roof drain pipe — Existing 4-inch roof drain pipe, 40 LF — abandon and remove [Site]</t>
  </si>
  <si>
    <t xml:space="preserve">Civil &amp; Site — sheets: C0.5 (KN 2); spec: 02 41 00; Wiki: C0.5; 02 41 00</t>
  </si>
  <si>
    <t xml:space="preserve">PROPOSED-Existing 10in effluent outfall pipe — Existing 10-inch effluent (outfall) pipe, 60 LF — abandon and remove [Site]</t>
  </si>
  <si>
    <t xml:space="preserve">Civil &amp; Site — sheets: C0.5 (KN 8); spec: 02 41 00; Wiki: C0.5; 02 41 00</t>
  </si>
  <si>
    <t xml:space="preserve">PROPOSED-Existing storm drain and catch basin 87 LF — Existing storm drain, 87 LF, and catch basin — remove [Site]</t>
  </si>
  <si>
    <t xml:space="preserve">Civil &amp; Site — sheets: C0.5 (KN 9); spec: 02 41 00; Wiki: C0.5; 02 41 00</t>
  </si>
  <si>
    <t xml:space="preserve">PROPOSED-Existing 6in drain pipe to sump station — Existing 6-inch drain pipe to sump pump station, 20 LF — abandon and remove [Site]</t>
  </si>
  <si>
    <t xml:space="preserve">Civil &amp; Site — sheets: C0.5 (KN 11); spec: 02 41 00; Wiki: C0.5; 02 41 00</t>
  </si>
  <si>
    <t xml:space="preserve">PROPOSED-Existing 1.5in sump force main — Existing 1-1/2-inch sump pump force main, 60 LF — abandon and remove [Site]</t>
  </si>
  <si>
    <t xml:space="preserve">Civil &amp; Site — sheets: C0.5 (KN 12); spec: 02 41 00; Wiki: C0.5; 02 41 00</t>
  </si>
  <si>
    <t xml:space="preserve">PROPOSED-Existing holding tanks — Existing holding tanks — remove and relocate on site per Owner [Site]</t>
  </si>
  <si>
    <t xml:space="preserve">Civil &amp; Site — sheets: C0.5 (KN 15); spec: —; Wiki: C0.5</t>
  </si>
  <si>
    <t xml:space="preserve">PROPOSED-Existing chain link fence 149 LF — Existing chain link fence, 149 LF — remove [Site]</t>
  </si>
  <si>
    <t xml:space="preserve">Civil &amp; Site — sheets: C0.5 (KN 16); spec: 02 41 00; Wiki: C0.5; 02 41 00</t>
  </si>
  <si>
    <t xml:space="preserve">PROPOSED-Existing storm drain at roof drain 7 ft — Existing storm drain connected to roof drain, 7 ft — remove [Site]</t>
  </si>
  <si>
    <t xml:space="preserve">Civil &amp; Site — sheets: C0.5 (KN 17); spec: 02 41 00; Wiki: C0.5; 02 41 00</t>
  </si>
  <si>
    <t xml:space="preserve">PROPOSED-Existing retaining wall 61 LF — Existing retaining wall, 61 LF — remove [Site]</t>
  </si>
  <si>
    <t xml:space="preserve">Civil &amp; Site — sheets: C0.5 (KN 18); spec: 02 41 00; Wiki: C0.5; 02 41 00</t>
  </si>
  <si>
    <t xml:space="preserve">PROPOSED-Existing generator fuel tank and spill basin — Existing generator fuel tank and concrete fuel spill basin — remove, restore as asphalt pavement [Site]</t>
  </si>
  <si>
    <t xml:space="preserve">Civil &amp; Site — sheets: C0.5 (KN 19); C0.1; spec: 02 41 00; Wiki: C0.5; C0.1; 02 41 00; Appendix F</t>
  </si>
  <si>
    <t xml:space="preserve">Other lanes' tags in the same item group: PROPOSED-Existing-Office-Louver-4x4 (Structural &amp; Building); PROPOSED-Existing-Office-Louver-2x3 (Structural &amp; Building); PROPOSED-Existing-Generator-Exhaust-Assembly (Structural &amp; Building); PROPOSED-Existing-Generator-Fuel-Tank-Exhaust-Louvers (Electrical &amp; Controls). See #28.</t>
  </si>
  <si>
    <t xml:space="preserve">PROPOSED-Existing chain link fence 119 LF — Existing chain link fence, 119 LF — remove [Site]</t>
  </si>
  <si>
    <t xml:space="preserve">Civil &amp; Site — sheets: C0.5 (KN 20); spec: 02 41 00; Wiki: C0.5; 02 41 00</t>
  </si>
  <si>
    <t xml:space="preserve">PROPOSED-Existing 4in storm drain 8 LF — Existing 4-inch storm drain, 8 LF — remove [Site]</t>
  </si>
  <si>
    <t xml:space="preserve">Civil &amp; Site — sheets: C0.5 (KN 21); spec: 02 41 00; Wiki: C0.5; 02 41 00</t>
  </si>
  <si>
    <t xml:space="preserve">PROPOSED-Water line relocation at storm drain — Existing water line — relocate 1 ft clear below bottom of storm drain [Site]</t>
  </si>
  <si>
    <t xml:space="preserve">Civil &amp; Site — sheets: C0.5 (KN 22); spec: 33 32 00; 33 30 00; Wiki: C0.5; 33 32 00; 33 30 00</t>
  </si>
  <si>
    <t xml:space="preserve">PROPOSED-Existing 8in influent pipe — Existing 8-inch influent pipe — abandon and remove [Site]</t>
  </si>
  <si>
    <t xml:space="preserve">Civil &amp; Site — sheets: C0.5 (KN 24); C3.1 (cited); spec: 02 41 00; Wiki: C0.5; 02 41 00</t>
  </si>
  <si>
    <t xml:space="preserve">Other lanes' tags in the same item group: PROPOSED-EXISTING-INFLUENT-PIPING-REMOVAL (Process &amp; Mechanical). See #77.</t>
  </si>
  <si>
    <t xml:space="preserve">PROPOSED-Asphalt pavement sawcut and removal — Existing asphalt pavement — sawcut and remove (new surfacing on C2.6) [Site]</t>
  </si>
  <si>
    <t xml:space="preserve">Civil &amp; Site — sheets: C0.5 (KN 25); C2.6 (cited by Add. 4); C2.1; C2.6; spec: 02 41 00; 32 12 16; Wiki: C0.5; 02 41 00; 32 12 16</t>
  </si>
  <si>
    <t xml:space="preserve">PROPOSED-Existing 8in slab over pre-aeration basin — Existing 8-inch slab over original pre-aeration basin — saw cut, remove and dispose [Site]</t>
  </si>
  <si>
    <t xml:space="preserve">Civil &amp; Site — sheets: C0.5 (Demo Schedule 1); spec: 02 41 00; Wiki: C0.5; 02 41 00</t>
  </si>
  <si>
    <t xml:space="preserve">PROPOSED-Existing basin internal piping — Existing internal piping in existing basin — support during fill removal, then remove [Site]</t>
  </si>
  <si>
    <t xml:space="preserve">Civil &amp; Site — sheets: C0.5 (Demo Schedule 2–3); spec: 02 41 00; Wiki: C0.5; 02 41 00</t>
  </si>
  <si>
    <t xml:space="preserve">PROPOSED-Off-site staging area — Contractor staging area off Mt Baker Road, with vehicle path to the project site [Site (off-site staging)]</t>
  </si>
  <si>
    <t xml:space="preserve">Civil &amp; Site — sheets: C0.6; spec: —; Wiki: C0.6</t>
  </si>
  <si>
    <t xml:space="preserve">PROPOSED-Existing Train 1 influent pipe — Existing Train 1 influent pipe — abandon and plug [Site]</t>
  </si>
  <si>
    <t xml:space="preserve">Civil &amp; Site — sheets: C1.3 (Add. 4 p.7) KN 2; spec: 02 41 00; Wiki: C1.3; 02 41 00</t>
  </si>
  <si>
    <t xml:space="preserve">PROPOSED-Existing slab coring and repair — Existing building slab — core or saw cut for under-slab piping, then repair [Existing building (C1.6A)]</t>
  </si>
  <si>
    <t xml:space="preserve">Civil &amp; Site — sheets: C1.6A (Add. 4 p.8); spec: —; Wiki: C1.6A</t>
  </si>
  <si>
    <t xml:space="preserve">Other lanes' tags in the same item group: PROPOSED-Existing-Slab-Trench-Infill (Structural &amp; Building). See #78.</t>
  </si>
  <si>
    <t xml:space="preserve">PROPOSED-4in roof drain at SD-1 — 4-inch roof drain connection from SDCB #9 (8 LF and 17 LF at 2.00%) [Site]</t>
  </si>
  <si>
    <t xml:space="preserve">Civil &amp; Site — sheets: C2.2; spec: 33 30 00; 33 41 00; Wiki: C2.2; C0.5; 33 30 00; 33 41 00</t>
  </si>
  <si>
    <t xml:space="preserve">PROPOSED-East trench drains — East trench drains, north and south of SDCB #10, rim 23.10 [Site]</t>
  </si>
  <si>
    <t xml:space="preserve">Civil &amp; Site — sheets: C2.4; C7.4 (Det. 5); spec: 33 41 00; Wiki: C2.4; C7.4</t>
  </si>
  <si>
    <t xml:space="preserve">PROPOSED-West trench drain — West trench drain, about 51 ft, north side of SDCB #7 [Site]</t>
  </si>
  <si>
    <t xml:space="preserve">PROPOSED-Block retaining wall — Block (gravity) retaining wall, STA 0+05.00 to 1+31.00 [Site]</t>
  </si>
  <si>
    <t xml:space="preserve">Civil &amp; Site — sheets: C2.5; C0.2; C0.5; C2.1; spec: 32 32 23; Wiki: C2.5; C0.5; C0.2; 32 32 23</t>
  </si>
  <si>
    <t xml:space="preserve">PROPOSED-Chain link fence 126 LF — Chain link fence along retaining wall, 126 LF, 6-ft fabric with 3-strand barbed wire (7 ft total), connected… [Site]</t>
  </si>
  <si>
    <t xml:space="preserve">Civil &amp; Site — sheets: C2.5; C2.1; spec: 02 83 00; Wiki: C2.5; 02 83 00</t>
  </si>
  <si>
    <t xml:space="preserve">PROPOSED-New septic tank — New septic tank (replaces SSMH 1285) [Site]</t>
  </si>
  <si>
    <t xml:space="preserve">Civil &amp; Site — sheets: C0.5 (KN 4); C7.1 (Det. 3); spec: Appendix H; Wiki: C0.5; Appendix H; C7.1</t>
  </si>
  <si>
    <t xml:space="preserve">PROPOSED-Floor drains — Floor drains, 4-inch stainless steel with 2-inch trap [Not stated (in Train 2 and Train 3 flow meter vaults per C7.10)]</t>
  </si>
  <si>
    <t xml:space="preserve">Civil &amp; Site — sheets: C7.1 (Det. 2); C7.10; spec: 33 31 00; Wiki: C7.1; C7.10; 33 31 00</t>
  </si>
  <si>
    <t xml:space="preserve">PROPOSED-Parking stall striping — Parking stall striping, including van-accessible stall and signs [Site]</t>
  </si>
  <si>
    <t xml:space="preserve">Civil &amp; Site — sheets: C7.1 (Det. 4); C2.6; spec: —; Wiki: C7.1</t>
  </si>
  <si>
    <t xml:space="preserve">PROPOSED-Gravity sewer cleanouts — Gravity sewer cleanouts (6-in or 8-in) with cast iron ring and cover in concrete block [Site]</t>
  </si>
  <si>
    <t xml:space="preserve">Civil &amp; Site — sheets: C7.1 (Det. 5); spec: 33 31 00; 33 30 00; Wiki: C7.1; 33 31 00; 33 30 00</t>
  </si>
  <si>
    <t xml:space="preserve">PROPOSED-Tracer wire and locater boxes — Tracer wire (#10 AWG insulated), locater boxes, and detectable warning tape on new utilities [Site]</t>
  </si>
  <si>
    <t xml:space="preserve">Civil &amp; Site — sheets: C7.1 (Det. 6); C7.4 (Det. 2, Note I); spec: 31 23 33; 33 30 00; Wiki: C7.1; C7.4; 31 23 33; 33 30 00</t>
  </si>
  <si>
    <t xml:space="preserve">PROPOSED-Concrete walkway — Concrete walkway / pavement, 6-inch minimum, #3 at 12 in each way [Site]</t>
  </si>
  <si>
    <t xml:space="preserve">Civil &amp; Site — sheets: C7.2 (Det. 1); C7.4 (Det. 4); C2.6; spec: —; Wiki: C7.2; C7.4</t>
  </si>
  <si>
    <t xml:space="preserve">PROPOSED-WWTP tank and building signs — WWTP tank and building signs, 9 (UV Disinfection Chamber, Blower Building, Dewatering Facility, Influent Pump… [Site]</t>
  </si>
  <si>
    <t xml:space="preserve">Civil &amp; Site — sheets: C7.3 (Det. 1); spec: —; Wiki: C7.3</t>
  </si>
  <si>
    <t xml:space="preserve">PROPOSED-Buried valve label markers — Bronze buried valve label markers (Berntsen #C35FB) with cast iron valve boxes and concrete pads [Site]</t>
  </si>
  <si>
    <t xml:space="preserve">Civil &amp; Site — sheets: C7.3 (Det. 2, 4); C1.4; spec: —; Wiki: C7.3; C1.4</t>
  </si>
  <si>
    <t xml:space="preserve">PROPOSED-HMA pavement — Asphalt concrete pavement, 4-in HMA Class 1/2-in PG 58H-22 over 4-in CSBC and 12-in gravel base, thickened ed… [Site]</t>
  </si>
  <si>
    <t xml:space="preserve">Civil &amp; Site — sheets: C7.3 (Det. 3); C7.4 (Det. 2); C2.6; spec: 32 12 16; Wiki: C7.3; C7.4; 32 12 16</t>
  </si>
  <si>
    <t xml:space="preserve">Other lanes' tags in the same item group: PROPOSED-Site-Final-Surfacing-and-Pavement (Contract &amp; General). See #73.</t>
  </si>
  <si>
    <t xml:space="preserve">PROPOSED-Gravel surfacing — Gravel surfacing, 4-in compacted base course over subgrade at 95% [Site]</t>
  </si>
  <si>
    <t xml:space="preserve">Civil &amp; Site — sheets: C7.3 (Det. 5); C2.6; spec: —; Wiki: C7.3</t>
  </si>
  <si>
    <t xml:space="preserve">PROPOSED-Post hydrant — Post hydrant on 2-inch HDPE supply with buried 2-inch gate valve [Site]</t>
  </si>
  <si>
    <t xml:space="preserve">Civil &amp; Site — sheets: C7.5 (Det. 2); spec: 33 30 00; Wiki: C7.5; 33 30 00</t>
  </si>
  <si>
    <t xml:space="preserve">Other lanes' tags in the same item group: PROPOSED-POST-HYDRANTS (Process &amp; Mechanical). See #53.</t>
  </si>
  <si>
    <t xml:space="preserve">PROPOSED-Composite manholes, double manhole condition — Lightweight composite manholes (Morrison Bros. 418LC-3800 AM or equal) in cast-in-place traffic ring [Not stated]</t>
  </si>
  <si>
    <t xml:space="preserve">Civil &amp; Site — sheets: C7.5 (Det. 3); spec: 33 30 00; Wiki: C7.5; 33 30 00</t>
  </si>
  <si>
    <t xml:space="preserve">PROPOSED-Influent sample sump — Influent sample sump, 24-in x 6-ft precast well curb (H2 Precast WC-24 or equal) with traffic-rated riser and… [Site]</t>
  </si>
  <si>
    <t xml:space="preserve">Civil &amp; Site — sheets: C7.5 (Det. 4); C7.1 (Det. 3); C1.3; C1.4; spec: 31 20 00; 33 30 00; Wiki: C7.5; C7.1; C1.3; C1.4; 31 20 00; 33 30 00</t>
  </si>
  <si>
    <t xml:space="preserve">Other lanes' tags in the same item group: PROPOSED-INFLUENT-SAMPLE-SUMP (Process &amp; Mechanical). See #4.</t>
  </si>
  <si>
    <t xml:space="preserve">PROPOSED-Hot Box #1 flow meter — 1-inch flow meter in Hot Box #1, 'per electrical design requirements' [Site]</t>
  </si>
  <si>
    <t xml:space="preserve">Civil &amp; Site — sheets: C7.6 (Det. 1); spec: —; Wiki: C7.6</t>
  </si>
  <si>
    <t xml:space="preserve">Other lanes' tags in the same item group: PROPOSED-2W-FLOW-METER (Process &amp; Mechanical); PROPOSED-2W-Flow-Meter (Electrical &amp; Controls). See #11.</t>
  </si>
  <si>
    <t xml:space="preserve">PROPOSED-Hot Box #1 solenoid valve — Solenoid valve, ASCO Redhat 8221, 3/4-inch, slow-closing, normally closed, 120 VAC, NEMA 4X [Site]</t>
  </si>
  <si>
    <t xml:space="preserve">Other lanes' tags in the same item group: PROPOSED-2W-Isolation-Valve-Solenoid (Electrical &amp; Controls). See #49.</t>
  </si>
  <si>
    <t xml:space="preserve">PROPOSED-Train 2 flow meter vault — Train 2 flow meter vault, precast 4'-2" x 4'-2" x 5'-0" (Utility Vault 506-LA or equal), H-20 hatch Halliday… [Train 2]</t>
  </si>
  <si>
    <t xml:space="preserve">Civil &amp; Site — sheets: C7.10 (Det. 1); spec: 31 20 00; 33 30 00; Wiki: C7.10; 31 20 00; 33 30 00</t>
  </si>
  <si>
    <t xml:space="preserve">Other lanes' tags in the same item group: PROPOSED-TRAIN-2-FLOW-METER-VAULT (Process &amp; Mechanical); PROPOSED-Plants-2-and-3-Flow-Meter-Vault (Structural &amp; Building). See #5.</t>
  </si>
  <si>
    <t xml:space="preserve">PROPOSED-Train 3 flow meter vault — Train 3 flow meter vault, precast 4'-2" x 4'-2" x 5'-0" (Utility Vault 506-LA or equal), H-20 hatch Halliday… [Train 3]</t>
  </si>
  <si>
    <t xml:space="preserve">Civil &amp; Site — sheets: C7.10 (Det. 2); spec: 31 20 00; 33 30 00; Wiki: C7.10; 31 20 00; 33 30 00</t>
  </si>
  <si>
    <t xml:space="preserve">Other lanes' tags in the same item group: PROPOSED-TRAIN-3-FLOW-METER-VAULT (Process &amp; Mechanical); PROPOSED-Plants-2-and-3-Flow-Meter-Vault (Structural &amp; Building). See #6.</t>
  </si>
  <si>
    <t xml:space="preserve">PROPOSED-Train 2 flow meter — Train 2 flow meter, 8-inch, in Train 2 flow meter vault [Train 2]</t>
  </si>
  <si>
    <t xml:space="preserve">Civil &amp; Site — sheets: C7.10 (Det. 1); spec: —; Wiki: C7.10</t>
  </si>
  <si>
    <t xml:space="preserve">Other lanes' tags in the same item group: PROPOSED-Plant-2-Flow-Meter (Electrical &amp; Controls); PROPOSED-TRAIN-2-FLOW-METER (Process &amp; Mechanical). See #7.</t>
  </si>
  <si>
    <t xml:space="preserve">PROPOSED-Train 3 flow meter — Train 3 flow meter, 8-inch, in Train 3 flow meter vault [Train 3]</t>
  </si>
  <si>
    <t xml:space="preserve">Civil &amp; Site — sheets: C7.10 (Det. 2); spec: —; Wiki: C7.10</t>
  </si>
  <si>
    <t xml:space="preserve">Other lanes' tags in the same item group: PROPOSED-Plant-3-Flow-Meter (Electrical &amp; Controls); PROPOSED-TRAIN-3-FLOW-METER (Process &amp; Mechanical). See #8.</t>
  </si>
  <si>
    <t xml:space="preserve">PROPOSED-Hydroseeded restoration areas — Hydroseeded grass restoration of disturbed areas (topsoil, seed, fertilizer, mulch) [Site]</t>
  </si>
  <si>
    <t xml:space="preserve">Civil &amp; Site — sheets: C7.4 (Det. 2, Notes A, C); C0.2 (Item 22); spec: 02 92 00; Wiki: C7.4; C0.2; 02 92 00</t>
  </si>
  <si>
    <t xml:space="preserve">PROPOSED-Temporary construction sign — Temporary construction sign, 4 x 8 ft plywood, Ecology and CDBG Commerce requirements [Site]</t>
  </si>
  <si>
    <t xml:space="preserve">Civil &amp; Site — sheets: —; spec: 15 08 13; Wiki: 15 08 13</t>
  </si>
  <si>
    <t xml:space="preserve">Other lanes' tags in the same item group: PROPOSED-Funding-Recognition-Sign (Contract &amp; General). See #72.</t>
  </si>
  <si>
    <t xml:space="preserve">PROPOSED-Dewatering system — Contractor dewatering system: pumps, backup pumps, standby generator, wells or well points, discharge treatme… [Site]</t>
  </si>
  <si>
    <t xml:space="preserve">Civil &amp; Site — sheets: C0.2 (Element 10); spec: 31 23 19; 31 20 00; Wiki: 31 23 19; 31 20 00; C0.2</t>
  </si>
  <si>
    <t xml:space="preserve">Other lanes' tags in the same item group: PROPOSED-Dewatering-System (Contract &amp; General); PROPOSED-Temporary-Construction-Dewatering (Contract &amp; General). See #15, #69.</t>
  </si>
  <si>
    <t xml:space="preserve">PROPOSED-Compost berm — Compost berm (TESC) [Site]</t>
  </si>
  <si>
    <t xml:space="preserve">Civil &amp; Site — sheets: —; spec: 31 32 11; Wiki: 31 32 11</t>
  </si>
  <si>
    <t xml:space="preserve">PROPOSED-Orange barrier fence — Orange high-visibility barrier fence (TESC / clearing limits) [Site]</t>
  </si>
  <si>
    <t xml:space="preserve">Civil &amp; Site — sheets: C0.4 (Det. 3 note); spec: 31 32 11; Wiki: 31 32 11; C0.4</t>
  </si>
  <si>
    <t xml:space="preserve">PROPOSED-Temporary shoring and trench safety systems — Temporary shoring, bracing and trench excavation safety systems (PE-designed where required) [Site]</t>
  </si>
  <si>
    <t xml:space="preserve">Civil &amp; Site — sheets: G0.3 (Note 7); spec: 31 40 00; 31 23 33; Wiki: 31 40 00; 31 23 33; G0.3</t>
  </si>
  <si>
    <t xml:space="preserve">Other lanes' tags in the same item group: PROPOSED-Trench-Safety-System (Contract &amp; General); PROPOSED-Temporary-Excavation-Support (Contract &amp; General). See #70.</t>
  </si>
  <si>
    <t xml:space="preserve">PROPOSED-Temporary cold-mix patches — Temporary cold-mix (MC-2) asphalt patches at trench crossings, 2 in minimum [Site]</t>
  </si>
  <si>
    <t xml:space="preserve">Civil &amp; Site — sheets: —; spec: 32 12 16; Wiki: 32 12 16</t>
  </si>
  <si>
    <t xml:space="preserve">PROPOSED-Retaining wall footing drain — Retaining wall footing drain with drain rock and drainage geotextile [Site]</t>
  </si>
  <si>
    <t xml:space="preserve">Civil &amp; Site — sheets: C2.5; C2.1; spec: 32 32 23; 33 31 00; 31 23 33; 33 41 00; Appendix C; Wiki: 32 32 23; 33 31 00; 31 23 33; 33 41 00; Appendix C</t>
  </si>
  <si>
    <t xml:space="preserve">PROPOSED-Asphalt wedge curb — Asphalt wedge curb per 4/C7.7 [Site]</t>
  </si>
  <si>
    <t xml:space="preserve">Civil &amp; Site — sheets: C2.1 (KN 5); spec: 32 12 16 (Inferred); Wiki: C2.1</t>
  </si>
  <si>
    <t xml:space="preserve">PROPOSED-Emergency access areas — Emergency access areas (west side) — no parking, blocking, stockpiling or staging; vehicle turnaround allowed [Site]</t>
  </si>
  <si>
    <t xml:space="preserve">Civil &amp; Site — sheets: C0.3 (KN 1); spec: 31 32 11; Wiki: C0.3</t>
  </si>
  <si>
    <t xml:space="preserve">PROPOSED-4in roof drain connections (SD-2, SD-3) — 4-in roof drain connections: SD-2 STA 0+47.16 (21 LF at 2.00%); SD-3 STA 0+26.94 and 0+70.26 [Site]</t>
  </si>
  <si>
    <t xml:space="preserve">Civil &amp; Site — sheets: C2.3; C2.1 (KN 3); spec: 33 30 00; 33 41 00; Wiki: C2.3; C2.1</t>
  </si>
  <si>
    <t xml:space="preserve">PROPOSED-IPS-DISCHARGE-TO-SPLITTER — Influent Pump Station discharge to flow splitter, 6-inch DI restrained rising to 12-inch DI at the box [Influent Flow Splitter]</t>
  </si>
  <si>
    <t xml:space="preserve">Process &amp; Mechanical — sheets: G0.5; C3.1; C3.2; C4.1; spec: 22 13 29; Wiki: G0.5; C3.1; C3.2; C4.1; 22 13 29</t>
  </si>
  <si>
    <t xml:space="preserve">Other lanes' tags in the same item group: Pipe ID 18 (Civil &amp; Site). See #86.</t>
  </si>
  <si>
    <t xml:space="preserve">PROPOSED-EXISTING-INFLUENT-PIPING-REMOVAL — Existing influent piping conflicts at the splitter: dewater, abandon, remove [Influent Flow Splitter]</t>
  </si>
  <si>
    <t xml:space="preserve">Process &amp; Mechanical — sheets: C3.1; spec: —; Wiki: C3.1</t>
  </si>
  <si>
    <t xml:space="preserve">Other lanes' tags in the same item group: PROPOSED-Existing 8in influent pipe (Civil &amp; Site). See #77.</t>
  </si>
  <si>
    <t xml:space="preserve">PROPOSED-INFLUENT-FLOW-METER — Influent flow meter, 6-inch electromagnetic, 0-880 gpm [Influent Flow Splitter]</t>
  </si>
  <si>
    <t xml:space="preserve">Process &amp; Mechanical — sheets: G0.5; G0.6; G0.7; C3.1; spec: —; Wiki: G0.5; G0.6; G0.7; C3.1</t>
  </si>
  <si>
    <t xml:space="preserve">Other lanes' tags in the same item group: PROPOSED-Influent-Flow-Meter (Electrical &amp; Controls). See #9.</t>
  </si>
  <si>
    <t xml:space="preserve">PROPOSED-TRAIN-2-FLOW-METER — Train 2 influent flow meter, 8-inch electromagnetic, 0-470 gpm [Influent Flow Splitter]</t>
  </si>
  <si>
    <t xml:space="preserve">Other lanes' tags in the same item group: PROPOSED-Plant-2-Flow-Meter (Electrical &amp; Controls); PROPOSED-Train 2 flow meter (Civil &amp; Site). See #7.</t>
  </si>
  <si>
    <t xml:space="preserve">PROPOSED-TRAIN-3-FLOW-METER — Train 3 influent flow meter, 8-inch electromagnetic, 0-470 gpm [Influent Flow Splitter]</t>
  </si>
  <si>
    <t xml:space="preserve">Other lanes' tags in the same item group: PROPOSED-Plant-3-Flow-Meter (Electrical &amp; Controls); PROPOSED-Train 3 flow meter (Civil &amp; Site). See #8.</t>
  </si>
  <si>
    <t xml:space="preserve">PROPOSED-EFFLUENT-FLOW-METER — Plant effluent flow meter, 8-inch electromagnetic, 0-940 gpm [Site (upstream of UV per G0.5)]</t>
  </si>
  <si>
    <t xml:space="preserve">Process &amp; Mechanical — sheets: G0.5; G0.6; G0.7; spec: —; Wiki: G0.5; G0.6; G0.7</t>
  </si>
  <si>
    <t xml:space="preserve">Other lanes' tags in the same item group: PROPOSED-Effluent-Flow-Meter (Electrical &amp; Controls); PROPOSED-8in-Effluent-Flow-Meter (Contract &amp; General). See #10.</t>
  </si>
  <si>
    <t xml:space="preserve">PROPOSED-PLANT-DRAIN-FLOW-METER | PROPOSED-Plant-Drain-Flow-Meter — Plant drain flow meter, 4-inch electromagnetic, 0-200 gpm | Plant drain magnetic flow meter, Promag W400, rem… [Influent Pump Station]</t>
  </si>
  <si>
    <t xml:space="preserve">Process &amp; Mechanical; Electrical &amp; Controls — sheets: G0.5; G0.7; E4.1; E6.3; E7.0; E8.1; E10.2; spec: 26 80 00; Wiki: G0.5; G0.7; E4.1; E6.3; E7.0; E8.1; E10.2</t>
  </si>
  <si>
    <t xml:space="preserve">Combined row — the lanes wrote the same PROPOSED name in different case; approve one form.</t>
  </si>
  <si>
    <t xml:space="preserve">PROPOSED-2W-FLOW-METER — Plant water (2W) flow meter, 1-inch electromagnetic, 0-25 gpm, in a fiberglass enclosure (43 22 10 flow meter… [Not stated (2W system)]</t>
  </si>
  <si>
    <t xml:space="preserve">Process &amp; Mechanical — sheets: G0.7; spec: 43 22 10; Wiki: G0.7; 43 22 10</t>
  </si>
  <si>
    <t xml:space="preserve">Other lanes' tags in the same item group: PROPOSED-Hot Box #1 flow meter (Civil &amp; Site); PROPOSED-2W-Flow-Meter (Electrical &amp; Controls). See #11.</t>
  </si>
  <si>
    <t xml:space="preserve">PROPOSED-DIGESTED-SLUDGE-FLOW-METER — Rotary press sludge flowmeter, 3-inch electromagnetic (E+H 10W), 24-800 gpm, at the flocculator inlet (G0.5 d… [Rotary Fan Press System]</t>
  </si>
  <si>
    <t xml:space="preserve">Process &amp; Mechanical — sheets: G0.5; C6.2; spec: 46 76 26; Wiki: G0.5; C6.2; 46 76 26</t>
  </si>
  <si>
    <t xml:space="preserve">PROPOSED-FLOW-SPLITTER-BOX — Influent flow splitter box, prefabricated 316 SS, 4 equal chambers with adjustable weirs, removable cover [Influent Flow Splitter]</t>
  </si>
  <si>
    <t xml:space="preserve">Process &amp; Mechanical — sheets: G0.5; G0.6; C3.1; C3.2; spec: —; Wiki: G0.5; G0.6; C3.1; C3.2</t>
  </si>
  <si>
    <t xml:space="preserve">Other lanes' tags in the same item group: PROPOSED-Influent-Flow-Splitter (Contract &amp; General); PROPOSED-Flow-Splitter (Structural &amp; Building). See #75.</t>
  </si>
  <si>
    <t xml:space="preserve">PROPOSED-FLOW-SPLITTER-SUPPORT — Concrete support pad for flow splitter box, about 6.5 x 4.0 x 1.3 ft tall, top elev 26.00 [Influent Flow Splitter]</t>
  </si>
  <si>
    <t xml:space="preserve">Process &amp; Mechanical — sheets: C3.1; C3.2; spec: —; Wiki: C3.1; C3.2</t>
  </si>
  <si>
    <t xml:space="preserve">Other lanes' tags in the same item group: PROPOSED-Flow-Splitter-Pad (Structural &amp; Building). See #76.</t>
  </si>
  <si>
    <t xml:space="preserve">PROPOSED-INFLUENT-FLOW-METER-VAULT — Flow meter vault on the splitter inlet line (north) [Influent Flow Splitter]</t>
  </si>
  <si>
    <t xml:space="preserve">Other lanes' tags in the same item group: PROPOSED-Influent-Flow-Meter-Valve-Vault (Structural &amp; Building). See #44.</t>
  </si>
  <si>
    <t xml:space="preserve">PROPOSED-TRAIN-2-FLOW-METER-VAULT — Train 2 flow meter vault [Influent Flow Splitter]</t>
  </si>
  <si>
    <t xml:space="preserve">Other lanes' tags in the same item group: PROPOSED-Plants-2-and-3-Flow-Meter-Vault (Structural &amp; Building); PROPOSED-Train 2 flow meter vault (Civil &amp; Site). See #5.</t>
  </si>
  <si>
    <t xml:space="preserve">PROPOSED-TRAIN-3-FLOW-METER-VAULT — Train 3 flow meter vault [Influent Flow Splitter]</t>
  </si>
  <si>
    <t xml:space="preserve">Other lanes' tags in the same item group: PROPOSED-Train 3 flow meter vault (Civil &amp; Site); PROPOSED-Plants-2-and-3-Flow-Meter-Vault (Structural &amp; Building). See #6.</t>
  </si>
  <si>
    <t xml:space="preserve">PROPOSED-TRAIN-3-TANK — Train 3 tank, reinforced concrete bullseye tank, 32-ft ID, 34-ft OD, 12-inch walls [Train 3]</t>
  </si>
  <si>
    <t xml:space="preserve">Process &amp; Mechanical — sheets: G0.5; G0.6; G0.7; C3.3; C3.4; C3.5; spec: 46 53 00; Wiki: G0.5; G0.6; G0.7; C3.3; C3.4; C3.5; 46 53 00</t>
  </si>
  <si>
    <t xml:space="preserve">Other lanes' tags in the same item group: PROPOSED-Train-3-Concrete-Tank (Structural &amp; Building). See #29.</t>
  </si>
  <si>
    <t xml:space="preserve">PROPOSED-INFLUENT-SAMPLE-SUMP — Influent sampling sump [Influent Pump Station]</t>
  </si>
  <si>
    <t xml:space="preserve">Process &amp; Mechanical — sheets: G0.5; G0.6; C4.1; spec: —; Wiki: G0.5; G0.6; C4.1</t>
  </si>
  <si>
    <t xml:space="preserve">Other lanes' tags in the same item group: PROPOSED-Influent sample sump (Civil &amp; Site). See #4.</t>
  </si>
  <si>
    <t xml:space="preserve">PROPOSED-EFFLUENT-SAMPLE-SUMP — Effluent sample sump (effluent sample chamber) [UV Disinfection Chamber &amp; Digester]</t>
  </si>
  <si>
    <t xml:space="preserve">Process &amp; Mechanical — sheets: G0.6; C5.1; C5.2; C5.3; spec: —; Wiki: G0.6; C5.1; C5.2; C5.3</t>
  </si>
  <si>
    <t xml:space="preserve">PROPOSED-TRAIN-3-TREATMENT-SYSTEM — Train 3 biological treatment system package, Smith &amp; Loveless Model R Oxigest (basis of design) or approved e… [Train 3]</t>
  </si>
  <si>
    <t xml:space="preserve">Process &amp; Mechanical — sheets: G0.5; G0.6; G0.7; C3.3; C3.4; C3.5; spec: 46 53 00; Wiki: 46 53 00; C3.3; C3.4; C3.5</t>
  </si>
  <si>
    <t xml:space="preserve">Other lanes' tags in the same item group: PROPOSED-Train-3-Biological-Treatment-Equipment (Contract &amp; General). See #30.</t>
  </si>
  <si>
    <t xml:space="preserve">PROPOSED-TRAIN-3-INNER-WALLS — Train 3 steel inner walls and zone partition walls, structural steel plate 1/4-inch minimum [Train 3]</t>
  </si>
  <si>
    <t xml:space="preserve">Process &amp; Mechanical — sheets: C3.3; spec: 46 53 00; Wiki: C3.3; 46 53 00</t>
  </si>
  <si>
    <t xml:space="preserve">PROPOSED-TRAIN-3-CLARIFIER-MECHANISM — Train 3 clarifier mechanism, 18-ft dia.: center drive, feed well, rake arms, skimmer, scum baffle, effluent t… [Train 3]</t>
  </si>
  <si>
    <t xml:space="preserve">Process &amp; Mechanical — sheets: C3.3; C3.4; C3.5; spec: 46 53 00; Wiki: C3.3; C3.4; C3.5; 46 53 00</t>
  </si>
  <si>
    <t xml:space="preserve">Other lanes' tags in the same item group: PROPOSED-Train-3-Clarifier-Drive-Motor (Electrical &amp; Controls); PROPOSED-Clarifier (Contract &amp; General). See #33.</t>
  </si>
  <si>
    <t xml:space="preserve">PROPOSED-TRAIN-3-WALKWAYS-AND-LADDER — Train 3 access walkway (3-ft clarifier bridge), 2-ft peripheral service walkway, aluminum grating and handrai… [Train 3]</t>
  </si>
  <si>
    <t xml:space="preserve">Process &amp; Mechanical — sheets: C3.3; C3.4; C3.5; spec: 46 53 00; Wiki: C3.3; C3.4; 46 53 00</t>
  </si>
  <si>
    <t xml:space="preserve">Other lanes' tags in the same item group: PROPOSED-Handrails (Contract &amp; General); PROPOSED-Train-3-Guardrail-and-Ladders (Structural &amp; Building). See #34.</t>
  </si>
  <si>
    <t xml:space="preserve">PROPOSED-TRAIN-3-AERATION-DIFFUSERS — Train 3 aeration system: air header, drop pipes with unions and air control valves, medium bubble (plenum) di… [Train 3]</t>
  </si>
  <si>
    <t xml:space="preserve">Process &amp; Mechanical — sheets: G0.7; C3.3; C3.4; C3.5; spec: 46 53 00; Wiki: G0.7; C3.3; C3.4; C3.5; 46 53 00</t>
  </si>
  <si>
    <t xml:space="preserve">PROPOSED-TRAIN-3-ANOXIC-MIXERS — Train 3 submersible mixers (2), 5 HP, 460 V 3-phase, one per anoxic zone [Train 3]</t>
  </si>
  <si>
    <t xml:space="preserve">Process &amp; Mechanical — sheets: G0.7; C3.3; C3.4; spec: 46 53 00; 46 41 23; Wiki: G0.7; C3.3; C3.4; 46 53 00; 46 41 23</t>
  </si>
  <si>
    <t xml:space="preserve">Other lanes' tags in the same item group: PROPOSED-Train-3-Submersible-Mixer-A (Electrical &amp; Controls); PROPOSED-Train-3-Submersible-Mixer-B (Electrical &amp; Controls). See #32.</t>
  </si>
  <si>
    <t xml:space="preserve">PROPOSED-TRAIN-3-DAVIT-CRANES — Portable lifting davits (2) for the Train 3 mixers, stainless, manual brake winch, on top mast brackets [Train 3]</t>
  </si>
  <si>
    <t xml:space="preserve">Process &amp; Mechanical — sheets: C3.3; C3.4; spec: 46 41 23; Wiki: C3.3; C3.4; 46 41 23</t>
  </si>
  <si>
    <t xml:space="preserve">PROPOSED-TRAIN-3-RAS-AIRLIFT — RAS airlift pump, 3-inch steel riser with flow division (weir) box, 51 gpm at 15 cfm max [Train 3]</t>
  </si>
  <si>
    <t xml:space="preserve">Process &amp; Mechanical — sheets: G0.5; G0.7; C3.3; C3.5; spec: 46 53 00; Wiki: G0.5; G0.7; C3.3; C3.5; 46 53 00</t>
  </si>
  <si>
    <t xml:space="preserve">PROPOSED-TRAIN-3-MLR-AIRLIFT — Nitrate (mixed liquor) recycle airlift pump(s), 6-inch steel riser, Liqui-Lift weir box, 6-inch MLR pipe [Train 3]</t>
  </si>
  <si>
    <t xml:space="preserve">Process &amp; Mechanical — sheets: G0.5; G0.7; C3.3; C3.4; C3.5; spec: 46 53 00; Wiki: G0.5; G0.7; C3.3; C3.4; C3.5; 46 53 00</t>
  </si>
  <si>
    <t xml:space="preserve">PROPOSED-CARBON-FEED-PUMPS — Carbon feed peristaltic metering pumps (2: 1 duty, 1 standby), Stenner Model S3V02AA302N [Not stated (feeds Train 3 Anoxic 2 per G0.5)]</t>
  </si>
  <si>
    <t xml:space="preserve">Process &amp; Mechanical — sheets: G0.5; spec: 46 53 00; Wiki: G0.5; 46 53 00</t>
  </si>
  <si>
    <t xml:space="preserve">PROPOSED-TRAIN-3-CONTROL-PANEL — Treatment system control panel, NEMA 4X 316 SS, 460 V 3-phase input, UL listed [Train 3]</t>
  </si>
  <si>
    <t xml:space="preserve">Process &amp; Mechanical — sheets: —; spec: 46 53 00; Wiki: 46 53 00</t>
  </si>
  <si>
    <t xml:space="preserve">Printed tag found for the same item: TCP-3 (Electrical &amp; Controls, E6.1). Other lanes' tags in the same item group: TCP-3 (Electrical &amp; Controls). See #31.</t>
  </si>
  <si>
    <t xml:space="preserve">PROPOSED-TRAIN-3-FRP-LAUNDER-COVER — FRP launder cover, Train 3 clarifier effluent trough [Train 3]</t>
  </si>
  <si>
    <t xml:space="preserve">Process &amp; Mechanical — sheets: C3.4; C3.5; spec: 10 73 05; Wiki: C3.4; C3.5; 10 73 05</t>
  </si>
  <si>
    <t xml:space="preserve">PROPOSED-INFLUENT-PUMP-STATION-WET-WELL — Influent Pump Station wet well, 96-inch precast on 12-inch precast base, bottom elev 9.0, top 23.30, with ven… [Influent Pump Station]</t>
  </si>
  <si>
    <t xml:space="preserve">Process &amp; Mechanical — sheets: G0.5; G0.6; C4.1; spec: 22 13 29; Wiki: C4.1; G0.6; 22 13 29</t>
  </si>
  <si>
    <t xml:space="preserve">Other lanes' tags in the same item group: PROPOSED-Influent-Pump-Station (Contract &amp; General); PROPOSED-Influent-Pump-Station-Precast-Wet-Well (Structural &amp; Building). See #37.</t>
  </si>
  <si>
    <t xml:space="preserve">PROPOSED-INFLUENT-PUMPS-SMALL — Influent pumps, small, submersible, duplex (2), 120-220 gpm each [Influent Pump Station]</t>
  </si>
  <si>
    <t xml:space="preserve">Process &amp; Mechanical — sheets: G0.7; C4.1; spec: 22 13 29; Wiki: G0.7; C4.1; 22 13 29</t>
  </si>
  <si>
    <t xml:space="preserve">Other lanes' tags in the same item group: IP-3 (Electrical &amp; Controls); IP-4 (Electrical &amp; Controls); IP-2 (Electrical &amp; Controls); IP-1 (Electrical &amp; Controls); PROPOSED-Submersible-Pump-Equipment (Contract &amp; General). See #36.</t>
  </si>
  <si>
    <t xml:space="preserve">PROPOSED-INFLUENT-PUMPS-LARGE — Influent pumps, large, submersible, duplex (2), 320-500 gpm each [Influent Pump Station]</t>
  </si>
  <si>
    <t xml:space="preserve">PROPOSED-IPS-LEVEL-TRANSDUCER — Influent Pump Station wet well level transducer, set 6 in. above floor (set points T1-T7) [Influent Pump Station]</t>
  </si>
  <si>
    <t xml:space="preserve">Process &amp; Mechanical — sheets: C4.1; spec: 22 13 29; Wiki: C4.1; 22 13 29</t>
  </si>
  <si>
    <t xml:space="preserve">Other lanes' tags in the same item group: LT (Influent Pump Station) (Electrical &amp; Controls). See #39.</t>
  </si>
  <si>
    <t xml:space="preserve">PROPOSED-IPS-VALVE-VAULTS — Influent Pump Station valve vaults (2), precast 4 ft 2 in x 4 ft 2 in x 5 ft 6 in min. inside, Utility Vault… [Influent Pump Station]</t>
  </si>
  <si>
    <t xml:space="preserve">Other lanes' tags in the same item group: PROPOSED-Influent-Pump-Station-Meter-Vaults (Structural &amp; Building). See #41.</t>
  </si>
  <si>
    <t xml:space="preserve">PROPOSED-IPS-HATCHES — Influent Pump Station access hatches: 36x36-in. single leaf H-20 (Halliday H1R3636) and 30x48-in. single leaf… [Influent Pump Station]</t>
  </si>
  <si>
    <t xml:space="preserve">Process &amp; Mechanical — sheets: C4.1; spec: —; Wiki: C4.1</t>
  </si>
  <si>
    <t xml:space="preserve">Other lanes' tags in the same item group: PROPOSED-Influent-Pump-Station-Precast-Wet-Well (Structural &amp; Building); PROPOSED-Drain-Pump-Station-Hatches (Structural &amp; Building); PROPOSED-Influent-Pump-Station-Top-Slab (Structural &amp; Building). See #38.</t>
  </si>
  <si>
    <t xml:space="preserve">PROPOSED-PLANT-DRAIN-LINE — Filtrate, pressate and digester supernatant drain line to Influent Pump Station, 4-inch (IE 13.40 at wet well) [Site]</t>
  </si>
  <si>
    <t xml:space="preserve">Process &amp; Mechanical — sheets: G0.5; G0.6; C4.1; C5.1; C5.3; C6.1; spec: 46 76 26; Wiki: G0.5; G0.6; C4.1; C5.1; C5.3; C6.1; 46 76 26</t>
  </si>
  <si>
    <t xml:space="preserve">Other lanes' tags in the same item group: Pipe ID 25 (Civil &amp; Site). See #89.</t>
  </si>
  <si>
    <t xml:space="preserve">PROPOSED-STEP-INFLUENT-CONNECTION — 8-inch STEP influent connection to the new Influent Pump Station, IE 19.50 [Influent Pump Station]</t>
  </si>
  <si>
    <t xml:space="preserve">Process &amp; Mechanical — sheets: G0.5; G0.6; C3.1; C4.1; spec: —; Wiki: G0.5; G0.6; C3.1; C4.1</t>
  </si>
  <si>
    <t xml:space="preserve">Other lanes' tags in the same item group: Pipe ID 3 (Civil &amp; Site). See #87.</t>
  </si>
  <si>
    <t xml:space="preserve">PROPOSED-2W-PUMP-STATION-WET-WELL | PROPOSED-2W-Pump-Station-Wet-Well — 2W plant water pump station wet well, 96-inch precast, floor 10.00, top 21.50, with 30-inch fiberglass access… [2W Pump Station]</t>
  </si>
  <si>
    <t xml:space="preserve">Process &amp; Mechanical; Contract &amp; General — sheets: C4.2; spec: 43 22 10; 01 45 00; 01 50 00; Wiki: C4.2; 43 22 10; 01 45 00; 01 50 00</t>
  </si>
  <si>
    <t xml:space="preserve">Other lanes' tags in the same item group: PROPOSED-2W-Pump-Station-Precast-Wet-Well (Structural &amp; Building). Combined row — the lanes wrote the same PROPOSED name in different case; approve one form. See #47.</t>
  </si>
  <si>
    <t xml:space="preserve">PROPOSED-2W-PUMPS — 2W plant water pumps (2), submersible well pumps, 1 duty and 1 standby, 20-80 gpm [2W Pump Station]</t>
  </si>
  <si>
    <t xml:space="preserve">Process &amp; Mechanical — sheets: G0.7; C4.2; spec: 43 22 10; Wiki: G0.7; C4.2; 43 22 10</t>
  </si>
  <si>
    <t xml:space="preserve">Other lanes' tags in the same item group: 2W-P1 (Electrical &amp; Controls); 2W-P2 (Electrical &amp; Controls). See #45.</t>
  </si>
  <si>
    <t xml:space="preserve">PROPOSED-2W-DIAPHRAGM-TANKS — 2W air diaphragm (bladder) tanks (2), Amtrol Well-X-Trol WX-350D, 119 gal (26 x 62 in.), with manifold, gauge… [Train #2 Building (per Add. 4 p.6)]</t>
  </si>
  <si>
    <t xml:space="preserve">Process &amp; Mechanical — sheets: C4.3; C6.4; spec: 43 22 10; Wiki: C4.3; C6.4; 43 22 10</t>
  </si>
  <si>
    <t xml:space="preserve">Other lanes' tags in the same item group: PROPOSED-2W-Bladder-Tank-Assembly (Structural &amp; Building). See #25.</t>
  </si>
  <si>
    <t xml:space="preserve">PROPOSED-2W-DISCHARGE-LINE — 2W plant water discharge, 2-inch SCH 80 PVC to 3-inch HDPE [2W Pump Station]</t>
  </si>
  <si>
    <t xml:space="preserve">Process &amp; Mechanical — sheets: C4.2; C6.3; C6.4; spec: 43 22 10; Wiki: C4.2; C6.3; C6.4; 43 22 10</t>
  </si>
  <si>
    <t xml:space="preserve">Other lanes' tags in the same item group: Pipe ID 10 (Civil &amp; Site). See #50.</t>
  </si>
  <si>
    <t xml:space="preserve">PROPOSED-2W-FILL-LINE — 2W water fill from air gap to 2W wet well, 4-inch SCH 80 PVC at 2% slope, inlet IE 19.50 [2W Pump Station]</t>
  </si>
  <si>
    <t xml:space="preserve">Process &amp; Mechanical — sheets: C4.2; spec: 43 22 10; Wiki: C4.2; 43 22 10</t>
  </si>
  <si>
    <t xml:space="preserve">PROPOSED-UV-DIGESTER-STRUCTURE — UV Disinfection Chamber &amp; Digester structure, concrete, about 45 x 13 ft: UV chamber, effluent sample chamber… [UV Disinfection Chamber &amp; Digester]</t>
  </si>
  <si>
    <t xml:space="preserve">Process &amp; Mechanical — sheets: G0.5; G0.6; C5.1; C5.2; C5.3; spec: —; Wiki: C5.1; G0.6; C5.2; C5.3</t>
  </si>
  <si>
    <t xml:space="preserve">Other lanes' tags in the same item group: PROPOSED-Aerobic-Digester (Contract &amp; General); PROPOSED-UV-Disinfection-Chamber (Contract &amp; General); PROPOSED-UV-Disinfection-Chamber-Basin (Structural &amp; Building); PROPOSED-Digester-Concrete-Tank (Structural &amp; Building). See #56.</t>
  </si>
  <si>
    <t xml:space="preserve">PROPOSED-UV-SYSTEM — UV disinfection system, Trojan UV3000 PTP or equal: 2 open-channel systems (UV Channels #1 and #2), 6 modules… [UV Disinfection Chamber &amp; Digester]</t>
  </si>
  <si>
    <t xml:space="preserve">Process &amp; Mechanical — sheets: G0.5; G0.6; G0.7; C5.1; C5.2; C5.3; C5.4; spec: 46 66 00; Wiki: G0.5; G0.6; G0.7; C5.1; C5.2; C5.3; C5.4; 46 66 00</t>
  </si>
  <si>
    <t xml:space="preserve">Other lanes' tags in the same item group: PROPOSED-UV-Disinfection-System (Contract &amp; General); UV1 (Electrical &amp; Controls); UV2 (Electrical &amp; Controls). See #54.</t>
  </si>
  <si>
    <t xml:space="preserve">PROPOSED-UV-CONTROL-PANELS — UV control panels on chamber walls (2 on C5.1): splitter panel, power distribution receptacles and wall-mount… [UV Disinfection Chamber &amp; Digester]</t>
  </si>
  <si>
    <t xml:space="preserve">Process &amp; Mechanical — sheets: C5.1; C5.2; C5.3; C5.4; spec: 46 66 00; Wiki: C5.1; C5.4; 46 66 00</t>
  </si>
  <si>
    <t xml:space="preserve">Other lanes' tags in the same item group: PROPOSED-UV-Control-Panel-1 (Electrical &amp; Controls); PROPOSED-UV-Control-Panel-2 (Electrical &amp; Controls); PROPOSED-UV-Power-Distribution-1 (Electrical &amp; Controls); PROPOSED-UV-Power-Distribution-2 (Electrical &amp; Controls). See #55.</t>
  </si>
  <si>
    <t xml:space="preserve">PROPOSED-EFFLUENT-HEADER-TO-UV — Secondary effluent header through 8-inch effluent flow meter to UV Channels #1 and #2, 8-inch, with 8-inch ga… [UV Disinfection Chamber &amp; Digester]</t>
  </si>
  <si>
    <t xml:space="preserve">Process &amp; Mechanical — sheets: G0.5; C5.1; C5.2; C5.3; spec: —; Wiki: G0.5; C5.1; C5.2; C5.3</t>
  </si>
  <si>
    <t xml:space="preserve">PROPOSED-UV-CHAMBER-DRAIN — UV chamber drain, 4-inch, with 4-inch gate valves [UV Disinfection Chamber &amp; Digester]</t>
  </si>
  <si>
    <t xml:space="preserve">Other lanes' tags in the same item group: Pipe ID 2 (Civil &amp; Site). See #88.</t>
  </si>
  <si>
    <t xml:space="preserve">PROPOSED-UV-DIGESTER-GRATING-GUARDRAIL — UV/digester guardrail with removable guard chains, removable grating over digester, aluminum access ladders (… [UV Disinfection Chamber &amp; Digester]</t>
  </si>
  <si>
    <t xml:space="preserve">Process &amp; Mechanical — sheets: C5.1; C5.2; C5.3; spec: —; Wiki: C5.1; C5.2; C5.3</t>
  </si>
  <si>
    <t xml:space="preserve">Other lanes' tags in the same item group: PROPOSED-UV-Digester-Grating (Structural &amp; Building); PROPOSED-UV-Digester-Guardrail-and-Ladders (Structural &amp; Building). See #57.</t>
  </si>
  <si>
    <t xml:space="preserve">PROPOSED-DIGESTER-TELESCOPING-VALVE — Aerobic digester telescoping valve, 4-inch rising stem, 48-inch min travel, Waterman TS-2 or equal [UV Disinfection Chamber &amp; Digester]</t>
  </si>
  <si>
    <t xml:space="preserve">Process &amp; Mechanical — sheets: G0.6; G0.7; C5.1; C5.3; spec: 40 05 71; Wiki: G0.6; G0.7; C5.1; C5.3; 40 05 71</t>
  </si>
  <si>
    <t xml:space="preserve">PROPOSED-DIGESTER-DIFFUSERS — Aerobic digester coarse bubble diffusers, 24-in. 316 SS, open bottom with rubber inlet check valve (G0.7: 6 a… [UV Disinfection Chamber &amp; Digester]</t>
  </si>
  <si>
    <t xml:space="preserve">Process &amp; Mechanical — sheets: G0.7; C5.1; C5.2; C5.3; spec: 46 51 21; Wiki: G0.7; C5.1; C5.2; C5.3; 46 51 21</t>
  </si>
  <si>
    <t xml:space="preserve">PROPOSED-DIGESTER-AIR-LINES — Aerobic digester air supply lines, 3-inch and 4-inch [UV Disinfection Chamber &amp; Digester]</t>
  </si>
  <si>
    <t xml:space="preserve">Process &amp; Mechanical — sheets: C5.1; C5.2; C5.3; C6.3; spec: —; Wiki: C5.1; C5.2; C5.3; C6.3</t>
  </si>
  <si>
    <t xml:space="preserve">Other lanes' tags in the same item group: Pipe ID 21 (Civil &amp; Site). See #94.</t>
  </si>
  <si>
    <t xml:space="preserve">PROPOSED-DIGESTED-SLUDGE-LINE — Digested sludge line, 2-inch SCH 80 PVC, digester to digested sludge pumps [UV Disinfection Chamber &amp; Digester]</t>
  </si>
  <si>
    <t xml:space="preserve">Process &amp; Mechanical — sheets: G0.5; C5.1; C5.3; C6.2; spec: —; Wiki: G0.5; C5.1; C5.3; C6.2</t>
  </si>
  <si>
    <t xml:space="preserve">Other lanes' tags in the same item group: Pipe ID 7 (Civil &amp; Site). See #90.</t>
  </si>
  <si>
    <t xml:space="preserve">PROPOSED-WAS-PUMP-DISCHARGE-TO-DIGESTER — WAS pump discharge to aerobic digester, 3-inch [UV Disinfection Chamber &amp; Digester]</t>
  </si>
  <si>
    <t xml:space="preserve">Other lanes' tags in the same item group: Pipe ID 19 (Civil &amp; Site). See #91.</t>
  </si>
  <si>
    <t xml:space="preserve">PROPOSED-FINAL-EFFLUENT-LINE — Final effluent, UV chamber to existing SSMH *1288 and 12-inch outfall, 10-inch [Site]</t>
  </si>
  <si>
    <t xml:space="preserve">Process &amp; Mechanical — sheets: G0.5; G0.6; C5.2; C5.3; spec: —; Wiki: G0.5; G0.6; C5.2; C5.3</t>
  </si>
  <si>
    <t xml:space="preserve">Other lanes' tags in the same item group: Pipe ID 5 (Civil &amp; Site). See #92.</t>
  </si>
  <si>
    <t xml:space="preserve">PROPOSED-ROTARY-FAN-PRESS — Rotary fan press (rotary press model), steel, 1 unit [Rotary Fan Press System]</t>
  </si>
  <si>
    <t xml:space="preserve">Process &amp; Mechanical — sheets: G0.5; G0.6; G0.7; C6.1; spec: 46 76 26; Wiki: C6.1; G0.7; 46 76 26</t>
  </si>
  <si>
    <t xml:space="preserve">Other lanes' tags in the same item group: PROPOSED-Dewatering-System (Contract &amp; General); DW-1 (Electrical &amp; Controls). See #63.</t>
  </si>
  <si>
    <t xml:space="preserve">PROPOSED-RFP-FLOCCULATOR — Rotary fan press flocculator, steel, 1 [Rotary Fan Press System]</t>
  </si>
  <si>
    <t xml:space="preserve">Process &amp; Mechanical — sheets: C6.1; spec: 46 76 26; Wiki: C6.1; 46 76 26</t>
  </si>
  <si>
    <t xml:space="preserve">PROPOSED-RFP-SLUDGE-MANIFOLD — Rotary fan press sludge manifold and piping, 316 SS, 1 [Rotary Fan Press System]</t>
  </si>
  <si>
    <t xml:space="preserve">PROPOSED-RFP-CAKE-CHUTE — Rotary fan press cake chute, LLDPE, 1 [Rotary Fan Press System]</t>
  </si>
  <si>
    <t xml:space="preserve">PROPOSED-RFP-AIR-COMPRESSOR — Rotary fan press air compressor, material not listed, 1 [Rotary Fan Press System]</t>
  </si>
  <si>
    <t xml:space="preserve">PROPOSED-RFP-CONTROL-PANEL — Rotary fan press control panel with operator interface, 1 [Rotary Fan Press System]</t>
  </si>
  <si>
    <t xml:space="preserve">PROPOSED-POLYMER-SYSTEM — Emulsion (liquid) polymer make-up system, Fournier frame with Watson-Marlow peristaltic dosing pump; C6.1 pla… [Rotary Fan Press System]</t>
  </si>
  <si>
    <t xml:space="preserve">Process &amp; Mechanical — sheets: C6.1; spec: 46 33 33; Wiki: C6.1; 46 33 33; 46 76 26</t>
  </si>
  <si>
    <t xml:space="preserve">Other lanes' tags in the same item group: PROPOSED-Polymer-Feed-Pump (Electrical &amp; Controls). See #64.</t>
  </si>
  <si>
    <t xml:space="preserve">PROPOSED-SCREW-CONVEYOR — Screw conveyor system, stainless steel, dewatered cake to mobile dumpster/bin (system row; components below) [Rotary Fan Press System]</t>
  </si>
  <si>
    <t xml:space="preserve">Process &amp; Mechanical — sheets: C6.1; spec: 46 12 13 (as printed on C6.1; not in the spec); 41 12 13; Wiki: C6.1; 41 12 13; 46 76 26</t>
  </si>
  <si>
    <t xml:space="preserve">PROPOSED-DIGESTED-SLUDGE-FEED-TO-PRESS — Digested sludge feed to rotary fan press, 3-inch [Rotary Fan Press System]</t>
  </si>
  <si>
    <t xml:space="preserve">Process &amp; Mechanical — sheets: G0.5; C6.1; C6.2; spec: —; Wiki: G0.5; C6.1; C6.2</t>
  </si>
  <si>
    <t xml:space="preserve">PROPOSED-2W-SUPPLY-TO-PRESS — 2W water supply to rotary fan press, 2-inch [Rotary Fan Press System]</t>
  </si>
  <si>
    <t xml:space="preserve">Process &amp; Mechanical — sheets: C6.1; spec: 43 22 10; 46 76 26; Wiki: C6.1; 43 22 10; 46 76 26</t>
  </si>
  <si>
    <t xml:space="preserve">PROPOSED-WAS-PUMP — WAS pump, packaged sludge pump, 3 HP [Sludge Pump and Valving Area]</t>
  </si>
  <si>
    <t xml:space="preserve">Process &amp; Mechanical — sheets: G0.5; G0.6; G0.7; C6.2; spec: 22 13 36; Wiki: C6.2; G0.7; 22 13 36</t>
  </si>
  <si>
    <t xml:space="preserve">Other lanes' tags in the same item group: WP-1 (Electrical &amp; Controls); PROPOSED-Sludge-Pumps (Contract &amp; General). See #59.</t>
  </si>
  <si>
    <t xml:space="preserve">PROPOSED-SWING-SLUDGE-PUMP — Swing pump, packaged sludge pump, 3 HP, standby for either the WAS or digested sludge pump [Sludge Pump and Valving Area]</t>
  </si>
  <si>
    <t xml:space="preserve">Other lanes' tags in the same item group: WP-2 (Electrical &amp; Controls). See #60.</t>
  </si>
  <si>
    <t xml:space="preserve">PROPOSED-DIGESTED-SLUDGE-PUMP — Digested sludge pump, packaged sludge pump, 3 HP [Sludge Pump and Valving Area]</t>
  </si>
  <si>
    <t xml:space="preserve">Process &amp; Mechanical — sheets: G0.5; G0.6; G0.7; C6.2; spec: 22 13 36; 46 76 26; Wiki: C6.2; G0.7; 22 13 36; 46 76 26</t>
  </si>
  <si>
    <t xml:space="preserve">Other lanes' tags in the same item group: SD-1 (Electrical &amp; Controls). See #61.</t>
  </si>
  <si>
    <t xml:space="preserve">PROPOSED-WAS-SOLENOID-VALVES — WAS inlet solenoid valves (3, on WAS #1-#3), ASCO Redhat 8221G013, 2-inch, normally closed, 120 V coil, NEMA… [Sludge Pump and Valving Area]</t>
  </si>
  <si>
    <t xml:space="preserve">Process &amp; Mechanical — sheets: C6.2; spec: —; Wiki: C6.2</t>
  </si>
  <si>
    <t xml:space="preserve">Other lanes' tags in the same item group: PROPOSED-WAS-Solenoid-Valves (Electrical &amp; Controls). See #12.</t>
  </si>
  <si>
    <t xml:space="preserve">PROPOSED-SLUDGE-MANIFOLD-PIPING — Sludge pump and valving area manifold: 2-inch SCH 80 PVC with 2-inch PVC ball valves and unions; 4-inch SCH 8… [Sludge Pump and Valving Area]</t>
  </si>
  <si>
    <t xml:space="preserve">Process &amp; Mechanical — sheets: C6.2; spec: 45 05 00; Wiki: C6.2; 45 05 00</t>
  </si>
  <si>
    <t xml:space="preserve">PROPOSED-AERATION-AIR-HEADER — Blower Building aeration air piping: 3-inch SS header (IE 24.26) with 3-inch butterfly valves; 6-inch SS outl… [Blower Building]</t>
  </si>
  <si>
    <t xml:space="preserve">Process &amp; Mechanical — sheets: C6.4; C6.5; spec: 33 31 00 (cited on C6.4); Wiki: C6.4; C6.5</t>
  </si>
  <si>
    <t xml:space="preserve">PROPOSED-AIR-TO-TRAIN-3 — 6-inch SS aeration air line, Blower Building to Train 3 (buried, IE 15.90 at drop) [Blower Building; Train 3]</t>
  </si>
  <si>
    <t xml:space="preserve">Process &amp; Mechanical — sheets: C6.4; C6.5; C3.3; C3.5; spec: 33 31 00 (cited on C6.4); 46 53 00; Wiki: C6.5; C6.4; C3.3; C3.5</t>
  </si>
  <si>
    <t xml:space="preserve">Other lanes' tags in the same item group: Pipe ID 20 (Civil &amp; Site). See #93.</t>
  </si>
  <si>
    <t xml:space="preserve">PROPOSED-AIR-TO-TRAIN-1-STUB — 6-inch air piping to Train #1, terminated with blind flange inside existing metal building [Blower Building]</t>
  </si>
  <si>
    <t xml:space="preserve">Process &amp; Mechanical — sheets: C6.5; spec: —; Wiki: C6.5</t>
  </si>
  <si>
    <t xml:space="preserve">PROPOSED-AIR-TO-TRAIN-2-STUB — 6-inch air piping to Train #2, terminated with blind flange inside existing metal building [Blower Building]</t>
  </si>
  <si>
    <t xml:space="preserve">PROPOSED-2W-BLADDER-TANK-SUPPLY — 1-inch 2W supply piping to the bladder tanks, routed below existing concrete floor, slab penetration at tank… [Train #2 Building (per Add. 4 p.6)]</t>
  </si>
  <si>
    <t xml:space="preserve">Process &amp; Mechanical — sheets: C6.4; spec: 43 22 10; Wiki: C6.4; 43 22 10</t>
  </si>
  <si>
    <t xml:space="preserve">Other lanes' tags in the same item group: Pipe ID 23 (Civil &amp; Site). See #51.</t>
  </si>
  <si>
    <t xml:space="preserve">PROPOSED-BLOWER-BUILDING | PROPOSED-Blower-Building — Blower Building, prefabricated metal building housing the biological treatment blowers | Blower Building — pr… [Blower Building]</t>
  </si>
  <si>
    <t xml:space="preserve">Process &amp; Mechanical; Structural &amp; Building; Contract &amp; General — sheets: C6.4; C6.5; A1.1; A1.2; A1.3; S1.1; S2.3; spec: 13 12 20; 07 20 00; 09 25 00; 09 90 00; 00 31 13; 00 73 00; 01 45 00; 01 70 00; Wiki: C6.4; C6.5; A1.1; A1.2; A1.3; S1.1; S2.3; 13 12 20; 07 20 00; 09 25 00; 09 90 00; 00 31 13; 00 73 00; 01 45 00; 01 70 00; CQA Plan</t>
  </si>
  <si>
    <t xml:space="preserve">PROPOSED-IPS-MOTOR-SAVER-RELAYS — Flygt MiniCAS-120 motor saver relays for the influent pumps, supplied by Contractor to the Control Systems In… [Influent Pump Station]</t>
  </si>
  <si>
    <t xml:space="preserve">Process &amp; Mechanical — sheets: —; spec: 22 13 29; Wiki: 22 13 29</t>
  </si>
  <si>
    <t xml:space="preserve">Other lanes' tags in the same item group: PROPOSED-Influent-Pump-Seal-Fail-Overtemp-Relays (Electrical &amp; Controls). See #42.</t>
  </si>
  <si>
    <t xml:space="preserve">PROPOSED-SLUDGE-PUMP-LOCAL-PANELS — Sludge pump local electrical control panels (3), by pump manufacturer [Sludge Pump and Valving Area]</t>
  </si>
  <si>
    <t xml:space="preserve">Process &amp; Mechanical — sheets: —; spec: 22 13 36; Wiki: 22 13 36</t>
  </si>
  <si>
    <t xml:space="preserve">Other lanes' tags in the same item group: PROPOSED-WAS-and-Sludge-Pump-Local-Disconnects (Electrical &amp; Controls). See #62.</t>
  </si>
  <si>
    <t xml:space="preserve">PROPOSED-YARD-HYDRANTS — 1-inch frost-proof yard hydrants with vacuum breakers (quantity not stated) [Site]</t>
  </si>
  <si>
    <t xml:space="preserve">Process &amp; Mechanical — sheets: —; spec: 15 40 00; 43 22 10; Wiki: 15 40 00; 43 22 10</t>
  </si>
  <si>
    <t xml:space="preserve">Other lanes' tags in the same item group: Pipe ID 22 (Civil &amp; Site). See #52.</t>
  </si>
  <si>
    <t xml:space="preserve">PROPOSED-POST-HYDRANTS — 2-inch post hydrants with 2-inch atmospheric vacuum breakers (quantity not stated) [Site]</t>
  </si>
  <si>
    <t xml:space="preserve">Process &amp; Mechanical — sheets: —; spec: 15 40 00; Wiki: 15 40 00</t>
  </si>
  <si>
    <t xml:space="preserve">Other lanes' tags in the same item group: PROPOSED-Post hydrant (Civil &amp; Site). See #53.</t>
  </si>
  <si>
    <t xml:space="preserve">PROPOSED-EXTERIOR-SANITARY-DRAINS — Exterior sanitary drain piping, ABS DWV, with unions and cleanouts [Site]</t>
  </si>
  <si>
    <t xml:space="preserve">PROPOSED-BLOWER-BLDG-WALL-FANS — Blower Building wall fans (2), Acme FQ18G6, 3,300 CFM, 1/2 HP, 120 V, each on its own Schaffer TH109 thermost… [Blower Building]</t>
  </si>
  <si>
    <t xml:space="preserve">Process &amp; Mechanical — sheets: —; spec: 23 34 00; Wiki: 23 34 00</t>
  </si>
  <si>
    <t xml:space="preserve">Other lanes' tags in the same item group: EF-2 (Electrical &amp; Controls); PROPOSED-Exhaust-Fans-Blower-Building (Structural &amp; Building); EF-1 (Electrical &amp; Controls). See #20.</t>
  </si>
  <si>
    <t xml:space="preserve">PROPOSED-BLOWER-BLDG-MOTORIZED-LOUVER — Blower Building motorized louvered vent, 36 x 84 in., Pottoroff EXD-645 with AF120 120 V spring-return actuat… [Blower Building]</t>
  </si>
  <si>
    <t xml:space="preserve">Other lanes' tags in the same item group: ML-1 (Electrical &amp; Controls); PROPOSED-Louver-36x84-Motorized (Structural &amp; Building). See #21.</t>
  </si>
  <si>
    <t xml:space="preserve">PROPOSED-BLOWER-BLDG-MANUAL-LOUVER — Blower Building manual louvered vent, 24 x 24 in., Pottoroff EXD-645 [Blower Building]</t>
  </si>
  <si>
    <t xml:space="preserve">Other lanes' tags in the same item group: PROPOSED-Blower-Building-Manual-Louver (Electrical &amp; Controls); PROPOSED-Louver-24x24-Manual (Structural &amp; Building). See #22.</t>
  </si>
  <si>
    <t xml:space="preserve">PROPOSED-EXISTING-BLDG-WALL-FANS — Existing Dewatering/Train 1&amp;2 Building wall fans (3), Acme FQ18G6, 3,300 CFM, each on a manual on/off switch,… [Existing Dewatering/Train 1&amp;2 Building Area]</t>
  </si>
  <si>
    <t xml:space="preserve">Other lanes' tags in the same item group: EF-3 (Electrical &amp; Controls); EF-4 (Electrical &amp; Controls); EF-5 (Electrical &amp; Controls); PROPOSED-WWTP-Building-Exhaust-Fan-24x24 (Structural &amp; Building). See #26.</t>
  </si>
  <si>
    <t xml:space="preserve">PROPOSED-EXISTING-BLDG-LOUVERS — Existing Dewatering/Train 1&amp;2 Building manual louvered vents (2), 36 x 84 in., Pottoroff EXD-645 [Existing Dewatering/Train 1&amp;2 Building Area]</t>
  </si>
  <si>
    <t xml:space="preserve">Other lanes' tags in the same item group: PROPOSED-WWTP-Building-Louver-3x7 (Structural &amp; Building). See #27.</t>
  </si>
  <si>
    <t xml:space="preserve">PROPOSED-2W-AIR-GAP-ENCLOSURE — 2W air gap system in a fiberglass enclosure ("2W (Air Gap) Water Hot Box") [Site (on C1.3 per Add. 4 p.3)]</t>
  </si>
  <si>
    <t xml:space="preserve">Process &amp; Mechanical — sheets: —; spec: 43 22 10; Wiki: 43 22 10; C4.2</t>
  </si>
  <si>
    <t xml:space="preserve">Other lanes' tags in the same item group: PROPOSED-Hot-Box-2 (Electrical &amp; Controls); Hot Box #2 (Civil &amp; Site); PROPOSED-2W-Air-Gap-Water-System (Contract &amp; General). See #17.</t>
  </si>
  <si>
    <t xml:space="preserve">PROPOSED-EYE-WASH-STATIONS — Wall-mount eye wash stations (quantity and locations not stated) [Not stated]</t>
  </si>
  <si>
    <t xml:space="preserve">Process &amp; Mechanical — sheets: —; spec: 43 22 10; Wiki: 43 22 10</t>
  </si>
  <si>
    <t xml:space="preserve">PROPOSED-IPS-CHECK-VALVES — Influent Pump Station discharge check valves, 4-inch and 6-inch FxF, swing check with external lever, spring… [Influent Pump Station]</t>
  </si>
  <si>
    <t xml:space="preserve">Process &amp; Mechanical — sheets: C4.1; spec: 45 05 00; Wiki: C4.1; 45 05 00</t>
  </si>
  <si>
    <t xml:space="preserve">PROPOSED-IPS-GATE-VALVES — Influent Pump Station gate valves: 4-inch and 6-inch FxF in the valve vaults; 4-inch and 6-inch buried gate v… [Influent Pump Station]</t>
  </si>
  <si>
    <t xml:space="preserve">PROPOSED-AIR-BUTTERFLY-VALVES — Aeration air butterfly valves: 3-inch and 6-inch at the biological blowers, 4-inch at the digester blower; Br… [Blower Building; Digester Blower]</t>
  </si>
  <si>
    <t xml:space="preserve">Process &amp; Mechanical — sheets: C6.3; C6.5; spec: 45 05 00; Wiki: C6.3; C6.5; 45 05 00</t>
  </si>
  <si>
    <t xml:space="preserve">PROPOSED-UV-INTENSITY-SENSORS — UV intensity sensors (2, one per bank), submersible, with low-UV alarm contact [UV Disinfection Chamber &amp; Digester]</t>
  </si>
  <si>
    <t xml:space="preserve">Process &amp; Mechanical — sheets: —; spec: 46 66 00; Wiki: 46 66 00</t>
  </si>
  <si>
    <t xml:space="preserve">PROPOSED-UV-TRANSMISSIVITY-ANALYZER — UV transmissivity analyzer, Hach DR 1900 (1) [Not stated]</t>
  </si>
  <si>
    <t xml:space="preserve">Process &amp; Mechanical — sheets: —; spec: 46 66 10; Wiki: 46 66 10</t>
  </si>
  <si>
    <t xml:space="preserve">PROPOSED-WAS-FLOW-METER — WAS flow meter, 2-inch, on the WAS line to the digester, per electrical design requirements [Sludge Pump and Valving Area]</t>
  </si>
  <si>
    <t xml:space="preserve">Other lanes' tags in the same item group: PROPOSED-WAS-Dewatering-Flow-Meter (Electrical &amp; Controls). See #43.</t>
  </si>
  <si>
    <t xml:space="preserve">PROPOSED-RFP-POLYMER-FLOWMETER — Rotary press polymer (dilution) flowmeter, 1-inch electromagnetic (E+H 10P), 5-80 gpm, at the flocculator inl… [Rotary Fan Press System]</t>
  </si>
  <si>
    <t xml:space="preserve">Process &amp; Mechanical — sheets: —; spec: 46 76 26; 46 33 33; Wiki: 46 76 26; 46 33 33</t>
  </si>
  <si>
    <t xml:space="preserve">PROPOSED-RFP-INLET-PRESSURE-TRANSMITTER — Flocculator inlet pressure transmitter, E+H PMC71, 0-30 psi, HART [Rotary Fan Press System]</t>
  </si>
  <si>
    <t xml:space="preserve">Process &amp; Mechanical — sheets: —; spec: 46 76 26; Wiki: 46 76 26</t>
  </si>
  <si>
    <t xml:space="preserve">PROPOSED-Utility-Transformer-480V — Utility transformer, 480Y/277V, 225 kVA (new; furnished and installed by OPALCO) [Electric Service Area]</t>
  </si>
  <si>
    <t xml:space="preserve">Electrical &amp; Controls — sheets: E0.2; E1.1; E6.1; spec: 26 05 00; Wiki: E0.2; E1.1; E6.1</t>
  </si>
  <si>
    <t xml:space="preserve">PROPOSED-CT-Enclosure-and-Meter-Base — CT enclosure, landing pads and meter base (new; meter and CTs by utility) [Electric Service Area]</t>
  </si>
  <si>
    <t xml:space="preserve">Electrical &amp; Controls — sheets: E0.2; E1.1; E6.1; E6.3; spec: 26 05 00; Wiki: E0.2; E1.1; E6.1; E6.3</t>
  </si>
  <si>
    <t xml:space="preserve">PROPOSED-Service-Area-Grounding-Electrode-System — Grounding electrode systems at the new service: utility transformer grounding, generator pad rebar bond, sepa… [Electric Service Area]</t>
  </si>
  <si>
    <t xml:space="preserve">Electrical &amp; Controls — sheets: E1.1; E6.1; E10.1; spec: 26 05 26; Wiki: E1.1; E6.1; E10.1; 26 05 26</t>
  </si>
  <si>
    <t xml:space="preserve">PROPOSED-Existing-Utility-Transformer-208V — Existing OPALCO pad-mount utility transformer, 208Y/120V 3-ph, 45 kVA [Electric Service Area]</t>
  </si>
  <si>
    <t xml:space="preserve">Electrical &amp; Controls — sheets: E0.2; E1.1; spec: 26 05 00; Wiki: E0.2; E1.1</t>
  </si>
  <si>
    <t xml:space="preserve">PROPOSED-Existing-Generator-Fuel-Tank-Exhaust-Louvers — Existing diesel fuel tank, generator exhaust system and louvers [Electric Service Area]</t>
  </si>
  <si>
    <t xml:space="preserve">Electrical &amp; Controls — sheets: E0.2; spec: —; Wiki: E0.2</t>
  </si>
  <si>
    <t xml:space="preserve">Other lanes' tags in the same item group: PROPOSED-Existing-Office-Louver-4x4 (Structural &amp; Building); PROPOSED-Existing-Office-Louver-2x3 (Structural &amp; Building); PROPOSED-Existing-Generator-Exhaust-Assembly (Structural &amp; Building); PROPOSED-Existing generator fuel tank and spill basin (Civil &amp; Site). See #28.</t>
  </si>
  <si>
    <t xml:space="preserve">PROPOSED-Existing-CT-Enclosure-and-Meter — Existing current transformer enclosure and OPALCO utility meter [Electric Service Area]</t>
  </si>
  <si>
    <t xml:space="preserve">Electrical &amp; Controls — sheets: E0.2; spec: 26 05 00; Wiki: E0.2; 26 05 00</t>
  </si>
  <si>
    <t xml:space="preserve">PROPOSED-Existing-Meter-Base-and-Wall-Raceway — Existing obsolete meter base and raceway on building wall [Electric Service Area]</t>
  </si>
  <si>
    <t xml:space="preserve">PROPOSED-Existing-200A-Feeder-to-Panel-TPS — Existing 200 A 208Y/120V power feeder to Panel TPS [Site]</t>
  </si>
  <si>
    <t xml:space="preserve">Electrical &amp; Controls — sheets: E0.2; E1.1; spec: —; Wiki: E0.2; E1.1</t>
  </si>
  <si>
    <t xml:space="preserve">PROPOSED-Existing-208V-400A-Distribution-Panel — Existing 208Y/120V 400 A distribution panel (Square-D I-Line), Office Building, re-fed from transformer TS [Existing Office Building]</t>
  </si>
  <si>
    <t xml:space="preserve">Electrical &amp; Controls — sheets: E0.2; E1.1; E6.1; E6.3; spec: —; Wiki: E0.2; E1.1; E6.1; E6.3</t>
  </si>
  <si>
    <t xml:space="preserve">PROPOSED-Existing-Grounding-Electrode-System — Existing grounding electrode system (kept; new equipment and electrodes bonded to it) [Electric Service Area / existing buildings]</t>
  </si>
  <si>
    <t xml:space="preserve">Electrical &amp; Controls — sheets: E0.2; E1.1; spec: 26 05 26; Wiki: E0.2; E1.1</t>
  </si>
  <si>
    <t xml:space="preserve">PROPOSED-DB-Local-Disconnect — Local disconnect for digester blower DB, NEMA 4X stainless steel [Not stated — at DB (see DB row)]</t>
  </si>
  <si>
    <t xml:space="preserve">Electrical &amp; Controls — sheets: E2.1; spec: 26 28 16; Wiki: E2.1</t>
  </si>
  <si>
    <t xml:space="preserve">PROPOSED-Blower-Building-Power-Handholes — Electric power handholes at the Blower Building (2 shown) [Blower Building]</t>
  </si>
  <si>
    <t xml:space="preserve">Electrical &amp; Controls — sheets: E2.1; E10.1; spec: 26 05 33; Wiki: E2.1; E10.1; 26 05 33</t>
  </si>
  <si>
    <t xml:space="preserve">PROPOSED-Blower-Building-Control-Signal-Handholes — Electric control and signal handholes at the Blower Building (2 shown) [Blower Building]</t>
  </si>
  <si>
    <t xml:space="preserve">PROPOSED-Blower-Building-Smoke-Heat-Detector — Ceiling smoke/heat detector, System Sensor 4WTAR-B, Form C relay, sounder, 4-wire [Blower Building]</t>
  </si>
  <si>
    <t xml:space="preserve">Electrical &amp; Controls — sheets: E2.1; E6.3; E7.3; spec: 26 80 00; Wiki: E2.1; E6.3; E7.3; 26 80 00</t>
  </si>
  <si>
    <t xml:space="preserve">PROPOSED-Blower-Building-Door-Intrusion-Switch — Door intrusion switch, magnetic reed SPDT, Interlogix Sentrol 2807T or equal [Blower Building]</t>
  </si>
  <si>
    <t xml:space="preserve">PROPOSED-2W-Pressure-Transducer — 2W system pressure transducer, 0–150 psi, 4–20 mA, Blower Building [Blower Building]</t>
  </si>
  <si>
    <t xml:space="preserve">Electrical &amp; Controls — sheets: E2.1; E6.3; E7.5; spec: 26 80 00; 26 80 00; Wiki: E2.1; E6.3; E7.5; 26 80 00</t>
  </si>
  <si>
    <t xml:space="preserve">Printed tag found for the same item: PIT-620 (Process &amp; Mechanical, C4.3). Other lanes' tags in the same item group: PIT-620 (Process &amp; Mechanical). See #48.</t>
  </si>
  <si>
    <t xml:space="preserve">PROPOSED-Blower-High-Temperature-Switches — High-temperature switches at the aeration blowers (typ.) [Blower Building]</t>
  </si>
  <si>
    <t xml:space="preserve">Electrical &amp; Controls — sheets: E2.1; E7.3; spec: —; Wiki: E2.1; E7.3</t>
  </si>
  <si>
    <t xml:space="preserve">PROPOSED-Blower-Building-Grounding-Electrode-System — Blower Building grounding electrode system (ground rods, concrete-encased electrode, structural steel, metal… [Blower Building]</t>
  </si>
  <si>
    <t xml:space="preserve">Electrical &amp; Controls — sheets: E2.1; E10.1; spec: 26 05 26; Wiki: E2.1; E10.1; 26 05 26</t>
  </si>
  <si>
    <t xml:space="preserve">PROPOSED-Blower-Building-Manual-Louver — Manual louver, Blower Building [Blower Building]</t>
  </si>
  <si>
    <t xml:space="preserve">Electrical &amp; Controls — sheets: E2.2; spec: —; Wiki: E2.2</t>
  </si>
  <si>
    <t xml:space="preserve">Other lanes' tags in the same item group: PROPOSED-Louver-24x24-Manual (Structural &amp; Building); PROPOSED-BLOWER-BLDG-MANUAL-LOUVER (Process &amp; Mechanical). See #22.</t>
  </si>
  <si>
    <t xml:space="preserve">PROPOSED-Blower-Building-Ventilation-Control-Panel — Ventilation control panel: relay controls, one thermostat per exhaust fan, louver interlock [Blower Building]</t>
  </si>
  <si>
    <t xml:space="preserve">PROPOSED-Train-3-Clarifier-Drive-Motor — Train No.3 clarifier drive motor [Train No.3]</t>
  </si>
  <si>
    <t xml:space="preserve">Electrical &amp; Controls — sheets: E3.1; E6.3; spec: —; Wiki: E3.1; E6.3</t>
  </si>
  <si>
    <t xml:space="preserve">Other lanes' tags in the same item group: PROPOSED-Clarifier (Contract &amp; General); PROPOSED-TRAIN-3-CLARIFIER-MECHANISM (Process &amp; Mechanical). See #33.</t>
  </si>
  <si>
    <t xml:space="preserve">PROPOSED-Train-3-Submersible-Mixer-A — Train No.3 submersible mixer A [Train No.3]</t>
  </si>
  <si>
    <t xml:space="preserve">Other lanes' tags in the same item group: PROPOSED-TRAIN-3-ANOXIC-MIXERS (Process &amp; Mechanical). See #32.</t>
  </si>
  <si>
    <t xml:space="preserve">PROPOSED-Train-3-Submersible-Mixer-B — Train No.3 submersible mixer B [Train No.3]</t>
  </si>
  <si>
    <t xml:space="preserve">PROPOSED-Train-3-Local-Disconnects — Local motor disconnects, NEMA 4X Type 316 SS, for the clarifier drive and two mixers (3) [Train No.3]</t>
  </si>
  <si>
    <t xml:space="preserve">Electrical &amp; Controls — sheets: E3.1; spec: 26 28 16; Wiki: E3.1</t>
  </si>
  <si>
    <t xml:space="preserve">PROPOSED-Train-3-Pole-Light — Platform pole light: 4-in square aluminum pole, 12 ft, receptacle, photocell, local switch; Lithonia "#DXS0-L… [Train No.3]</t>
  </si>
  <si>
    <t xml:space="preserve">Electrical &amp; Controls — sheets: E3.1; E6.3; spec: 26 51 19; Wiki: E3.1; E6.3</t>
  </si>
  <si>
    <t xml:space="preserve">PROPOSED-SCADA-Computer-System — SCADA computer system with Cat 6 network junction box, combo network/telephone outlet and SCADA alarm dialer… [Lab — existing Office/Lab/Shop Building]</t>
  </si>
  <si>
    <t xml:space="preserve">Electrical &amp; Controls — sheets: E0.3; E6.3; E7.0; spec: 26 80 00; Wiki: E0.3; E6.3; E7.0</t>
  </si>
  <si>
    <t xml:space="preserve">PROPOSED-Influent-Pump-Local-Disconnects — Influent pump motor local disconnects (4) on the building wall within sight of the wet well; outdoor enclosur… [Influent Pump Station]</t>
  </si>
  <si>
    <t xml:space="preserve">Electrical &amp; Controls — sheets: E4.1; E6.1; spec: 26 28 16; Wiki: E4.1; E6.1</t>
  </si>
  <si>
    <t xml:space="preserve">PROPOSED-Influent-Wet-Well-Power-Handhole — Influent wet well pump power handhole, precast, traffic rated, solid bottom with sump and drain [Influent Pump Station]</t>
  </si>
  <si>
    <t xml:space="preserve">Electrical &amp; Controls — sheets: E4.1; E4.2; E10.1; spec: 26 05 33; Wiki: E4.1; E4.2; E10.1; 26 05 33</t>
  </si>
  <si>
    <t xml:space="preserve">PROPOSED-Influent-Wet-Well-Instrument-Handhole — Influent wet well instrumentation handhole, precast, traffic rated, solid bottom with sump and drain [Influent Pump Station]</t>
  </si>
  <si>
    <t xml:space="preserve">Electrical &amp; Controls — sheets: E4.1; E4.2; E6.3; E10.1; spec: 26 05 33; Wiki: E4.1; E4.2; E6.3; E10.1; 26 05 33</t>
  </si>
  <si>
    <t xml:space="preserve">PROPOSED-Treatment-Building-Power-Handhole — Electric power handhole at the Treatment Building / IPS panel location [Treatment Building (existing; E4.1 key note 3 calls it "Dewatering Building" — see Issues)]</t>
  </si>
  <si>
    <t xml:space="preserve">Electrical &amp; Controls — sheets: E4.1; E10.1; spec: 26 05 33; Wiki: E4.1; E10.1; 26 05 33</t>
  </si>
  <si>
    <t xml:space="preserve">PROPOSED-Treatment-Building-Control-Signal-Handhole — Electric control and signal handhole at the Treatment Building / IPS panel location [Treatment Building (existing; E4.1 key note 3 calls it "Dewatering Building" — see Issues)]</t>
  </si>
  <si>
    <t xml:space="preserve">Electrical &amp; Controls — sheets: E4.1; E7.0; E10.1; spec: 26 05 33; Wiki: E4.1; E7.0; E10.1; 26 05 33</t>
  </si>
  <si>
    <t xml:space="preserve">PROPOSED-Influent-Flow-Meter — Influent magnetic flow meter, Endress+Hauser Promag W400, Class I Div 2, EtherNet/IP, remote transmitter at t… [Influent Pump Station]</t>
  </si>
  <si>
    <t xml:space="preserve">Electrical &amp; Controls — sheets: E4.1; E6.3; E7.0; E8.1; E10.2; spec: 26 80 00; Wiki: E4.1; E6.3; E7.0; E8.1; E10.2</t>
  </si>
  <si>
    <t xml:space="preserve">Other lanes' tags in the same item group: PROPOSED-INFLUENT-FLOW-METER (Process &amp; Mechanical). See #9.</t>
  </si>
  <si>
    <t xml:space="preserve">PROPOSED-Plant-2-Flow-Meter — Plant 2 magnetic flow meter ("Train #2 flow meter" on E7.0), Promag W400, remote transmitter at the IPS panel [Influent Pump Station]</t>
  </si>
  <si>
    <t xml:space="preserve">Other lanes' tags in the same item group: PROPOSED-Train 2 flow meter (Civil &amp; Site); PROPOSED-TRAIN-2-FLOW-METER (Process &amp; Mechanical). See #7.</t>
  </si>
  <si>
    <t xml:space="preserve">PROPOSED-Plant-3-Flow-Meter — Plant 3 magnetic flow meter ("Train #3 flow meter" on E7.0), Promag W400, remote transmitter at the IPS panel [Influent Pump Station]</t>
  </si>
  <si>
    <t xml:space="preserve">Other lanes' tags in the same item group: PROPOSED-Train 3 flow meter (Civil &amp; Site); PROPOSED-TRAIN-3-FLOW-METER (Process &amp; Mechanical). See #8.</t>
  </si>
  <si>
    <t xml:space="preserve">PROPOSED-WAS-Dewatering-Flow-Meter — Dewatering flow meter ("WAS flow meter" on E7.0), Promag W400 with local display, Cat 6 to the IPS panel [Treatment Building (existing; E4.1 key note 3 calls it "Dewatering Building" — see Issues)]</t>
  </si>
  <si>
    <t xml:space="preserve">Electrical &amp; Controls — sheets: E4.1; E6.3; E7.0; E10.2; spec: 26 80 00; Wiki: E4.1; E6.3; E7.0; E10.2</t>
  </si>
  <si>
    <t xml:space="preserve">Other lanes' tags in the same item group: PROPOSED-WAS-FLOW-METER (Process &amp; Mechanical). See #43.</t>
  </si>
  <si>
    <t xml:space="preserve">PROPOSED-Effluent-Flow-Meter — Effluent magnetic flow meter in vault, Promag W400, remote housing, IP68 Type 6 potted submersible sensor, tw… [UV Disinfection Chamber]</t>
  </si>
  <si>
    <t xml:space="preserve">Electrical &amp; Controls — sheets: E5.1; E6.3; E7.0; E10.2; spec: 26 80 00; Wiki: E5.1; E6.3; E7.0; E10.2</t>
  </si>
  <si>
    <t xml:space="preserve">Other lanes' tags in the same item group: PROPOSED-8in-Effluent-Flow-Meter (Contract &amp; General); PROPOSED-EFFLUENT-FLOW-METER (Process &amp; Mechanical). See #10.</t>
  </si>
  <si>
    <t xml:space="preserve">PROPOSED-Effluent-Flow-Meter-Transmitter-Panel — Effluent flow meter transmitter panel: stainless local control panel with the transmitter and instrument term… [UV Disinfection Chamber]</t>
  </si>
  <si>
    <t xml:space="preserve">Electrical &amp; Controls — sheets: E5.1; E6.3; spec: 26 80 00; Wiki: E5.1; E6.3; 26 80 00</t>
  </si>
  <si>
    <t xml:space="preserve">PROPOSED-2W-Flow-Meter — 2W flow meter, 1-in Promag W400, 24 VAC/DC, EtherNet/IP, local display, NEMA 4X, in Hot Box #1 [2W Pump Station]</t>
  </si>
  <si>
    <t xml:space="preserve">Electrical &amp; Controls — sheets: E4.3; E6.3; E7.0; E10.2; spec: 26 80 00; Wiki: E4.3; E6.3; E7.0; E10.2</t>
  </si>
  <si>
    <t xml:space="preserve">Other lanes' tags in the same item group: PROPOSED-2W-FLOW-METER (Process &amp; Mechanical); PROPOSED-Hot Box #1 flow meter (Civil &amp; Site). See #11.</t>
  </si>
  <si>
    <t xml:space="preserve">PROPOSED-Train-1-Flow-Meter — Train #1 flow meter, 8 in — future project, not in this project; Phase I provides transmitter space in the IP… [Train No.1 (future)]</t>
  </si>
  <si>
    <t xml:space="preserve">Electrical &amp; Controls — sheets: E7.0; E8.1; E10.2; spec: —; Wiki: E7.0; E8.1; E10.2</t>
  </si>
  <si>
    <t xml:space="preserve">PROPOSED-WAS-and-Sludge-Pump-Local-Disconnects — Local motor disconnects for WP-1, WP-2 and SD-1 (3) [Treatment Building (existing; E4.1 key note 3 calls it "Dewatering Building" — see Issues)]</t>
  </si>
  <si>
    <t xml:space="preserve">Other lanes' tags in the same item group: PROPOSED-SLUDGE-PUMP-LOCAL-PANELS (Process &amp; Mechanical). See #62.</t>
  </si>
  <si>
    <t xml:space="preserve">PROPOSED-WAS-Solenoid-Valves — WAS solenoid valves (3), WAS #1 to #3, 120 V from the IPS panel [Treatment Building (existing; E4.1 key note 3 calls it "Dewatering Building" — see Issues)]</t>
  </si>
  <si>
    <t xml:space="preserve">Electrical &amp; Controls — sheets: E4.1; E6.3; E8.4; spec: —; Wiki: E4.1; E6.3; E8.4</t>
  </si>
  <si>
    <t xml:space="preserve">Other lanes' tags in the same item group: PROPOSED-WAS-SOLENOID-VALVES (Process &amp; Mechanical). See #12.</t>
  </si>
  <si>
    <t xml:space="preserve">PROPOSED-Polymer-Feed-Pump — Polymer feed pump at the dewatering skid; 120 V GFCI receptacle LP2-6 and 4–20 mA flow pace [Treatment Building (existing; E4.1 key note 3 calls it "Dewatering Building" — see Issues)]</t>
  </si>
  <si>
    <t xml:space="preserve">Electrical &amp; Controls — sheets: E4.1; E6.2; E6.3; E8.6; E10.2; spec: —; Wiki: E4.1; E6.2; E6.3; E8.6; E10.2</t>
  </si>
  <si>
    <t xml:space="preserve">Other lanes' tags in the same item group: PROPOSED-POLYMER-SYSTEM (Process &amp; Mechanical). See #64.</t>
  </si>
  <si>
    <t xml:space="preserve">PROPOSED-Hypochlorite-Feed-Pump — Hypochlorite feed pump; 120 V GFCI receptacle on LP1-16 and 4–20 mA flow pace [Not stated (drawn on E4.1)]</t>
  </si>
  <si>
    <t xml:space="preserve">Electrical &amp; Controls — sheets: E2.2; E4.1; E6.2; E6.3; E7.7; E10.2; spec: —; Wiki: E2.2; E4.1; E6.2; E6.3; E7.7; E10.2</t>
  </si>
  <si>
    <t xml:space="preserve">PROPOSED-Influent-Sampler — Influent sampler (Owner-furnished, contractor-installed); 120 V GFCI receptacle LP2-8 and 4–20 mA flow pace [Influent Pump Station]</t>
  </si>
  <si>
    <t xml:space="preserve">Electrical &amp; Controls — sheets: E4.1; E6.2; E6.3; E8.6; spec: —; Wiki: E4.1; E6.2; E6.3; E8.6; 26 80 00</t>
  </si>
  <si>
    <t xml:space="preserve">See #13.</t>
  </si>
  <si>
    <t xml:space="preserve">PROPOSED-Effluent-Sampler — Effluent sampler (Owner-furnished, contractor-installed); 120 V GFCI receptacle on LP1-14 and 4–20 mA flow pa… [Not stated (drawn on E4.1)]</t>
  </si>
  <si>
    <t xml:space="preserve">Electrical &amp; Controls — sheets: E2.2; E4.1; E6.2; E6.3; E7.7; spec: —; Wiki: E2.2; E4.1; E6.2; E6.3; E7.7; 26 80 00</t>
  </si>
  <si>
    <t xml:space="preserve">PROPOSED-Treatment-Building-Ventilation-Control-Panel — Ventilation control panel, Treatment Building, NEMA 4X stainless steel [Treatment Building (existing; E4.1 key note 3 calls it "Dewatering Building" — see Issues)]</t>
  </si>
  <si>
    <t xml:space="preserve">Electrical &amp; Controls — sheets: E4.1; E6.2; E8.3; E8.4; E9.3; spec: 26 80 00; Wiki: E4.1; E6.2; E8.3; E8.4; E9.3; 26 80 00</t>
  </si>
  <si>
    <t xml:space="preserve">PROPOSED-Methane-Sensor — Methane gas sensor, Treatment Building, circuit LP2-4 (500 VA) [Treatment Building (existing; E4.1 key note 3 calls it "Dewatering Building" — see Issues)]</t>
  </si>
  <si>
    <t xml:space="preserve">Electrical &amp; Controls — sheets: E4.1; E6.2; E8.4; E8.5; E9.3; spec: 26 80 00; Wiki: E4.1; E6.2; E8.4; E8.5; E9.3; 26 80 00</t>
  </si>
  <si>
    <t xml:space="preserve">PROPOSED-H2S-Sensor — Hydrogen sulfide (H2S) sensor, Treatment Building, circuit LP2-2 (500 VA) [Treatment Building (existing; E4.1 key note 3 calls it "Dewatering Building" — see Issues)]</t>
  </si>
  <si>
    <t xml:space="preserve">PROPOSED-Gas-Alarm-Light-and-Horn — Local alarm light and horn for ventilation and gas monitoring, Treatment Building [Treatment Building (existing; E4.1 key note 3 calls it "Dewatering Building" — see Issues)]</t>
  </si>
  <si>
    <t xml:space="preserve">Electrical &amp; Controls — sheets: E4.1; E8.4; spec: 26 80 00; Wiki: E4.1; E8.4; 26 80 00</t>
  </si>
  <si>
    <t xml:space="preserve">PROPOSED-2W-Pump-Local-Disconnects — Local motor disconnects for the two 2W pumps (2) [2W Pump Station]</t>
  </si>
  <si>
    <t xml:space="preserve">Electrical &amp; Controls — sheets: E6.1; spec: 26 28 16; Wiki: E6.1</t>
  </si>
  <si>
    <t xml:space="preserve">PROPOSED-Hot-Box-1 — Hot Box #1 (2W): houses the 1-in 2W flow meter, isolation valve solenoid, heat trace, GFEP and J-box [2W Pump Station]</t>
  </si>
  <si>
    <t xml:space="preserve">Electrical &amp; Controls — sheets: E4.3; E6.2; E6.3; spec: —; Wiki: E4.3; E6.2; E6.3</t>
  </si>
  <si>
    <t xml:space="preserve">Printed tag found for the same item: Hot Box #1 (Civil &amp; Site, C1.3 / C7.6). Other lanes' tags in the same item group: Hot Box #1 (Civil &amp; Site). See #16.</t>
  </si>
  <si>
    <t xml:space="preserve">PROPOSED-Hot-Box-2 — Hot Box #2 (2W): heat trace on exposed piping [2W Pump Station]</t>
  </si>
  <si>
    <t xml:space="preserve">Printed tag found for the same item: Hot Box #2 (Civil &amp; Site, C1.3 / C7.6). Other lanes' tags in the same item group: Hot Box #2 (Civil &amp; Site); PROPOSED-2W-AIR-GAP-ENCLOSURE (Process &amp; Mechanical); PROPOSED-2W-Air-Gap-Water-System (Contract &amp; General). See #17.</t>
  </si>
  <si>
    <t xml:space="preserve">PROPOSED-Hot-Box-Heat-Trace — Heat trace on all exposed 2W piping in Hot Boxes #1 and #2: Raychem BTV self-regulating or equal, dedicated 1… [2W Pump Station]</t>
  </si>
  <si>
    <t xml:space="preserve">PROPOSED-2W-Isolation-Valve-Solenoid — Isolation valve solenoid in Hot Box #1 (2W line) [2W Pump Station]</t>
  </si>
  <si>
    <t xml:space="preserve">Electrical &amp; Controls — sheets: E4.3; E6.3; E7.4; spec: —; Wiki: E4.3; E6.3; E7.4</t>
  </si>
  <si>
    <t xml:space="preserve">Other lanes' tags in the same item group: PROPOSED-Hot Box #1 solenoid valve (Civil &amp; Site). See #49.</t>
  </si>
  <si>
    <t xml:space="preserve">PROPOSED-UV-Control-Panel-1 — UV control panel 1 (UV system controller), furnished with the UV system, installed by the contractor [UV Disinfection Chamber]</t>
  </si>
  <si>
    <t xml:space="preserve">Electrical &amp; Controls — sheets: E5.1; E6.3; spec: —; Wiki: E5.1; E6.3</t>
  </si>
  <si>
    <t xml:space="preserve">Other lanes' tags in the same item group: PROPOSED-UV-CONTROL-PANELS (Process &amp; Mechanical). See #55.</t>
  </si>
  <si>
    <t xml:space="preserve">PROPOSED-UV-Control-Panel-2 — UV control panel 2 (UV system controller), furnished with the UV system, installed by the contractor [UV Disinfection Chamber]</t>
  </si>
  <si>
    <t xml:space="preserve">PROPOSED-UV-Power-Distribution-1 — UV power distribution 1: stainless splitter panel within 10 ft of the module power end, wiring gutter, J-boxe… [UV Disinfection Chamber]</t>
  </si>
  <si>
    <t xml:space="preserve">Electrical &amp; Controls — sheets: E5.1; E6.2; E6.3; spec: 26 27 26; Wiki: E5.1; E6.2; E6.3</t>
  </si>
  <si>
    <t xml:space="preserve">PROPOSED-UV-Power-Distribution-2 — UV power distribution 2: stainless splitter panel within 10 ft of the module power end, wiring gutter, J-boxe… [UV Disinfection Chamber]</t>
  </si>
  <si>
    <t xml:space="preserve">PROPOSED-Digester-Level-Transducer — Digester level transducer: WIKA submersible, 316 SS, 0–15 psi, LevelGuard, 4–20 mA, vented, desiccant, NEMA 4… [Digester]</t>
  </si>
  <si>
    <t xml:space="preserve">Electrical &amp; Controls — sheets: E5.1; E6.3; E7.1; E7.5; spec: 26 80 00; Wiki: E5.1; E6.3; E7.1; E7.5</t>
  </si>
  <si>
    <t xml:space="preserve">Other lanes' tags in the same item group: S1–S2 [Aerobic Digester] (Process &amp; Mechanical). See #58.</t>
  </si>
  <si>
    <t xml:space="preserve">PROPOSED-UV-Area-Pole-Light — UV-area pole light: 4-in square aluminum pole 12 ft on a concrete base secured to the basin side, photocell,… [UV Disinfection Chamber]</t>
  </si>
  <si>
    <t xml:space="preserve">Electrical &amp; Controls — sheets: E5.1; E6.3; spec: 26 51 19; Wiki: E5.1; E6.3</t>
  </si>
  <si>
    <t xml:space="preserve">PROPOSED-VFDs-in-MCC — Variable frequency drives in the MCC (10), Allen-Bradley PowerFlex 753 with Ethernet module, each with a 3% l… [Blower Building]</t>
  </si>
  <si>
    <t xml:space="preserve">Electrical &amp; Controls — sheets: E6.1; E7.0; E7.3; E7.4; E7.7; E9.1; E9.2; spec: 26 29 23; Wiki: E6.1; E7.0; E7.3; E7.4; E7.7; E9.1; E9.2; 26 29 23</t>
  </si>
  <si>
    <t xml:space="preserve">PROPOSED-Conduit-and-Conductor-Runs — Conduit and conductor runs per the E6.3 schedules: 40 named power runs (+2 unnamed UV controller circuits, AC… [Site-wide]</t>
  </si>
  <si>
    <t xml:space="preserve">Electrical &amp; Controls — sheets: E6.3; E10.1; E10.2; spec: 26 05 19; 26 05 33; Wiki: E6.3; E10.1; E10.2; 26 05 19; 26 05 33</t>
  </si>
  <si>
    <t xml:space="preserve">PROPOSED-Blower-PTC-Relay-Modules — Blower motor PTC relay modules (5), furnished by the blower supplier, installed in the main PLC control panel [Blower Building]</t>
  </si>
  <si>
    <t xml:space="preserve">Electrical &amp; Controls — sheets: E7.1; E7.2; E7.3; spec: —; Wiki: E7.1; E7.2; E7.3</t>
  </si>
  <si>
    <t xml:space="preserve">PROPOSED-Influent-Pump-Seal-Fail-Overtemp-Relays — Influent pump seal-fail and overtemperature relays (4), Mini-CAS or equal, furnished by the pump manufacturer… [Influent Pump Station]</t>
  </si>
  <si>
    <t xml:space="preserve">Electrical &amp; Controls — sheets: E8.1; spec: —; Wiki: E8.1</t>
  </si>
  <si>
    <t xml:space="preserve">Other lanes' tags in the same item group: PROPOSED-IPS-MOTOR-SAVER-RELAYS (Process &amp; Mechanical). See #42.</t>
  </si>
  <si>
    <t xml:space="preserve">PROPOSED-Temporary-Backup-Generator — Temporary back-up generator (rental), connected to the permanent ATS until the permanent generator arrives; e… [Electric Service Area]</t>
  </si>
  <si>
    <t xml:space="preserve">Electrical &amp; Controls — sheets: None (Add. 4 and 26 05 00 only); spec: 26 05 00; Wiki: Add. 4 Generator Exhibit; 26 05 00</t>
  </si>
  <si>
    <t xml:space="preserve">Other lanes' tags in the same item group: PROPOSED-Temporary power generator (Civil &amp; Site); PROPOSED-Temporary-Back-Up-Generator (Contract &amp; General). See #14.</t>
  </si>
  <si>
    <t xml:space="preserve">PROPOSED-Construction-Power-Service — Dedicated construction power service (contractor-provided, contractor-paid energy) [Not stated]</t>
  </si>
  <si>
    <t xml:space="preserve">Electrical &amp; Controls — sheets: Not shown; spec: 26 05 00; Wiki: 26 05 00</t>
  </si>
  <si>
    <t xml:space="preserve">Other lanes' tags in the same item group: PROPOSED-Temporary-Construction-Power (Contract &amp; General). See #67.</t>
  </si>
  <si>
    <t xml:space="preserve">PROPOSED-Electrical-Equipment-Housekeeping-Pads — Concrete housekeeping pads under floor-mounted electrical equipment (MCC, main PLC panel, IPS panel) [Blower Building (MCC, main PLC panel); Influent Pump Station (IPS panel)]</t>
  </si>
  <si>
    <t xml:space="preserve">Electrical &amp; Controls — sheets: E7.1; E8.1; E9.1; spec: 26 05 00; Wiki: E7.1; E8.1; E9.1; 26 05 00</t>
  </si>
  <si>
    <t xml:space="preserve">PROPOSED-Blower-Building-Slab-and-Grade-Beams — Blower Building concrete slab-on-grade and grade beams [Blower Building]</t>
  </si>
  <si>
    <t xml:space="preserve">Structural &amp; Building — sheets: A1.1; A1.2; S1.1; S2.3; S4.1; spec: 03 30 00; Wiki: A1.1; A1.2; S1.1; S2.3; 03 30 00</t>
  </si>
  <si>
    <t xml:space="preserve">PROPOSED-Blower-Pad — Concrete blower equipment pad carrying 4 blowers [Blower Building]</t>
  </si>
  <si>
    <t xml:space="preserve">Structural &amp; Building — sheets: A1.1; A1.3; S1.1; S2.3; spec: 03 30 00; Wiki: A1.1; S1.1; S2.3; 03 30 00</t>
  </si>
  <si>
    <t xml:space="preserve">PROPOSED-Blowers-Blower-Building — Blowers (4) on the blower pad [Blower Building]</t>
  </si>
  <si>
    <t xml:space="preserve">Structural &amp; Building — sheets: A1.1; A1.3; spec: —; Wiki: A1.1; A1.3</t>
  </si>
  <si>
    <t xml:space="preserve">Other lanes' tags in the same item group: BL-2 (Electrical &amp; Controls); BL-3 (Electrical &amp; Controls); BL-4 (Electrical &amp; Controls); ESWD WWTP – Biological Treatment System Blowers (Trains 1 – 3) (Process &amp; Mechanical); BL-1 (Electrical &amp; Controls). See #18.</t>
  </si>
  <si>
    <t xml:space="preserve">PROPOSED-2W-Bladder-Tank-Assembly — 2W bladder tank assembly — 2 tanks, 24 in diameter [Blower Building]</t>
  </si>
  <si>
    <t xml:space="preserve">Structural &amp; Building — sheets: A1.1; spec: —; Wiki: A1.1</t>
  </si>
  <si>
    <t xml:space="preserve">Other lanes' tags in the same item group: PROPOSED-2W-DIAPHRAGM-TANKS (Process &amp; Mechanical). See #25.</t>
  </si>
  <si>
    <t xml:space="preserve">PROPOSED-Louver-36x84-Motorized — Louver, 36 in x 84 in, motorized — Blower Building west wall [Blower Building]</t>
  </si>
  <si>
    <t xml:space="preserve">Structural &amp; Building — sheets: A1.1; A1.2; spec: —; Wiki: A1.1; A1.2</t>
  </si>
  <si>
    <t xml:space="preserve">Other lanes' tags in the same item group: ML-1 (Electrical &amp; Controls); PROPOSED-BLOWER-BLDG-MOTORIZED-LOUVER (Process &amp; Mechanical). See #21.</t>
  </si>
  <si>
    <t xml:space="preserve">PROPOSED-Louver-24x24-Manual — Louver, 24 in x 24 in, manual — Blower Building west wall [Blower Building]</t>
  </si>
  <si>
    <t xml:space="preserve">Other lanes' tags in the same item group: PROPOSED-Blower-Building-Manual-Louver (Electrical &amp; Controls); PROPOSED-BLOWER-BLDG-MANUAL-LOUVER (Process &amp; Mechanical). See #22.</t>
  </si>
  <si>
    <t xml:space="preserve">PROPOSED-Exhaust-Fans-Blower-Building — Exhaust fans (2) with 24 in x 24 in wall vents — Blower Building east wall [Blower Building]</t>
  </si>
  <si>
    <t xml:space="preserve">Other lanes' tags in the same item group: EF-2 (Electrical &amp; Controls); PROPOSED-BLOWER-BLDG-WALL-FANS (Process &amp; Mechanical); EF-1 (Electrical &amp; Controls). See #20.</t>
  </si>
  <si>
    <t xml:space="preserve">PROPOSED-Fire-Extinguishers-Blower-Building — Fire extinguisher assemblies (2), wall-mounted — Blower Building [Blower Building]</t>
  </si>
  <si>
    <t xml:space="preserve">Structural &amp; Building — sheets: A1.1; spec: 10 52 00; Wiki: A1.1; 10 52 00</t>
  </si>
  <si>
    <t xml:space="preserve">PROPOSED-Existing-Office-Louver-4x4 — Existing louvered vent, 4 ft x 4 ft — existing office building south wall; remove, re-side floor to eave [Existing Office Building]</t>
  </si>
  <si>
    <t xml:space="preserve">Structural &amp; Building — sheets: A1.3; spec: 13 12 20; Wiki: A1.3; 13 12 20</t>
  </si>
  <si>
    <t xml:space="preserve">Other lanes' tags in the same item group: PROPOSED-Existing generator fuel tank and spill basin (Civil &amp; Site); PROPOSED-Existing-Generator-Fuel-Tank-Exhaust-Louvers (Electrical &amp; Controls). See #28.</t>
  </si>
  <si>
    <t xml:space="preserve">PROPOSED-Existing-Office-Louver-2x3 — Existing louvered vent, 2 ft x 3 ft — existing office building east wall; remove, re-side floor to eave [Existing Office Building]</t>
  </si>
  <si>
    <t xml:space="preserve">PROPOSED-Existing-Generator-Exhaust-Assembly — Existing generator exhaust assembly — existing office building east wall; remove [Existing Office Building]</t>
  </si>
  <si>
    <t xml:space="preserve">PROPOSED-WWTP-Building-Louver-3x7 — Louvered vent, 3 ft x 7 ft — existing WWTP building, 3 locations [Existing WWTP Building]</t>
  </si>
  <si>
    <t xml:space="preserve">Other lanes' tags in the same item group: PROPOSED-EXISTING-BLDG-LOUVERS (Process &amp; Mechanical). See #27.</t>
  </si>
  <si>
    <t xml:space="preserve">PROPOSED-WWTP-Building-Exhaust-Fan-24x24 — Exhaust fan, 24 in x 24 in — existing WWTP building, 3 locations, 6 ft above slab [Existing WWTP Building]</t>
  </si>
  <si>
    <t xml:space="preserve">Other lanes' tags in the same item group: EF-3 (Electrical &amp; Controls); EF-4 (Electrical &amp; Controls); EF-5 (Electrical &amp; Controls); PROPOSED-EXISTING-BLDG-WALL-FANS (Process &amp; Mechanical). See #26.</t>
  </si>
  <si>
    <t xml:space="preserve">PROPOSED-Train-3-Concrete-Tank — Train 3 cast-in-place concrete tank — 12 in circular wall on 12 in mat slab with raised center pedestal [Train 3]</t>
  </si>
  <si>
    <t xml:space="preserve">Structural &amp; Building — sheets: S2.1; S1.1; S4.1; spec: 03 30 00; Wiki: S2.1; S1.1; 03 30 00</t>
  </si>
  <si>
    <t xml:space="preserve">Other lanes' tags in the same item group: PROPOSED-TRAIN-3-TANK (Process &amp; Mechanical). See #29.</t>
  </si>
  <si>
    <t xml:space="preserve">PROPOSED-Train-3-Guardrail-and-Ladders — Train 3 guardrail and ladders — shown "per civil" [Train 3]</t>
  </si>
  <si>
    <t xml:space="preserve">Structural &amp; Building — sheets: S2.1; spec: 05 52 00; 05 51 10; Wiki: S2.1; 05 52 00; 05 51 10</t>
  </si>
  <si>
    <t xml:space="preserve">Other lanes' tags in the same item group: PROPOSED-TRAIN-3-WALKWAYS-AND-LADDER (Process &amp; Mechanical); PROPOSED-Handrails (Contract &amp; General). See #34.</t>
  </si>
  <si>
    <t xml:space="preserve">PROPOSED-Blower-Building-Foundation-Drains — Perimeter foundation drains, 4 in rigid ABS perforated pipe or drain tile in drain rock — Blower Building sla… [Blower Building]</t>
  </si>
  <si>
    <t xml:space="preserve">Structural &amp; Building — sheets: S2.3; spec: —; Wiki: S2.3</t>
  </si>
  <si>
    <t xml:space="preserve">PROPOSED-UV-Disinfection-Chamber-Basin — UV Disinfection Chamber basin — 8 in CIP concrete walls on 12 in mat slab, with 8 in equipment support walls… [UV Disinfection Chamber &amp; Digester]</t>
  </si>
  <si>
    <t xml:space="preserve">Structural &amp; Building — sheets: S2.2; S1.1; S4.1; spec: 03 30 00; Wiki: S2.2; S1.1; S4.1; 03 30 00</t>
  </si>
  <si>
    <t xml:space="preserve">Other lanes' tags in the same item group: PROPOSED-UV-DIGESTER-STRUCTURE (Process &amp; Mechanical); PROPOSED-Aerobic-Digester (Contract &amp; General). See #56.</t>
  </si>
  <si>
    <t xml:space="preserve">PROPOSED-Digester-Concrete-Tank — Digester — 12 in CIP concrete walls on 12 in mat slab with sloped unreinforced topping [UV Disinfection Chamber &amp; Digester]</t>
  </si>
  <si>
    <t xml:space="preserve">Other lanes' tags in the same item group: PROPOSED-UV-DIGESTER-STRUCTURE (Process &amp; Mechanical); PROPOSED-Aerobic-Digester (Contract &amp; General); PROPOSED-UV-Disinfection-Chamber (Contract &amp; General). See #56.</t>
  </si>
  <si>
    <t xml:space="preserve">PROPOSED-Digester-Grating-Beam — Steel beam, HDG W8x18, spanning the digester for grating support [UV Disinfection Chamber &amp; Digester]</t>
  </si>
  <si>
    <t xml:space="preserve">Structural &amp; Building — sheets: S2.2; S1.1; spec: 05 50 00; Wiki: S2.2; S1.1; 05 50 00</t>
  </si>
  <si>
    <t xml:space="preserve">PROPOSED-UV-Digester-Grating — Aluminum solid plank grating with continuous HDG edge angles — UV basin and digester [UV Disinfection Chamber &amp; Digester]</t>
  </si>
  <si>
    <t xml:space="preserve">Structural &amp; Building — sheets: S2.2; spec: 05 53 00; Wiki: S2.2; 05 53 00</t>
  </si>
  <si>
    <t xml:space="preserve">Other lanes' tags in the same item group: PROPOSED-UV-DIGESTER-GRATING-GUARDRAIL (Process &amp; Mechanical). See #57.</t>
  </si>
  <si>
    <t xml:space="preserve">PROPOSED-UV-Digester-Guardrail-and-Ladders — Guardrail and ladders at the UV basin and digester — shown "per civil" [UV Disinfection Chamber &amp; Digester]</t>
  </si>
  <si>
    <t xml:space="preserve">Structural &amp; Building — sheets: S2.2; spec: 05 52 00; 05 51 10; Wiki: S2.2; 05 52 00; 05 51 10</t>
  </si>
  <si>
    <t xml:space="preserve">PROPOSED-Drain-Pump-Station-Lid — Drain pump station lid — 16 in CIP concrete, H-20 loading, two hatch openings and center beam [Drain Pump Station]</t>
  </si>
  <si>
    <t xml:space="preserve">Structural &amp; Building — sheets: S2.4; S1.1; spec: 03 30 00; Wiki: S2.4; S1.1; 03 30 00</t>
  </si>
  <si>
    <t xml:space="preserve">PROPOSED-Drain-Pump-Station-Precast-Wet-Well — Precast concrete wet well, 8 ft min., 96 in I.D. — per civil [Drain Pump Station]</t>
  </si>
  <si>
    <t xml:space="preserve">Structural &amp; Building — sheets: S2.4; spec: 03 40 00; Wiki: S2.4; 03 40 00</t>
  </si>
  <si>
    <t xml:space="preserve">PROPOSED-Drain-Pump-Station-Hatches — Access hatches (2), 2 ft-6 in x 4 ft-0 in rough openings, in the drain pump station lid — per civil [Drain Pump Station]</t>
  </si>
  <si>
    <t xml:space="preserve">Structural &amp; Building — sheets: S2.4; spec: —; Wiki: S2.4</t>
  </si>
  <si>
    <t xml:space="preserve">Other lanes' tags in the same item group: PROPOSED-IPS-HATCHES (Process &amp; Mechanical). See #38.</t>
  </si>
  <si>
    <t xml:space="preserve">PROPOSED-Generator-Slab — Generator slab-on-grade, 6 in with thickened edge (about 1 ft-6 in min. deep) [Generator Pad]</t>
  </si>
  <si>
    <t xml:space="preserve">Structural &amp; Building — sheets: S2.4; spec: 03 30 00; Wiki: S2.4; 03 30 00</t>
  </si>
  <si>
    <t xml:space="preserve">PROPOSED-Generator-on-S2.4 — Generator shown on the generator slab — "per civil, attachment by others" [Generator Pad]</t>
  </si>
  <si>
    <t xml:space="preserve">Other lanes' tags in the same item group: GEN (Electrical &amp; Controls); PROPOSED-Permanent-Standby-Generator (Contract &amp; General). See #65.</t>
  </si>
  <si>
    <t xml:space="preserve">PROPOSED-Flow-Splitter-Pad — Concrete equipment pad for the flow splitter, on the existing equipment slab-on-grade [Flow Splitter]</t>
  </si>
  <si>
    <t xml:space="preserve">Other lanes' tags in the same item group: PROPOSED-FLOW-SPLITTER-SUPPORT (Process &amp; Mechanical). See #76.</t>
  </si>
  <si>
    <t xml:space="preserve">PROPOSED-Flow-Splitter — Flow splitter — per civil, attachment by others [Flow Splitter]</t>
  </si>
  <si>
    <t xml:space="preserve">Other lanes' tags in the same item group: PROPOSED-Influent-Flow-Splitter (Contract &amp; General); PROPOSED-FLOW-SPLITTER-BOX (Process &amp; Mechanical). See #75.</t>
  </si>
  <si>
    <t xml:space="preserve">PROPOSED-Existing-Slab-Trench-Infill — Trench cut and concrete infill in existing slab for sub-floor sludge piping (Detail 8) [Not stated (existing building per C1.6A)]</t>
  </si>
  <si>
    <t xml:space="preserve">Structural &amp; Building — sheets: S4.1; spec: 03 30 00; Wiki: S4.1; 03 30 00</t>
  </si>
  <si>
    <t xml:space="preserve">Other lanes' tags in the same item group: PROPOSED-Existing slab coring and repair (Civil &amp; Site). See #78.</t>
  </si>
  <si>
    <t xml:space="preserve">PROPOSED-2W-Pump-Station-Precast-Wet-Well — Precast wet well, 8 ft ID (Oldcastle Infrastructure 96 in diameter), with 48 in x 30 in H-20 aluminum hatch a… [2W Pump Station]</t>
  </si>
  <si>
    <t xml:space="preserve">Structural &amp; Building — sheets: —; spec: 03 40 00; Wiki: 03 40 00</t>
  </si>
  <si>
    <t xml:space="preserve">Other lanes' tags in the same item group: PROPOSED-2W-PUMP-STATION-WET-WELL (Process &amp; Mechanical; Contract &amp; General); PROPOSED-2W-Pump-Station-Wet-Well (Process &amp; Mechanical; Contract &amp; General). See #47.</t>
  </si>
  <si>
    <t xml:space="preserve">PROPOSED-Influent-Pump-Station-Precast-Wet-Well — Precast wet well, 8 ft ID (Oldcastle Infrastructure 96 in diameter), with 48 in x 30 in H-20 aluminum hatch a… [Influent Pump Station]</t>
  </si>
  <si>
    <t xml:space="preserve">Other lanes' tags in the same item group: PROPOSED-INFLUENT-PUMP-STATION-WET-WELL (Process &amp; Mechanical); PROPOSED-IPS-HATCHES (Process &amp; Mechanical). See #37, #38.</t>
  </si>
  <si>
    <t xml:space="preserve">PROPOSED-Influent-Pump-Station-Top-Slab — Influent Pump Station top slab per Contract Plan details, with new aluminum access hatch and safety grates [Influent Pump Station]</t>
  </si>
  <si>
    <t xml:space="preserve">PROPOSED-Influent-Flow-Meter-Valve-Vault — Precast vault, 4 ft x 4 ft (Oldcastle Infrastructure 4686-LA), with 36 in x 36 in H-20 single-leaf hatch (Hal… [Site]</t>
  </si>
  <si>
    <t xml:space="preserve">Other lanes' tags in the same item group: PROPOSED-INFLUENT-FLOW-METER-VAULT (Process &amp; Mechanical). See #44.</t>
  </si>
  <si>
    <t xml:space="preserve">PROPOSED-Effluent-Flow-Meter-Valve-Vault — Precast vault, 4 ft x 4 ft (Oldcastle Infrastructure 4686-LA), with 36 in x 36 in H-20 single-leaf hatch (Hal… [Site]</t>
  </si>
  <si>
    <t xml:space="preserve">PROPOSED-Plants-2-and-3-Flow-Meter-Vault — Precast vault, 4 ft x 4 ft (Oldcastle Infrastructure 4686-LA), with 36 in x 36 in H-20 single-leaf hatch (Hal… [Site]</t>
  </si>
  <si>
    <t xml:space="preserve">Other lanes' tags in the same item group: PROPOSED-TRAIN-2-FLOW-METER-VAULT (Process &amp; Mechanical); PROPOSED-Train 2 flow meter vault (Civil &amp; Site); PROPOSED-Train 3 flow meter vault (Civil &amp; Site); PROPOSED-TRAIN-3-FLOW-METER-VAULT (Process &amp; Mechanical). See #5, #6.</t>
  </si>
  <si>
    <t xml:space="preserve">PROPOSED-Influent-Pump-Station-Meter-Vaults — Precast vaults, 4 ft x 4 ft (Oldcastle Infrastructure 4686-LA), with 36 in x 36 in H-20 single-leaf hatches (… [Influent Pump Station]</t>
  </si>
  <si>
    <t xml:space="preserve">Other lanes' tags in the same item group: PROPOSED-IPS-VALVE-VAULTS (Process &amp; Mechanical). See #41.</t>
  </si>
  <si>
    <t xml:space="preserve">PROPOSED-Steel-Stairs-Ladders-Platforms — Steel stairs, ladders and grating platforms — galvanized, Contractor-designed, where shown on the plans [Not stated (locations per civil drawings)]</t>
  </si>
  <si>
    <t xml:space="preserve">Structural &amp; Building — sheets: S1.1; spec: 05 51 10; 05 53 00; 05 52 00; Wiki: S1.1; 05 51 10</t>
  </si>
  <si>
    <t xml:space="preserve">PROPOSED-Boot-Brush-and-Pad — Boot and shoe brush with scraper (Gempler's #2900) on a concrete pad next to the Blower Building exterior door [Blower Building]</t>
  </si>
  <si>
    <t xml:space="preserve">Structural &amp; Building — sheets: —; spec: 08 70 00; Wiki: 08 70 00</t>
  </si>
  <si>
    <t xml:space="preserve">PROPOSED-Influent-Pump-Station-Interior-Coating — Epoxy protective lining, spray-applied 100% solids (Raven 405 or Tnemec G436), on all interior concrete surfa… [Influent Pump Station]</t>
  </si>
  <si>
    <t xml:space="preserve">Structural &amp; Building — sheets: —; spec: 09 97 23; Wiki: 09 97 23</t>
  </si>
  <si>
    <t xml:space="preserve">PROPOSED-Bollards — Bollards [Site]</t>
  </si>
  <si>
    <t xml:space="preserve">Contract &amp; General — sheets: —; spec: 00 24 13; 00 41 00; Wiki: 00 24 13; 00 41 00</t>
  </si>
  <si>
    <t xml:space="preserve">PROPOSED-Trench-Safety-System — Trench safety system [Site]</t>
  </si>
  <si>
    <t xml:space="preserve">Other lanes' tags in the same item group: PROPOSED-Temporary shoring and trench safety systems (Civil &amp; Site). See #70.</t>
  </si>
  <si>
    <t xml:space="preserve">PROPOSED-Erosion-and-Sediment-Control-Measures — Erosion and sediment control measures (SWPPP) [Site]</t>
  </si>
  <si>
    <t xml:space="preserve">Contract &amp; General — sheets: TESC plans (civil sheets, not numbered in source); spec: 00 24 13; 00 41 00; 01 50 00; Wiki: 00 24 13; 00 41 00; 01 50 00</t>
  </si>
  <si>
    <t xml:space="preserve">Other lanes' tags in the same item group: PROPOSED-Plastic covering for slopes and stockpiles (Civil &amp; Site); PROPOSED-Catch basin inserts (Civil &amp; Site); PROPOSED-Filter fabric fence (Civil &amp; Site); PROPOSED-Stabilized construction entrance (Civil &amp; Site); PROPOSED-Geotextile encased check dams (Civil &amp; Site); PROPOSED-Compost berm (Civil &amp; Site); PROPOSED-Orange barrier fence (Civil &amp; Site). See #71.</t>
  </si>
  <si>
    <t xml:space="preserve">PROPOSED-Temporary-Bypass-Pipe — Temporary bypass pipe (chlorine contact tank outlet to 8-inch plant outlet) [Site]</t>
  </si>
  <si>
    <t xml:space="preserve">Contract &amp; General — sheets: —; spec: 00 31 13; Wiki: 00 31 13</t>
  </si>
  <si>
    <t xml:space="preserve">Other lanes' tags in the same item group: PROPOSED-Temporary bypass pumping system (Civil &amp; Site). See #68.</t>
  </si>
  <si>
    <t xml:space="preserve">PROPOSED-Temporary-8in-Effluent-Piping — Temporary 8-inch effluent piping [Site]</t>
  </si>
  <si>
    <t xml:space="preserve">Other lanes' tags in the same item group: PROPOSED-Interim 8in HDPE effluent pipe (Civil &amp; Site). See #74.</t>
  </si>
  <si>
    <t xml:space="preserve">PROPOSED-8in-Effluent-Piping — 8-inch effluent piping (new) [Site]</t>
  </si>
  <si>
    <t xml:space="preserve">Contract &amp; General — sheets: —; spec: 00 31 13; 01 45 00; Wiki: 00 31 13; 01 45 00</t>
  </si>
  <si>
    <t xml:space="preserve">PROPOSED-8in-Effluent-Flow-Meter — 8-inch effluent flow meter [Not stated]</t>
  </si>
  <si>
    <t xml:space="preserve">Contract &amp; General — sheets: —; spec: 00 31 13; 01 33 00; 01 70 00; Wiki: 00 31 13; 01 33 00; 01 70 00</t>
  </si>
  <si>
    <t xml:space="preserve">Other lanes' tags in the same item group: PROPOSED-Effluent-Flow-Meter (Electrical &amp; Controls); PROPOSED-EFFLUENT-FLOW-METER (Process &amp; Mechanical). See #10.</t>
  </si>
  <si>
    <t xml:space="preserve">PROPOSED-Aerobic-Digester — Aerobic digester [UV Disinfection Chamber &amp; Digester]</t>
  </si>
  <si>
    <t xml:space="preserve">Contract &amp; General — sheets: —; spec: 00 24 13; 00 31 13; 00 73 00; 01 45 00; 01 50 00; Wiki: 00 24 13; 00 31 13; 00 73 00; 01 45 00; 01 50 00; CQA Plan</t>
  </si>
  <si>
    <t xml:space="preserve">Other lanes' tags in the same item group: PROPOSED-UV-DIGESTER-STRUCTURE (Process &amp; Mechanical); PROPOSED-UV-Disinfection-Chamber-Basin (Structural &amp; Building); PROPOSED-Digester-Concrete-Tank (Structural &amp; Building). See #56.</t>
  </si>
  <si>
    <t xml:space="preserve">PROPOSED-UV-Disinfection-Chamber — UV disinfection chamber (UV channels #1 and #2) [UV Disinfection Chamber &amp; Digester]</t>
  </si>
  <si>
    <t xml:space="preserve">Contract &amp; General — sheets: —; spec: 00 31 13; 01 45 00; 01 50 00; Wiki: 00 31 13; 01 45 00; 01 50 00</t>
  </si>
  <si>
    <t xml:space="preserve">PROPOSED-UV-Disinfection-System — UV disinfection system equipment [UV Disinfection Chamber &amp; Digester]</t>
  </si>
  <si>
    <t xml:space="preserve">Contract &amp; General — sheets: —; spec: 00 31 13; 00 41 00; 00 73 00; 01 33 00; 01 70 00; 01 91 00; Wiki: 00 31 13; 00 41 00; 00 73 00; 01 33 00; 01 70 00; 01 91 00; CQA Plan</t>
  </si>
  <si>
    <t xml:space="preserve">Other lanes' tags in the same item group: PROPOSED-UV-SYSTEM (Process &amp; Mechanical); UV1 (Electrical &amp; Controls); UV2 (Electrical &amp; Controls). See #54.</t>
  </si>
  <si>
    <t xml:space="preserve">PROPOSED-Sludge-Pumps — Sludge pumps (peristaltic; WAS and digested sludge) [Sludge Pump and Valving Area]</t>
  </si>
  <si>
    <t xml:space="preserve">Contract &amp; General — sheets: —; spec: 00 31 13; 01 33 00; 01 70 00; 01 91 00; 01 45 00; Wiki: 00 31 13; 01 33 00; 01 70 00; 01 91 00; 01 45 00; CQA Plan</t>
  </si>
  <si>
    <t xml:space="preserve">Other lanes' tags in the same item group: PROPOSED-WAS-PUMP (Process &amp; Mechanical); WP-1 (Electrical &amp; Controls). See #59.</t>
  </si>
  <si>
    <t xml:space="preserve">PROPOSED-Yard-Piping — Yard piping [Site]</t>
  </si>
  <si>
    <t xml:space="preserve">Contract &amp; General — sheets: —; spec: 00 31 13; 00 73 00; 01 45 00; Wiki: 00 31 13; 00 73 00; 01 45 00</t>
  </si>
  <si>
    <t xml:space="preserve">PROPOSED-Yard-Piping-Vaults — Vaults associated with yard piping [Site]</t>
  </si>
  <si>
    <t xml:space="preserve">PROPOSED-2W-Air-Gap-Water-System — 2W air gap water system [2W Pump Station]</t>
  </si>
  <si>
    <t xml:space="preserve">Contract &amp; General — sheets: —; spec: 00 31 13; 01 33 00; 01 70 00; 01 91 00; Wiki: 00 31 13; 01 33 00; 01 70 00; 01 91 00; CQA Plan</t>
  </si>
  <si>
    <t xml:space="preserve">Other lanes' tags in the same item group: PROPOSED-Hot-Box-2 (Electrical &amp; Controls); Hot Box #2 (Civil &amp; Site); PROPOSED-2W-AIR-GAP-ENCLOSURE (Process &amp; Mechanical). See #17.</t>
  </si>
  <si>
    <t xml:space="preserve">PROPOSED-Influent-Pump-Station — Influent pump station [Influent Pump Station]</t>
  </si>
  <si>
    <t xml:space="preserve">Contract &amp; General — sheets: —; spec: 00 31 13; 00 73 00; 01 45 00; 01 50 00; Wiki: 00 31 13; 00 73 00; 01 45 00; 01 50 00; CQA Plan</t>
  </si>
  <si>
    <t xml:space="preserve">Other lanes' tags in the same item group: PROPOSED-INFLUENT-PUMP-STATION-WET-WELL (Process &amp; Mechanical); PROPOSED-Influent-Pump-Station-Precast-Wet-Well (Structural &amp; Building). See #37.</t>
  </si>
  <si>
    <t xml:space="preserve">PROPOSED-Submersible-Pump-Equipment — Submersible pump equipment [Influent Pump Station]</t>
  </si>
  <si>
    <t xml:space="preserve">Contract &amp; General — sheets: —; spec: 00 41 00; 01 33 00; 01 70 00; 01 91 00; 01 45 00; Wiki: 00 41 00; 01 33 00; 01 70 00; 01 91 00; 01 45 00</t>
  </si>
  <si>
    <t xml:space="preserve">Other lanes' tags in the same item group: IP-3 (Electrical &amp; Controls); IP-4 (Electrical &amp; Controls); PROPOSED-INFLUENT-PUMPS-SMALL (Process &amp; Mechanical); PROPOSED-INFLUENT-PUMPS-LARGE (Process &amp; Mechanical); IP-2 (Electrical &amp; Controls); IP-1 (Electrical &amp; Controls). See #36.</t>
  </si>
  <si>
    <t xml:space="preserve">PROPOSED-Influent-Flow-Splitter — Influent flow splitter [Influent Flow Splitter]</t>
  </si>
  <si>
    <t xml:space="preserve">Other lanes' tags in the same item group: PROPOSED-Flow-Splitter (Structural &amp; Building); PROPOSED-FLOW-SPLITTER-BOX (Process &amp; Mechanical). See #75.</t>
  </si>
  <si>
    <t xml:space="preserve">PROPOSED-Influent-Sampler — Influent sampler [Not stated]</t>
  </si>
  <si>
    <t xml:space="preserve">PROPOSED-Train-3 — Train 3 (third treatment train) [Train 3]</t>
  </si>
  <si>
    <t xml:space="preserve">Contract &amp; General — sheets: —; spec: 00 31 13; 00 24 13; 00 73 00; 01 45 00; 01 50 00; Wiki: 00 31 13; 00 24 13; 00 73 00; 01 45 00; 01 50 00; CQA Plan</t>
  </si>
  <si>
    <t xml:space="preserve">PROPOSED-Train-3-Biological-Treatment-Equipment — Train 3 biological treatment system equipment [Train 3]</t>
  </si>
  <si>
    <t xml:space="preserve">Contract &amp; General — sheets: —; spec: 00 24 13; 00 41 00; 01 33 00; 01 70 00; 01 91 00; 01 45 00; Wiki: 00 24 13; 00 41 00; 01 33 00; 01 70 00; 01 91 00; 01 45 00</t>
  </si>
  <si>
    <t xml:space="preserve">Other lanes' tags in the same item group: PROPOSED-TRAIN-3-TREATMENT-SYSTEM (Process &amp; Mechanical). See #30.</t>
  </si>
  <si>
    <t xml:space="preserve">PROPOSED-Temporary-Back-Up-Generator — Temporary back-up generator (rental, 480V) [Not stated]</t>
  </si>
  <si>
    <t xml:space="preserve">Contract &amp; General — sheets: —; spec: 00 31 13; Wiki: 00 31 13; 00 41 00</t>
  </si>
  <si>
    <t xml:space="preserve">Other lanes' tags in the same item group: PROPOSED-Temporary power generator (Civil &amp; Site); PROPOSED-Temporary-Backup-Generator (Electrical &amp; Controls). See #14.</t>
  </si>
  <si>
    <t xml:space="preserve">PROPOSED-Automatic-Transfer-Switch — Automatic transfer switch (permanent) [Not stated]</t>
  </si>
  <si>
    <t xml:space="preserve">Contract &amp; General — sheets: —; spec: 01 33 00; 01 70 00; Wiki: 00 41 00; 01 33 00; 01 70 00</t>
  </si>
  <si>
    <t xml:space="preserve">Other lanes' tags in the same item group: ATS (Electrical &amp; Controls). See #66.</t>
  </si>
  <si>
    <t xml:space="preserve">PROPOSED-Permanent-Standby-Generator — Permanent 480V standby generator [Not stated]</t>
  </si>
  <si>
    <t xml:space="preserve">Contract &amp; General — sheets: —; spec: 00 31 13; 00 41 00; 00 73 00; 01 33 00; 01 70 00; Wiki: 00 31 13; 00 41 00; 00 73 00; 01 33 00; 01 70 00; CQA Plan</t>
  </si>
  <si>
    <t xml:space="preserve">Other lanes' tags in the same item group: GEN (Electrical &amp; Controls); PROPOSED-Generator-on-S2.4 (Structural &amp; Building). See #65.</t>
  </si>
  <si>
    <t xml:space="preserve">PROPOSED-480V-Electrical-Service — 480V electrical service (new) [Not stated]</t>
  </si>
  <si>
    <t xml:space="preserve">PROPOSED-Motor-Control-Center — Motor control center (MCC) [Blower Building]</t>
  </si>
  <si>
    <t xml:space="preserve">Other lanes' tags in the same item group: MCC (Electrical &amp; Controls; Structural &amp; Building). See #23.</t>
  </si>
  <si>
    <t xml:space="preserve">PROPOSED-PLC-Control-Panel — PLC control panel (new) [Not stated]</t>
  </si>
  <si>
    <t xml:space="preserve">Contract &amp; General — sheets: —; spec: 00 31 13; 00 73 00; 01 33 00; 01 70 00; Wiki: 00 31 13; 00 73 00; 01 33 00; 01 70 00</t>
  </si>
  <si>
    <t xml:space="preserve">Other lanes' tags in the same item group: MCP (Electrical &amp; Controls; Structural &amp; Building). See #24.</t>
  </si>
  <si>
    <t xml:space="preserve">PROPOSED-Dewatering-System — Sludge dewatering system (rotary fan press) [Rotary Fan Press System]</t>
  </si>
  <si>
    <t xml:space="preserve">Other lanes' tags in the same item group: PROPOSED-Dewatering system (Civil &amp; Site); PROPOSED-RFP-CONTROL-PANEL (Process &amp; Mechanical); PROPOSED-ROTARY-FAN-PRESS (Process &amp; Mechanical); DW-1 (Electrical &amp; Controls). See #15, #63.</t>
  </si>
  <si>
    <t xml:space="preserve">PROPOSED-Site-Final-Surfacing-and-Pavement — Final surfacing and pavement (entire site) [Site]</t>
  </si>
  <si>
    <t xml:space="preserve">Contract &amp; General — sheets: —; spec: 00 31 13; 00 24 13; 00 41 00; 00 73 00; 01 45 00; Wiki: 00 31 13; 00 24 13; 00 41 00; 00 73 00; 01 45 00</t>
  </si>
  <si>
    <t xml:space="preserve">Other lanes' tags in the same item group: PROPOSED-HMA pavement (Civil &amp; Site); PROPOSED-Gravel surfacing (Civil &amp; Site). See #73.</t>
  </si>
  <si>
    <t xml:space="preserve">PROPOSED-Funding-Recognition-Sign — Funding recognition sign (Ecology financial assistance) [Site]</t>
  </si>
  <si>
    <t xml:space="preserve">Contract &amp; General — sheets: —; spec: 00 53 00; Wiki: 00 53 00</t>
  </si>
  <si>
    <t xml:space="preserve">Other lanes' tags in the same item group: PROPOSED-Temporary construction sign (Civil &amp; Site). See #72.</t>
  </si>
  <si>
    <t xml:space="preserve">PROPOSED-Temporary-Barriers — Temporary barriers at openings and hazards (fencing, railing, barricades, steel plates, with warning signs or… [Site]</t>
  </si>
  <si>
    <t xml:space="preserve">Contract &amp; General — sheets: —; spec: 00 73 00; 01 50 00; Wiki: 00 73 00; 01 50 00</t>
  </si>
  <si>
    <t xml:space="preserve">PROPOSED-Temporary-Pump-and-Process-Equipment — Temporary pump and process equipment (removed at Final Completion) [Not stated]</t>
  </si>
  <si>
    <t xml:space="preserve">Contract &amp; General — sheets: —; spec: 00 73 00; 01 50 00; 01 70 00; Wiki: 00 73 00; 01 50 00; 01 70 00</t>
  </si>
  <si>
    <t xml:space="preserve">PROPOSED-Bypass-Pumping-System — Bypass pumping systems (influent and effluent) for WWTP shutdowns [Site]</t>
  </si>
  <si>
    <t xml:space="preserve">Contract &amp; General — sheets: —; spec: 01 33 00; 01 50 00; Wiki: 01 33 00; 01 50 00</t>
  </si>
  <si>
    <t xml:space="preserve">PROPOSED-Temporary-Construction-Dewatering — Temporary construction dewatering (excavations) [Site]</t>
  </si>
  <si>
    <t xml:space="preserve">Contract &amp; General — sheets: —; spec: 01 11 10; 00 31 13; Wiki: 01 11 10; 00 31 13</t>
  </si>
  <si>
    <t xml:space="preserve">Other lanes' tags in the same item group: PROPOSED-Dewatering system (Civil &amp; Site). See #69.</t>
  </si>
  <si>
    <t xml:space="preserve">PROPOSED-Temporary-Excavation-Support — Temporary excavation support (shoring, bracing, sheeting, cribbing) [Site]</t>
  </si>
  <si>
    <t xml:space="preserve">Contract &amp; General — sheets: —; spec: 01 11 10; Wiki: 01 11 10</t>
  </si>
  <si>
    <t xml:space="preserve">PROPOSED-Contractor-Field-Office — Contractor's field office (optional) [Site]</t>
  </si>
  <si>
    <t xml:space="preserve">Contract &amp; General — sheets: —; spec: 01 50 00; 01 31 00; Wiki: 01 50 00; 01 31 00; CQA Plan</t>
  </si>
  <si>
    <t xml:space="preserve">PROPOSED-Temporary-Construction-Power — Temporary construction power and lighting (poles, transformer if required, cords, outlets, lamps) [Site]</t>
  </si>
  <si>
    <t xml:space="preserve">Contract &amp; General — sheets: —; spec: 01 50 00; Wiki: 01 50 00</t>
  </si>
  <si>
    <t xml:space="preserve">Other lanes' tags in the same item group: PROPOSED-Construction-Power-Service (Electrical &amp; Controls). See #67.</t>
  </si>
  <si>
    <t xml:space="preserve">PROPOSED-Temporary-Construction-Water-Connection — Temporary metered construction water connection with backflow preventer (if agreed) [Site]</t>
  </si>
  <si>
    <t xml:space="preserve">PROPOSED-Temporary-Sanitary-Facilities — Temporary restrooms (contract service allowed) [Site]</t>
  </si>
  <si>
    <t xml:space="preserve">PROPOSED-Temporary-Bypass-Alarm-Monitoring — Temporary bypass alarm and status monitoring (cellular notification; wired to the existing WWTP control syste… [Not stated]</t>
  </si>
  <si>
    <t xml:space="preserve">PROPOSED-Aeration-Basins — Aeration basins (Train 3) [Train 3]</t>
  </si>
  <si>
    <t xml:space="preserve">Contract &amp; General — sheets: —; spec: 01 45 00; 01 50 00; Wiki: 01 45 00; 01 50 00</t>
  </si>
  <si>
    <t xml:space="preserve">PROPOSED-Anoxic-Basins — Anoxic basins (Train 3) [Train 3]</t>
  </si>
  <si>
    <t xml:space="preserve">PROPOSED-Clarifier — Clarifier (Train 3) [Train 3]</t>
  </si>
  <si>
    <t xml:space="preserve">Contract &amp; General — sheets: —; spec: 01 45 00; 01 50 00; 01 91 00; Wiki: 01 45 00; 01 50 00; 01 91 00</t>
  </si>
  <si>
    <t xml:space="preserve">Other lanes' tags in the same item group: PROPOSED-Train-3-Clarifier-Drive-Motor (Electrical &amp; Controls); PROPOSED-TRAIN-3-CLARIFIER-MECHANISM (Process &amp; Mechanical). See #33.</t>
  </si>
  <si>
    <t xml:space="preserve">PROPOSED-Blowers — Blower equipment (blowers and drives) [Blower Building]</t>
  </si>
  <si>
    <t xml:space="preserve">Contract &amp; General — sheets: —; spec: 01 91 00; 01 33 00; 01 70 00; Wiki: 01 91 00; 01 33 00; 01 70 00; CQA Plan</t>
  </si>
  <si>
    <t xml:space="preserve">Other lanes' tags in the same item group: BL-2 (Electrical &amp; Controls); BL-3 (Electrical &amp; Controls); BL-4 (Electrical &amp; Controls); PROPOSED-Blowers-Blower-Building (Structural &amp; Building); ESWD WWTP – Biological Treatment System Blowers (Trains 1 – 3) (Process &amp; Mechanical); BL-1 (Electrical &amp; Controls). See #18.</t>
  </si>
  <si>
    <t xml:space="preserve">PROPOSED-Train-3-Dissolved-Oxygen-Sensors — Dissolved oxygen (DO) sensors, Train 3 [Train 3]</t>
  </si>
  <si>
    <t xml:space="preserve">Contract &amp; General — sheets: —; spec: 01 91 00; 01 33 00; 01 70 00; Wiki: 01 91 00; 01 33 00; 01 70 00</t>
  </si>
  <si>
    <t xml:space="preserve">Other lanes' tags in the same item group: DO #1 (Process &amp; Mechanical; Electrical &amp; Controls); DO-1 (Process &amp; Mechanical; Electrical &amp; Controls); DO #2 (Process &amp; Mechanical; Electrical &amp; Controls); DO-2 (Process &amp; Mechanical; Electrical &amp; Controls). See #35.</t>
  </si>
  <si>
    <t xml:space="preserve">PROPOSED-Train-3-pH-Sensors — pH sensors, Train 3 [Train 3]</t>
  </si>
  <si>
    <t xml:space="preserve">PROPOSED-Magnetic-Flow-Meters — Magnetic flow meters (all units; count and locations not stated) [Not stated]</t>
  </si>
  <si>
    <t xml:space="preserve">PROPOSED-Handrails — Handrails [Not stated]</t>
  </si>
  <si>
    <t xml:space="preserve">Contract &amp; General — sheets: —; spec: 01 70 00; Wiki: 01 70 00</t>
  </si>
  <si>
    <t xml:space="preserve">Other lanes' tags in the same item group: PROPOSED-TRAIN-3-WALKWAYS-AND-LADDER (Process &amp; Mechanical); PROPOSED-Train-3-Guardrail-and-Ladders (Structural &amp; Building). See #34.</t>
  </si>
  <si>
    <t xml:space="preserve">Count (formula)</t>
  </si>
  <si>
    <t xml:space="preserve">Dispositioned (formula)</t>
  </si>
  <si>
    <t xml:space="preserve">Add. 4 item not recorded by any lane</t>
  </si>
  <si>
    <t xml:space="preserve">Total</t>
  </si>
  <si>
    <t xml:space="preserve">Disposition values: real conflict / lane error / acceptable (drop-down in column G of Exceptions). Blank = not yet dispositioned.</t>
  </si>
  <si>
    <t xml:space="preserve">Tag</t>
  </si>
  <si>
    <t xml:space="preserve">Name</t>
  </si>
  <si>
    <t xml:space="preserve">Lane</t>
  </si>
  <si>
    <t xml:space="preserve">Area/Building</t>
  </si>
  <si>
    <t xml:space="preserve">Drivers (by text match)</t>
  </si>
  <si>
    <t xml:space="preserve">Exceptions</t>
  </si>
  <si>
    <t xml:space="preserve">PROPOSED-Temporary power generator</t>
  </si>
  <si>
    <t xml:space="preserve">Temporary back-up power generator</t>
  </si>
  <si>
    <t xml:space="preserve">Civil &amp; Site</t>
  </si>
  <si>
    <t xml:space="preserve">Site</t>
  </si>
  <si>
    <t xml:space="preserve">Bid Item #18</t>
  </si>
  <si>
    <t xml:space="preserve">#14, #255</t>
  </si>
  <si>
    <t xml:space="preserve">PROPOSED-Filter fabric fence</t>
  </si>
  <si>
    <t xml:space="preserve">Filter fabric (silt) fence (TESC)</t>
  </si>
  <si>
    <t xml:space="preserve">Unavailable sheet; WSDOT not staged; Document conflict or missing information</t>
  </si>
  <si>
    <t xml:space="preserve">#71</t>
  </si>
  <si>
    <t xml:space="preserve">PROPOSED-Stabilized construction entrance</t>
  </si>
  <si>
    <t xml:space="preserve">Stabilized construction entrance (quarry spalls on geotextile)</t>
  </si>
  <si>
    <t xml:space="preserve">Unavailable sheet; Document conflict or missing information</t>
  </si>
  <si>
    <t xml:space="preserve">PROPOSED-Geotextile encased check dams</t>
  </si>
  <si>
    <t xml:space="preserve">Geotextile encased check dams (BMP C208)</t>
  </si>
  <si>
    <t xml:space="preserve">PROPOSED-Interim 8in HDPE effluent pipe</t>
  </si>
  <si>
    <t xml:space="preserve">Interim 8-inch HDPE effluent pipe</t>
  </si>
  <si>
    <t xml:space="preserve">Unavailable sheet</t>
  </si>
  <si>
    <t xml:space="preserve">#74</t>
  </si>
  <si>
    <t xml:space="preserve">Pipe ID 12</t>
  </si>
  <si>
    <t xml:space="preserve">2-inch water pipe (Sch. 80 PVC force main)</t>
  </si>
  <si>
    <t xml:space="preserve">Document conflict or missing information</t>
  </si>
  <si>
    <t xml:space="preserve">#191</t>
  </si>
  <si>
    <t xml:space="preserve">Pipe ID 15</t>
  </si>
  <si>
    <t xml:space="preserve">2-inch Train 3 WAS (Sch. 80 PVC gravity), positive drainage throughout</t>
  </si>
  <si>
    <t xml:space="preserve">Site; Existing building (C1.6A)</t>
  </si>
  <si>
    <t xml:space="preserve">#85</t>
  </si>
  <si>
    <t xml:space="preserve">Pipe ID 19</t>
  </si>
  <si>
    <t xml:space="preserve">2-inch digester WAS influent (Sch. 80 PVC gravity)</t>
  </si>
  <si>
    <t xml:space="preserve">#91</t>
  </si>
  <si>
    <t xml:space="preserve">Pipe ID 20</t>
  </si>
  <si>
    <t xml:space="preserve">6-inch Cell 3 air (SS)</t>
  </si>
  <si>
    <t xml:space="preserve">#93, #159</t>
  </si>
  <si>
    <t xml:space="preserve">Pipe ID 21</t>
  </si>
  <si>
    <t xml:space="preserve">4-inch digester air (SS)</t>
  </si>
  <si>
    <t xml:space="preserve">#94</t>
  </si>
  <si>
    <t xml:space="preserve">Pipe ID 22</t>
  </si>
  <si>
    <t xml:space="preserve">1-inch yard hydrants, 3 locations (Add. 4)</t>
  </si>
  <si>
    <t xml:space="preserve">#52, #180</t>
  </si>
  <si>
    <t xml:space="preserve">Buried Valve ID 2</t>
  </si>
  <si>
    <t xml:space="preserve">8-inch gate valve — Train 2 flow meter isolation</t>
  </si>
  <si>
    <t xml:space="preserve">Buried Valve ID 3</t>
  </si>
  <si>
    <t xml:space="preserve">8-inch gate valve — Train 3 flow meter isolation</t>
  </si>
  <si>
    <t xml:space="preserve">Buried Valve ID 6</t>
  </si>
  <si>
    <t xml:space="preserve">4-inch gate valve — treated effluent outlet box drain</t>
  </si>
  <si>
    <t xml:space="preserve">Buried Valve ID 7</t>
  </si>
  <si>
    <t xml:space="preserve">Buried Valve ID 8</t>
  </si>
  <si>
    <t xml:space="preserve">4-inch gate valve — UV disinfection drain</t>
  </si>
  <si>
    <t xml:space="preserve">Buried Valve ID 9</t>
  </si>
  <si>
    <t xml:space="preserve">4-inch gate valve — sample sump drain</t>
  </si>
  <si>
    <t xml:space="preserve">Buried Valve ID 10</t>
  </si>
  <si>
    <t xml:space="preserve">4-inch gate valve — pump station clean-out drain</t>
  </si>
  <si>
    <t xml:space="preserve">Buried Valve ID 11</t>
  </si>
  <si>
    <t xml:space="preserve">Buried Valve ID 12</t>
  </si>
  <si>
    <t xml:space="preserve">8-inch plug valve — effluent flow meter isolation</t>
  </si>
  <si>
    <t xml:space="preserve">Buried Valve ID 13</t>
  </si>
  <si>
    <t xml:space="preserve">4-inch gate valve — drain flow meter isolation</t>
  </si>
  <si>
    <t xml:space="preserve">SD-1</t>
  </si>
  <si>
    <t xml:space="preserve">Storm drain alignment SD-1, 12-inch, 42 + 19 + 42 LF at 0.5%</t>
  </si>
  <si>
    <t xml:space="preserve">#3, #207</t>
  </si>
  <si>
    <t xml:space="preserve">SDCB #5</t>
  </si>
  <si>
    <t xml:space="preserve">Storm drain catch basin #5, Type 1, rim 22.94 (STA 0+47.05)</t>
  </si>
  <si>
    <t xml:space="preserve">WSDOT not staged</t>
  </si>
  <si>
    <t xml:space="preserve">SDCB #8</t>
  </si>
  <si>
    <t xml:space="preserve">Storm drain catch basin #8, Type 1, rim 22.78 (STA 0+67.46)</t>
  </si>
  <si>
    <t xml:space="preserve">SDCB #9</t>
  </si>
  <si>
    <t xml:space="preserve">Storm drain catch basin #9, Type 1, rim 22.75 (STA 1+09.93)</t>
  </si>
  <si>
    <t xml:space="preserve">SDCB #7</t>
  </si>
  <si>
    <t xml:space="preserve">Storm drain catch basin #7, Type 1, rim 23.00 (west trench drain)</t>
  </si>
  <si>
    <t xml:space="preserve">SDCB #10</t>
  </si>
  <si>
    <t xml:space="preserve">Storm drain catch basin #10, Type 1, rim 23.10 (STA 0+77.60, east trench drain)</t>
  </si>
  <si>
    <t xml:space="preserve">SDCB #2</t>
  </si>
  <si>
    <t xml:space="preserve">Storm drain catch basin #2, rim 22.65</t>
  </si>
  <si>
    <t xml:space="preserve">Unavailable sheet; WSDOT not staged</t>
  </si>
  <si>
    <t xml:space="preserve">SDCB #3</t>
  </si>
  <si>
    <t xml:space="preserve">Storm drain catch basin #3, rim 22.70</t>
  </si>
  <si>
    <t xml:space="preserve">SDCB #4</t>
  </si>
  <si>
    <t xml:space="preserve">Storm drain catch basin #4, rim 23.15</t>
  </si>
  <si>
    <t xml:space="preserve">SDCB #6</t>
  </si>
  <si>
    <t xml:space="preserve">Storm drain catch basin #6, rim 23.00</t>
  </si>
  <si>
    <t xml:space="preserve">PROPOSED-Block retaining wall</t>
  </si>
  <si>
    <t xml:space="preserve">Block (gravity) retaining wall, STA 0+05.00 to 1+31.00</t>
  </si>
  <si>
    <t xml:space="preserve">PROPOSED-Chain link fence 126 LF</t>
  </si>
  <si>
    <t xml:space="preserve">Chain link fence along retaining wall, 126 LF, 6-ft fabric with 3-strand barbed wire (7 ft total), connected to existing fence</t>
  </si>
  <si>
    <t xml:space="preserve">PROPOSED-Parking stall striping</t>
  </si>
  <si>
    <t xml:space="preserve">Parking stall striping, including van-accessible stall and signs</t>
  </si>
  <si>
    <t xml:space="preserve">#96</t>
  </si>
  <si>
    <t xml:space="preserve">PROPOSED-Tracer wire and locater boxes</t>
  </si>
  <si>
    <t xml:space="preserve">Tracer wire (#10 AWG insulated), locater boxes, and detectable warning tape on new utilities</t>
  </si>
  <si>
    <t xml:space="preserve">PROPOSED-Buried valve label markers</t>
  </si>
  <si>
    <t xml:space="preserve">Bronze buried valve label markers (Berntsen #C35FB) with cast iron valve boxes and concrete pads</t>
  </si>
  <si>
    <t xml:space="preserve">#99</t>
  </si>
  <si>
    <t xml:space="preserve">PROPOSED-HMA pavement</t>
  </si>
  <si>
    <t xml:space="preserve">Asphalt concrete pavement, 4-in HMA Class 1/2-in PG 58H-22 over 4-in CSBC and 12-in gravel base, thickened edge</t>
  </si>
  <si>
    <t xml:space="preserve">#73</t>
  </si>
  <si>
    <t xml:space="preserve">PROPOSED-Gravel surfacing</t>
  </si>
  <si>
    <t xml:space="preserve">Gravel surfacing, 4-in compacted base course over subgrade at 95%</t>
  </si>
  <si>
    <t xml:space="preserve">PROPOSED-Post hydrant</t>
  </si>
  <si>
    <t xml:space="preserve">Post hydrant on 2-inch HDPE supply with buried 2-inch gate valve</t>
  </si>
  <si>
    <t xml:space="preserve">#53</t>
  </si>
  <si>
    <t xml:space="preserve">PROPOSED-Composite manholes, double manhole condition</t>
  </si>
  <si>
    <t xml:space="preserve">Lightweight composite manholes (Morrison Bros. 418LC-3800 AM or equal) in cast-in-place traffic ring</t>
  </si>
  <si>
    <t xml:space="preserve">Not stated</t>
  </si>
  <si>
    <t xml:space="preserve">WSDOT not staged; Document conflict or missing information</t>
  </si>
  <si>
    <t xml:space="preserve">PROPOSED-Hydroseeded restoration areas</t>
  </si>
  <si>
    <t xml:space="preserve">Hydroseeded grass restoration of disturbed areas (topsoil, seed, fertilizer, mulch)</t>
  </si>
  <si>
    <t xml:space="preserve">PROPOSED-Compost berm</t>
  </si>
  <si>
    <t xml:space="preserve">Compost berm (TESC)</t>
  </si>
  <si>
    <t xml:space="preserve">PROPOSED-Orange barrier fence</t>
  </si>
  <si>
    <t xml:space="preserve">Orange high-visibility barrier fence (TESC / clearing limits)</t>
  </si>
  <si>
    <t xml:space="preserve">PROPOSED-Retaining wall footing drain</t>
  </si>
  <si>
    <t xml:space="preserve">Retaining wall footing drain with drain rock and drainage geotextile</t>
  </si>
  <si>
    <t xml:space="preserve">SDCB #1</t>
  </si>
  <si>
    <t xml:space="preserve">Storm drain catch basin #1, Type 1L, rim 22.3; 12-in (SE) invert 19.3</t>
  </si>
  <si>
    <t xml:space="preserve">SD-3</t>
  </si>
  <si>
    <t xml:space="preserve">Storm drain alignment SD-3: SDCB #1 → #2 → #3 → #4 → trench drain; 83 LF of 12-in and 28 LF of 6-in at 0.5%</t>
  </si>
  <si>
    <t xml:space="preserve">PROPOSED-Asphalt wedge curb</t>
  </si>
  <si>
    <t xml:space="preserve">Asphalt wedge curb per 4/C7.7</t>
  </si>
  <si>
    <t xml:space="preserve">PROPOSED-DIGESTED-SLUDGE-FLOW-METER</t>
  </si>
  <si>
    <t xml:space="preserve">Rotary press sludge flowmeter, 3-inch electromagnetic (E+H 10W), 24-800 gpm, at the flocculator inlet (G0.5 digested sludge FM)</t>
  </si>
  <si>
    <t xml:space="preserve">Process &amp; Mechanical</t>
  </si>
  <si>
    <t xml:space="preserve">Rotary Fan Press System</t>
  </si>
  <si>
    <t xml:space="preserve">#172</t>
  </si>
  <si>
    <t xml:space="preserve">DO #1 | DO-1</t>
  </si>
  <si>
    <t xml:space="preserve">Dissolved oxygen / pH sensor, Train 3 Aeration Zone #1 | Dissolved oxygen sensor and transmitter, Zone 1 (Hach LDO probe, SC200 transmitter, 24 VDC)</t>
  </si>
  <si>
    <t xml:space="preserve">Process &amp; Mechanical; Electrical &amp; Controls</t>
  </si>
  <si>
    <t xml:space="preserve">Train 3 | Train No.3</t>
  </si>
  <si>
    <t xml:space="preserve">Bid Item #18; Document conflict or missing information</t>
  </si>
  <si>
    <t xml:space="preserve">#1, #35, #160, #255</t>
  </si>
  <si>
    <t xml:space="preserve">DO #2 | DO-2</t>
  </si>
  <si>
    <t xml:space="preserve">Dissolved oxygen / pH sensor, Train 3 Aeration Zone #2 | Dissolved oxygen sensor and transmitter, second monitor (Hach LDO/SC200)</t>
  </si>
  <si>
    <t xml:space="preserve">#2, #35, #160, #255</t>
  </si>
  <si>
    <t xml:space="preserve">PROPOSED-TRAIN-3-TANK</t>
  </si>
  <si>
    <t xml:space="preserve">Train 3 tank, reinforced concrete bullseye tank, 32-ft ID, 34-ft OD, 12-inch walls</t>
  </si>
  <si>
    <t xml:space="preserve">Train 3</t>
  </si>
  <si>
    <t xml:space="preserve">Bid Item #18; WSDOT not staged</t>
  </si>
  <si>
    <t xml:space="preserve">#29, #158, #255</t>
  </si>
  <si>
    <t xml:space="preserve">PROPOSED-TRAIN-3-TREATMENT-SYSTEM</t>
  </si>
  <si>
    <t xml:space="preserve">Train 3 biological treatment system package, Smith &amp; Loveless Model R Oxigest (basis of design) or approved equal</t>
  </si>
  <si>
    <t xml:space="preserve">#30, #255</t>
  </si>
  <si>
    <t xml:space="preserve">PROPOSED-TRAIN-3-INNER-WALLS</t>
  </si>
  <si>
    <t xml:space="preserve">Train 3 steel inner walls and zone partition walls, structural steel plate 1/4-inch minimum</t>
  </si>
  <si>
    <t xml:space="preserve">#255</t>
  </si>
  <si>
    <t xml:space="preserve">PROPOSED-TRAIN-3-CLARIFIER-MECHANISM</t>
  </si>
  <si>
    <t xml:space="preserve">Train 3 clarifier mechanism, 18-ft dia.: center drive, feed well, rake arms, skimmer, scum baffle, effluent trough and weirs, scum airlift</t>
  </si>
  <si>
    <t xml:space="preserve">#33, #255</t>
  </si>
  <si>
    <t xml:space="preserve">PROPOSED-TRAIN-3-WALKWAYS-AND-LADDER</t>
  </si>
  <si>
    <t xml:space="preserve">Train 3 access walkway (3-ft clarifier bridge), 2-ft peripheral service walkway, aluminum grating and handrail, aluminum ladder with concrete pad</t>
  </si>
  <si>
    <t xml:space="preserve">#34, #255</t>
  </si>
  <si>
    <t xml:space="preserve">PROPOSED-TRAIN-3-AERATION-DIFFUSERS</t>
  </si>
  <si>
    <t xml:space="preserve">Train 3 aeration system: air header, drop pipes with unions and air control valves, medium bubble (plenum) diffusers, 8 in Aeration Zone 1 and 2 in Aeration Zone 2</t>
  </si>
  <si>
    <t xml:space="preserve">PROPOSED-TRAIN-3-ANOXIC-MIXERS</t>
  </si>
  <si>
    <t xml:space="preserve">Train 3 submersible mixers (2), 5 HP, 460 V 3-phase, one per anoxic zone</t>
  </si>
  <si>
    <t xml:space="preserve">#32, #255</t>
  </si>
  <si>
    <t xml:space="preserve">PROPOSED-TRAIN-3-DAVIT-CRANES</t>
  </si>
  <si>
    <t xml:space="preserve">Portable lifting davits (2) for the Train 3 mixers, stainless, manual brake winch, on top mast brackets</t>
  </si>
  <si>
    <t xml:space="preserve">PROPOSED-TRAIN-3-RAS-AIRLIFT</t>
  </si>
  <si>
    <t xml:space="preserve">RAS airlift pump, 3-inch steel riser with flow division (weir) box, 51 gpm at 15 cfm max</t>
  </si>
  <si>
    <t xml:space="preserve">PROPOSED-TRAIN-3-MLR-AIRLIFT</t>
  </si>
  <si>
    <t xml:space="preserve">Nitrate (mixed liquor) recycle airlift pump(s), 6-inch steel riser, Liqui-Lift weir box, 6-inch MLR pipe</t>
  </si>
  <si>
    <t xml:space="preserve">PROPOSED-CARBON-FEED-PUMPS</t>
  </si>
  <si>
    <t xml:space="preserve">Carbon feed peristaltic metering pumps (2: 1 duty, 1 standby), Stenner Model S3V02AA302N</t>
  </si>
  <si>
    <t xml:space="preserve">Not stated (feeds Train 3 Anoxic 2 per G0.5)</t>
  </si>
  <si>
    <t xml:space="preserve">#161, #255</t>
  </si>
  <si>
    <t xml:space="preserve">PROPOSED-TRAIN-3-CONTROL-PANEL</t>
  </si>
  <si>
    <t xml:space="preserve">Treatment system control panel, NEMA 4X 316 SS, 460 V 3-phase input, UL listed</t>
  </si>
  <si>
    <t xml:space="preserve">#31, #161, #255</t>
  </si>
  <si>
    <t xml:space="preserve">PROPOSED-TRAIN-3-FRP-LAUNDER-COVER</t>
  </si>
  <si>
    <t xml:space="preserve">FRP launder cover, Train 3 clarifier effluent trough</t>
  </si>
  <si>
    <t xml:space="preserve">PROPOSED-INFLUENT-PUMP-STATION-WET-WELL</t>
  </si>
  <si>
    <t xml:space="preserve">Influent Pump Station wet well, 96-inch precast on 12-inch precast base, bottom elev 9.0, top 23.30, with vent and clean outs</t>
  </si>
  <si>
    <t xml:space="preserve">Influent Pump Station</t>
  </si>
  <si>
    <t xml:space="preserve">#37</t>
  </si>
  <si>
    <t xml:space="preserve">PROPOSED-2W-DIAPHRAGM-TANKS</t>
  </si>
  <si>
    <t xml:space="preserve">2W air diaphragm (bladder) tanks (2), Amtrol Well-X-Trol WX-350D, 119 gal (26 x 62 in.), with manifold, gauge and relief valves</t>
  </si>
  <si>
    <t xml:space="preserve">Train #2 Building (per Add. 4 p.6)</t>
  </si>
  <si>
    <t xml:space="preserve">#25</t>
  </si>
  <si>
    <t xml:space="preserve">PROPOSED-2W-FILL-LINE</t>
  </si>
  <si>
    <t xml:space="preserve">2W water fill from air gap to 2W wet well, 4-inch SCH 80 PVC at 2% slope, inlet IE 19.50</t>
  </si>
  <si>
    <t xml:space="preserve">2W Pump Station</t>
  </si>
  <si>
    <t xml:space="preserve">#169</t>
  </si>
  <si>
    <t xml:space="preserve">PROPOSED-UV-DIGESTER-STRUCTURE</t>
  </si>
  <si>
    <t xml:space="preserve">UV Disinfection Chamber &amp; Digester structure, concrete, about 45 x 13 ft: UV chamber, effluent sample chamber, aerobic digester</t>
  </si>
  <si>
    <t xml:space="preserve">UV Disinfection Chamber &amp; Digester</t>
  </si>
  <si>
    <t xml:space="preserve">#56</t>
  </si>
  <si>
    <t xml:space="preserve">PROPOSED-UV-SYSTEM</t>
  </si>
  <si>
    <t xml:space="preserve">UV disinfection system, Trojan UV3000 PTP or equal: 2 open-channel systems (UV Channels #1 and #2), 6 modules per bank, 4 lamps per module, 48 lamps, stainless channels with level control weirs</t>
  </si>
  <si>
    <t xml:space="preserve">#54</t>
  </si>
  <si>
    <t xml:space="preserve">PROPOSED-UV-CONTROL-PANELS</t>
  </si>
  <si>
    <t xml:space="preserve">UV control panels on chamber walls (2 on C5.1): splitter panel, power distribution receptacles and wall-mounted system monitor per UV unit (C5.4)</t>
  </si>
  <si>
    <t xml:space="preserve">#55</t>
  </si>
  <si>
    <t xml:space="preserve">PROPOSED-DIGESTED-SLUDGE-LINE</t>
  </si>
  <si>
    <t xml:space="preserve">Digested sludge line, 2-inch SCH 80 PVC, digester to digested sludge pumps</t>
  </si>
  <si>
    <t xml:space="preserve">#90</t>
  </si>
  <si>
    <t xml:space="preserve">PROPOSED-WAS-PUMP-DISCHARGE-TO-DIGESTER</t>
  </si>
  <si>
    <t xml:space="preserve">WAS pump discharge to aerobic digester, 3-inch</t>
  </si>
  <si>
    <t xml:space="preserve">PROPOSED-FINAL-EFFLUENT-LINE</t>
  </si>
  <si>
    <t xml:space="preserve">Final effluent, UV chamber to existing SSMH *1288 and 12-inch outfall, 10-inch</t>
  </si>
  <si>
    <t xml:space="preserve">#92</t>
  </si>
  <si>
    <t xml:space="preserve">PROPOSED-RFP-CONTROL-PANEL</t>
  </si>
  <si>
    <t xml:space="preserve">Rotary fan press control panel with operator interface, 1</t>
  </si>
  <si>
    <t xml:space="preserve">#63</t>
  </si>
  <si>
    <t xml:space="preserve">PROPOSED-POLYMER-SYSTEM</t>
  </si>
  <si>
    <t xml:space="preserve">Emulsion (liquid) polymer make-up system, Fournier frame with Watson-Marlow peristaltic dosing pump; C6.1 plan labels a dry polymer mix unit</t>
  </si>
  <si>
    <t xml:space="preserve">#64</t>
  </si>
  <si>
    <t xml:space="preserve">PROPOSED-SCREW-CONVEYOR</t>
  </si>
  <si>
    <t xml:space="preserve">Screw conveyor system, stainless steel, dewatered cake to mobile dumpster/bin (system row; components below)</t>
  </si>
  <si>
    <t xml:space="preserve">PROPOSED-DIGESTED-SLUDGE-PUMP</t>
  </si>
  <si>
    <t xml:space="preserve">Digested sludge pump, packaged sludge pump, 3 HP</t>
  </si>
  <si>
    <t xml:space="preserve">Sludge Pump and Valving Area</t>
  </si>
  <si>
    <t xml:space="preserve">#61</t>
  </si>
  <si>
    <t xml:space="preserve">PROPOSED-SLUDGE-MANIFOLD-PIPING</t>
  </si>
  <si>
    <t xml:space="preserve">Sludge pump and valving area manifold: 2-inch SCH 80 PVC with 2-inch PVC ball valves and unions; 4-inch SCH 80 PVC digested sludge header; 4x2 reducer; 2x3 expansion to press</t>
  </si>
  <si>
    <t xml:space="preserve">PROPOSED-BLOWER-BUILDING | PROPOSED-Blower-Building</t>
  </si>
  <si>
    <t xml:space="preserve">Blower Building, prefabricated metal building housing the biological treatment blowers | Blower Building — pre-engineered metal building, one room (Blower Room 101) | Blower Building</t>
  </si>
  <si>
    <t xml:space="preserve">Process &amp; Mechanical; Structural &amp; Building; Contract &amp; General</t>
  </si>
  <si>
    <t xml:space="preserve">Blower Building</t>
  </si>
  <si>
    <t xml:space="preserve">#170, #252</t>
  </si>
  <si>
    <t xml:space="preserve">PROPOSED-EXISTING-BLDG-WALL-FANS</t>
  </si>
  <si>
    <t xml:space="preserve">Existing Dewatering/Train 1&amp;2 Building wall fans (3), Acme FQ18G6, 3,300 CFM, each on a manual on/off switch, with gravity combination louvers</t>
  </si>
  <si>
    <t xml:space="preserve">Existing Dewatering/Train 1&amp;2 Building Area</t>
  </si>
  <si>
    <t xml:space="preserve">#26</t>
  </si>
  <si>
    <t xml:space="preserve">Receiving Conveyor</t>
  </si>
  <si>
    <t xml:space="preserve">Receiving conveyor, horizontal shaftless, 9-in. flight, 6 ft 9 in., 304 SS U-trough, two inlets from rotary press cake chutes, 1 HP</t>
  </si>
  <si>
    <t xml:space="preserve">#111</t>
  </si>
  <si>
    <t xml:space="preserve">Inclined Conveyor</t>
  </si>
  <si>
    <t xml:space="preserve">Inclined conveyor, shafted, 9-in. flight at 5-in. pitch, 17 ft 4 in. at 35 degrees, 304 SS tubular trough, outlet to bin, 5 HP</t>
  </si>
  <si>
    <t xml:space="preserve">#112</t>
  </si>
  <si>
    <t xml:space="preserve">PROPOSED-WAS-FLOW-METER</t>
  </si>
  <si>
    <t xml:space="preserve">WAS flow meter, 2-inch, on the WAS line to the digester, per electrical design requirements</t>
  </si>
  <si>
    <t xml:space="preserve">#43</t>
  </si>
  <si>
    <t xml:space="preserve">ATS</t>
  </si>
  <si>
    <t xml:space="preserve">Automatic transfer switch, service-entrance rated, 480Y/277V, 400 A (permanent)</t>
  </si>
  <si>
    <t xml:space="preserve">Electrical &amp; Controls</t>
  </si>
  <si>
    <t xml:space="preserve">Electric Service Area</t>
  </si>
  <si>
    <t xml:space="preserve">#66, #255</t>
  </si>
  <si>
    <t xml:space="preserve">GEN</t>
  </si>
  <si>
    <t xml:space="preserve">Standby diesel generator, 480Y/277V, 125 kW / 156 kVA, sound-attenuated outdoor enclosure with sub-base diesel fuel tank (permanent)</t>
  </si>
  <si>
    <t xml:space="preserve">Permanent generator bid item</t>
  </si>
  <si>
    <t xml:space="preserve">#65, #257</t>
  </si>
  <si>
    <t xml:space="preserve">MCP</t>
  </si>
  <si>
    <t xml:space="preserve">Main Control Panel (PLC), Blower Building | Main control panel (MCP) — relocated per Add. 4</t>
  </si>
  <si>
    <t xml:space="preserve">Electrical &amp; Controls; Structural &amp; Building</t>
  </si>
  <si>
    <t xml:space="preserve">#24, #226</t>
  </si>
  <si>
    <t xml:space="preserve">LT (Influent Pump Station)</t>
  </si>
  <si>
    <t xml:space="preserve">Submersible level transducer: WIKA pressure transmitter, 316 SS, 0–15 psi, LevelGuard, 4–20 mA loop powered, vented, NEMA 4X termination enclosure</t>
  </si>
  <si>
    <t xml:space="preserve">#39</t>
  </si>
  <si>
    <t xml:space="preserve">IPS</t>
  </si>
  <si>
    <t xml:space="preserve">Influent Pump Station control panel, 480 V 3-ph 3-W, NEMA 4X SS: 60 A main, starters for IP-1 to IP-4, T3 and LP2, Allen-Bradley CompactLogix PLC (1768-ENBT), network switch, flow-meter transmitters</t>
  </si>
  <si>
    <t xml:space="preserve">PROPOSED-Treatment-Building-Ventilation-Control-Panel</t>
  </si>
  <si>
    <t xml:space="preserve">Ventilation control panel, Treatment Building, NEMA 4X stainless steel</t>
  </si>
  <si>
    <t xml:space="preserve">Treatment Building (existing; E4.1 key note 3 calls it "Dewatering Building" — see Issues)</t>
  </si>
  <si>
    <t xml:space="preserve">2W-P1</t>
  </si>
  <si>
    <t xml:space="preserve">2W Water Pump No.1, 5 HP, VFD in MCC (E4.3 tags it P-2W-1)</t>
  </si>
  <si>
    <t xml:space="preserve">#45, #193</t>
  </si>
  <si>
    <t xml:space="preserve">2W-P2</t>
  </si>
  <si>
    <t xml:space="preserve">2W Water Pump No.2, 5 HP, VFD in MCC (E4.3 tags it P-2W-2)</t>
  </si>
  <si>
    <t xml:space="preserve">PROPOSED-Hot-Box-1</t>
  </si>
  <si>
    <t xml:space="preserve">Hot Box #1 (2W): houses the 1-in 2W flow meter, isolation valve solenoid, heat trace, GFEP and J-box</t>
  </si>
  <si>
    <t xml:space="preserve">#16, #95</t>
  </si>
  <si>
    <t xml:space="preserve">PROPOSED-Hot-Box-2</t>
  </si>
  <si>
    <t xml:space="preserve">Hot Box #2 (2W): heat trace on exposed piping</t>
  </si>
  <si>
    <t xml:space="preserve">#17</t>
  </si>
  <si>
    <t xml:space="preserve">PROPOSED-Digester-Level-Transducer</t>
  </si>
  <si>
    <t xml:space="preserve">Digester level transducer: WIKA submersible, 316 SS, 0–15 psi, LevelGuard, 4–20 mA, vented, desiccant, NEMA 4X; J-box with terminals and desiccant on the handrail</t>
  </si>
  <si>
    <t xml:space="preserve">Digester</t>
  </si>
  <si>
    <t xml:space="preserve">#58</t>
  </si>
  <si>
    <t xml:space="preserve">PROPOSED-UV-Area-Pole-Light</t>
  </si>
  <si>
    <t xml:space="preserve">UV-area pole light: 4-in square aluminum pole 12 ft on a concrete base secured to the basin side, photocell, local on/off switch, WP/GFCI receptacle; Lithonia "#DXS0-LED-P3-30K-T3M-MVOLT-SPA-DNAXD" (as printed) or equal</t>
  </si>
  <si>
    <t xml:space="preserve">UV Disinfection Chamber</t>
  </si>
  <si>
    <t xml:space="preserve">TCP-1</t>
  </si>
  <si>
    <t xml:space="preserve">Train No.1 control panel (FUTURE); MCC 30/3 unit and feeder P-TCP1</t>
  </si>
  <si>
    <t xml:space="preserve">Train No.1 (future)</t>
  </si>
  <si>
    <t xml:space="preserve">#125, #197</t>
  </si>
  <si>
    <t xml:space="preserve">TCP-2</t>
  </si>
  <si>
    <t xml:space="preserve">Train No.2 control panel (FUTURE); MCC 30/3 unit and feeder P-TCP2</t>
  </si>
  <si>
    <t xml:space="preserve">Train No.2 (future)</t>
  </si>
  <si>
    <t xml:space="preserve">#126, #197</t>
  </si>
  <si>
    <t xml:space="preserve">PROPOSED-Temporary-Backup-Generator</t>
  </si>
  <si>
    <t xml:space="preserve">Temporary back-up generator (rental), connected to the permanent ATS until the permanent generator arrives; example cut sheet MQ Power 120 kW prime diesel</t>
  </si>
  <si>
    <t xml:space="preserve">#14, #142, #255</t>
  </si>
  <si>
    <t xml:space="preserve">101A</t>
  </si>
  <si>
    <t xml:space="preserve">Door pair, 10 ft-0 in x 8 ft-0 in x 1-3/4 in, insulated hollow metal, painted, Type B — 2 openings tagged 101A</t>
  </si>
  <si>
    <t xml:space="preserve">Structural &amp; Building</t>
  </si>
  <si>
    <t xml:space="preserve">101B</t>
  </si>
  <si>
    <t xml:space="preserve">Door, 3 ft-0 in wide, insulated hollow metal, painted, Type A</t>
  </si>
  <si>
    <t xml:space="preserve">101C</t>
  </si>
  <si>
    <t xml:space="preserve">Door, 5 ft-0 in x 8 ft-0 in x 1-3/4 in, insulated hollow metal, painted, Type A</t>
  </si>
  <si>
    <t xml:space="preserve">PROPOSED-Train-3-Concrete-Tank</t>
  </si>
  <si>
    <t xml:space="preserve">Train 3 cast-in-place concrete tank — 12 in circular wall on 12 in mat slab with raised center pedestal</t>
  </si>
  <si>
    <t xml:space="preserve">#29, #158</t>
  </si>
  <si>
    <t xml:space="preserve">PROPOSED-Train-3-Guardrail-and-Ladders</t>
  </si>
  <si>
    <t xml:space="preserve">Train 3 guardrail and ladders — shown "per civil"</t>
  </si>
  <si>
    <t xml:space="preserve">#34, #232, #255</t>
  </si>
  <si>
    <t xml:space="preserve">PROPOSED-UV-Disinfection-Chamber-Basin</t>
  </si>
  <si>
    <t xml:space="preserve">UV Disinfection Chamber basin — 8 in CIP concrete walls on 12 in mat slab, with 8 in equipment support walls (4)</t>
  </si>
  <si>
    <t xml:space="preserve">#56, #234</t>
  </si>
  <si>
    <t xml:space="preserve">PROPOSED-Digester-Concrete-Tank</t>
  </si>
  <si>
    <t xml:space="preserve">Digester — 12 in CIP concrete walls on 12 in mat slab with sloped unreinforced topping</t>
  </si>
  <si>
    <t xml:space="preserve">PROPOSED-UV-Digester-Grating</t>
  </si>
  <si>
    <t xml:space="preserve">Aluminum solid plank grating with continuous HDG edge angles — UV basin and digester</t>
  </si>
  <si>
    <t xml:space="preserve">#57</t>
  </si>
  <si>
    <t xml:space="preserve">PROPOSED-UV-Digester-Guardrail-and-Ladders</t>
  </si>
  <si>
    <t xml:space="preserve">Guardrail and ladders at the UV basin and digester — shown "per civil"</t>
  </si>
  <si>
    <t xml:space="preserve">#57, #234</t>
  </si>
  <si>
    <t xml:space="preserve">PROPOSED-Drain-Pump-Station-Lid</t>
  </si>
  <si>
    <t xml:space="preserve">Drain pump station lid — 16 in CIP concrete, H-20 loading, two hatch openings and center beam</t>
  </si>
  <si>
    <t xml:space="preserve">Drain Pump Station</t>
  </si>
  <si>
    <t xml:space="preserve">PROPOSED-Drain-Pump-Station-Precast-Wet-Well</t>
  </si>
  <si>
    <t xml:space="preserve">Precast concrete wet well, 8 ft min., 96 in I.D. — per civil</t>
  </si>
  <si>
    <t xml:space="preserve">#235</t>
  </si>
  <si>
    <t xml:space="preserve">PROPOSED-Generator-Slab</t>
  </si>
  <si>
    <t xml:space="preserve">Generator slab-on-grade, 6 in with thickened edge (about 1 ft-6 in min. deep)</t>
  </si>
  <si>
    <t xml:space="preserve">Generator Pad</t>
  </si>
  <si>
    <t xml:space="preserve">#201</t>
  </si>
  <si>
    <t xml:space="preserve">PROPOSED-Generator-on-S2.4</t>
  </si>
  <si>
    <t xml:space="preserve">Generator shown on the generator slab — "per civil, attachment by others"</t>
  </si>
  <si>
    <t xml:space="preserve">#65, #236, #257</t>
  </si>
  <si>
    <t xml:space="preserve">PROPOSED-Influent-Pump-Station-Precast-Wet-Well</t>
  </si>
  <si>
    <t xml:space="preserve">Precast wet well, 8 ft ID (Oldcastle Infrastructure 96 in diameter), with 48 in x 30 in H-20 aluminum hatch and safety grate (LW Products HD-3C) — Influent Pump Station</t>
  </si>
  <si>
    <t xml:space="preserve">#37, #38, #240</t>
  </si>
  <si>
    <t xml:space="preserve">PROPOSED-Influent-Pump-Station-Top-Slab</t>
  </si>
  <si>
    <t xml:space="preserve">Influent Pump Station top slab per Contract Plan details, with new aluminum access hatch and safety grates</t>
  </si>
  <si>
    <t xml:space="preserve">#38, #240</t>
  </si>
  <si>
    <t xml:space="preserve">PROPOSED-Steel-Stairs-Ladders-Platforms</t>
  </si>
  <si>
    <t xml:space="preserve">Steel stairs, ladders and grating platforms — galvanized, Contractor-designed, where shown on the plans</t>
  </si>
  <si>
    <t xml:space="preserve">Not stated (locations per civil drawings)</t>
  </si>
  <si>
    <t xml:space="preserve">#241, #255</t>
  </si>
  <si>
    <t xml:space="preserve">PROPOSED-Trench-Safety-System</t>
  </si>
  <si>
    <t xml:space="preserve">Trench safety system</t>
  </si>
  <si>
    <t xml:space="preserve">Contract &amp; General</t>
  </si>
  <si>
    <t xml:space="preserve">#70, #250</t>
  </si>
  <si>
    <t xml:space="preserve">PROPOSED-Train-3-Biological-Treatment-Equipment</t>
  </si>
  <si>
    <t xml:space="preserve">Train 3 biological treatment system equipment</t>
  </si>
  <si>
    <t xml:space="preserve">#30, #251, #255</t>
  </si>
  <si>
    <t xml:space="preserve">PROPOSED-Temporary-Back-Up-Generator</t>
  </si>
  <si>
    <t xml:space="preserve">Temporary back-up generator (rental, 480V)</t>
  </si>
  <si>
    <t xml:space="preserve">#14, #253, #255</t>
  </si>
  <si>
    <t xml:space="preserve">PROPOSED-Automatic-Transfer-Switch</t>
  </si>
  <si>
    <t xml:space="preserve">Automatic transfer switch (permanent)</t>
  </si>
  <si>
    <t xml:space="preserve">#66, #253, #255</t>
  </si>
  <si>
    <t xml:space="preserve">PROPOSED-Permanent-Standby-Generator</t>
  </si>
  <si>
    <t xml:space="preserve">Permanent 480V standby generator</t>
  </si>
  <si>
    <t xml:space="preserve">#65, #253, #257</t>
  </si>
  <si>
    <t xml:space="preserve">PROPOSED-Dewatering-System</t>
  </si>
  <si>
    <t xml:space="preserve">Sludge dewatering system (rotary fan press)</t>
  </si>
  <si>
    <t xml:space="preserve">#15, #63, #251</t>
  </si>
  <si>
    <t xml:space="preserve">PROPOSED-Contractor-Field-Office</t>
  </si>
  <si>
    <t xml:space="preserve">Contractor's field office (optional)</t>
  </si>
  <si>
    <t xml:space="preserve">PROPOSED-Temporary-Construction-Power</t>
  </si>
  <si>
    <t xml:space="preserve">Temporary construction power and lighting (poles, transformer if required, cords, outlets, lamps)</t>
  </si>
  <si>
    <t xml:space="preserve">#67</t>
  </si>
  <si>
    <t xml:space="preserve">PROPOSED-Temporary-Construction-Water-Connection</t>
  </si>
  <si>
    <t xml:space="preserve">Temporary metered construction water connection with backflow preventer (if agreed)</t>
  </si>
  <si>
    <t xml:space="preserve">PROPOSED-Temporary-Sanitary-Facilities</t>
  </si>
  <si>
    <t xml:space="preserve">Temporary restrooms (contract service allowed)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</si>
</sst>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0"/>
    <col collapsed="false" customWidth="true" hidden="false" outlineLevel="0" max="5" min="4" style="0" width="60"/>
    <col collapsed="false" customWidth="true" hidden="false" outlineLevel="0" max="6" min="6" style="0" width="40"/>
    <col collapsed="false" customWidth="true" hidden="false" outlineLevel="0" max="7" min="7" style="0" width="16"/>
  </cols>
  <sheetData>
    <row r="1" customFormat="false" ht="15" hidden="false" customHeight="false" outlineLevel="0" collapsed="false">
      <c r="A1" s="1" t="s">
        <v>0</v>
      </c>
      <c r="B1" s="1" t="s">
        <v>1</v>
      </c>
      <c r="C1" s="1" t="s">
        <v>2</v>
      </c>
      <c r="D1" s="1" t="s">
        <v>3</v>
      </c>
      <c r="E1" s="1" t="s">
        <v>4</v>
      </c>
      <c r="F1" s="1" t="s">
        <v>5</v>
      </c>
      <c r="G1" s="1" t="s">
        <v>6</v>
      </c>
    </row>
    <row r="2" customFormat="false" ht="68.65" hidden="false" customHeight="false" outlineLevel="0" collapsed="false">
      <c r="A2" s="2" t="n">
        <v>1</v>
      </c>
      <c r="B2" s="2" t="s">
        <v>7</v>
      </c>
      <c r="C2" s="2" t="s">
        <v>8</v>
      </c>
      <c r="D2" s="2" t="s">
        <v>9</v>
      </c>
      <c r="E2" s="2" t="s">
        <v>10</v>
      </c>
      <c r="F2" s="2" t="s">
        <v>11</v>
      </c>
      <c r="G2" s="2"/>
    </row>
    <row r="3" customFormat="false" ht="46.25" hidden="false" customHeight="false" outlineLevel="0" collapsed="false">
      <c r="A3" s="2" t="n">
        <v>2</v>
      </c>
      <c r="B3" s="2" t="s">
        <v>7</v>
      </c>
      <c r="C3" s="2" t="s">
        <v>12</v>
      </c>
      <c r="D3" s="2" t="s">
        <v>13</v>
      </c>
      <c r="E3" s="2" t="s">
        <v>14</v>
      </c>
      <c r="F3" s="2" t="s">
        <v>15</v>
      </c>
      <c r="G3" s="2"/>
    </row>
    <row r="4" customFormat="false" ht="57.45" hidden="false" customHeight="false" outlineLevel="0" collapsed="false">
      <c r="A4" s="2" t="n">
        <v>3</v>
      </c>
      <c r="B4" s="2" t="s">
        <v>7</v>
      </c>
      <c r="C4" s="2" t="s">
        <v>16</v>
      </c>
      <c r="D4" s="2" t="s">
        <v>17</v>
      </c>
      <c r="E4" s="2" t="s">
        <v>18</v>
      </c>
      <c r="F4" s="2" t="s">
        <v>19</v>
      </c>
      <c r="G4" s="2"/>
    </row>
    <row r="5" customFormat="false" ht="57.45" hidden="false" customHeight="false" outlineLevel="0" collapsed="false">
      <c r="A5" s="2" t="n">
        <v>4</v>
      </c>
      <c r="B5" s="2" t="s">
        <v>7</v>
      </c>
      <c r="C5" s="2" t="s">
        <v>20</v>
      </c>
      <c r="D5" s="2" t="s">
        <v>21</v>
      </c>
      <c r="E5" s="2" t="s">
        <v>22</v>
      </c>
      <c r="F5" s="2" t="s">
        <v>23</v>
      </c>
      <c r="G5" s="2"/>
    </row>
    <row r="6" customFormat="false" ht="113.4" hidden="false" customHeight="false" outlineLevel="0" collapsed="false">
      <c r="A6" s="2" t="n">
        <v>5</v>
      </c>
      <c r="B6" s="2" t="s">
        <v>7</v>
      </c>
      <c r="C6" s="2" t="s">
        <v>24</v>
      </c>
      <c r="D6" s="2" t="s">
        <v>25</v>
      </c>
      <c r="E6" s="2" t="s">
        <v>26</v>
      </c>
      <c r="F6" s="2" t="s">
        <v>27</v>
      </c>
      <c r="G6" s="2"/>
    </row>
    <row r="7" customFormat="false" ht="102.2" hidden="false" customHeight="false" outlineLevel="0" collapsed="false">
      <c r="A7" s="2" t="n">
        <v>6</v>
      </c>
      <c r="B7" s="2" t="s">
        <v>7</v>
      </c>
      <c r="C7" s="2" t="s">
        <v>28</v>
      </c>
      <c r="D7" s="2" t="s">
        <v>29</v>
      </c>
      <c r="E7" s="2" t="s">
        <v>30</v>
      </c>
      <c r="F7" s="2" t="s">
        <v>31</v>
      </c>
      <c r="G7" s="2"/>
    </row>
    <row r="8" customFormat="false" ht="102.2" hidden="false" customHeight="false" outlineLevel="0" collapsed="false">
      <c r="A8" s="2" t="n">
        <v>7</v>
      </c>
      <c r="B8" s="2" t="s">
        <v>7</v>
      </c>
      <c r="C8" s="2" t="s">
        <v>32</v>
      </c>
      <c r="D8" s="2" t="s">
        <v>33</v>
      </c>
      <c r="E8" s="2" t="s">
        <v>34</v>
      </c>
      <c r="F8" s="2" t="s">
        <v>35</v>
      </c>
      <c r="G8" s="2"/>
    </row>
    <row r="9" customFormat="false" ht="102.2" hidden="false" customHeight="false" outlineLevel="0" collapsed="false">
      <c r="A9" s="2" t="n">
        <v>8</v>
      </c>
      <c r="B9" s="2" t="s">
        <v>7</v>
      </c>
      <c r="C9" s="2" t="s">
        <v>36</v>
      </c>
      <c r="D9" s="2" t="s">
        <v>37</v>
      </c>
      <c r="E9" s="2" t="s">
        <v>38</v>
      </c>
      <c r="F9" s="2" t="s">
        <v>39</v>
      </c>
      <c r="G9" s="2"/>
    </row>
    <row r="10" customFormat="false" ht="68.65" hidden="false" customHeight="false" outlineLevel="0" collapsed="false">
      <c r="A10" s="2" t="n">
        <v>9</v>
      </c>
      <c r="B10" s="2" t="s">
        <v>7</v>
      </c>
      <c r="C10" s="2" t="s">
        <v>40</v>
      </c>
      <c r="D10" s="2" t="s">
        <v>41</v>
      </c>
      <c r="E10" s="2" t="s">
        <v>42</v>
      </c>
      <c r="F10" s="2" t="s">
        <v>43</v>
      </c>
      <c r="G10" s="2"/>
    </row>
    <row r="11" customFormat="false" ht="91" hidden="false" customHeight="false" outlineLevel="0" collapsed="false">
      <c r="A11" s="2" t="n">
        <v>10</v>
      </c>
      <c r="B11" s="2" t="s">
        <v>7</v>
      </c>
      <c r="C11" s="2" t="s">
        <v>44</v>
      </c>
      <c r="D11" s="2" t="s">
        <v>45</v>
      </c>
      <c r="E11" s="2" t="s">
        <v>46</v>
      </c>
      <c r="F11" s="2" t="s">
        <v>43</v>
      </c>
      <c r="G11" s="2"/>
    </row>
    <row r="12" customFormat="false" ht="102.2" hidden="false" customHeight="false" outlineLevel="0" collapsed="false">
      <c r="A12" s="2" t="n">
        <v>11</v>
      </c>
      <c r="B12" s="2" t="s">
        <v>7</v>
      </c>
      <c r="C12" s="2" t="s">
        <v>47</v>
      </c>
      <c r="D12" s="2" t="s">
        <v>48</v>
      </c>
      <c r="E12" s="2" t="s">
        <v>49</v>
      </c>
      <c r="F12" s="2" t="s">
        <v>50</v>
      </c>
      <c r="G12" s="2"/>
    </row>
    <row r="13" customFormat="false" ht="68.65" hidden="false" customHeight="false" outlineLevel="0" collapsed="false">
      <c r="A13" s="2" t="n">
        <v>12</v>
      </c>
      <c r="B13" s="2" t="s">
        <v>7</v>
      </c>
      <c r="C13" s="2" t="s">
        <v>51</v>
      </c>
      <c r="D13" s="2" t="s">
        <v>52</v>
      </c>
      <c r="E13" s="2" t="s">
        <v>53</v>
      </c>
      <c r="F13" s="2" t="s">
        <v>54</v>
      </c>
      <c r="G13" s="2"/>
    </row>
    <row r="14" customFormat="false" ht="68.65" hidden="false" customHeight="false" outlineLevel="0" collapsed="false">
      <c r="A14" s="2" t="n">
        <v>13</v>
      </c>
      <c r="B14" s="2" t="s">
        <v>7</v>
      </c>
      <c r="C14" s="2" t="s">
        <v>55</v>
      </c>
      <c r="D14" s="2" t="s">
        <v>56</v>
      </c>
      <c r="E14" s="2" t="s">
        <v>57</v>
      </c>
      <c r="F14" s="2" t="s">
        <v>58</v>
      </c>
      <c r="G14" s="2"/>
    </row>
    <row r="15" customFormat="false" ht="113.4" hidden="false" customHeight="false" outlineLevel="0" collapsed="false">
      <c r="A15" s="2" t="n">
        <v>14</v>
      </c>
      <c r="B15" s="2" t="s">
        <v>7</v>
      </c>
      <c r="C15" s="2" t="s">
        <v>59</v>
      </c>
      <c r="D15" s="2" t="s">
        <v>60</v>
      </c>
      <c r="E15" s="2" t="s">
        <v>61</v>
      </c>
      <c r="F15" s="2" t="s">
        <v>62</v>
      </c>
      <c r="G15" s="2"/>
    </row>
    <row r="16" customFormat="false" ht="57.45" hidden="false" customHeight="false" outlineLevel="0" collapsed="false">
      <c r="A16" s="2" t="n">
        <v>15</v>
      </c>
      <c r="B16" s="2" t="s">
        <v>7</v>
      </c>
      <c r="C16" s="2" t="s">
        <v>63</v>
      </c>
      <c r="D16" s="2" t="s">
        <v>64</v>
      </c>
      <c r="E16" s="2" t="s">
        <v>65</v>
      </c>
      <c r="F16" s="2" t="s">
        <v>66</v>
      </c>
      <c r="G16" s="2"/>
    </row>
    <row r="17" customFormat="false" ht="57.45" hidden="false" customHeight="false" outlineLevel="0" collapsed="false">
      <c r="A17" s="2" t="n">
        <v>16</v>
      </c>
      <c r="B17" s="2" t="s">
        <v>7</v>
      </c>
      <c r="C17" s="2" t="s">
        <v>67</v>
      </c>
      <c r="D17" s="2" t="s">
        <v>68</v>
      </c>
      <c r="E17" s="2" t="s">
        <v>69</v>
      </c>
      <c r="F17" s="2" t="s">
        <v>70</v>
      </c>
      <c r="G17" s="2"/>
    </row>
    <row r="18" customFormat="false" ht="124.6" hidden="false" customHeight="false" outlineLevel="0" collapsed="false">
      <c r="A18" s="2" t="n">
        <v>17</v>
      </c>
      <c r="B18" s="2" t="s">
        <v>7</v>
      </c>
      <c r="C18" s="2" t="s">
        <v>71</v>
      </c>
      <c r="D18" s="2" t="s">
        <v>72</v>
      </c>
      <c r="E18" s="2" t="s">
        <v>73</v>
      </c>
      <c r="F18" s="2" t="s">
        <v>70</v>
      </c>
      <c r="G18" s="2"/>
    </row>
    <row r="19" customFormat="false" ht="258.95" hidden="false" customHeight="false" outlineLevel="0" collapsed="false">
      <c r="A19" s="2" t="n">
        <v>18</v>
      </c>
      <c r="B19" s="2" t="s">
        <v>74</v>
      </c>
      <c r="C19" s="2" t="s">
        <v>75</v>
      </c>
      <c r="D19" s="2" t="s">
        <v>76</v>
      </c>
      <c r="E19" s="2" t="s">
        <v>77</v>
      </c>
      <c r="F19" s="2" t="s">
        <v>78</v>
      </c>
      <c r="G19" s="2"/>
    </row>
    <row r="20" customFormat="false" ht="57.45" hidden="false" customHeight="false" outlineLevel="0" collapsed="false">
      <c r="A20" s="2" t="n">
        <v>19</v>
      </c>
      <c r="B20" s="2" t="s">
        <v>74</v>
      </c>
      <c r="C20" s="2" t="s">
        <v>79</v>
      </c>
      <c r="D20" s="2" t="s">
        <v>80</v>
      </c>
      <c r="E20" s="2" t="s">
        <v>81</v>
      </c>
      <c r="F20" s="2" t="s">
        <v>82</v>
      </c>
      <c r="G20" s="2"/>
    </row>
    <row r="21" customFormat="false" ht="124.6" hidden="false" customHeight="false" outlineLevel="0" collapsed="false">
      <c r="A21" s="2" t="n">
        <v>20</v>
      </c>
      <c r="B21" s="2" t="s">
        <v>74</v>
      </c>
      <c r="C21" s="2" t="s">
        <v>83</v>
      </c>
      <c r="D21" s="2" t="s">
        <v>84</v>
      </c>
      <c r="E21" s="2" t="s">
        <v>85</v>
      </c>
      <c r="F21" s="2" t="s">
        <v>86</v>
      </c>
      <c r="G21" s="2"/>
    </row>
    <row r="22" customFormat="false" ht="91" hidden="false" customHeight="false" outlineLevel="0" collapsed="false">
      <c r="A22" s="2" t="n">
        <v>21</v>
      </c>
      <c r="B22" s="2" t="s">
        <v>74</v>
      </c>
      <c r="C22" s="2" t="s">
        <v>87</v>
      </c>
      <c r="D22" s="2" t="s">
        <v>88</v>
      </c>
      <c r="E22" s="2" t="s">
        <v>89</v>
      </c>
      <c r="F22" s="2" t="s">
        <v>78</v>
      </c>
      <c r="G22" s="2"/>
    </row>
    <row r="23" customFormat="false" ht="79.85" hidden="false" customHeight="false" outlineLevel="0" collapsed="false">
      <c r="A23" s="2" t="n">
        <v>22</v>
      </c>
      <c r="B23" s="2" t="s">
        <v>74</v>
      </c>
      <c r="C23" s="2" t="s">
        <v>90</v>
      </c>
      <c r="D23" s="2" t="s">
        <v>91</v>
      </c>
      <c r="E23" s="2" t="s">
        <v>92</v>
      </c>
      <c r="F23" s="2" t="s">
        <v>78</v>
      </c>
      <c r="G23" s="2"/>
    </row>
    <row r="24" customFormat="false" ht="79.85" hidden="false" customHeight="false" outlineLevel="0" collapsed="false">
      <c r="A24" s="2" t="n">
        <v>23</v>
      </c>
      <c r="B24" s="2" t="s">
        <v>74</v>
      </c>
      <c r="C24" s="2" t="s">
        <v>93</v>
      </c>
      <c r="D24" s="2" t="s">
        <v>94</v>
      </c>
      <c r="E24" s="2" t="s">
        <v>95</v>
      </c>
      <c r="F24" s="2" t="s">
        <v>96</v>
      </c>
      <c r="G24" s="2"/>
    </row>
    <row r="25" customFormat="false" ht="68.65" hidden="false" customHeight="false" outlineLevel="0" collapsed="false">
      <c r="A25" s="2" t="n">
        <v>24</v>
      </c>
      <c r="B25" s="2" t="s">
        <v>74</v>
      </c>
      <c r="C25" s="2" t="s">
        <v>97</v>
      </c>
      <c r="D25" s="2" t="s">
        <v>98</v>
      </c>
      <c r="E25" s="2" t="s">
        <v>99</v>
      </c>
      <c r="F25" s="2" t="s">
        <v>100</v>
      </c>
      <c r="G25" s="2"/>
    </row>
    <row r="26" customFormat="false" ht="57.45" hidden="false" customHeight="false" outlineLevel="0" collapsed="false">
      <c r="A26" s="2" t="n">
        <v>25</v>
      </c>
      <c r="B26" s="2" t="s">
        <v>74</v>
      </c>
      <c r="C26" s="2" t="s">
        <v>101</v>
      </c>
      <c r="D26" s="2" t="s">
        <v>102</v>
      </c>
      <c r="E26" s="2" t="s">
        <v>103</v>
      </c>
      <c r="F26" s="2" t="s">
        <v>104</v>
      </c>
      <c r="G26" s="2"/>
    </row>
    <row r="27" customFormat="false" ht="214.15" hidden="false" customHeight="false" outlineLevel="0" collapsed="false">
      <c r="A27" s="2" t="n">
        <v>26</v>
      </c>
      <c r="B27" s="2" t="s">
        <v>74</v>
      </c>
      <c r="C27" s="2" t="s">
        <v>105</v>
      </c>
      <c r="D27" s="2" t="s">
        <v>106</v>
      </c>
      <c r="E27" s="2" t="s">
        <v>107</v>
      </c>
      <c r="F27" s="2" t="s">
        <v>108</v>
      </c>
      <c r="G27" s="2"/>
    </row>
    <row r="28" customFormat="false" ht="102.2" hidden="false" customHeight="false" outlineLevel="0" collapsed="false">
      <c r="A28" s="2" t="n">
        <v>27</v>
      </c>
      <c r="B28" s="2" t="s">
        <v>74</v>
      </c>
      <c r="C28" s="2" t="s">
        <v>109</v>
      </c>
      <c r="D28" s="2" t="s">
        <v>110</v>
      </c>
      <c r="E28" s="2" t="s">
        <v>111</v>
      </c>
      <c r="F28" s="2" t="s">
        <v>112</v>
      </c>
      <c r="G28" s="2"/>
    </row>
    <row r="29" customFormat="false" ht="180.55" hidden="false" customHeight="false" outlineLevel="0" collapsed="false">
      <c r="A29" s="2" t="n">
        <v>28</v>
      </c>
      <c r="B29" s="2" t="s">
        <v>74</v>
      </c>
      <c r="C29" s="2" t="s">
        <v>113</v>
      </c>
      <c r="D29" s="2" t="s">
        <v>114</v>
      </c>
      <c r="E29" s="2" t="s">
        <v>115</v>
      </c>
      <c r="F29" s="2" t="s">
        <v>116</v>
      </c>
      <c r="G29" s="2"/>
    </row>
    <row r="30" customFormat="false" ht="57.45" hidden="false" customHeight="false" outlineLevel="0" collapsed="false">
      <c r="A30" s="2" t="n">
        <v>29</v>
      </c>
      <c r="B30" s="2" t="s">
        <v>74</v>
      </c>
      <c r="C30" s="2" t="s">
        <v>117</v>
      </c>
      <c r="D30" s="2" t="s">
        <v>118</v>
      </c>
      <c r="E30" s="2" t="s">
        <v>119</v>
      </c>
      <c r="F30" s="2" t="s">
        <v>120</v>
      </c>
      <c r="G30" s="2"/>
    </row>
    <row r="31" customFormat="false" ht="68.65" hidden="false" customHeight="false" outlineLevel="0" collapsed="false">
      <c r="A31" s="2" t="n">
        <v>30</v>
      </c>
      <c r="B31" s="2" t="s">
        <v>74</v>
      </c>
      <c r="C31" s="2" t="s">
        <v>121</v>
      </c>
      <c r="D31" s="2" t="s">
        <v>122</v>
      </c>
      <c r="E31" s="2" t="s">
        <v>123</v>
      </c>
      <c r="F31" s="2" t="s">
        <v>78</v>
      </c>
      <c r="G31" s="2"/>
    </row>
    <row r="32" customFormat="false" ht="57.45" hidden="false" customHeight="false" outlineLevel="0" collapsed="false">
      <c r="A32" s="2" t="n">
        <v>31</v>
      </c>
      <c r="B32" s="2" t="s">
        <v>74</v>
      </c>
      <c r="C32" s="2" t="s">
        <v>124</v>
      </c>
      <c r="D32" s="2" t="s">
        <v>125</v>
      </c>
      <c r="E32" s="2" t="s">
        <v>126</v>
      </c>
      <c r="F32" s="2" t="s">
        <v>127</v>
      </c>
      <c r="G32" s="2"/>
    </row>
    <row r="33" customFormat="false" ht="79.85" hidden="false" customHeight="false" outlineLevel="0" collapsed="false">
      <c r="A33" s="2" t="n">
        <v>32</v>
      </c>
      <c r="B33" s="2" t="s">
        <v>74</v>
      </c>
      <c r="C33" s="2" t="s">
        <v>128</v>
      </c>
      <c r="D33" s="2" t="s">
        <v>129</v>
      </c>
      <c r="E33" s="2" t="s">
        <v>130</v>
      </c>
      <c r="F33" s="2" t="s">
        <v>131</v>
      </c>
      <c r="G33" s="2"/>
    </row>
    <row r="34" customFormat="false" ht="79.85" hidden="false" customHeight="false" outlineLevel="0" collapsed="false">
      <c r="A34" s="2" t="n">
        <v>33</v>
      </c>
      <c r="B34" s="2" t="s">
        <v>74</v>
      </c>
      <c r="C34" s="2" t="s">
        <v>132</v>
      </c>
      <c r="D34" s="2" t="s">
        <v>133</v>
      </c>
      <c r="E34" s="2" t="s">
        <v>134</v>
      </c>
      <c r="F34" s="2" t="s">
        <v>135</v>
      </c>
      <c r="G34" s="2"/>
    </row>
    <row r="35" customFormat="false" ht="79.85" hidden="false" customHeight="false" outlineLevel="0" collapsed="false">
      <c r="A35" s="2" t="n">
        <v>34</v>
      </c>
      <c r="B35" s="2" t="s">
        <v>74</v>
      </c>
      <c r="C35" s="2" t="s">
        <v>136</v>
      </c>
      <c r="D35" s="2" t="s">
        <v>137</v>
      </c>
      <c r="E35" s="2" t="s">
        <v>138</v>
      </c>
      <c r="F35" s="2" t="s">
        <v>139</v>
      </c>
      <c r="G35" s="2"/>
    </row>
    <row r="36" customFormat="false" ht="158.2" hidden="false" customHeight="false" outlineLevel="0" collapsed="false">
      <c r="A36" s="2" t="n">
        <v>35</v>
      </c>
      <c r="B36" s="2" t="s">
        <v>74</v>
      </c>
      <c r="C36" s="2" t="s">
        <v>140</v>
      </c>
      <c r="D36" s="2" t="s">
        <v>141</v>
      </c>
      <c r="E36" s="2" t="s">
        <v>142</v>
      </c>
      <c r="F36" s="2" t="s">
        <v>143</v>
      </c>
      <c r="G36" s="2"/>
    </row>
    <row r="37" customFormat="false" ht="225.35" hidden="false" customHeight="false" outlineLevel="0" collapsed="false">
      <c r="A37" s="2" t="n">
        <v>36</v>
      </c>
      <c r="B37" s="2" t="s">
        <v>74</v>
      </c>
      <c r="C37" s="2" t="s">
        <v>144</v>
      </c>
      <c r="D37" s="2" t="s">
        <v>145</v>
      </c>
      <c r="E37" s="2" t="s">
        <v>146</v>
      </c>
      <c r="F37" s="2" t="s">
        <v>78</v>
      </c>
      <c r="G37" s="2"/>
    </row>
    <row r="38" customFormat="false" ht="102.2" hidden="false" customHeight="false" outlineLevel="0" collapsed="false">
      <c r="A38" s="2" t="n">
        <v>37</v>
      </c>
      <c r="B38" s="2" t="s">
        <v>74</v>
      </c>
      <c r="C38" s="2" t="s">
        <v>147</v>
      </c>
      <c r="D38" s="2" t="s">
        <v>148</v>
      </c>
      <c r="E38" s="2" t="s">
        <v>149</v>
      </c>
      <c r="F38" s="2" t="s">
        <v>78</v>
      </c>
      <c r="G38" s="2"/>
    </row>
    <row r="39" customFormat="false" ht="147" hidden="false" customHeight="false" outlineLevel="0" collapsed="false">
      <c r="A39" s="2" t="n">
        <v>38</v>
      </c>
      <c r="B39" s="2" t="s">
        <v>74</v>
      </c>
      <c r="C39" s="2" t="s">
        <v>150</v>
      </c>
      <c r="D39" s="2" t="s">
        <v>151</v>
      </c>
      <c r="E39" s="2" t="s">
        <v>152</v>
      </c>
      <c r="F39" s="2" t="s">
        <v>153</v>
      </c>
      <c r="G39" s="2"/>
    </row>
    <row r="40" customFormat="false" ht="57.45" hidden="false" customHeight="false" outlineLevel="0" collapsed="false">
      <c r="A40" s="2" t="n">
        <v>39</v>
      </c>
      <c r="B40" s="2" t="s">
        <v>74</v>
      </c>
      <c r="C40" s="2" t="s">
        <v>154</v>
      </c>
      <c r="D40" s="2" t="s">
        <v>155</v>
      </c>
      <c r="E40" s="2" t="s">
        <v>156</v>
      </c>
      <c r="F40" s="2" t="s">
        <v>157</v>
      </c>
      <c r="G40" s="2"/>
    </row>
    <row r="41" customFormat="false" ht="191.75" hidden="false" customHeight="false" outlineLevel="0" collapsed="false">
      <c r="A41" s="2" t="n">
        <v>40</v>
      </c>
      <c r="B41" s="2" t="s">
        <v>74</v>
      </c>
      <c r="C41" s="2" t="s">
        <v>158</v>
      </c>
      <c r="D41" s="2" t="s">
        <v>159</v>
      </c>
      <c r="E41" s="2" t="s">
        <v>160</v>
      </c>
      <c r="F41" s="2" t="s">
        <v>161</v>
      </c>
      <c r="G41" s="2"/>
    </row>
    <row r="42" customFormat="false" ht="102.2" hidden="false" customHeight="false" outlineLevel="0" collapsed="false">
      <c r="A42" s="2" t="n">
        <v>41</v>
      </c>
      <c r="B42" s="2" t="s">
        <v>74</v>
      </c>
      <c r="C42" s="2" t="s">
        <v>162</v>
      </c>
      <c r="D42" s="2" t="s">
        <v>163</v>
      </c>
      <c r="E42" s="2" t="s">
        <v>164</v>
      </c>
      <c r="F42" s="2" t="s">
        <v>165</v>
      </c>
      <c r="G42" s="2"/>
    </row>
    <row r="43" customFormat="false" ht="102.2" hidden="false" customHeight="false" outlineLevel="0" collapsed="false">
      <c r="A43" s="2" t="n">
        <v>42</v>
      </c>
      <c r="B43" s="2" t="s">
        <v>74</v>
      </c>
      <c r="C43" s="2" t="s">
        <v>166</v>
      </c>
      <c r="D43" s="2" t="s">
        <v>167</v>
      </c>
      <c r="E43" s="2" t="s">
        <v>168</v>
      </c>
      <c r="F43" s="2" t="s">
        <v>169</v>
      </c>
      <c r="G43" s="2"/>
    </row>
    <row r="44" customFormat="false" ht="68.65" hidden="false" customHeight="false" outlineLevel="0" collapsed="false">
      <c r="A44" s="2" t="n">
        <v>43</v>
      </c>
      <c r="B44" s="2" t="s">
        <v>74</v>
      </c>
      <c r="C44" s="2" t="s">
        <v>170</v>
      </c>
      <c r="D44" s="2" t="s">
        <v>171</v>
      </c>
      <c r="E44" s="2" t="s">
        <v>172</v>
      </c>
      <c r="F44" s="2" t="s">
        <v>173</v>
      </c>
      <c r="G44" s="2"/>
    </row>
    <row r="45" customFormat="false" ht="57.45" hidden="false" customHeight="false" outlineLevel="0" collapsed="false">
      <c r="A45" s="2" t="n">
        <v>44</v>
      </c>
      <c r="B45" s="2" t="s">
        <v>74</v>
      </c>
      <c r="C45" s="2" t="s">
        <v>174</v>
      </c>
      <c r="D45" s="2" t="s">
        <v>175</v>
      </c>
      <c r="E45" s="2" t="s">
        <v>176</v>
      </c>
      <c r="F45" s="2" t="s">
        <v>177</v>
      </c>
      <c r="G45" s="2"/>
    </row>
    <row r="46" customFormat="false" ht="91" hidden="false" customHeight="false" outlineLevel="0" collapsed="false">
      <c r="A46" s="2" t="n">
        <v>45</v>
      </c>
      <c r="B46" s="2" t="s">
        <v>74</v>
      </c>
      <c r="C46" s="2" t="s">
        <v>178</v>
      </c>
      <c r="D46" s="2" t="s">
        <v>179</v>
      </c>
      <c r="E46" s="2" t="s">
        <v>180</v>
      </c>
      <c r="F46" s="2" t="s">
        <v>181</v>
      </c>
      <c r="G46" s="2"/>
    </row>
    <row r="47" customFormat="false" ht="147" hidden="false" customHeight="false" outlineLevel="0" collapsed="false">
      <c r="A47" s="2" t="n">
        <v>46</v>
      </c>
      <c r="B47" s="2" t="s">
        <v>74</v>
      </c>
      <c r="C47" s="2" t="s">
        <v>182</v>
      </c>
      <c r="D47" s="2" t="s">
        <v>183</v>
      </c>
      <c r="E47" s="2" t="s">
        <v>184</v>
      </c>
      <c r="F47" s="2" t="s">
        <v>185</v>
      </c>
      <c r="G47" s="2"/>
    </row>
    <row r="48" customFormat="false" ht="91" hidden="false" customHeight="false" outlineLevel="0" collapsed="false">
      <c r="A48" s="2" t="n">
        <v>47</v>
      </c>
      <c r="B48" s="2" t="s">
        <v>74</v>
      </c>
      <c r="C48" s="2" t="s">
        <v>186</v>
      </c>
      <c r="D48" s="2" t="s">
        <v>187</v>
      </c>
      <c r="E48" s="2" t="s">
        <v>188</v>
      </c>
      <c r="F48" s="2" t="s">
        <v>78</v>
      </c>
      <c r="G48" s="2"/>
    </row>
    <row r="49" customFormat="false" ht="46.25" hidden="false" customHeight="false" outlineLevel="0" collapsed="false">
      <c r="A49" s="2" t="n">
        <v>48</v>
      </c>
      <c r="B49" s="2" t="s">
        <v>74</v>
      </c>
      <c r="C49" s="2" t="s">
        <v>189</v>
      </c>
      <c r="D49" s="2" t="s">
        <v>190</v>
      </c>
      <c r="E49" s="2" t="s">
        <v>191</v>
      </c>
      <c r="F49" s="2" t="s">
        <v>192</v>
      </c>
      <c r="G49" s="2"/>
    </row>
    <row r="50" customFormat="false" ht="57.45" hidden="false" customHeight="false" outlineLevel="0" collapsed="false">
      <c r="A50" s="2" t="n">
        <v>49</v>
      </c>
      <c r="B50" s="2" t="s">
        <v>74</v>
      </c>
      <c r="C50" s="2" t="s">
        <v>193</v>
      </c>
      <c r="D50" s="2" t="s">
        <v>194</v>
      </c>
      <c r="E50" s="2" t="s">
        <v>195</v>
      </c>
      <c r="F50" s="2" t="s">
        <v>78</v>
      </c>
      <c r="G50" s="2"/>
    </row>
    <row r="51" customFormat="false" ht="46.25" hidden="false" customHeight="false" outlineLevel="0" collapsed="false">
      <c r="A51" s="2" t="n">
        <v>50</v>
      </c>
      <c r="B51" s="2" t="s">
        <v>74</v>
      </c>
      <c r="C51" s="2" t="s">
        <v>196</v>
      </c>
      <c r="D51" s="2" t="s">
        <v>197</v>
      </c>
      <c r="E51" s="2" t="s">
        <v>198</v>
      </c>
      <c r="F51" s="2" t="s">
        <v>199</v>
      </c>
      <c r="G51" s="2"/>
    </row>
    <row r="52" customFormat="false" ht="57.45" hidden="false" customHeight="false" outlineLevel="0" collapsed="false">
      <c r="A52" s="2" t="n">
        <v>51</v>
      </c>
      <c r="B52" s="2" t="s">
        <v>74</v>
      </c>
      <c r="C52" s="2" t="s">
        <v>200</v>
      </c>
      <c r="D52" s="2" t="s">
        <v>201</v>
      </c>
      <c r="E52" s="2" t="s">
        <v>202</v>
      </c>
      <c r="F52" s="2" t="s">
        <v>203</v>
      </c>
      <c r="G52" s="2"/>
    </row>
    <row r="53" customFormat="false" ht="46.25" hidden="false" customHeight="false" outlineLevel="0" collapsed="false">
      <c r="A53" s="2" t="n">
        <v>52</v>
      </c>
      <c r="B53" s="2" t="s">
        <v>74</v>
      </c>
      <c r="C53" s="2" t="s">
        <v>204</v>
      </c>
      <c r="D53" s="2" t="s">
        <v>205</v>
      </c>
      <c r="E53" s="2" t="s">
        <v>206</v>
      </c>
      <c r="F53" s="2" t="s">
        <v>207</v>
      </c>
      <c r="G53" s="2"/>
    </row>
    <row r="54" customFormat="false" ht="46.25" hidden="false" customHeight="false" outlineLevel="0" collapsed="false">
      <c r="A54" s="2" t="n">
        <v>53</v>
      </c>
      <c r="B54" s="2" t="s">
        <v>74</v>
      </c>
      <c r="C54" s="2" t="s">
        <v>208</v>
      </c>
      <c r="D54" s="2" t="s">
        <v>209</v>
      </c>
      <c r="E54" s="2" t="s">
        <v>210</v>
      </c>
      <c r="F54" s="2" t="s">
        <v>211</v>
      </c>
      <c r="G54" s="2"/>
    </row>
    <row r="55" customFormat="false" ht="135.8" hidden="false" customHeight="false" outlineLevel="0" collapsed="false">
      <c r="A55" s="2" t="n">
        <v>54</v>
      </c>
      <c r="B55" s="2" t="s">
        <v>74</v>
      </c>
      <c r="C55" s="2" t="s">
        <v>212</v>
      </c>
      <c r="D55" s="2" t="s">
        <v>213</v>
      </c>
      <c r="E55" s="2" t="s">
        <v>214</v>
      </c>
      <c r="F55" s="2" t="s">
        <v>215</v>
      </c>
      <c r="G55" s="2"/>
    </row>
    <row r="56" customFormat="false" ht="214.15" hidden="false" customHeight="false" outlineLevel="0" collapsed="false">
      <c r="A56" s="2" t="n">
        <v>55</v>
      </c>
      <c r="B56" s="2" t="s">
        <v>74</v>
      </c>
      <c r="C56" s="2" t="s">
        <v>216</v>
      </c>
      <c r="D56" s="2" t="s">
        <v>217</v>
      </c>
      <c r="E56" s="2" t="s">
        <v>218</v>
      </c>
      <c r="F56" s="2" t="s">
        <v>219</v>
      </c>
      <c r="G56" s="2"/>
    </row>
    <row r="57" customFormat="false" ht="191.75" hidden="false" customHeight="false" outlineLevel="0" collapsed="false">
      <c r="A57" s="2" t="n">
        <v>56</v>
      </c>
      <c r="B57" s="2" t="s">
        <v>74</v>
      </c>
      <c r="C57" s="2" t="s">
        <v>220</v>
      </c>
      <c r="D57" s="2" t="s">
        <v>221</v>
      </c>
      <c r="E57" s="2" t="s">
        <v>222</v>
      </c>
      <c r="F57" s="2" t="s">
        <v>78</v>
      </c>
      <c r="G57" s="2"/>
    </row>
    <row r="58" customFormat="false" ht="113.4" hidden="false" customHeight="false" outlineLevel="0" collapsed="false">
      <c r="A58" s="2" t="n">
        <v>57</v>
      </c>
      <c r="B58" s="2" t="s">
        <v>74</v>
      </c>
      <c r="C58" s="2" t="s">
        <v>223</v>
      </c>
      <c r="D58" s="2" t="s">
        <v>224</v>
      </c>
      <c r="E58" s="2" t="s">
        <v>225</v>
      </c>
      <c r="F58" s="2" t="s">
        <v>226</v>
      </c>
      <c r="G58" s="2"/>
    </row>
    <row r="59" customFormat="false" ht="57.45" hidden="false" customHeight="false" outlineLevel="0" collapsed="false">
      <c r="A59" s="2" t="n">
        <v>58</v>
      </c>
      <c r="B59" s="2" t="s">
        <v>74</v>
      </c>
      <c r="C59" s="2" t="s">
        <v>227</v>
      </c>
      <c r="D59" s="2" t="s">
        <v>228</v>
      </c>
      <c r="E59" s="2" t="s">
        <v>229</v>
      </c>
      <c r="F59" s="2" t="s">
        <v>230</v>
      </c>
      <c r="G59" s="2"/>
    </row>
    <row r="60" customFormat="false" ht="102.2" hidden="false" customHeight="false" outlineLevel="0" collapsed="false">
      <c r="A60" s="2" t="n">
        <v>59</v>
      </c>
      <c r="B60" s="2" t="s">
        <v>74</v>
      </c>
      <c r="C60" s="2" t="s">
        <v>231</v>
      </c>
      <c r="D60" s="2" t="s">
        <v>232</v>
      </c>
      <c r="E60" s="2" t="s">
        <v>233</v>
      </c>
      <c r="F60" s="2" t="s">
        <v>234</v>
      </c>
      <c r="G60" s="2"/>
    </row>
    <row r="61" customFormat="false" ht="57.45" hidden="false" customHeight="false" outlineLevel="0" collapsed="false">
      <c r="A61" s="2" t="n">
        <v>60</v>
      </c>
      <c r="B61" s="2" t="s">
        <v>74</v>
      </c>
      <c r="C61" s="2" t="s">
        <v>235</v>
      </c>
      <c r="D61" s="2" t="s">
        <v>236</v>
      </c>
      <c r="E61" s="2" t="s">
        <v>237</v>
      </c>
      <c r="F61" s="2" t="s">
        <v>78</v>
      </c>
      <c r="G61" s="2"/>
    </row>
    <row r="62" customFormat="false" ht="57.45" hidden="false" customHeight="false" outlineLevel="0" collapsed="false">
      <c r="A62" s="2" t="n">
        <v>61</v>
      </c>
      <c r="B62" s="2" t="s">
        <v>74</v>
      </c>
      <c r="C62" s="2" t="s">
        <v>238</v>
      </c>
      <c r="D62" s="2" t="s">
        <v>239</v>
      </c>
      <c r="E62" s="2" t="s">
        <v>18</v>
      </c>
      <c r="F62" s="2" t="s">
        <v>240</v>
      </c>
      <c r="G62" s="2"/>
    </row>
    <row r="63" customFormat="false" ht="57.45" hidden="false" customHeight="false" outlineLevel="0" collapsed="false">
      <c r="A63" s="2" t="n">
        <v>62</v>
      </c>
      <c r="B63" s="2" t="s">
        <v>74</v>
      </c>
      <c r="C63" s="2" t="s">
        <v>241</v>
      </c>
      <c r="D63" s="2" t="s">
        <v>242</v>
      </c>
      <c r="E63" s="2" t="s">
        <v>243</v>
      </c>
      <c r="F63" s="2" t="s">
        <v>244</v>
      </c>
      <c r="G63" s="2"/>
    </row>
    <row r="64" customFormat="false" ht="124.6" hidden="false" customHeight="false" outlineLevel="0" collapsed="false">
      <c r="A64" s="2" t="n">
        <v>63</v>
      </c>
      <c r="B64" s="2" t="s">
        <v>74</v>
      </c>
      <c r="C64" s="2" t="s">
        <v>245</v>
      </c>
      <c r="D64" s="2" t="s">
        <v>246</v>
      </c>
      <c r="E64" s="2" t="s">
        <v>247</v>
      </c>
      <c r="F64" s="2" t="s">
        <v>78</v>
      </c>
      <c r="G64" s="2"/>
    </row>
    <row r="65" customFormat="false" ht="68.65" hidden="false" customHeight="false" outlineLevel="0" collapsed="false">
      <c r="A65" s="2" t="n">
        <v>64</v>
      </c>
      <c r="B65" s="2" t="s">
        <v>74</v>
      </c>
      <c r="C65" s="2" t="s">
        <v>248</v>
      </c>
      <c r="D65" s="2" t="s">
        <v>249</v>
      </c>
      <c r="E65" s="2" t="s">
        <v>250</v>
      </c>
      <c r="F65" s="2" t="s">
        <v>215</v>
      </c>
      <c r="G65" s="2"/>
    </row>
    <row r="66" customFormat="false" ht="102.2" hidden="false" customHeight="false" outlineLevel="0" collapsed="false">
      <c r="A66" s="2" t="n">
        <v>65</v>
      </c>
      <c r="B66" s="2" t="s">
        <v>74</v>
      </c>
      <c r="C66" s="2" t="s">
        <v>251</v>
      </c>
      <c r="D66" s="2" t="s">
        <v>252</v>
      </c>
      <c r="E66" s="2" t="s">
        <v>253</v>
      </c>
      <c r="F66" s="2" t="s">
        <v>254</v>
      </c>
      <c r="G66" s="2"/>
    </row>
    <row r="67" customFormat="false" ht="57.45" hidden="false" customHeight="false" outlineLevel="0" collapsed="false">
      <c r="A67" s="2" t="n">
        <v>66</v>
      </c>
      <c r="B67" s="2" t="s">
        <v>74</v>
      </c>
      <c r="C67" s="2" t="s">
        <v>255</v>
      </c>
      <c r="D67" s="2" t="s">
        <v>256</v>
      </c>
      <c r="E67" s="2" t="s">
        <v>257</v>
      </c>
      <c r="F67" s="2" t="s">
        <v>120</v>
      </c>
      <c r="G67" s="2"/>
    </row>
    <row r="68" customFormat="false" ht="57.45" hidden="false" customHeight="false" outlineLevel="0" collapsed="false">
      <c r="A68" s="2" t="n">
        <v>67</v>
      </c>
      <c r="B68" s="2" t="s">
        <v>74</v>
      </c>
      <c r="C68" s="2" t="s">
        <v>258</v>
      </c>
      <c r="D68" s="2" t="s">
        <v>259</v>
      </c>
      <c r="E68" s="2" t="s">
        <v>260</v>
      </c>
      <c r="F68" s="2" t="s">
        <v>261</v>
      </c>
      <c r="G68" s="2"/>
    </row>
    <row r="69" customFormat="false" ht="124.6" hidden="false" customHeight="false" outlineLevel="0" collapsed="false">
      <c r="A69" s="2" t="n">
        <v>68</v>
      </c>
      <c r="B69" s="2" t="s">
        <v>74</v>
      </c>
      <c r="C69" s="2" t="s">
        <v>262</v>
      </c>
      <c r="D69" s="2" t="s">
        <v>263</v>
      </c>
      <c r="E69" s="2" t="s">
        <v>264</v>
      </c>
      <c r="F69" s="2" t="s">
        <v>78</v>
      </c>
      <c r="G69" s="2"/>
    </row>
    <row r="70" customFormat="false" ht="46.25" hidden="false" customHeight="false" outlineLevel="0" collapsed="false">
      <c r="A70" s="2" t="n">
        <v>69</v>
      </c>
      <c r="B70" s="2" t="s">
        <v>74</v>
      </c>
      <c r="C70" s="2" t="s">
        <v>265</v>
      </c>
      <c r="D70" s="2" t="s">
        <v>64</v>
      </c>
      <c r="E70" s="2" t="s">
        <v>266</v>
      </c>
      <c r="F70" s="2" t="s">
        <v>78</v>
      </c>
      <c r="G70" s="2"/>
    </row>
    <row r="71" customFormat="false" ht="68.65" hidden="false" customHeight="false" outlineLevel="0" collapsed="false">
      <c r="A71" s="2" t="n">
        <v>70</v>
      </c>
      <c r="B71" s="2" t="s">
        <v>74</v>
      </c>
      <c r="C71" s="2" t="s">
        <v>267</v>
      </c>
      <c r="D71" s="2" t="s">
        <v>268</v>
      </c>
      <c r="E71" s="2" t="s">
        <v>269</v>
      </c>
      <c r="F71" s="2" t="s">
        <v>270</v>
      </c>
      <c r="G71" s="2"/>
    </row>
    <row r="72" customFormat="false" ht="225.35" hidden="false" customHeight="false" outlineLevel="0" collapsed="false">
      <c r="A72" s="2" t="n">
        <v>71</v>
      </c>
      <c r="B72" s="2" t="s">
        <v>74</v>
      </c>
      <c r="C72" s="2" t="s">
        <v>271</v>
      </c>
      <c r="D72" s="2" t="s">
        <v>272</v>
      </c>
      <c r="E72" s="2" t="s">
        <v>273</v>
      </c>
      <c r="F72" s="2" t="s">
        <v>274</v>
      </c>
      <c r="G72" s="2"/>
    </row>
    <row r="73" customFormat="false" ht="46.25" hidden="false" customHeight="false" outlineLevel="0" collapsed="false">
      <c r="A73" s="2" t="n">
        <v>72</v>
      </c>
      <c r="B73" s="2" t="s">
        <v>74</v>
      </c>
      <c r="C73" s="2" t="s">
        <v>275</v>
      </c>
      <c r="D73" s="2" t="s">
        <v>276</v>
      </c>
      <c r="E73" s="2" t="s">
        <v>277</v>
      </c>
      <c r="F73" s="2" t="s">
        <v>278</v>
      </c>
      <c r="G73" s="2"/>
    </row>
    <row r="74" customFormat="false" ht="79.85" hidden="false" customHeight="false" outlineLevel="0" collapsed="false">
      <c r="A74" s="2" t="n">
        <v>73</v>
      </c>
      <c r="B74" s="2" t="s">
        <v>74</v>
      </c>
      <c r="C74" s="2" t="s">
        <v>279</v>
      </c>
      <c r="D74" s="2" t="s">
        <v>280</v>
      </c>
      <c r="E74" s="2" t="s">
        <v>281</v>
      </c>
      <c r="F74" s="2" t="s">
        <v>282</v>
      </c>
      <c r="G74" s="2"/>
    </row>
    <row r="75" customFormat="false" ht="35.05" hidden="false" customHeight="false" outlineLevel="0" collapsed="false">
      <c r="A75" s="2" t="n">
        <v>74</v>
      </c>
      <c r="B75" s="2" t="s">
        <v>74</v>
      </c>
      <c r="C75" s="2" t="s">
        <v>283</v>
      </c>
      <c r="D75" s="2" t="s">
        <v>284</v>
      </c>
      <c r="E75" s="2" t="s">
        <v>285</v>
      </c>
      <c r="F75" s="2" t="s">
        <v>78</v>
      </c>
      <c r="G75" s="2"/>
    </row>
    <row r="76" customFormat="false" ht="79.85" hidden="false" customHeight="false" outlineLevel="0" collapsed="false">
      <c r="A76" s="2" t="n">
        <v>75</v>
      </c>
      <c r="B76" s="2" t="s">
        <v>74</v>
      </c>
      <c r="C76" s="2" t="s">
        <v>286</v>
      </c>
      <c r="D76" s="2" t="s">
        <v>287</v>
      </c>
      <c r="E76" s="2" t="s">
        <v>288</v>
      </c>
      <c r="F76" s="2" t="s">
        <v>289</v>
      </c>
      <c r="G76" s="2"/>
    </row>
    <row r="77" customFormat="false" ht="46.25" hidden="false" customHeight="false" outlineLevel="0" collapsed="false">
      <c r="A77" s="2" t="n">
        <v>76</v>
      </c>
      <c r="B77" s="2" t="s">
        <v>74</v>
      </c>
      <c r="C77" s="2" t="s">
        <v>290</v>
      </c>
      <c r="D77" s="2" t="s">
        <v>291</v>
      </c>
      <c r="E77" s="2" t="s">
        <v>292</v>
      </c>
      <c r="F77" s="2" t="s">
        <v>78</v>
      </c>
      <c r="G77" s="2"/>
    </row>
    <row r="78" customFormat="false" ht="46.25" hidden="false" customHeight="false" outlineLevel="0" collapsed="false">
      <c r="A78" s="2" t="n">
        <v>77</v>
      </c>
      <c r="B78" s="2" t="s">
        <v>74</v>
      </c>
      <c r="C78" s="2" t="s">
        <v>293</v>
      </c>
      <c r="D78" s="2" t="s">
        <v>294</v>
      </c>
      <c r="E78" s="2" t="s">
        <v>295</v>
      </c>
      <c r="F78" s="2" t="s">
        <v>78</v>
      </c>
      <c r="G78" s="2"/>
    </row>
    <row r="79" customFormat="false" ht="57.45" hidden="false" customHeight="false" outlineLevel="0" collapsed="false">
      <c r="A79" s="2" t="n">
        <v>78</v>
      </c>
      <c r="B79" s="2" t="s">
        <v>74</v>
      </c>
      <c r="C79" s="2" t="s">
        <v>296</v>
      </c>
      <c r="D79" s="2" t="s">
        <v>297</v>
      </c>
      <c r="E79" s="2" t="s">
        <v>298</v>
      </c>
      <c r="F79" s="2" t="s">
        <v>299</v>
      </c>
      <c r="G79" s="2"/>
    </row>
    <row r="80" customFormat="false" ht="46.25" hidden="false" customHeight="false" outlineLevel="0" collapsed="false">
      <c r="A80" s="2" t="n">
        <v>79</v>
      </c>
      <c r="B80" s="2" t="s">
        <v>74</v>
      </c>
      <c r="C80" s="2" t="s">
        <v>300</v>
      </c>
      <c r="D80" s="2" t="s">
        <v>301</v>
      </c>
      <c r="E80" s="2" t="s">
        <v>302</v>
      </c>
      <c r="F80" s="2" t="s">
        <v>78</v>
      </c>
      <c r="G80" s="2"/>
    </row>
    <row r="81" customFormat="false" ht="46.25" hidden="false" customHeight="false" outlineLevel="0" collapsed="false">
      <c r="A81" s="2" t="n">
        <v>80</v>
      </c>
      <c r="B81" s="2" t="s">
        <v>74</v>
      </c>
      <c r="C81" s="2" t="s">
        <v>303</v>
      </c>
      <c r="D81" s="2" t="s">
        <v>304</v>
      </c>
      <c r="E81" s="2" t="s">
        <v>305</v>
      </c>
      <c r="F81" s="2" t="s">
        <v>78</v>
      </c>
      <c r="G81" s="2"/>
    </row>
    <row r="82" customFormat="false" ht="46.25" hidden="false" customHeight="false" outlineLevel="0" collapsed="false">
      <c r="A82" s="2" t="n">
        <v>81</v>
      </c>
      <c r="B82" s="2" t="s">
        <v>74</v>
      </c>
      <c r="C82" s="2" t="s">
        <v>306</v>
      </c>
      <c r="D82" s="2" t="s">
        <v>307</v>
      </c>
      <c r="E82" s="2" t="s">
        <v>308</v>
      </c>
      <c r="F82" s="2" t="s">
        <v>309</v>
      </c>
      <c r="G82" s="2"/>
    </row>
    <row r="83" customFormat="false" ht="35.05" hidden="false" customHeight="false" outlineLevel="0" collapsed="false">
      <c r="A83" s="2" t="n">
        <v>82</v>
      </c>
      <c r="B83" s="2" t="s">
        <v>74</v>
      </c>
      <c r="C83" s="2" t="s">
        <v>310</v>
      </c>
      <c r="D83" s="2" t="s">
        <v>311</v>
      </c>
      <c r="E83" s="2" t="s">
        <v>312</v>
      </c>
      <c r="F83" s="2" t="s">
        <v>313</v>
      </c>
      <c r="G83" s="2"/>
    </row>
    <row r="84" customFormat="false" ht="46.25" hidden="false" customHeight="false" outlineLevel="0" collapsed="false">
      <c r="A84" s="2" t="n">
        <v>83</v>
      </c>
      <c r="B84" s="2" t="s">
        <v>74</v>
      </c>
      <c r="C84" s="2" t="s">
        <v>314</v>
      </c>
      <c r="D84" s="2" t="s">
        <v>315</v>
      </c>
      <c r="E84" s="2" t="s">
        <v>316</v>
      </c>
      <c r="F84" s="2" t="s">
        <v>78</v>
      </c>
      <c r="G84" s="2"/>
    </row>
    <row r="85" customFormat="false" ht="35.05" hidden="false" customHeight="false" outlineLevel="0" collapsed="false">
      <c r="A85" s="2" t="n">
        <v>84</v>
      </c>
      <c r="B85" s="2" t="s">
        <v>74</v>
      </c>
      <c r="C85" s="2" t="s">
        <v>317</v>
      </c>
      <c r="D85" s="2" t="s">
        <v>318</v>
      </c>
      <c r="E85" s="2" t="s">
        <v>319</v>
      </c>
      <c r="F85" s="2" t="s">
        <v>78</v>
      </c>
      <c r="G85" s="2"/>
    </row>
    <row r="86" customFormat="false" ht="102.2" hidden="false" customHeight="false" outlineLevel="0" collapsed="false">
      <c r="A86" s="2" t="n">
        <v>85</v>
      </c>
      <c r="B86" s="2" t="s">
        <v>74</v>
      </c>
      <c r="C86" s="2" t="s">
        <v>320</v>
      </c>
      <c r="D86" s="2" t="s">
        <v>321</v>
      </c>
      <c r="E86" s="2" t="s">
        <v>322</v>
      </c>
      <c r="F86" s="2" t="s">
        <v>323</v>
      </c>
      <c r="G86" s="2"/>
    </row>
    <row r="87" customFormat="false" ht="57.45" hidden="false" customHeight="false" outlineLevel="0" collapsed="false">
      <c r="A87" s="2" t="n">
        <v>86</v>
      </c>
      <c r="B87" s="2" t="s">
        <v>74</v>
      </c>
      <c r="C87" s="2" t="s">
        <v>324</v>
      </c>
      <c r="D87" s="2" t="s">
        <v>325</v>
      </c>
      <c r="E87" s="2" t="s">
        <v>326</v>
      </c>
      <c r="F87" s="2" t="s">
        <v>78</v>
      </c>
      <c r="G87" s="2"/>
    </row>
    <row r="88" customFormat="false" ht="46.25" hidden="false" customHeight="false" outlineLevel="0" collapsed="false">
      <c r="A88" s="2" t="n">
        <v>87</v>
      </c>
      <c r="B88" s="2" t="s">
        <v>74</v>
      </c>
      <c r="C88" s="2" t="s">
        <v>327</v>
      </c>
      <c r="D88" s="2" t="s">
        <v>328</v>
      </c>
      <c r="E88" s="2" t="s">
        <v>329</v>
      </c>
      <c r="F88" s="2" t="s">
        <v>78</v>
      </c>
      <c r="G88" s="2"/>
    </row>
    <row r="89" customFormat="false" ht="46.25" hidden="false" customHeight="false" outlineLevel="0" collapsed="false">
      <c r="A89" s="2" t="n">
        <v>88</v>
      </c>
      <c r="B89" s="2" t="s">
        <v>74</v>
      </c>
      <c r="C89" s="2" t="s">
        <v>330</v>
      </c>
      <c r="D89" s="2" t="s">
        <v>331</v>
      </c>
      <c r="E89" s="2" t="s">
        <v>332</v>
      </c>
      <c r="F89" s="2" t="s">
        <v>78</v>
      </c>
      <c r="G89" s="2"/>
    </row>
    <row r="90" customFormat="false" ht="57.45" hidden="false" customHeight="false" outlineLevel="0" collapsed="false">
      <c r="A90" s="2" t="n">
        <v>89</v>
      </c>
      <c r="B90" s="2" t="s">
        <v>74</v>
      </c>
      <c r="C90" s="2" t="s">
        <v>333</v>
      </c>
      <c r="D90" s="2" t="s">
        <v>334</v>
      </c>
      <c r="E90" s="2" t="s">
        <v>335</v>
      </c>
      <c r="F90" s="2" t="s">
        <v>336</v>
      </c>
      <c r="G90" s="2"/>
    </row>
    <row r="91" customFormat="false" ht="57.45" hidden="false" customHeight="false" outlineLevel="0" collapsed="false">
      <c r="A91" s="2" t="n">
        <v>90</v>
      </c>
      <c r="B91" s="2" t="s">
        <v>74</v>
      </c>
      <c r="C91" s="2" t="s">
        <v>337</v>
      </c>
      <c r="D91" s="2" t="s">
        <v>338</v>
      </c>
      <c r="E91" s="2" t="s">
        <v>339</v>
      </c>
      <c r="F91" s="2" t="s">
        <v>340</v>
      </c>
      <c r="G91" s="2"/>
    </row>
    <row r="92" customFormat="false" ht="46.25" hidden="false" customHeight="false" outlineLevel="0" collapsed="false">
      <c r="A92" s="2" t="n">
        <v>91</v>
      </c>
      <c r="B92" s="2" t="s">
        <v>74</v>
      </c>
      <c r="C92" s="2" t="s">
        <v>341</v>
      </c>
      <c r="D92" s="2" t="s">
        <v>342</v>
      </c>
      <c r="E92" s="2" t="s">
        <v>343</v>
      </c>
      <c r="F92" s="2" t="s">
        <v>344</v>
      </c>
      <c r="G92" s="2"/>
    </row>
    <row r="93" customFormat="false" ht="46.25" hidden="false" customHeight="false" outlineLevel="0" collapsed="false">
      <c r="A93" s="2" t="n">
        <v>92</v>
      </c>
      <c r="B93" s="2" t="s">
        <v>74</v>
      </c>
      <c r="C93" s="2" t="s">
        <v>345</v>
      </c>
      <c r="D93" s="2" t="s">
        <v>346</v>
      </c>
      <c r="E93" s="2" t="s">
        <v>347</v>
      </c>
      <c r="F93" s="2" t="s">
        <v>348</v>
      </c>
      <c r="G93" s="2"/>
    </row>
    <row r="94" customFormat="false" ht="102.2" hidden="false" customHeight="false" outlineLevel="0" collapsed="false">
      <c r="A94" s="2" t="n">
        <v>93</v>
      </c>
      <c r="B94" s="2" t="s">
        <v>74</v>
      </c>
      <c r="C94" s="2" t="s">
        <v>349</v>
      </c>
      <c r="D94" s="2" t="s">
        <v>350</v>
      </c>
      <c r="E94" s="2" t="s">
        <v>351</v>
      </c>
      <c r="F94" s="2" t="s">
        <v>352</v>
      </c>
      <c r="G94" s="2"/>
    </row>
    <row r="95" customFormat="false" ht="102.2" hidden="false" customHeight="false" outlineLevel="0" collapsed="false">
      <c r="A95" s="2" t="n">
        <v>94</v>
      </c>
      <c r="B95" s="2" t="s">
        <v>74</v>
      </c>
      <c r="C95" s="2" t="s">
        <v>353</v>
      </c>
      <c r="D95" s="2" t="s">
        <v>354</v>
      </c>
      <c r="E95" s="2" t="s">
        <v>355</v>
      </c>
      <c r="F95" s="2" t="s">
        <v>323</v>
      </c>
      <c r="G95" s="2"/>
    </row>
    <row r="96" customFormat="false" ht="35.05" hidden="false" customHeight="false" outlineLevel="0" collapsed="false">
      <c r="A96" s="2" t="n">
        <v>95</v>
      </c>
      <c r="B96" s="2" t="s">
        <v>356</v>
      </c>
      <c r="C96" s="2" t="s">
        <v>357</v>
      </c>
      <c r="D96" s="2" t="s">
        <v>358</v>
      </c>
      <c r="E96" s="2" t="s">
        <v>359</v>
      </c>
      <c r="F96" s="2" t="s">
        <v>360</v>
      </c>
      <c r="G96" s="2"/>
    </row>
    <row r="97" customFormat="false" ht="23.85" hidden="false" customHeight="false" outlineLevel="0" collapsed="false">
      <c r="A97" s="2" t="n">
        <v>96</v>
      </c>
      <c r="B97" s="2" t="s">
        <v>356</v>
      </c>
      <c r="C97" s="2" t="s">
        <v>361</v>
      </c>
      <c r="D97" s="2" t="s">
        <v>362</v>
      </c>
      <c r="E97" s="2" t="s">
        <v>359</v>
      </c>
      <c r="F97" s="2" t="s">
        <v>360</v>
      </c>
      <c r="G97" s="2"/>
    </row>
    <row r="98" customFormat="false" ht="23.85" hidden="false" customHeight="false" outlineLevel="0" collapsed="false">
      <c r="A98" s="2" t="n">
        <v>97</v>
      </c>
      <c r="B98" s="2" t="s">
        <v>356</v>
      </c>
      <c r="C98" s="2" t="s">
        <v>363</v>
      </c>
      <c r="D98" s="2" t="s">
        <v>364</v>
      </c>
      <c r="E98" s="2" t="s">
        <v>359</v>
      </c>
      <c r="F98" s="2" t="s">
        <v>360</v>
      </c>
      <c r="G98" s="2"/>
    </row>
    <row r="99" customFormat="false" ht="35.05" hidden="false" customHeight="false" outlineLevel="0" collapsed="false">
      <c r="A99" s="2" t="n">
        <v>98</v>
      </c>
      <c r="B99" s="2" t="s">
        <v>356</v>
      </c>
      <c r="C99" s="2" t="s">
        <v>365</v>
      </c>
      <c r="D99" s="2" t="s">
        <v>366</v>
      </c>
      <c r="E99" s="2" t="s">
        <v>359</v>
      </c>
      <c r="F99" s="2" t="s">
        <v>360</v>
      </c>
      <c r="G99" s="2"/>
    </row>
    <row r="100" customFormat="false" ht="35.05" hidden="false" customHeight="false" outlineLevel="0" collapsed="false">
      <c r="A100" s="2" t="n">
        <v>99</v>
      </c>
      <c r="B100" s="2" t="s">
        <v>356</v>
      </c>
      <c r="C100" s="2" t="s">
        <v>367</v>
      </c>
      <c r="D100" s="2" t="s">
        <v>368</v>
      </c>
      <c r="E100" s="2" t="s">
        <v>359</v>
      </c>
      <c r="F100" s="2" t="s">
        <v>360</v>
      </c>
      <c r="G100" s="2"/>
    </row>
    <row r="101" customFormat="false" ht="46.25" hidden="false" customHeight="false" outlineLevel="0" collapsed="false">
      <c r="A101" s="2" t="n">
        <v>100</v>
      </c>
      <c r="B101" s="2" t="s">
        <v>356</v>
      </c>
      <c r="C101" s="2" t="s">
        <v>369</v>
      </c>
      <c r="D101" s="2" t="s">
        <v>370</v>
      </c>
      <c r="E101" s="2" t="s">
        <v>359</v>
      </c>
      <c r="F101" s="2" t="s">
        <v>360</v>
      </c>
      <c r="G101" s="2"/>
    </row>
    <row r="102" customFormat="false" ht="23.85" hidden="false" customHeight="false" outlineLevel="0" collapsed="false">
      <c r="A102" s="2" t="n">
        <v>101</v>
      </c>
      <c r="B102" s="2" t="s">
        <v>356</v>
      </c>
      <c r="C102" s="2" t="s">
        <v>371</v>
      </c>
      <c r="D102" s="2" t="s">
        <v>372</v>
      </c>
      <c r="E102" s="2" t="s">
        <v>359</v>
      </c>
      <c r="F102" s="2" t="s">
        <v>360</v>
      </c>
      <c r="G102" s="2"/>
    </row>
    <row r="103" customFormat="false" ht="23.85" hidden="false" customHeight="false" outlineLevel="0" collapsed="false">
      <c r="A103" s="2" t="n">
        <v>102</v>
      </c>
      <c r="B103" s="2" t="s">
        <v>356</v>
      </c>
      <c r="C103" s="2" t="s">
        <v>373</v>
      </c>
      <c r="D103" s="2" t="s">
        <v>372</v>
      </c>
      <c r="E103" s="2" t="s">
        <v>359</v>
      </c>
      <c r="F103" s="2" t="s">
        <v>360</v>
      </c>
      <c r="G103" s="2"/>
    </row>
    <row r="104" customFormat="false" ht="46.25" hidden="false" customHeight="false" outlineLevel="0" collapsed="false">
      <c r="A104" s="2" t="n">
        <v>103</v>
      </c>
      <c r="B104" s="2" t="s">
        <v>356</v>
      </c>
      <c r="C104" s="2" t="s">
        <v>374</v>
      </c>
      <c r="D104" s="2" t="s">
        <v>375</v>
      </c>
      <c r="E104" s="2" t="s">
        <v>376</v>
      </c>
      <c r="F104" s="2" t="s">
        <v>360</v>
      </c>
      <c r="G104" s="2"/>
    </row>
    <row r="105" customFormat="false" ht="23.85" hidden="false" customHeight="false" outlineLevel="0" collapsed="false">
      <c r="A105" s="2" t="n">
        <v>104</v>
      </c>
      <c r="B105" s="2" t="s">
        <v>356</v>
      </c>
      <c r="C105" s="2" t="s">
        <v>377</v>
      </c>
      <c r="D105" s="2" t="s">
        <v>378</v>
      </c>
      <c r="E105" s="2" t="s">
        <v>359</v>
      </c>
      <c r="F105" s="2" t="s">
        <v>360</v>
      </c>
      <c r="G105" s="2"/>
    </row>
    <row r="106" customFormat="false" ht="35.05" hidden="false" customHeight="false" outlineLevel="0" collapsed="false">
      <c r="A106" s="2" t="n">
        <v>105</v>
      </c>
      <c r="B106" s="2" t="s">
        <v>356</v>
      </c>
      <c r="C106" s="2" t="s">
        <v>379</v>
      </c>
      <c r="D106" s="2" t="s">
        <v>380</v>
      </c>
      <c r="E106" s="2" t="s">
        <v>381</v>
      </c>
      <c r="F106" s="2" t="s">
        <v>360</v>
      </c>
      <c r="G106" s="2"/>
    </row>
    <row r="107" customFormat="false" ht="23.85" hidden="false" customHeight="false" outlineLevel="0" collapsed="false">
      <c r="A107" s="2" t="n">
        <v>106</v>
      </c>
      <c r="B107" s="2" t="s">
        <v>356</v>
      </c>
      <c r="C107" s="2" t="s">
        <v>382</v>
      </c>
      <c r="D107" s="2" t="s">
        <v>383</v>
      </c>
      <c r="E107" s="2" t="s">
        <v>359</v>
      </c>
      <c r="F107" s="2" t="s">
        <v>360</v>
      </c>
      <c r="G107" s="2"/>
    </row>
    <row r="108" customFormat="false" ht="46.25" hidden="false" customHeight="false" outlineLevel="0" collapsed="false">
      <c r="A108" s="2" t="n">
        <v>107</v>
      </c>
      <c r="B108" s="2" t="s">
        <v>356</v>
      </c>
      <c r="C108" s="2" t="s">
        <v>384</v>
      </c>
      <c r="D108" s="2" t="s">
        <v>385</v>
      </c>
      <c r="E108" s="2" t="s">
        <v>359</v>
      </c>
      <c r="F108" s="2" t="s">
        <v>360</v>
      </c>
      <c r="G108" s="2"/>
    </row>
    <row r="109" customFormat="false" ht="23.85" hidden="false" customHeight="false" outlineLevel="0" collapsed="false">
      <c r="A109" s="2" t="n">
        <v>108</v>
      </c>
      <c r="B109" s="2" t="s">
        <v>356</v>
      </c>
      <c r="C109" s="2" t="s">
        <v>386</v>
      </c>
      <c r="D109" s="2" t="s">
        <v>387</v>
      </c>
      <c r="E109" s="2" t="s">
        <v>359</v>
      </c>
      <c r="F109" s="2" t="s">
        <v>360</v>
      </c>
      <c r="G109" s="2"/>
    </row>
    <row r="110" customFormat="false" ht="23.85" hidden="false" customHeight="false" outlineLevel="0" collapsed="false">
      <c r="A110" s="2" t="n">
        <v>109</v>
      </c>
      <c r="B110" s="2" t="s">
        <v>356</v>
      </c>
      <c r="C110" s="2" t="s">
        <v>388</v>
      </c>
      <c r="D110" s="2" t="s">
        <v>387</v>
      </c>
      <c r="E110" s="2" t="s">
        <v>359</v>
      </c>
      <c r="F110" s="2" t="s">
        <v>360</v>
      </c>
      <c r="G110" s="2"/>
    </row>
    <row r="111" customFormat="false" ht="23.85" hidden="false" customHeight="false" outlineLevel="0" collapsed="false">
      <c r="A111" s="2" t="n">
        <v>110</v>
      </c>
      <c r="B111" s="2" t="s">
        <v>356</v>
      </c>
      <c r="C111" s="2" t="s">
        <v>389</v>
      </c>
      <c r="D111" s="2" t="s">
        <v>390</v>
      </c>
      <c r="E111" s="2" t="s">
        <v>391</v>
      </c>
      <c r="F111" s="2" t="s">
        <v>360</v>
      </c>
      <c r="G111" s="2"/>
    </row>
    <row r="112" customFormat="false" ht="23.85" hidden="false" customHeight="false" outlineLevel="0" collapsed="false">
      <c r="A112" s="2" t="n">
        <v>111</v>
      </c>
      <c r="B112" s="2" t="s">
        <v>356</v>
      </c>
      <c r="C112" s="2" t="s">
        <v>392</v>
      </c>
      <c r="D112" s="2" t="s">
        <v>393</v>
      </c>
      <c r="E112" s="2" t="s">
        <v>394</v>
      </c>
      <c r="F112" s="2" t="s">
        <v>360</v>
      </c>
      <c r="G112" s="2"/>
    </row>
    <row r="113" customFormat="false" ht="23.85" hidden="false" customHeight="false" outlineLevel="0" collapsed="false">
      <c r="A113" s="2" t="n">
        <v>112</v>
      </c>
      <c r="B113" s="2" t="s">
        <v>356</v>
      </c>
      <c r="C113" s="2" t="s">
        <v>395</v>
      </c>
      <c r="D113" s="2" t="s">
        <v>393</v>
      </c>
      <c r="E113" s="2" t="s">
        <v>394</v>
      </c>
      <c r="F113" s="2" t="s">
        <v>360</v>
      </c>
      <c r="G113" s="2"/>
    </row>
    <row r="114" customFormat="false" ht="35.05" hidden="false" customHeight="false" outlineLevel="0" collapsed="false">
      <c r="A114" s="2" t="n">
        <v>113</v>
      </c>
      <c r="B114" s="2" t="s">
        <v>356</v>
      </c>
      <c r="C114" s="2" t="s">
        <v>396</v>
      </c>
      <c r="D114" s="2" t="s">
        <v>397</v>
      </c>
      <c r="E114" s="2" t="s">
        <v>398</v>
      </c>
      <c r="F114" s="2" t="s">
        <v>360</v>
      </c>
      <c r="G114" s="2"/>
    </row>
    <row r="115" customFormat="false" ht="23.85" hidden="false" customHeight="false" outlineLevel="0" collapsed="false">
      <c r="A115" s="2" t="n">
        <v>114</v>
      </c>
      <c r="B115" s="2" t="s">
        <v>356</v>
      </c>
      <c r="C115" s="2" t="s">
        <v>399</v>
      </c>
      <c r="D115" s="2" t="s">
        <v>400</v>
      </c>
      <c r="E115" s="2" t="s">
        <v>401</v>
      </c>
      <c r="F115" s="2" t="s">
        <v>360</v>
      </c>
      <c r="G115" s="2"/>
    </row>
    <row r="116" customFormat="false" ht="23.85" hidden="false" customHeight="false" outlineLevel="0" collapsed="false">
      <c r="A116" s="2" t="n">
        <v>115</v>
      </c>
      <c r="B116" s="2" t="s">
        <v>356</v>
      </c>
      <c r="C116" s="2" t="s">
        <v>402</v>
      </c>
      <c r="D116" s="2" t="s">
        <v>403</v>
      </c>
      <c r="E116" s="2" t="s">
        <v>404</v>
      </c>
      <c r="F116" s="2" t="s">
        <v>360</v>
      </c>
      <c r="G116" s="2"/>
    </row>
    <row r="117" customFormat="false" ht="23.85" hidden="false" customHeight="false" outlineLevel="0" collapsed="false">
      <c r="A117" s="2" t="n">
        <v>116</v>
      </c>
      <c r="B117" s="2" t="s">
        <v>356</v>
      </c>
      <c r="C117" s="2" t="s">
        <v>405</v>
      </c>
      <c r="D117" s="2" t="s">
        <v>406</v>
      </c>
      <c r="E117" s="2" t="s">
        <v>394</v>
      </c>
      <c r="F117" s="2" t="s">
        <v>360</v>
      </c>
      <c r="G117" s="2"/>
    </row>
    <row r="118" customFormat="false" ht="23.85" hidden="false" customHeight="false" outlineLevel="0" collapsed="false">
      <c r="A118" s="2" t="n">
        <v>117</v>
      </c>
      <c r="B118" s="2" t="s">
        <v>356</v>
      </c>
      <c r="C118" s="2" t="s">
        <v>407</v>
      </c>
      <c r="D118" s="2" t="s">
        <v>408</v>
      </c>
      <c r="E118" s="2" t="s">
        <v>394</v>
      </c>
      <c r="F118" s="2" t="s">
        <v>360</v>
      </c>
      <c r="G118" s="2"/>
    </row>
    <row r="119" customFormat="false" ht="23.85" hidden="false" customHeight="false" outlineLevel="0" collapsed="false">
      <c r="A119" s="2" t="n">
        <v>118</v>
      </c>
      <c r="B119" s="2" t="s">
        <v>356</v>
      </c>
      <c r="C119" s="2" t="s">
        <v>409</v>
      </c>
      <c r="D119" s="2" t="s">
        <v>410</v>
      </c>
      <c r="E119" s="2" t="s">
        <v>359</v>
      </c>
      <c r="F119" s="2" t="s">
        <v>360</v>
      </c>
      <c r="G119" s="2"/>
    </row>
    <row r="120" customFormat="false" ht="35.05" hidden="false" customHeight="false" outlineLevel="0" collapsed="false">
      <c r="A120" s="2" t="n">
        <v>119</v>
      </c>
      <c r="B120" s="2" t="s">
        <v>356</v>
      </c>
      <c r="C120" s="2" t="s">
        <v>411</v>
      </c>
      <c r="D120" s="2" t="s">
        <v>412</v>
      </c>
      <c r="E120" s="2" t="s">
        <v>359</v>
      </c>
      <c r="F120" s="2" t="s">
        <v>360</v>
      </c>
      <c r="G120" s="2"/>
    </row>
    <row r="121" customFormat="false" ht="23.85" hidden="false" customHeight="false" outlineLevel="0" collapsed="false">
      <c r="A121" s="2" t="n">
        <v>120</v>
      </c>
      <c r="B121" s="2" t="s">
        <v>356</v>
      </c>
      <c r="C121" s="2" t="s">
        <v>413</v>
      </c>
      <c r="D121" s="2" t="s">
        <v>414</v>
      </c>
      <c r="E121" s="2" t="s">
        <v>359</v>
      </c>
      <c r="F121" s="2" t="s">
        <v>360</v>
      </c>
      <c r="G121" s="2"/>
    </row>
    <row r="122" customFormat="false" ht="35.05" hidden="false" customHeight="false" outlineLevel="0" collapsed="false">
      <c r="A122" s="2" t="n">
        <v>121</v>
      </c>
      <c r="B122" s="2" t="s">
        <v>356</v>
      </c>
      <c r="C122" s="2" t="s">
        <v>415</v>
      </c>
      <c r="D122" s="2" t="s">
        <v>416</v>
      </c>
      <c r="E122" s="2" t="s">
        <v>417</v>
      </c>
      <c r="F122" s="2" t="s">
        <v>360</v>
      </c>
      <c r="G122" s="2"/>
    </row>
    <row r="123" customFormat="false" ht="35.05" hidden="false" customHeight="false" outlineLevel="0" collapsed="false">
      <c r="A123" s="2" t="n">
        <v>122</v>
      </c>
      <c r="B123" s="2" t="s">
        <v>356</v>
      </c>
      <c r="C123" s="2" t="s">
        <v>418</v>
      </c>
      <c r="D123" s="2" t="s">
        <v>419</v>
      </c>
      <c r="E123" s="2" t="s">
        <v>420</v>
      </c>
      <c r="F123" s="2" t="s">
        <v>360</v>
      </c>
      <c r="G123" s="2"/>
    </row>
    <row r="124" customFormat="false" ht="23.85" hidden="false" customHeight="false" outlineLevel="0" collapsed="false">
      <c r="A124" s="2" t="n">
        <v>123</v>
      </c>
      <c r="B124" s="2" t="s">
        <v>356</v>
      </c>
      <c r="C124" s="2" t="s">
        <v>421</v>
      </c>
      <c r="D124" s="2" t="s">
        <v>422</v>
      </c>
      <c r="E124" s="2" t="s">
        <v>359</v>
      </c>
      <c r="F124" s="2" t="s">
        <v>360</v>
      </c>
      <c r="G124" s="2"/>
    </row>
    <row r="125" customFormat="false" ht="35.05" hidden="false" customHeight="false" outlineLevel="0" collapsed="false">
      <c r="A125" s="2" t="n">
        <v>124</v>
      </c>
      <c r="B125" s="2" t="s">
        <v>356</v>
      </c>
      <c r="C125" s="2" t="s">
        <v>423</v>
      </c>
      <c r="D125" s="2" t="s">
        <v>424</v>
      </c>
      <c r="E125" s="2" t="s">
        <v>359</v>
      </c>
      <c r="F125" s="2" t="s">
        <v>360</v>
      </c>
      <c r="G125" s="2"/>
    </row>
    <row r="126" customFormat="false" ht="23.85" hidden="false" customHeight="false" outlineLevel="0" collapsed="false">
      <c r="A126" s="2" t="n">
        <v>125</v>
      </c>
      <c r="B126" s="2" t="s">
        <v>356</v>
      </c>
      <c r="C126" s="2" t="s">
        <v>425</v>
      </c>
      <c r="D126" s="2" t="s">
        <v>426</v>
      </c>
      <c r="E126" s="2" t="s">
        <v>359</v>
      </c>
      <c r="F126" s="2" t="s">
        <v>360</v>
      </c>
      <c r="G126" s="2"/>
    </row>
    <row r="127" customFormat="false" ht="23.85" hidden="false" customHeight="false" outlineLevel="0" collapsed="false">
      <c r="A127" s="2" t="n">
        <v>126</v>
      </c>
      <c r="B127" s="2" t="s">
        <v>356</v>
      </c>
      <c r="C127" s="2" t="s">
        <v>427</v>
      </c>
      <c r="D127" s="2" t="s">
        <v>426</v>
      </c>
      <c r="E127" s="2" t="s">
        <v>359</v>
      </c>
      <c r="F127" s="2" t="s">
        <v>360</v>
      </c>
      <c r="G127" s="2"/>
    </row>
    <row r="128" customFormat="false" ht="35.05" hidden="false" customHeight="false" outlineLevel="0" collapsed="false">
      <c r="A128" s="2" t="n">
        <v>127</v>
      </c>
      <c r="B128" s="2" t="s">
        <v>356</v>
      </c>
      <c r="C128" s="2" t="s">
        <v>428</v>
      </c>
      <c r="D128" s="2" t="s">
        <v>429</v>
      </c>
      <c r="E128" s="2" t="s">
        <v>359</v>
      </c>
      <c r="F128" s="2" t="s">
        <v>360</v>
      </c>
      <c r="G128" s="2"/>
    </row>
    <row r="129" customFormat="false" ht="35.05" hidden="false" customHeight="false" outlineLevel="0" collapsed="false">
      <c r="A129" s="2" t="n">
        <v>128</v>
      </c>
      <c r="B129" s="2" t="s">
        <v>356</v>
      </c>
      <c r="C129" s="2" t="s">
        <v>430</v>
      </c>
      <c r="D129" s="2" t="s">
        <v>431</v>
      </c>
      <c r="E129" s="2" t="s">
        <v>359</v>
      </c>
      <c r="F129" s="2" t="s">
        <v>360</v>
      </c>
      <c r="G129" s="2"/>
    </row>
    <row r="130" customFormat="false" ht="23.85" hidden="false" customHeight="false" outlineLevel="0" collapsed="false">
      <c r="A130" s="2" t="n">
        <v>129</v>
      </c>
      <c r="B130" s="2" t="s">
        <v>356</v>
      </c>
      <c r="C130" s="2" t="s">
        <v>432</v>
      </c>
      <c r="D130" s="2" t="s">
        <v>433</v>
      </c>
      <c r="E130" s="2" t="s">
        <v>434</v>
      </c>
      <c r="F130" s="2" t="s">
        <v>360</v>
      </c>
      <c r="G130" s="2"/>
    </row>
    <row r="131" customFormat="false" ht="23.85" hidden="false" customHeight="false" outlineLevel="0" collapsed="false">
      <c r="A131" s="2" t="n">
        <v>130</v>
      </c>
      <c r="B131" s="2" t="s">
        <v>356</v>
      </c>
      <c r="C131" s="2" t="s">
        <v>435</v>
      </c>
      <c r="D131" s="2" t="s">
        <v>436</v>
      </c>
      <c r="E131" s="2" t="s">
        <v>437</v>
      </c>
      <c r="F131" s="2" t="s">
        <v>360</v>
      </c>
      <c r="G131" s="2"/>
    </row>
    <row r="132" customFormat="false" ht="35.05" hidden="false" customHeight="false" outlineLevel="0" collapsed="false">
      <c r="A132" s="2" t="n">
        <v>131</v>
      </c>
      <c r="B132" s="2" t="s">
        <v>356</v>
      </c>
      <c r="C132" s="2" t="s">
        <v>438</v>
      </c>
      <c r="D132" s="2" t="s">
        <v>439</v>
      </c>
      <c r="E132" s="2" t="s">
        <v>440</v>
      </c>
      <c r="F132" s="2" t="s">
        <v>360</v>
      </c>
      <c r="G132" s="2"/>
    </row>
    <row r="133" customFormat="false" ht="23.85" hidden="false" customHeight="false" outlineLevel="0" collapsed="false">
      <c r="A133" s="2" t="n">
        <v>132</v>
      </c>
      <c r="B133" s="2" t="s">
        <v>441</v>
      </c>
      <c r="C133" s="2" t="s">
        <v>442</v>
      </c>
      <c r="D133" s="2" t="s">
        <v>443</v>
      </c>
      <c r="E133" s="2" t="s">
        <v>444</v>
      </c>
      <c r="F133" s="2" t="s">
        <v>360</v>
      </c>
      <c r="G133" s="2"/>
    </row>
    <row r="134" customFormat="false" ht="35.05" hidden="false" customHeight="false" outlineLevel="0" collapsed="false">
      <c r="A134" s="2" t="n">
        <v>133</v>
      </c>
      <c r="B134" s="2" t="s">
        <v>441</v>
      </c>
      <c r="C134" s="2" t="s">
        <v>445</v>
      </c>
      <c r="D134" s="2" t="s">
        <v>446</v>
      </c>
      <c r="E134" s="2" t="s">
        <v>447</v>
      </c>
      <c r="F134" s="2" t="s">
        <v>360</v>
      </c>
      <c r="G134" s="2"/>
    </row>
    <row r="135" customFormat="false" ht="23.85" hidden="false" customHeight="false" outlineLevel="0" collapsed="false">
      <c r="A135" s="2" t="n">
        <v>134</v>
      </c>
      <c r="B135" s="2" t="s">
        <v>441</v>
      </c>
      <c r="C135" s="2" t="s">
        <v>448</v>
      </c>
      <c r="D135" s="2" t="s">
        <v>449</v>
      </c>
      <c r="E135" s="2" t="s">
        <v>450</v>
      </c>
      <c r="F135" s="2" t="s">
        <v>360</v>
      </c>
      <c r="G135" s="2"/>
    </row>
    <row r="136" customFormat="false" ht="23.85" hidden="false" customHeight="false" outlineLevel="0" collapsed="false">
      <c r="A136" s="2" t="n">
        <v>135</v>
      </c>
      <c r="B136" s="2" t="s">
        <v>441</v>
      </c>
      <c r="C136" s="2" t="s">
        <v>451</v>
      </c>
      <c r="D136" s="2" t="s">
        <v>452</v>
      </c>
      <c r="E136" s="2" t="s">
        <v>453</v>
      </c>
      <c r="F136" s="2" t="s">
        <v>360</v>
      </c>
      <c r="G136" s="2"/>
    </row>
    <row r="137" customFormat="false" ht="23.85" hidden="false" customHeight="false" outlineLevel="0" collapsed="false">
      <c r="A137" s="2" t="n">
        <v>136</v>
      </c>
      <c r="B137" s="2" t="s">
        <v>441</v>
      </c>
      <c r="C137" s="2" t="s">
        <v>454</v>
      </c>
      <c r="D137" s="2" t="s">
        <v>455</v>
      </c>
      <c r="E137" s="2" t="s">
        <v>456</v>
      </c>
      <c r="F137" s="2" t="s">
        <v>360</v>
      </c>
      <c r="G137" s="2"/>
    </row>
    <row r="138" customFormat="false" ht="23.85" hidden="false" customHeight="false" outlineLevel="0" collapsed="false">
      <c r="A138" s="2" t="n">
        <v>137</v>
      </c>
      <c r="B138" s="2" t="s">
        <v>441</v>
      </c>
      <c r="C138" s="2" t="s">
        <v>457</v>
      </c>
      <c r="D138" s="2" t="s">
        <v>458</v>
      </c>
      <c r="E138" s="2" t="s">
        <v>459</v>
      </c>
      <c r="F138" s="2" t="s">
        <v>360</v>
      </c>
      <c r="G138" s="2"/>
    </row>
    <row r="139" customFormat="false" ht="23.85" hidden="false" customHeight="false" outlineLevel="0" collapsed="false">
      <c r="A139" s="2" t="n">
        <v>138</v>
      </c>
      <c r="B139" s="2" t="s">
        <v>441</v>
      </c>
      <c r="C139" s="2" t="s">
        <v>460</v>
      </c>
      <c r="D139" s="2" t="s">
        <v>461</v>
      </c>
      <c r="E139" s="2" t="s">
        <v>462</v>
      </c>
      <c r="F139" s="2" t="s">
        <v>360</v>
      </c>
      <c r="G139" s="2"/>
    </row>
    <row r="140" customFormat="false" ht="23.85" hidden="false" customHeight="false" outlineLevel="0" collapsed="false">
      <c r="A140" s="2" t="n">
        <v>139</v>
      </c>
      <c r="B140" s="2" t="s">
        <v>441</v>
      </c>
      <c r="C140" s="2" t="s">
        <v>463</v>
      </c>
      <c r="D140" s="2" t="s">
        <v>464</v>
      </c>
      <c r="E140" s="2" t="s">
        <v>465</v>
      </c>
      <c r="F140" s="2" t="s">
        <v>360</v>
      </c>
      <c r="G140" s="2"/>
    </row>
    <row r="141" customFormat="false" ht="23.85" hidden="false" customHeight="false" outlineLevel="0" collapsed="false">
      <c r="A141" s="2" t="n">
        <v>140</v>
      </c>
      <c r="B141" s="2" t="s">
        <v>441</v>
      </c>
      <c r="C141" s="2" t="s">
        <v>466</v>
      </c>
      <c r="D141" s="2" t="s">
        <v>467</v>
      </c>
      <c r="E141" s="2" t="s">
        <v>468</v>
      </c>
      <c r="F141" s="2" t="s">
        <v>360</v>
      </c>
      <c r="G141" s="2"/>
    </row>
    <row r="142" customFormat="false" ht="35.05" hidden="false" customHeight="false" outlineLevel="0" collapsed="false">
      <c r="A142" s="2" t="n">
        <v>141</v>
      </c>
      <c r="B142" s="2" t="s">
        <v>441</v>
      </c>
      <c r="C142" s="2" t="s">
        <v>469</v>
      </c>
      <c r="D142" s="2" t="s">
        <v>470</v>
      </c>
      <c r="E142" s="2" t="s">
        <v>471</v>
      </c>
      <c r="F142" s="2" t="s">
        <v>360</v>
      </c>
      <c r="G142" s="2"/>
    </row>
    <row r="143" customFormat="false" ht="46.25" hidden="false" customHeight="false" outlineLevel="0" collapsed="false">
      <c r="A143" s="2" t="n">
        <v>142</v>
      </c>
      <c r="B143" s="2" t="s">
        <v>472</v>
      </c>
      <c r="C143" s="2" t="s">
        <v>473</v>
      </c>
      <c r="D143" s="2" t="s">
        <v>474</v>
      </c>
      <c r="E143" s="2" t="s">
        <v>475</v>
      </c>
      <c r="F143" s="2" t="s">
        <v>476</v>
      </c>
      <c r="G143" s="2"/>
    </row>
    <row r="144" customFormat="false" ht="35.05" hidden="false" customHeight="false" outlineLevel="0" collapsed="false">
      <c r="A144" s="2" t="n">
        <v>143</v>
      </c>
      <c r="B144" s="2" t="s">
        <v>472</v>
      </c>
      <c r="C144" s="2" t="s">
        <v>477</v>
      </c>
      <c r="D144" s="2" t="s">
        <v>478</v>
      </c>
      <c r="E144" s="2" t="s">
        <v>479</v>
      </c>
      <c r="F144" s="2" t="s">
        <v>480</v>
      </c>
      <c r="G144" s="2"/>
    </row>
    <row r="145" customFormat="false" ht="57.45" hidden="false" customHeight="false" outlineLevel="0" collapsed="false">
      <c r="A145" s="2" t="n">
        <v>144</v>
      </c>
      <c r="B145" s="2" t="s">
        <v>472</v>
      </c>
      <c r="C145" s="2" t="s">
        <v>481</v>
      </c>
      <c r="D145" s="2" t="s">
        <v>482</v>
      </c>
      <c r="E145" s="2" t="s">
        <v>483</v>
      </c>
      <c r="F145" s="2" t="s">
        <v>480</v>
      </c>
      <c r="G145" s="2"/>
    </row>
    <row r="146" customFormat="false" ht="46.25" hidden="false" customHeight="false" outlineLevel="0" collapsed="false">
      <c r="A146" s="2" t="n">
        <v>145</v>
      </c>
      <c r="B146" s="2" t="s">
        <v>472</v>
      </c>
      <c r="C146" s="2" t="s">
        <v>484</v>
      </c>
      <c r="D146" s="2" t="s">
        <v>485</v>
      </c>
      <c r="E146" s="2" t="s">
        <v>486</v>
      </c>
      <c r="F146" s="2" t="s">
        <v>487</v>
      </c>
      <c r="G146" s="2"/>
    </row>
    <row r="147" customFormat="false" ht="35.05" hidden="false" customHeight="false" outlineLevel="0" collapsed="false">
      <c r="A147" s="2" t="n">
        <v>146</v>
      </c>
      <c r="B147" s="2" t="s">
        <v>472</v>
      </c>
      <c r="C147" s="2" t="s">
        <v>488</v>
      </c>
      <c r="D147" s="2" t="s">
        <v>485</v>
      </c>
      <c r="E147" s="2" t="s">
        <v>489</v>
      </c>
      <c r="F147" s="2" t="s">
        <v>487</v>
      </c>
      <c r="G147" s="2"/>
    </row>
    <row r="148" customFormat="false" ht="46.25" hidden="false" customHeight="false" outlineLevel="0" collapsed="false">
      <c r="A148" s="2" t="n">
        <v>147</v>
      </c>
      <c r="B148" s="2" t="s">
        <v>472</v>
      </c>
      <c r="C148" s="2" t="s">
        <v>490</v>
      </c>
      <c r="D148" s="2" t="s">
        <v>491</v>
      </c>
      <c r="E148" s="2" t="s">
        <v>492</v>
      </c>
      <c r="F148" s="2" t="s">
        <v>493</v>
      </c>
      <c r="G148" s="2"/>
    </row>
    <row r="149" customFormat="false" ht="57.45" hidden="false" customHeight="false" outlineLevel="0" collapsed="false">
      <c r="A149" s="2" t="n">
        <v>148</v>
      </c>
      <c r="B149" s="2" t="s">
        <v>472</v>
      </c>
      <c r="C149" s="2" t="s">
        <v>494</v>
      </c>
      <c r="D149" s="2" t="s">
        <v>495</v>
      </c>
      <c r="E149" s="2" t="s">
        <v>496</v>
      </c>
      <c r="F149" s="2" t="s">
        <v>497</v>
      </c>
      <c r="G149" s="2"/>
    </row>
    <row r="150" customFormat="false" ht="57.45" hidden="false" customHeight="false" outlineLevel="0" collapsed="false">
      <c r="A150" s="2" t="n">
        <v>149</v>
      </c>
      <c r="B150" s="2" t="s">
        <v>472</v>
      </c>
      <c r="C150" s="2" t="s">
        <v>498</v>
      </c>
      <c r="D150" s="2" t="s">
        <v>499</v>
      </c>
      <c r="E150" s="2" t="s">
        <v>500</v>
      </c>
      <c r="F150" s="2" t="s">
        <v>493</v>
      </c>
      <c r="G150" s="2"/>
    </row>
    <row r="151" customFormat="false" ht="79.85" hidden="false" customHeight="false" outlineLevel="0" collapsed="false">
      <c r="A151" s="2" t="n">
        <v>150</v>
      </c>
      <c r="B151" s="2" t="s">
        <v>472</v>
      </c>
      <c r="C151" s="2" t="s">
        <v>501</v>
      </c>
      <c r="D151" s="2" t="s">
        <v>502</v>
      </c>
      <c r="E151" s="2" t="s">
        <v>503</v>
      </c>
      <c r="F151" s="2" t="s">
        <v>493</v>
      </c>
      <c r="G151" s="2"/>
    </row>
    <row r="152" customFormat="false" ht="79.85" hidden="false" customHeight="false" outlineLevel="0" collapsed="false">
      <c r="A152" s="2" t="n">
        <v>151</v>
      </c>
      <c r="B152" s="2" t="s">
        <v>472</v>
      </c>
      <c r="C152" s="2" t="s">
        <v>504</v>
      </c>
      <c r="D152" s="2" t="s">
        <v>505</v>
      </c>
      <c r="E152" s="2" t="s">
        <v>506</v>
      </c>
      <c r="F152" s="2" t="s">
        <v>507</v>
      </c>
      <c r="G152" s="2"/>
    </row>
    <row r="153" customFormat="false" ht="102.2" hidden="false" customHeight="false" outlineLevel="0" collapsed="false">
      <c r="A153" s="2" t="n">
        <v>152</v>
      </c>
      <c r="B153" s="2" t="s">
        <v>472</v>
      </c>
      <c r="C153" s="2" t="s">
        <v>508</v>
      </c>
      <c r="D153" s="2" t="s">
        <v>509</v>
      </c>
      <c r="E153" s="2" t="s">
        <v>510</v>
      </c>
      <c r="F153" s="2" t="s">
        <v>511</v>
      </c>
      <c r="G153" s="2"/>
    </row>
    <row r="154" customFormat="false" ht="68.65" hidden="false" customHeight="false" outlineLevel="0" collapsed="false">
      <c r="A154" s="2" t="n">
        <v>153</v>
      </c>
      <c r="B154" s="2" t="s">
        <v>472</v>
      </c>
      <c r="C154" s="2" t="s">
        <v>512</v>
      </c>
      <c r="D154" s="2" t="s">
        <v>513</v>
      </c>
      <c r="E154" s="2" t="s">
        <v>514</v>
      </c>
      <c r="F154" s="2" t="s">
        <v>515</v>
      </c>
      <c r="G154" s="2"/>
    </row>
    <row r="155" customFormat="false" ht="46.25" hidden="false" customHeight="false" outlineLevel="0" collapsed="false">
      <c r="A155" s="2" t="n">
        <v>154</v>
      </c>
      <c r="B155" s="2" t="s">
        <v>472</v>
      </c>
      <c r="C155" s="2" t="s">
        <v>516</v>
      </c>
      <c r="D155" s="2" t="s">
        <v>517</v>
      </c>
      <c r="E155" s="2" t="s">
        <v>518</v>
      </c>
      <c r="F155" s="2" t="s">
        <v>519</v>
      </c>
      <c r="G155" s="2"/>
    </row>
    <row r="156" customFormat="false" ht="35.05" hidden="false" customHeight="false" outlineLevel="0" collapsed="false">
      <c r="A156" s="2" t="n">
        <v>155</v>
      </c>
      <c r="B156" s="2" t="s">
        <v>472</v>
      </c>
      <c r="C156" s="2" t="s">
        <v>520</v>
      </c>
      <c r="D156" s="2" t="s">
        <v>521</v>
      </c>
      <c r="E156" s="2" t="s">
        <v>522</v>
      </c>
      <c r="F156" s="2" t="s">
        <v>523</v>
      </c>
      <c r="G156" s="2"/>
    </row>
    <row r="157" customFormat="false" ht="46.25" hidden="false" customHeight="false" outlineLevel="0" collapsed="false">
      <c r="A157" s="2" t="n">
        <v>156</v>
      </c>
      <c r="B157" s="2" t="s">
        <v>472</v>
      </c>
      <c r="C157" s="2" t="s">
        <v>524</v>
      </c>
      <c r="D157" s="2" t="s">
        <v>525</v>
      </c>
      <c r="E157" s="2" t="s">
        <v>526</v>
      </c>
      <c r="F157" s="2" t="s">
        <v>527</v>
      </c>
      <c r="G157" s="2"/>
    </row>
    <row r="158" customFormat="false" ht="23.85" hidden="false" customHeight="false" outlineLevel="0" collapsed="false">
      <c r="A158" s="2" t="n">
        <v>157</v>
      </c>
      <c r="B158" s="2" t="s">
        <v>472</v>
      </c>
      <c r="C158" s="2" t="s">
        <v>528</v>
      </c>
      <c r="D158" s="2" t="s">
        <v>529</v>
      </c>
      <c r="E158" s="2" t="s">
        <v>530</v>
      </c>
      <c r="F158" s="2" t="s">
        <v>531</v>
      </c>
      <c r="G158" s="2"/>
    </row>
    <row r="159" customFormat="false" ht="23.85" hidden="false" customHeight="false" outlineLevel="0" collapsed="false">
      <c r="A159" s="2" t="n">
        <v>158</v>
      </c>
      <c r="B159" s="2" t="s">
        <v>472</v>
      </c>
      <c r="C159" s="2" t="s">
        <v>532</v>
      </c>
      <c r="D159" s="2" t="s">
        <v>533</v>
      </c>
      <c r="E159" s="2" t="s">
        <v>534</v>
      </c>
      <c r="F159" s="2" t="s">
        <v>531</v>
      </c>
      <c r="G159" s="2"/>
    </row>
    <row r="160" customFormat="false" ht="23.85" hidden="false" customHeight="false" outlineLevel="0" collapsed="false">
      <c r="A160" s="2" t="n">
        <v>159</v>
      </c>
      <c r="B160" s="2" t="s">
        <v>472</v>
      </c>
      <c r="C160" s="2" t="s">
        <v>535</v>
      </c>
      <c r="D160" s="2" t="s">
        <v>536</v>
      </c>
      <c r="E160" s="2" t="s">
        <v>537</v>
      </c>
      <c r="F160" s="2" t="s">
        <v>527</v>
      </c>
      <c r="G160" s="2"/>
    </row>
    <row r="161" customFormat="false" ht="35.05" hidden="false" customHeight="false" outlineLevel="0" collapsed="false">
      <c r="A161" s="2" t="n">
        <v>160</v>
      </c>
      <c r="B161" s="2" t="s">
        <v>472</v>
      </c>
      <c r="C161" s="2" t="s">
        <v>538</v>
      </c>
      <c r="D161" s="2" t="s">
        <v>539</v>
      </c>
      <c r="E161" s="2" t="s">
        <v>540</v>
      </c>
      <c r="F161" s="2" t="s">
        <v>527</v>
      </c>
      <c r="G161" s="2"/>
    </row>
    <row r="162" customFormat="false" ht="35.05" hidden="false" customHeight="false" outlineLevel="0" collapsed="false">
      <c r="A162" s="2" t="n">
        <v>161</v>
      </c>
      <c r="B162" s="2" t="s">
        <v>472</v>
      </c>
      <c r="C162" s="2" t="s">
        <v>541</v>
      </c>
      <c r="D162" s="2" t="s">
        <v>542</v>
      </c>
      <c r="E162" s="2" t="s">
        <v>543</v>
      </c>
      <c r="F162" s="2" t="s">
        <v>544</v>
      </c>
      <c r="G162" s="2"/>
    </row>
    <row r="163" customFormat="false" ht="46.25" hidden="false" customHeight="false" outlineLevel="0" collapsed="false">
      <c r="A163" s="2" t="n">
        <v>162</v>
      </c>
      <c r="B163" s="2" t="s">
        <v>472</v>
      </c>
      <c r="C163" s="2" t="s">
        <v>545</v>
      </c>
      <c r="D163" s="2" t="s">
        <v>546</v>
      </c>
      <c r="E163" s="2" t="s">
        <v>547</v>
      </c>
      <c r="F163" s="2" t="s">
        <v>527</v>
      </c>
      <c r="G163" s="2"/>
    </row>
    <row r="164" customFormat="false" ht="23.85" hidden="false" customHeight="false" outlineLevel="0" collapsed="false">
      <c r="A164" s="2" t="n">
        <v>163</v>
      </c>
      <c r="B164" s="2" t="s">
        <v>472</v>
      </c>
      <c r="C164" s="2" t="s">
        <v>548</v>
      </c>
      <c r="D164" s="2" t="s">
        <v>549</v>
      </c>
      <c r="E164" s="2" t="s">
        <v>550</v>
      </c>
      <c r="F164" s="2" t="s">
        <v>527</v>
      </c>
      <c r="G164" s="2"/>
    </row>
    <row r="165" customFormat="false" ht="23.85" hidden="false" customHeight="false" outlineLevel="0" collapsed="false">
      <c r="A165" s="2" t="n">
        <v>164</v>
      </c>
      <c r="B165" s="2" t="s">
        <v>472</v>
      </c>
      <c r="C165" s="2" t="s">
        <v>551</v>
      </c>
      <c r="D165" s="2" t="s">
        <v>552</v>
      </c>
      <c r="E165" s="2" t="s">
        <v>553</v>
      </c>
      <c r="F165" s="2" t="s">
        <v>527</v>
      </c>
      <c r="G165" s="2"/>
    </row>
    <row r="166" customFormat="false" ht="35.05" hidden="false" customHeight="false" outlineLevel="0" collapsed="false">
      <c r="A166" s="2" t="n">
        <v>165</v>
      </c>
      <c r="B166" s="2" t="s">
        <v>472</v>
      </c>
      <c r="C166" s="2" t="s">
        <v>554</v>
      </c>
      <c r="D166" s="2" t="s">
        <v>555</v>
      </c>
      <c r="E166" s="2" t="s">
        <v>556</v>
      </c>
      <c r="F166" s="2" t="s">
        <v>557</v>
      </c>
      <c r="G166" s="2"/>
    </row>
    <row r="167" customFormat="false" ht="35.05" hidden="false" customHeight="false" outlineLevel="0" collapsed="false">
      <c r="A167" s="2" t="n">
        <v>166</v>
      </c>
      <c r="B167" s="2" t="s">
        <v>472</v>
      </c>
      <c r="C167" s="2" t="s">
        <v>558</v>
      </c>
      <c r="D167" s="2" t="s">
        <v>559</v>
      </c>
      <c r="E167" s="2" t="s">
        <v>560</v>
      </c>
      <c r="F167" s="2" t="s">
        <v>531</v>
      </c>
      <c r="G167" s="2"/>
    </row>
    <row r="168" customFormat="false" ht="35.05" hidden="false" customHeight="false" outlineLevel="0" collapsed="false">
      <c r="A168" s="2" t="n">
        <v>167</v>
      </c>
      <c r="B168" s="2" t="s">
        <v>472</v>
      </c>
      <c r="C168" s="2" t="s">
        <v>561</v>
      </c>
      <c r="D168" s="2" t="s">
        <v>562</v>
      </c>
      <c r="E168" s="2" t="s">
        <v>563</v>
      </c>
      <c r="F168" s="2" t="s">
        <v>544</v>
      </c>
      <c r="G168" s="2"/>
    </row>
    <row r="169" customFormat="false" ht="35.05" hidden="false" customHeight="false" outlineLevel="0" collapsed="false">
      <c r="A169" s="2" t="n">
        <v>168</v>
      </c>
      <c r="B169" s="2" t="s">
        <v>472</v>
      </c>
      <c r="C169" s="2" t="s">
        <v>564</v>
      </c>
      <c r="D169" s="2" t="s">
        <v>565</v>
      </c>
      <c r="E169" s="2" t="s">
        <v>566</v>
      </c>
      <c r="F169" s="2" t="s">
        <v>527</v>
      </c>
      <c r="G169" s="2"/>
    </row>
    <row r="170" customFormat="false" ht="35.05" hidden="false" customHeight="false" outlineLevel="0" collapsed="false">
      <c r="A170" s="2" t="n">
        <v>169</v>
      </c>
      <c r="B170" s="2" t="s">
        <v>472</v>
      </c>
      <c r="C170" s="2" t="s">
        <v>567</v>
      </c>
      <c r="D170" s="2" t="s">
        <v>568</v>
      </c>
      <c r="E170" s="2" t="s">
        <v>569</v>
      </c>
      <c r="F170" s="2" t="s">
        <v>527</v>
      </c>
      <c r="G170" s="2"/>
    </row>
    <row r="171" customFormat="false" ht="35.05" hidden="false" customHeight="false" outlineLevel="0" collapsed="false">
      <c r="A171" s="2" t="n">
        <v>170</v>
      </c>
      <c r="B171" s="2" t="s">
        <v>472</v>
      </c>
      <c r="C171" s="2" t="s">
        <v>570</v>
      </c>
      <c r="D171" s="2" t="s">
        <v>571</v>
      </c>
      <c r="E171" s="2" t="s">
        <v>572</v>
      </c>
      <c r="F171" s="2" t="s">
        <v>487</v>
      </c>
      <c r="G171" s="2"/>
    </row>
    <row r="172" customFormat="false" ht="35.05" hidden="false" customHeight="false" outlineLevel="0" collapsed="false">
      <c r="A172" s="2" t="n">
        <v>171</v>
      </c>
      <c r="B172" s="2" t="s">
        <v>472</v>
      </c>
      <c r="C172" s="2" t="s">
        <v>573</v>
      </c>
      <c r="D172" s="2" t="s">
        <v>574</v>
      </c>
      <c r="E172" s="2" t="s">
        <v>575</v>
      </c>
      <c r="F172" s="2" t="s">
        <v>527</v>
      </c>
      <c r="G172" s="2"/>
    </row>
    <row r="173" customFormat="false" ht="46.25" hidden="false" customHeight="false" outlineLevel="0" collapsed="false">
      <c r="A173" s="2" t="n">
        <v>172</v>
      </c>
      <c r="B173" s="2" t="s">
        <v>472</v>
      </c>
      <c r="C173" s="2" t="s">
        <v>576</v>
      </c>
      <c r="D173" s="2" t="s">
        <v>577</v>
      </c>
      <c r="E173" s="2" t="s">
        <v>578</v>
      </c>
      <c r="F173" s="2" t="s">
        <v>544</v>
      </c>
      <c r="G173" s="2"/>
    </row>
    <row r="174" customFormat="false" ht="23.85" hidden="false" customHeight="false" outlineLevel="0" collapsed="false">
      <c r="A174" s="2" t="n">
        <v>173</v>
      </c>
      <c r="B174" s="2" t="s">
        <v>472</v>
      </c>
      <c r="C174" s="2" t="s">
        <v>579</v>
      </c>
      <c r="D174" s="2" t="s">
        <v>580</v>
      </c>
      <c r="E174" s="2" t="s">
        <v>581</v>
      </c>
      <c r="F174" s="2" t="s">
        <v>527</v>
      </c>
      <c r="G174" s="2"/>
    </row>
    <row r="175" customFormat="false" ht="35.05" hidden="false" customHeight="false" outlineLevel="0" collapsed="false">
      <c r="A175" s="2" t="n">
        <v>174</v>
      </c>
      <c r="B175" s="2" t="s">
        <v>472</v>
      </c>
      <c r="C175" s="2" t="s">
        <v>582</v>
      </c>
      <c r="D175" s="2" t="s">
        <v>583</v>
      </c>
      <c r="E175" s="2" t="s">
        <v>584</v>
      </c>
      <c r="F175" s="2" t="s">
        <v>527</v>
      </c>
      <c r="G175" s="2"/>
    </row>
    <row r="176" customFormat="false" ht="35.05" hidden="false" customHeight="false" outlineLevel="0" collapsed="false">
      <c r="A176" s="2" t="n">
        <v>175</v>
      </c>
      <c r="B176" s="2" t="s">
        <v>472</v>
      </c>
      <c r="C176" s="2" t="s">
        <v>585</v>
      </c>
      <c r="D176" s="2" t="s">
        <v>586</v>
      </c>
      <c r="E176" s="2" t="s">
        <v>587</v>
      </c>
      <c r="F176" s="2" t="s">
        <v>588</v>
      </c>
      <c r="G176" s="2"/>
    </row>
    <row r="177" customFormat="false" ht="35.05" hidden="false" customHeight="false" outlineLevel="0" collapsed="false">
      <c r="A177" s="2" t="n">
        <v>176</v>
      </c>
      <c r="B177" s="2" t="s">
        <v>472</v>
      </c>
      <c r="C177" s="2" t="s">
        <v>589</v>
      </c>
      <c r="D177" s="2" t="s">
        <v>590</v>
      </c>
      <c r="E177" s="2" t="s">
        <v>591</v>
      </c>
      <c r="F177" s="2" t="s">
        <v>592</v>
      </c>
      <c r="G177" s="2"/>
    </row>
    <row r="178" customFormat="false" ht="23.85" hidden="false" customHeight="false" outlineLevel="0" collapsed="false">
      <c r="A178" s="2" t="n">
        <v>177</v>
      </c>
      <c r="B178" s="2" t="s">
        <v>472</v>
      </c>
      <c r="C178" s="2" t="s">
        <v>593</v>
      </c>
      <c r="D178" s="2" t="s">
        <v>594</v>
      </c>
      <c r="E178" s="2" t="s">
        <v>595</v>
      </c>
      <c r="F178" s="2" t="s">
        <v>527</v>
      </c>
      <c r="G178" s="2"/>
    </row>
    <row r="179" customFormat="false" ht="46.25" hidden="false" customHeight="false" outlineLevel="0" collapsed="false">
      <c r="A179" s="2" t="n">
        <v>178</v>
      </c>
      <c r="B179" s="2" t="s">
        <v>472</v>
      </c>
      <c r="C179" s="2" t="s">
        <v>596</v>
      </c>
      <c r="D179" s="2" t="s">
        <v>597</v>
      </c>
      <c r="E179" s="2" t="s">
        <v>598</v>
      </c>
      <c r="F179" s="2" t="s">
        <v>544</v>
      </c>
      <c r="G179" s="2"/>
    </row>
    <row r="180" customFormat="false" ht="23.85" hidden="false" customHeight="false" outlineLevel="0" collapsed="false">
      <c r="A180" s="2" t="n">
        <v>179</v>
      </c>
      <c r="B180" s="2" t="s">
        <v>472</v>
      </c>
      <c r="C180" s="2" t="s">
        <v>599</v>
      </c>
      <c r="D180" s="2" t="s">
        <v>600</v>
      </c>
      <c r="E180" s="2" t="s">
        <v>601</v>
      </c>
      <c r="F180" s="2" t="s">
        <v>531</v>
      </c>
      <c r="G180" s="2"/>
    </row>
    <row r="181" customFormat="false" ht="35.05" hidden="false" customHeight="false" outlineLevel="0" collapsed="false">
      <c r="A181" s="2" t="n">
        <v>180</v>
      </c>
      <c r="B181" s="2" t="s">
        <v>472</v>
      </c>
      <c r="C181" s="2" t="s">
        <v>602</v>
      </c>
      <c r="D181" s="2" t="s">
        <v>603</v>
      </c>
      <c r="E181" s="2" t="s">
        <v>604</v>
      </c>
      <c r="F181" s="2" t="s">
        <v>605</v>
      </c>
      <c r="G181" s="2"/>
    </row>
    <row r="182" customFormat="false" ht="102.2" hidden="false" customHeight="false" outlineLevel="0" collapsed="false">
      <c r="A182" s="2" t="n">
        <v>181</v>
      </c>
      <c r="B182" s="2" t="s">
        <v>472</v>
      </c>
      <c r="C182" s="2" t="s">
        <v>606</v>
      </c>
      <c r="D182" s="2" t="s">
        <v>607</v>
      </c>
      <c r="E182" s="2" t="s">
        <v>608</v>
      </c>
      <c r="F182" s="2" t="s">
        <v>609</v>
      </c>
      <c r="G182" s="2"/>
    </row>
    <row r="183" customFormat="false" ht="68.65" hidden="false" customHeight="false" outlineLevel="0" collapsed="false">
      <c r="A183" s="2" t="n">
        <v>182</v>
      </c>
      <c r="B183" s="2" t="s">
        <v>472</v>
      </c>
      <c r="C183" s="2" t="s">
        <v>610</v>
      </c>
      <c r="D183" s="2" t="s">
        <v>611</v>
      </c>
      <c r="E183" s="2" t="s">
        <v>612</v>
      </c>
      <c r="F183" s="2" t="s">
        <v>507</v>
      </c>
      <c r="G183" s="2"/>
    </row>
    <row r="184" customFormat="false" ht="68.65" hidden="false" customHeight="false" outlineLevel="0" collapsed="false">
      <c r="A184" s="2" t="n">
        <v>183</v>
      </c>
      <c r="B184" s="2" t="s">
        <v>472</v>
      </c>
      <c r="C184" s="2" t="s">
        <v>613</v>
      </c>
      <c r="D184" s="2" t="s">
        <v>614</v>
      </c>
      <c r="E184" s="2" t="s">
        <v>615</v>
      </c>
      <c r="F184" s="2" t="s">
        <v>616</v>
      </c>
      <c r="G184" s="2"/>
    </row>
    <row r="185" customFormat="false" ht="57.45" hidden="false" customHeight="false" outlineLevel="0" collapsed="false">
      <c r="A185" s="2" t="n">
        <v>184</v>
      </c>
      <c r="B185" s="2" t="s">
        <v>472</v>
      </c>
      <c r="C185" s="2" t="s">
        <v>617</v>
      </c>
      <c r="D185" s="2" t="s">
        <v>618</v>
      </c>
      <c r="E185" s="2" t="s">
        <v>619</v>
      </c>
      <c r="F185" s="2" t="s">
        <v>278</v>
      </c>
      <c r="G185" s="2"/>
    </row>
    <row r="186" customFormat="false" ht="79.85" hidden="false" customHeight="false" outlineLevel="0" collapsed="false">
      <c r="A186" s="2" t="n">
        <v>185</v>
      </c>
      <c r="B186" s="2" t="s">
        <v>472</v>
      </c>
      <c r="C186" s="2" t="s">
        <v>620</v>
      </c>
      <c r="D186" s="2" t="s">
        <v>621</v>
      </c>
      <c r="E186" s="2" t="s">
        <v>622</v>
      </c>
      <c r="F186" s="2" t="s">
        <v>623</v>
      </c>
      <c r="G186" s="2"/>
    </row>
    <row r="187" customFormat="false" ht="102.2" hidden="false" customHeight="false" outlineLevel="0" collapsed="false">
      <c r="A187" s="2" t="n">
        <v>186</v>
      </c>
      <c r="B187" s="2" t="s">
        <v>472</v>
      </c>
      <c r="C187" s="2" t="s">
        <v>624</v>
      </c>
      <c r="D187" s="2" t="s">
        <v>625</v>
      </c>
      <c r="E187" s="2" t="s">
        <v>626</v>
      </c>
      <c r="F187" s="2" t="s">
        <v>627</v>
      </c>
      <c r="G187" s="2"/>
    </row>
    <row r="188" customFormat="false" ht="35.05" hidden="false" customHeight="false" outlineLevel="0" collapsed="false">
      <c r="A188" s="2" t="n">
        <v>187</v>
      </c>
      <c r="B188" s="2" t="s">
        <v>472</v>
      </c>
      <c r="C188" s="2" t="s">
        <v>628</v>
      </c>
      <c r="D188" s="2" t="s">
        <v>629</v>
      </c>
      <c r="E188" s="2" t="s">
        <v>630</v>
      </c>
      <c r="F188" s="2" t="s">
        <v>631</v>
      </c>
      <c r="G188" s="2"/>
    </row>
    <row r="189" customFormat="false" ht="102.2" hidden="false" customHeight="false" outlineLevel="0" collapsed="false">
      <c r="A189" s="2" t="n">
        <v>188</v>
      </c>
      <c r="B189" s="2" t="s">
        <v>472</v>
      </c>
      <c r="C189" s="2" t="s">
        <v>632</v>
      </c>
      <c r="D189" s="2" t="s">
        <v>633</v>
      </c>
      <c r="E189" s="2" t="s">
        <v>634</v>
      </c>
      <c r="F189" s="2" t="s">
        <v>635</v>
      </c>
      <c r="G189" s="2"/>
    </row>
    <row r="190" customFormat="false" ht="57.45" hidden="false" customHeight="false" outlineLevel="0" collapsed="false">
      <c r="A190" s="2" t="n">
        <v>189</v>
      </c>
      <c r="B190" s="2" t="s">
        <v>472</v>
      </c>
      <c r="C190" s="2" t="s">
        <v>636</v>
      </c>
      <c r="D190" s="2" t="s">
        <v>637</v>
      </c>
      <c r="E190" s="2" t="s">
        <v>638</v>
      </c>
      <c r="F190" s="2" t="s">
        <v>639</v>
      </c>
      <c r="G190" s="2"/>
    </row>
    <row r="191" customFormat="false" ht="68.65" hidden="false" customHeight="false" outlineLevel="0" collapsed="false">
      <c r="A191" s="2" t="n">
        <v>190</v>
      </c>
      <c r="B191" s="2" t="s">
        <v>472</v>
      </c>
      <c r="C191" s="2" t="s">
        <v>640</v>
      </c>
      <c r="D191" s="2" t="s">
        <v>641</v>
      </c>
      <c r="E191" s="2" t="s">
        <v>642</v>
      </c>
      <c r="F191" s="2" t="s">
        <v>507</v>
      </c>
      <c r="G191" s="2"/>
    </row>
    <row r="192" customFormat="false" ht="57.45" hidden="false" customHeight="false" outlineLevel="0" collapsed="false">
      <c r="A192" s="2" t="n">
        <v>191</v>
      </c>
      <c r="B192" s="2" t="s">
        <v>472</v>
      </c>
      <c r="C192" s="2" t="s">
        <v>643</v>
      </c>
      <c r="D192" s="2" t="s">
        <v>644</v>
      </c>
      <c r="E192" s="2" t="s">
        <v>645</v>
      </c>
      <c r="F192" s="2" t="s">
        <v>507</v>
      </c>
      <c r="G192" s="2"/>
    </row>
    <row r="193" customFormat="false" ht="68.65" hidden="false" customHeight="false" outlineLevel="0" collapsed="false">
      <c r="A193" s="2" t="n">
        <v>192</v>
      </c>
      <c r="B193" s="2" t="s">
        <v>472</v>
      </c>
      <c r="C193" s="2" t="s">
        <v>646</v>
      </c>
      <c r="D193" s="2" t="s">
        <v>647</v>
      </c>
      <c r="E193" s="2" t="s">
        <v>648</v>
      </c>
      <c r="F193" s="2" t="s">
        <v>649</v>
      </c>
      <c r="G193" s="2"/>
    </row>
    <row r="194" customFormat="false" ht="57.45" hidden="false" customHeight="false" outlineLevel="0" collapsed="false">
      <c r="A194" s="2" t="n">
        <v>193</v>
      </c>
      <c r="B194" s="2" t="s">
        <v>472</v>
      </c>
      <c r="C194" s="2" t="s">
        <v>650</v>
      </c>
      <c r="D194" s="2" t="s">
        <v>651</v>
      </c>
      <c r="E194" s="2" t="s">
        <v>652</v>
      </c>
      <c r="F194" s="2" t="s">
        <v>653</v>
      </c>
      <c r="G194" s="2"/>
    </row>
    <row r="195" customFormat="false" ht="113.4" hidden="false" customHeight="false" outlineLevel="0" collapsed="false">
      <c r="A195" s="2" t="n">
        <v>194</v>
      </c>
      <c r="B195" s="2" t="s">
        <v>472</v>
      </c>
      <c r="C195" s="2" t="s">
        <v>654</v>
      </c>
      <c r="D195" s="2" t="s">
        <v>655</v>
      </c>
      <c r="E195" s="2" t="s">
        <v>656</v>
      </c>
      <c r="F195" s="2" t="s">
        <v>657</v>
      </c>
      <c r="G195" s="2"/>
    </row>
    <row r="196" customFormat="false" ht="57.45" hidden="false" customHeight="false" outlineLevel="0" collapsed="false">
      <c r="A196" s="2" t="n">
        <v>195</v>
      </c>
      <c r="B196" s="2" t="s">
        <v>472</v>
      </c>
      <c r="C196" s="2" t="s">
        <v>658</v>
      </c>
      <c r="D196" s="2" t="s">
        <v>659</v>
      </c>
      <c r="E196" s="2" t="s">
        <v>660</v>
      </c>
      <c r="F196" s="2" t="s">
        <v>487</v>
      </c>
      <c r="G196" s="2"/>
    </row>
    <row r="197" customFormat="false" ht="102.2" hidden="false" customHeight="false" outlineLevel="0" collapsed="false">
      <c r="A197" s="2" t="n">
        <v>196</v>
      </c>
      <c r="B197" s="2" t="s">
        <v>472</v>
      </c>
      <c r="C197" s="2" t="s">
        <v>661</v>
      </c>
      <c r="D197" s="2" t="s">
        <v>662</v>
      </c>
      <c r="E197" s="2" t="s">
        <v>663</v>
      </c>
      <c r="F197" s="2" t="s">
        <v>664</v>
      </c>
      <c r="G197" s="2"/>
    </row>
    <row r="198" customFormat="false" ht="169.4" hidden="false" customHeight="false" outlineLevel="0" collapsed="false">
      <c r="A198" s="2" t="n">
        <v>197</v>
      </c>
      <c r="B198" s="2" t="s">
        <v>472</v>
      </c>
      <c r="C198" s="2" t="s">
        <v>665</v>
      </c>
      <c r="D198" s="2" t="s">
        <v>666</v>
      </c>
      <c r="E198" s="2" t="s">
        <v>667</v>
      </c>
      <c r="F198" s="2" t="s">
        <v>507</v>
      </c>
      <c r="G198" s="2"/>
    </row>
    <row r="199" customFormat="false" ht="57.45" hidden="false" customHeight="false" outlineLevel="0" collapsed="false">
      <c r="A199" s="2" t="n">
        <v>198</v>
      </c>
      <c r="B199" s="2" t="s">
        <v>472</v>
      </c>
      <c r="C199" s="2" t="s">
        <v>668</v>
      </c>
      <c r="D199" s="2" t="s">
        <v>669</v>
      </c>
      <c r="E199" s="2" t="s">
        <v>670</v>
      </c>
      <c r="F199" s="2" t="s">
        <v>671</v>
      </c>
      <c r="G199" s="2"/>
    </row>
    <row r="200" customFormat="false" ht="79.85" hidden="false" customHeight="false" outlineLevel="0" collapsed="false">
      <c r="A200" s="2" t="n">
        <v>199</v>
      </c>
      <c r="B200" s="2" t="s">
        <v>472</v>
      </c>
      <c r="C200" s="2" t="s">
        <v>672</v>
      </c>
      <c r="D200" s="2" t="s">
        <v>673</v>
      </c>
      <c r="E200" s="2" t="s">
        <v>674</v>
      </c>
      <c r="F200" s="2" t="s">
        <v>507</v>
      </c>
      <c r="G200" s="2"/>
    </row>
    <row r="201" customFormat="false" ht="46.25" hidden="false" customHeight="false" outlineLevel="0" collapsed="false">
      <c r="A201" s="2" t="n">
        <v>200</v>
      </c>
      <c r="B201" s="2" t="s">
        <v>472</v>
      </c>
      <c r="C201" s="2" t="s">
        <v>675</v>
      </c>
      <c r="D201" s="2" t="s">
        <v>676</v>
      </c>
      <c r="E201" s="2" t="s">
        <v>677</v>
      </c>
      <c r="F201" s="2" t="s">
        <v>678</v>
      </c>
      <c r="G201" s="2"/>
    </row>
    <row r="202" customFormat="false" ht="46.25" hidden="false" customHeight="false" outlineLevel="0" collapsed="false">
      <c r="A202" s="2" t="n">
        <v>201</v>
      </c>
      <c r="B202" s="2" t="s">
        <v>472</v>
      </c>
      <c r="C202" s="2" t="s">
        <v>679</v>
      </c>
      <c r="D202" s="2" t="s">
        <v>680</v>
      </c>
      <c r="E202" s="2" t="s">
        <v>681</v>
      </c>
      <c r="F202" s="2" t="s">
        <v>682</v>
      </c>
      <c r="G202" s="2"/>
    </row>
    <row r="203" customFormat="false" ht="46.25" hidden="false" customHeight="false" outlineLevel="0" collapsed="false">
      <c r="A203" s="2" t="n">
        <v>202</v>
      </c>
      <c r="B203" s="2" t="s">
        <v>472</v>
      </c>
      <c r="C203" s="2" t="s">
        <v>683</v>
      </c>
      <c r="D203" s="2" t="s">
        <v>684</v>
      </c>
      <c r="E203" s="2" t="s">
        <v>685</v>
      </c>
      <c r="F203" s="2" t="s">
        <v>686</v>
      </c>
      <c r="G203" s="2"/>
    </row>
    <row r="204" customFormat="false" ht="46.25" hidden="false" customHeight="false" outlineLevel="0" collapsed="false">
      <c r="A204" s="2" t="n">
        <v>203</v>
      </c>
      <c r="B204" s="2" t="s">
        <v>472</v>
      </c>
      <c r="C204" s="2" t="s">
        <v>687</v>
      </c>
      <c r="D204" s="2" t="s">
        <v>688</v>
      </c>
      <c r="E204" s="2" t="s">
        <v>689</v>
      </c>
      <c r="F204" s="2" t="s">
        <v>690</v>
      </c>
      <c r="G204" s="2"/>
    </row>
    <row r="205" customFormat="false" ht="46.25" hidden="false" customHeight="false" outlineLevel="0" collapsed="false">
      <c r="A205" s="2" t="n">
        <v>204</v>
      </c>
      <c r="B205" s="2" t="s">
        <v>472</v>
      </c>
      <c r="C205" s="2" t="s">
        <v>691</v>
      </c>
      <c r="D205" s="2" t="s">
        <v>692</v>
      </c>
      <c r="E205" s="2" t="s">
        <v>693</v>
      </c>
      <c r="F205" s="2" t="s">
        <v>694</v>
      </c>
      <c r="G205" s="2"/>
    </row>
    <row r="206" customFormat="false" ht="147" hidden="false" customHeight="false" outlineLevel="0" collapsed="false">
      <c r="A206" s="2" t="n">
        <v>205</v>
      </c>
      <c r="B206" s="2" t="s">
        <v>472</v>
      </c>
      <c r="C206" s="2" t="s">
        <v>695</v>
      </c>
      <c r="D206" s="2" t="s">
        <v>696</v>
      </c>
      <c r="E206" s="2" t="s">
        <v>697</v>
      </c>
      <c r="F206" s="2" t="s">
        <v>698</v>
      </c>
      <c r="G206" s="2"/>
    </row>
    <row r="207" customFormat="false" ht="68.65" hidden="false" customHeight="false" outlineLevel="0" collapsed="false">
      <c r="A207" s="2" t="n">
        <v>206</v>
      </c>
      <c r="B207" s="2" t="s">
        <v>472</v>
      </c>
      <c r="C207" s="2" t="s">
        <v>699</v>
      </c>
      <c r="D207" s="2" t="s">
        <v>700</v>
      </c>
      <c r="E207" s="2" t="s">
        <v>701</v>
      </c>
      <c r="F207" s="2" t="s">
        <v>313</v>
      </c>
      <c r="G207" s="2"/>
    </row>
    <row r="208" customFormat="false" ht="46.25" hidden="false" customHeight="false" outlineLevel="0" collapsed="false">
      <c r="A208" s="2" t="n">
        <v>207</v>
      </c>
      <c r="B208" s="2" t="s">
        <v>472</v>
      </c>
      <c r="C208" s="2" t="s">
        <v>702</v>
      </c>
      <c r="D208" s="2" t="s">
        <v>703</v>
      </c>
      <c r="E208" s="2" t="s">
        <v>704</v>
      </c>
      <c r="F208" s="2" t="s">
        <v>705</v>
      </c>
      <c r="G208" s="2"/>
    </row>
    <row r="209" customFormat="false" ht="46.25" hidden="false" customHeight="false" outlineLevel="0" collapsed="false">
      <c r="A209" s="2" t="n">
        <v>208</v>
      </c>
      <c r="B209" s="2" t="s">
        <v>472</v>
      </c>
      <c r="C209" s="2" t="s">
        <v>706</v>
      </c>
      <c r="D209" s="2" t="s">
        <v>707</v>
      </c>
      <c r="E209" s="2" t="s">
        <v>708</v>
      </c>
      <c r="F209" s="2" t="s">
        <v>705</v>
      </c>
      <c r="G209" s="2"/>
    </row>
    <row r="210" customFormat="false" ht="46.25" hidden="false" customHeight="false" outlineLevel="0" collapsed="false">
      <c r="A210" s="2" t="n">
        <v>209</v>
      </c>
      <c r="B210" s="2" t="s">
        <v>472</v>
      </c>
      <c r="C210" s="2" t="s">
        <v>709</v>
      </c>
      <c r="D210" s="2" t="s">
        <v>710</v>
      </c>
      <c r="E210" s="2" t="s">
        <v>711</v>
      </c>
      <c r="F210" s="2" t="s">
        <v>712</v>
      </c>
      <c r="G210" s="2"/>
    </row>
    <row r="211" customFormat="false" ht="35.05" hidden="false" customHeight="false" outlineLevel="0" collapsed="false">
      <c r="A211" s="2" t="n">
        <v>210</v>
      </c>
      <c r="B211" s="2" t="s">
        <v>472</v>
      </c>
      <c r="C211" s="2" t="s">
        <v>713</v>
      </c>
      <c r="D211" s="2" t="s">
        <v>714</v>
      </c>
      <c r="E211" s="2" t="s">
        <v>715</v>
      </c>
      <c r="F211" s="2" t="s">
        <v>716</v>
      </c>
      <c r="G211" s="2"/>
    </row>
    <row r="212" customFormat="false" ht="46.25" hidden="false" customHeight="false" outlineLevel="0" collapsed="false">
      <c r="A212" s="2" t="n">
        <v>211</v>
      </c>
      <c r="B212" s="2" t="s">
        <v>472</v>
      </c>
      <c r="C212" s="2" t="s">
        <v>717</v>
      </c>
      <c r="D212" s="2" t="s">
        <v>718</v>
      </c>
      <c r="E212" s="2" t="s">
        <v>719</v>
      </c>
      <c r="F212" s="2" t="s">
        <v>720</v>
      </c>
      <c r="G212" s="2"/>
    </row>
    <row r="213" customFormat="false" ht="23.85" hidden="false" customHeight="false" outlineLevel="0" collapsed="false">
      <c r="A213" s="2" t="n">
        <v>212</v>
      </c>
      <c r="B213" s="2" t="s">
        <v>472</v>
      </c>
      <c r="C213" s="2" t="s">
        <v>721</v>
      </c>
      <c r="D213" s="2" t="s">
        <v>722</v>
      </c>
      <c r="E213" s="2" t="s">
        <v>723</v>
      </c>
      <c r="F213" s="2" t="s">
        <v>527</v>
      </c>
      <c r="G213" s="2"/>
    </row>
    <row r="214" customFormat="false" ht="91" hidden="false" customHeight="false" outlineLevel="0" collapsed="false">
      <c r="A214" s="2" t="n">
        <v>213</v>
      </c>
      <c r="B214" s="2" t="s">
        <v>472</v>
      </c>
      <c r="C214" s="2" t="s">
        <v>724</v>
      </c>
      <c r="D214" s="2" t="s">
        <v>725</v>
      </c>
      <c r="E214" s="2" t="s">
        <v>726</v>
      </c>
      <c r="F214" s="2" t="s">
        <v>727</v>
      </c>
      <c r="G214" s="2"/>
    </row>
    <row r="215" customFormat="false" ht="57.45" hidden="false" customHeight="false" outlineLevel="0" collapsed="false">
      <c r="A215" s="2" t="n">
        <v>214</v>
      </c>
      <c r="B215" s="2" t="s">
        <v>472</v>
      </c>
      <c r="C215" s="2" t="s">
        <v>728</v>
      </c>
      <c r="D215" s="2" t="s">
        <v>729</v>
      </c>
      <c r="E215" s="2" t="s">
        <v>730</v>
      </c>
      <c r="F215" s="2" t="s">
        <v>731</v>
      </c>
      <c r="G215" s="2"/>
    </row>
    <row r="216" customFormat="false" ht="46.25" hidden="false" customHeight="false" outlineLevel="0" collapsed="false">
      <c r="A216" s="2" t="n">
        <v>215</v>
      </c>
      <c r="B216" s="2" t="s">
        <v>472</v>
      </c>
      <c r="C216" s="2" t="s">
        <v>732</v>
      </c>
      <c r="D216" s="2" t="s">
        <v>733</v>
      </c>
      <c r="E216" s="2" t="s">
        <v>734</v>
      </c>
      <c r="F216" s="2" t="s">
        <v>735</v>
      </c>
      <c r="G216" s="2"/>
    </row>
    <row r="217" customFormat="false" ht="46.25" hidden="false" customHeight="false" outlineLevel="0" collapsed="false">
      <c r="A217" s="2" t="n">
        <v>216</v>
      </c>
      <c r="B217" s="2" t="s">
        <v>472</v>
      </c>
      <c r="C217" s="2" t="s">
        <v>736</v>
      </c>
      <c r="D217" s="2" t="s">
        <v>737</v>
      </c>
      <c r="E217" s="2" t="s">
        <v>738</v>
      </c>
      <c r="F217" s="2" t="s">
        <v>739</v>
      </c>
      <c r="G217" s="2"/>
    </row>
    <row r="218" customFormat="false" ht="46.25" hidden="false" customHeight="false" outlineLevel="0" collapsed="false">
      <c r="A218" s="2" t="n">
        <v>217</v>
      </c>
      <c r="B218" s="2" t="s">
        <v>472</v>
      </c>
      <c r="C218" s="2" t="s">
        <v>740</v>
      </c>
      <c r="D218" s="2" t="s">
        <v>741</v>
      </c>
      <c r="E218" s="2" t="s">
        <v>742</v>
      </c>
      <c r="F218" s="2" t="s">
        <v>743</v>
      </c>
      <c r="G218" s="2"/>
    </row>
    <row r="219" customFormat="false" ht="46.25" hidden="false" customHeight="false" outlineLevel="0" collapsed="false">
      <c r="A219" s="2" t="n">
        <v>218</v>
      </c>
      <c r="B219" s="2" t="s">
        <v>472</v>
      </c>
      <c r="C219" s="2" t="s">
        <v>744</v>
      </c>
      <c r="D219" s="2" t="s">
        <v>745</v>
      </c>
      <c r="E219" s="2" t="s">
        <v>746</v>
      </c>
      <c r="F219" s="2" t="s">
        <v>747</v>
      </c>
      <c r="G219" s="2"/>
    </row>
    <row r="220" customFormat="false" ht="57.45" hidden="false" customHeight="false" outlineLevel="0" collapsed="false">
      <c r="A220" s="2" t="n">
        <v>219</v>
      </c>
      <c r="B220" s="2" t="s">
        <v>472</v>
      </c>
      <c r="C220" s="2" t="s">
        <v>748</v>
      </c>
      <c r="D220" s="2" t="s">
        <v>749</v>
      </c>
      <c r="E220" s="2" t="s">
        <v>750</v>
      </c>
      <c r="F220" s="2" t="s">
        <v>751</v>
      </c>
      <c r="G220" s="2"/>
    </row>
    <row r="221" customFormat="false" ht="57.45" hidden="false" customHeight="false" outlineLevel="0" collapsed="false">
      <c r="A221" s="2" t="n">
        <v>220</v>
      </c>
      <c r="B221" s="2" t="s">
        <v>472</v>
      </c>
      <c r="C221" s="2" t="s">
        <v>752</v>
      </c>
      <c r="D221" s="2" t="s">
        <v>753</v>
      </c>
      <c r="E221" s="2" t="s">
        <v>754</v>
      </c>
      <c r="F221" s="2" t="s">
        <v>515</v>
      </c>
      <c r="G221" s="2"/>
    </row>
    <row r="222" customFormat="false" ht="68.65" hidden="false" customHeight="false" outlineLevel="0" collapsed="false">
      <c r="A222" s="2" t="n">
        <v>221</v>
      </c>
      <c r="B222" s="2" t="s">
        <v>472</v>
      </c>
      <c r="C222" s="2" t="s">
        <v>755</v>
      </c>
      <c r="D222" s="2" t="s">
        <v>756</v>
      </c>
      <c r="E222" s="2" t="s">
        <v>757</v>
      </c>
      <c r="F222" s="2" t="s">
        <v>507</v>
      </c>
      <c r="G222" s="2"/>
    </row>
    <row r="223" customFormat="false" ht="124.6" hidden="false" customHeight="false" outlineLevel="0" collapsed="false">
      <c r="A223" s="2" t="n">
        <v>222</v>
      </c>
      <c r="B223" s="2" t="s">
        <v>472</v>
      </c>
      <c r="C223" s="2" t="s">
        <v>758</v>
      </c>
      <c r="D223" s="2" t="s">
        <v>759</v>
      </c>
      <c r="E223" s="2" t="s">
        <v>760</v>
      </c>
      <c r="F223" s="2" t="s">
        <v>507</v>
      </c>
      <c r="G223" s="2"/>
    </row>
    <row r="224" customFormat="false" ht="57.45" hidden="false" customHeight="false" outlineLevel="0" collapsed="false">
      <c r="A224" s="2" t="n">
        <v>223</v>
      </c>
      <c r="B224" s="2" t="s">
        <v>472</v>
      </c>
      <c r="C224" s="2" t="s">
        <v>761</v>
      </c>
      <c r="D224" s="2" t="s">
        <v>762</v>
      </c>
      <c r="E224" s="2" t="s">
        <v>763</v>
      </c>
      <c r="F224" s="2" t="s">
        <v>507</v>
      </c>
      <c r="G224" s="2"/>
    </row>
    <row r="225" customFormat="false" ht="23.85" hidden="false" customHeight="false" outlineLevel="0" collapsed="false">
      <c r="A225" s="2" t="n">
        <v>224</v>
      </c>
      <c r="B225" s="2" t="s">
        <v>472</v>
      </c>
      <c r="C225" s="2" t="s">
        <v>764</v>
      </c>
      <c r="D225" s="2" t="s">
        <v>765</v>
      </c>
      <c r="E225" s="2" t="s">
        <v>766</v>
      </c>
      <c r="F225" s="2" t="s">
        <v>767</v>
      </c>
      <c r="G225" s="2"/>
    </row>
    <row r="226" customFormat="false" ht="23.85" hidden="false" customHeight="false" outlineLevel="0" collapsed="false">
      <c r="A226" s="2" t="n">
        <v>225</v>
      </c>
      <c r="B226" s="2" t="s">
        <v>472</v>
      </c>
      <c r="C226" s="2" t="s">
        <v>768</v>
      </c>
      <c r="D226" s="2" t="s">
        <v>769</v>
      </c>
      <c r="E226" s="2" t="s">
        <v>770</v>
      </c>
      <c r="F226" s="2" t="s">
        <v>544</v>
      </c>
      <c r="G226" s="2"/>
    </row>
    <row r="227" customFormat="false" ht="23.85" hidden="false" customHeight="false" outlineLevel="0" collapsed="false">
      <c r="A227" s="2" t="n">
        <v>226</v>
      </c>
      <c r="B227" s="2" t="s">
        <v>472</v>
      </c>
      <c r="C227" s="2" t="s">
        <v>771</v>
      </c>
      <c r="D227" s="2" t="s">
        <v>772</v>
      </c>
      <c r="E227" s="2" t="s">
        <v>773</v>
      </c>
      <c r="F227" s="2" t="s">
        <v>544</v>
      </c>
      <c r="G227" s="2"/>
    </row>
    <row r="228" customFormat="false" ht="23.85" hidden="false" customHeight="false" outlineLevel="0" collapsed="false">
      <c r="A228" s="2" t="n">
        <v>227</v>
      </c>
      <c r="B228" s="2" t="s">
        <v>472</v>
      </c>
      <c r="C228" s="2" t="s">
        <v>774</v>
      </c>
      <c r="D228" s="2" t="s">
        <v>775</v>
      </c>
      <c r="E228" s="2" t="s">
        <v>776</v>
      </c>
      <c r="F228" s="2" t="s">
        <v>767</v>
      </c>
      <c r="G228" s="2"/>
    </row>
    <row r="229" customFormat="false" ht="46.25" hidden="false" customHeight="false" outlineLevel="0" collapsed="false">
      <c r="A229" s="2" t="n">
        <v>228</v>
      </c>
      <c r="B229" s="2" t="s">
        <v>472</v>
      </c>
      <c r="C229" s="2" t="s">
        <v>777</v>
      </c>
      <c r="D229" s="2" t="s">
        <v>778</v>
      </c>
      <c r="E229" s="2" t="s">
        <v>779</v>
      </c>
      <c r="F229" s="2" t="s">
        <v>767</v>
      </c>
      <c r="G229" s="2"/>
    </row>
    <row r="230" customFormat="false" ht="35.05" hidden="false" customHeight="false" outlineLevel="0" collapsed="false">
      <c r="A230" s="2" t="n">
        <v>229</v>
      </c>
      <c r="B230" s="2" t="s">
        <v>472</v>
      </c>
      <c r="C230" s="2" t="s">
        <v>780</v>
      </c>
      <c r="D230" s="2" t="s">
        <v>781</v>
      </c>
      <c r="E230" s="2" t="s">
        <v>782</v>
      </c>
      <c r="F230" s="2" t="s">
        <v>767</v>
      </c>
      <c r="G230" s="2"/>
    </row>
    <row r="231" customFormat="false" ht="35.05" hidden="false" customHeight="false" outlineLevel="0" collapsed="false">
      <c r="A231" s="2" t="n">
        <v>230</v>
      </c>
      <c r="B231" s="2" t="s">
        <v>472</v>
      </c>
      <c r="C231" s="2" t="s">
        <v>783</v>
      </c>
      <c r="D231" s="2" t="s">
        <v>784</v>
      </c>
      <c r="E231" s="2" t="s">
        <v>785</v>
      </c>
      <c r="F231" s="2" t="s">
        <v>544</v>
      </c>
      <c r="G231" s="2"/>
    </row>
    <row r="232" customFormat="false" ht="35.05" hidden="false" customHeight="false" outlineLevel="0" collapsed="false">
      <c r="A232" s="2" t="n">
        <v>231</v>
      </c>
      <c r="B232" s="2" t="s">
        <v>472</v>
      </c>
      <c r="C232" s="2" t="s">
        <v>786</v>
      </c>
      <c r="D232" s="2" t="s">
        <v>787</v>
      </c>
      <c r="E232" s="2" t="s">
        <v>788</v>
      </c>
      <c r="F232" s="2" t="s">
        <v>789</v>
      </c>
      <c r="G232" s="2"/>
    </row>
    <row r="233" customFormat="false" ht="35.05" hidden="false" customHeight="false" outlineLevel="0" collapsed="false">
      <c r="A233" s="2" t="n">
        <v>232</v>
      </c>
      <c r="B233" s="2" t="s">
        <v>472</v>
      </c>
      <c r="C233" s="2" t="s">
        <v>790</v>
      </c>
      <c r="D233" s="2" t="s">
        <v>791</v>
      </c>
      <c r="E233" s="2" t="s">
        <v>792</v>
      </c>
      <c r="F233" s="2" t="s">
        <v>767</v>
      </c>
      <c r="G233" s="2"/>
    </row>
    <row r="234" customFormat="false" ht="35.05" hidden="false" customHeight="false" outlineLevel="0" collapsed="false">
      <c r="A234" s="2" t="n">
        <v>233</v>
      </c>
      <c r="B234" s="2" t="s">
        <v>472</v>
      </c>
      <c r="C234" s="2" t="s">
        <v>793</v>
      </c>
      <c r="D234" s="2" t="s">
        <v>794</v>
      </c>
      <c r="E234" s="2" t="s">
        <v>795</v>
      </c>
      <c r="F234" s="2" t="s">
        <v>796</v>
      </c>
      <c r="G234" s="2"/>
    </row>
    <row r="235" customFormat="false" ht="46.25" hidden="false" customHeight="false" outlineLevel="0" collapsed="false">
      <c r="A235" s="2" t="n">
        <v>234</v>
      </c>
      <c r="B235" s="2" t="s">
        <v>472</v>
      </c>
      <c r="C235" s="2" t="s">
        <v>797</v>
      </c>
      <c r="D235" s="2" t="s">
        <v>798</v>
      </c>
      <c r="E235" s="2" t="s">
        <v>799</v>
      </c>
      <c r="F235" s="2" t="s">
        <v>767</v>
      </c>
      <c r="G235" s="2"/>
    </row>
    <row r="236" customFormat="false" ht="46.25" hidden="false" customHeight="false" outlineLevel="0" collapsed="false">
      <c r="A236" s="2" t="n">
        <v>235</v>
      </c>
      <c r="B236" s="2" t="s">
        <v>472</v>
      </c>
      <c r="C236" s="2" t="s">
        <v>800</v>
      </c>
      <c r="D236" s="2" t="s">
        <v>801</v>
      </c>
      <c r="E236" s="2" t="s">
        <v>802</v>
      </c>
      <c r="F236" s="2" t="s">
        <v>803</v>
      </c>
      <c r="G236" s="2"/>
    </row>
    <row r="237" customFormat="false" ht="35.05" hidden="false" customHeight="false" outlineLevel="0" collapsed="false">
      <c r="A237" s="2" t="n">
        <v>236</v>
      </c>
      <c r="B237" s="2" t="s">
        <v>472</v>
      </c>
      <c r="C237" s="2" t="s">
        <v>804</v>
      </c>
      <c r="D237" s="2" t="s">
        <v>805</v>
      </c>
      <c r="E237" s="2" t="s">
        <v>806</v>
      </c>
      <c r="F237" s="2" t="s">
        <v>544</v>
      </c>
      <c r="G237" s="2"/>
    </row>
    <row r="238" customFormat="false" ht="23.85" hidden="false" customHeight="false" outlineLevel="0" collapsed="false">
      <c r="A238" s="2" t="n">
        <v>237</v>
      </c>
      <c r="B238" s="2" t="s">
        <v>472</v>
      </c>
      <c r="C238" s="2" t="s">
        <v>807</v>
      </c>
      <c r="D238" s="2" t="s">
        <v>808</v>
      </c>
      <c r="E238" s="2" t="s">
        <v>809</v>
      </c>
      <c r="F238" s="2" t="s">
        <v>767</v>
      </c>
      <c r="G238" s="2"/>
    </row>
    <row r="239" customFormat="false" ht="35.05" hidden="false" customHeight="false" outlineLevel="0" collapsed="false">
      <c r="A239" s="2" t="n">
        <v>238</v>
      </c>
      <c r="B239" s="2" t="s">
        <v>472</v>
      </c>
      <c r="C239" s="2" t="s">
        <v>810</v>
      </c>
      <c r="D239" s="2" t="s">
        <v>811</v>
      </c>
      <c r="E239" s="2" t="s">
        <v>812</v>
      </c>
      <c r="F239" s="2" t="s">
        <v>813</v>
      </c>
      <c r="G239" s="2"/>
    </row>
    <row r="240" customFormat="false" ht="35.05" hidden="false" customHeight="false" outlineLevel="0" collapsed="false">
      <c r="A240" s="2" t="n">
        <v>239</v>
      </c>
      <c r="B240" s="2" t="s">
        <v>472</v>
      </c>
      <c r="C240" s="2" t="s">
        <v>814</v>
      </c>
      <c r="D240" s="2" t="s">
        <v>815</v>
      </c>
      <c r="E240" s="2" t="s">
        <v>816</v>
      </c>
      <c r="F240" s="2" t="s">
        <v>527</v>
      </c>
      <c r="G240" s="2"/>
    </row>
    <row r="241" customFormat="false" ht="102.2" hidden="false" customHeight="false" outlineLevel="0" collapsed="false">
      <c r="A241" s="2" t="n">
        <v>240</v>
      </c>
      <c r="B241" s="2" t="s">
        <v>472</v>
      </c>
      <c r="C241" s="2" t="s">
        <v>817</v>
      </c>
      <c r="D241" s="2" t="s">
        <v>818</v>
      </c>
      <c r="E241" s="2" t="s">
        <v>819</v>
      </c>
      <c r="F241" s="2" t="s">
        <v>820</v>
      </c>
      <c r="G241" s="2"/>
    </row>
    <row r="242" customFormat="false" ht="35.05" hidden="false" customHeight="false" outlineLevel="0" collapsed="false">
      <c r="A242" s="2" t="n">
        <v>241</v>
      </c>
      <c r="B242" s="2" t="s">
        <v>472</v>
      </c>
      <c r="C242" s="2" t="s">
        <v>821</v>
      </c>
      <c r="D242" s="2" t="s">
        <v>822</v>
      </c>
      <c r="E242" s="2" t="s">
        <v>823</v>
      </c>
      <c r="F242" s="2" t="s">
        <v>789</v>
      </c>
      <c r="G242" s="2"/>
    </row>
    <row r="243" customFormat="false" ht="23.85" hidden="false" customHeight="false" outlineLevel="0" collapsed="false">
      <c r="A243" s="2" t="n">
        <v>242</v>
      </c>
      <c r="B243" s="2" t="s">
        <v>472</v>
      </c>
      <c r="C243" s="2" t="s">
        <v>824</v>
      </c>
      <c r="D243" s="2" t="s">
        <v>825</v>
      </c>
      <c r="E243" s="2" t="s">
        <v>826</v>
      </c>
      <c r="F243" s="2" t="s">
        <v>527</v>
      </c>
      <c r="G243" s="2"/>
    </row>
    <row r="244" customFormat="false" ht="35.05" hidden="false" customHeight="false" outlineLevel="0" collapsed="false">
      <c r="A244" s="2" t="n">
        <v>243</v>
      </c>
      <c r="B244" s="2" t="s">
        <v>472</v>
      </c>
      <c r="C244" s="2" t="s">
        <v>827</v>
      </c>
      <c r="D244" s="2" t="s">
        <v>828</v>
      </c>
      <c r="E244" s="2" t="s">
        <v>829</v>
      </c>
      <c r="F244" s="2" t="s">
        <v>767</v>
      </c>
      <c r="G244" s="2"/>
    </row>
    <row r="245" customFormat="false" ht="23.85" hidden="false" customHeight="false" outlineLevel="0" collapsed="false">
      <c r="A245" s="2" t="n">
        <v>244</v>
      </c>
      <c r="B245" s="2" t="s">
        <v>472</v>
      </c>
      <c r="C245" s="2" t="s">
        <v>830</v>
      </c>
      <c r="D245" s="2" t="s">
        <v>831</v>
      </c>
      <c r="E245" s="2" t="s">
        <v>832</v>
      </c>
      <c r="F245" s="2" t="s">
        <v>767</v>
      </c>
      <c r="G245" s="2"/>
    </row>
    <row r="246" customFormat="false" ht="79.85" hidden="false" customHeight="false" outlineLevel="0" collapsed="false">
      <c r="A246" s="2" t="n">
        <v>245</v>
      </c>
      <c r="B246" s="2" t="s">
        <v>472</v>
      </c>
      <c r="C246" s="2" t="s">
        <v>833</v>
      </c>
      <c r="D246" s="2" t="s">
        <v>834</v>
      </c>
      <c r="E246" s="2" t="s">
        <v>835</v>
      </c>
      <c r="F246" s="2" t="s">
        <v>836</v>
      </c>
      <c r="G246" s="2"/>
    </row>
    <row r="247" customFormat="false" ht="23.85" hidden="false" customHeight="false" outlineLevel="0" collapsed="false">
      <c r="A247" s="2" t="n">
        <v>246</v>
      </c>
      <c r="B247" s="2" t="s">
        <v>472</v>
      </c>
      <c r="C247" s="2" t="s">
        <v>837</v>
      </c>
      <c r="D247" s="2" t="s">
        <v>838</v>
      </c>
      <c r="E247" s="2" t="s">
        <v>839</v>
      </c>
      <c r="F247" s="2" t="s">
        <v>840</v>
      </c>
      <c r="G247" s="2"/>
    </row>
    <row r="248" customFormat="false" ht="79.85" hidden="false" customHeight="false" outlineLevel="0" collapsed="false">
      <c r="A248" s="2" t="n">
        <v>247</v>
      </c>
      <c r="B248" s="2" t="s">
        <v>472</v>
      </c>
      <c r="C248" s="2" t="s">
        <v>841</v>
      </c>
      <c r="D248" s="2" t="s">
        <v>842</v>
      </c>
      <c r="E248" s="2" t="s">
        <v>843</v>
      </c>
      <c r="F248" s="2" t="s">
        <v>844</v>
      </c>
      <c r="G248" s="2"/>
    </row>
    <row r="249" customFormat="false" ht="113.4" hidden="false" customHeight="false" outlineLevel="0" collapsed="false">
      <c r="A249" s="2" t="n">
        <v>248</v>
      </c>
      <c r="B249" s="2" t="s">
        <v>472</v>
      </c>
      <c r="C249" s="2" t="s">
        <v>845</v>
      </c>
      <c r="D249" s="2" t="s">
        <v>846</v>
      </c>
      <c r="E249" s="2" t="s">
        <v>847</v>
      </c>
      <c r="F249" s="2" t="s">
        <v>848</v>
      </c>
      <c r="G249" s="2"/>
    </row>
    <row r="250" customFormat="false" ht="79.85" hidden="false" customHeight="false" outlineLevel="0" collapsed="false">
      <c r="A250" s="2" t="n">
        <v>249</v>
      </c>
      <c r="B250" s="2" t="s">
        <v>472</v>
      </c>
      <c r="C250" s="2" t="s">
        <v>849</v>
      </c>
      <c r="D250" s="2" t="s">
        <v>850</v>
      </c>
      <c r="E250" s="2" t="s">
        <v>851</v>
      </c>
      <c r="F250" s="2" t="s">
        <v>507</v>
      </c>
      <c r="G250" s="2"/>
    </row>
    <row r="251" customFormat="false" ht="135.8" hidden="false" customHeight="false" outlineLevel="0" collapsed="false">
      <c r="A251" s="2" t="n">
        <v>250</v>
      </c>
      <c r="B251" s="2" t="s">
        <v>472</v>
      </c>
      <c r="C251" s="2" t="s">
        <v>852</v>
      </c>
      <c r="D251" s="2" t="s">
        <v>853</v>
      </c>
      <c r="E251" s="2" t="s">
        <v>854</v>
      </c>
      <c r="F251" s="2" t="s">
        <v>527</v>
      </c>
      <c r="G251" s="2"/>
    </row>
    <row r="252" customFormat="false" ht="202.95" hidden="false" customHeight="false" outlineLevel="0" collapsed="false">
      <c r="A252" s="2" t="n">
        <v>251</v>
      </c>
      <c r="B252" s="2" t="s">
        <v>472</v>
      </c>
      <c r="C252" s="2" t="s">
        <v>855</v>
      </c>
      <c r="D252" s="2" t="s">
        <v>856</v>
      </c>
      <c r="E252" s="2" t="s">
        <v>857</v>
      </c>
      <c r="F252" s="2" t="s">
        <v>767</v>
      </c>
      <c r="G252" s="2"/>
    </row>
    <row r="253" customFormat="false" ht="91" hidden="false" customHeight="false" outlineLevel="0" collapsed="false">
      <c r="A253" s="2" t="n">
        <v>252</v>
      </c>
      <c r="B253" s="2" t="s">
        <v>472</v>
      </c>
      <c r="C253" s="2" t="s">
        <v>858</v>
      </c>
      <c r="D253" s="2" t="s">
        <v>859</v>
      </c>
      <c r="E253" s="2" t="s">
        <v>860</v>
      </c>
      <c r="F253" s="2" t="s">
        <v>531</v>
      </c>
      <c r="G253" s="2"/>
    </row>
    <row r="254" customFormat="false" ht="113.4" hidden="false" customHeight="false" outlineLevel="0" collapsed="false">
      <c r="A254" s="2" t="n">
        <v>253</v>
      </c>
      <c r="B254" s="2" t="s">
        <v>472</v>
      </c>
      <c r="C254" s="2" t="s">
        <v>861</v>
      </c>
      <c r="D254" s="2" t="s">
        <v>862</v>
      </c>
      <c r="E254" s="2" t="s">
        <v>863</v>
      </c>
      <c r="F254" s="2" t="s">
        <v>544</v>
      </c>
      <c r="G254" s="2"/>
    </row>
    <row r="255" customFormat="false" ht="102.2" hidden="false" customHeight="false" outlineLevel="0" collapsed="false">
      <c r="A255" s="2" t="n">
        <v>254</v>
      </c>
      <c r="B255" s="2" t="s">
        <v>472</v>
      </c>
      <c r="C255" s="2" t="s">
        <v>864</v>
      </c>
      <c r="D255" s="2" t="s">
        <v>865</v>
      </c>
      <c r="E255" s="2" t="s">
        <v>866</v>
      </c>
      <c r="F255" s="2" t="s">
        <v>507</v>
      </c>
      <c r="G255" s="2"/>
    </row>
    <row r="256" customFormat="false" ht="46.25" hidden="false" customHeight="false" outlineLevel="0" collapsed="false">
      <c r="A256" s="2" t="n">
        <v>255</v>
      </c>
      <c r="B256" s="2" t="s">
        <v>867</v>
      </c>
      <c r="C256" s="2" t="s">
        <v>868</v>
      </c>
      <c r="D256" s="2" t="s">
        <v>869</v>
      </c>
      <c r="E256" s="2" t="s">
        <v>870</v>
      </c>
      <c r="F256" s="2" t="s">
        <v>871</v>
      </c>
      <c r="G256" s="2"/>
    </row>
    <row r="257" customFormat="false" ht="46.25" hidden="false" customHeight="false" outlineLevel="0" collapsed="false">
      <c r="A257" s="2" t="n">
        <v>256</v>
      </c>
      <c r="B257" s="2" t="s">
        <v>867</v>
      </c>
      <c r="C257" s="2" t="s">
        <v>872</v>
      </c>
      <c r="D257" s="2" t="s">
        <v>873</v>
      </c>
      <c r="E257" s="2" t="s">
        <v>874</v>
      </c>
      <c r="F257" s="2" t="s">
        <v>875</v>
      </c>
      <c r="G257" s="2"/>
    </row>
    <row r="258" customFormat="false" ht="46.25" hidden="false" customHeight="false" outlineLevel="0" collapsed="false">
      <c r="A258" s="2" t="n">
        <v>257</v>
      </c>
      <c r="B258" s="2" t="s">
        <v>867</v>
      </c>
      <c r="C258" s="2" t="s">
        <v>876</v>
      </c>
      <c r="D258" s="2" t="s">
        <v>877</v>
      </c>
      <c r="E258" s="2" t="s">
        <v>878</v>
      </c>
      <c r="F258" s="2" t="s">
        <v>879</v>
      </c>
      <c r="G258" s="2"/>
    </row>
    <row r="259" customFormat="false" ht="57.45" hidden="false" customHeight="false" outlineLevel="0" collapsed="false">
      <c r="A259" s="2" t="n">
        <v>258</v>
      </c>
      <c r="B259" s="2" t="s">
        <v>867</v>
      </c>
      <c r="C259" s="2" t="s">
        <v>880</v>
      </c>
      <c r="D259" s="2" t="s">
        <v>881</v>
      </c>
      <c r="E259" s="2" t="s">
        <v>882</v>
      </c>
      <c r="F259" s="2" t="s">
        <v>883</v>
      </c>
      <c r="G259" s="2"/>
    </row>
    <row r="260" customFormat="false" ht="35.05" hidden="false" customHeight="false" outlineLevel="0" collapsed="false">
      <c r="A260" s="2" t="n">
        <v>259</v>
      </c>
      <c r="B260" s="2" t="s">
        <v>867</v>
      </c>
      <c r="C260" s="2" t="s">
        <v>884</v>
      </c>
      <c r="D260" s="2" t="s">
        <v>885</v>
      </c>
      <c r="E260" s="2" t="s">
        <v>886</v>
      </c>
      <c r="F260" s="2" t="s">
        <v>887</v>
      </c>
      <c r="G260" s="2"/>
    </row>
    <row r="261" customFormat="false" ht="46.25" hidden="false" customHeight="false" outlineLevel="0" collapsed="false">
      <c r="A261" s="2" t="n">
        <v>260</v>
      </c>
      <c r="B261" s="2" t="s">
        <v>888</v>
      </c>
      <c r="C261" s="2" t="s">
        <v>889</v>
      </c>
      <c r="D261" s="2" t="s">
        <v>890</v>
      </c>
      <c r="E261" s="2" t="s">
        <v>891</v>
      </c>
      <c r="F261" s="2" t="s">
        <v>892</v>
      </c>
      <c r="G261" s="2"/>
    </row>
    <row r="262" customFormat="false" ht="35.05" hidden="false" customHeight="false" outlineLevel="0" collapsed="false">
      <c r="A262" s="2" t="n">
        <v>261</v>
      </c>
      <c r="B262" s="2" t="s">
        <v>888</v>
      </c>
      <c r="C262" s="2" t="s">
        <v>893</v>
      </c>
      <c r="D262" s="2" t="s">
        <v>894</v>
      </c>
      <c r="E262" s="2" t="s">
        <v>895</v>
      </c>
      <c r="F262" s="2" t="s">
        <v>892</v>
      </c>
      <c r="G262" s="2"/>
    </row>
    <row r="263" customFormat="false" ht="23.85" hidden="false" customHeight="false" outlineLevel="0" collapsed="false">
      <c r="A263" s="2" t="n">
        <v>262</v>
      </c>
      <c r="B263" s="2" t="s">
        <v>888</v>
      </c>
      <c r="C263" s="2" t="s">
        <v>896</v>
      </c>
      <c r="D263" s="2" t="s">
        <v>897</v>
      </c>
      <c r="E263" s="2" t="s">
        <v>898</v>
      </c>
      <c r="F263" s="2" t="s">
        <v>892</v>
      </c>
      <c r="G263" s="2"/>
    </row>
    <row r="264" customFormat="false" ht="23.85" hidden="false" customHeight="false" outlineLevel="0" collapsed="false">
      <c r="A264" s="2" t="n">
        <v>263</v>
      </c>
      <c r="B264" s="2" t="s">
        <v>888</v>
      </c>
      <c r="C264" s="2" t="s">
        <v>899</v>
      </c>
      <c r="D264" s="2" t="s">
        <v>900</v>
      </c>
      <c r="E264" s="2" t="s">
        <v>898</v>
      </c>
      <c r="F264" s="2" t="s">
        <v>892</v>
      </c>
      <c r="G264" s="2"/>
    </row>
    <row r="265" customFormat="false" ht="23.85" hidden="false" customHeight="false" outlineLevel="0" collapsed="false">
      <c r="A265" s="2" t="n">
        <v>264</v>
      </c>
      <c r="B265" s="2" t="s">
        <v>888</v>
      </c>
      <c r="C265" s="2" t="s">
        <v>901</v>
      </c>
      <c r="D265" s="2" t="s">
        <v>902</v>
      </c>
      <c r="E265" s="2" t="s">
        <v>898</v>
      </c>
      <c r="F265" s="2" t="s">
        <v>892</v>
      </c>
      <c r="G265" s="2"/>
    </row>
    <row r="266" customFormat="false" ht="23.85" hidden="false" customHeight="false" outlineLevel="0" collapsed="false">
      <c r="A266" s="2" t="n">
        <v>265</v>
      </c>
      <c r="B266" s="2" t="s">
        <v>888</v>
      </c>
      <c r="C266" s="2" t="s">
        <v>903</v>
      </c>
      <c r="D266" s="2" t="s">
        <v>904</v>
      </c>
      <c r="E266" s="2" t="s">
        <v>898</v>
      </c>
      <c r="F266" s="2" t="s">
        <v>892</v>
      </c>
      <c r="G266" s="2"/>
    </row>
    <row r="267" customFormat="false" ht="23.85" hidden="false" customHeight="false" outlineLevel="0" collapsed="false">
      <c r="A267" s="2" t="n">
        <v>266</v>
      </c>
      <c r="B267" s="2" t="s">
        <v>888</v>
      </c>
      <c r="C267" s="2" t="s">
        <v>905</v>
      </c>
      <c r="D267" s="2" t="s">
        <v>906</v>
      </c>
      <c r="E267" s="2" t="s">
        <v>898</v>
      </c>
      <c r="F267" s="2" t="s">
        <v>892</v>
      </c>
      <c r="G267" s="2"/>
    </row>
    <row r="268" customFormat="false" ht="23.85" hidden="false" customHeight="false" outlineLevel="0" collapsed="false">
      <c r="A268" s="2" t="n">
        <v>267</v>
      </c>
      <c r="B268" s="2" t="s">
        <v>888</v>
      </c>
      <c r="C268" s="2" t="s">
        <v>907</v>
      </c>
      <c r="D268" s="2" t="s">
        <v>908</v>
      </c>
      <c r="E268" s="2" t="s">
        <v>507</v>
      </c>
      <c r="F268" s="2" t="s">
        <v>892</v>
      </c>
      <c r="G268" s="2"/>
    </row>
    <row r="269" customFormat="false" ht="23.85" hidden="false" customHeight="false" outlineLevel="0" collapsed="false">
      <c r="A269" s="2" t="n">
        <v>268</v>
      </c>
      <c r="B269" s="2" t="s">
        <v>888</v>
      </c>
      <c r="C269" s="2" t="s">
        <v>909</v>
      </c>
      <c r="D269" s="2" t="s">
        <v>910</v>
      </c>
      <c r="E269" s="2" t="s">
        <v>911</v>
      </c>
      <c r="F269" s="2" t="s">
        <v>892</v>
      </c>
      <c r="G269" s="2"/>
    </row>
    <row r="270" customFormat="false" ht="23.85" hidden="false" customHeight="false" outlineLevel="0" collapsed="false">
      <c r="A270" s="2" t="n">
        <v>269</v>
      </c>
      <c r="B270" s="2" t="s">
        <v>888</v>
      </c>
      <c r="C270" s="2" t="s">
        <v>912</v>
      </c>
      <c r="D270" s="2" t="s">
        <v>913</v>
      </c>
      <c r="E270" s="2" t="s">
        <v>507</v>
      </c>
      <c r="F270" s="2" t="s">
        <v>892</v>
      </c>
      <c r="G270" s="2"/>
    </row>
    <row r="271" customFormat="false" ht="23.85" hidden="false" customHeight="false" outlineLevel="0" collapsed="false">
      <c r="A271" s="2" t="n">
        <v>270</v>
      </c>
      <c r="B271" s="2" t="s">
        <v>888</v>
      </c>
      <c r="C271" s="2" t="s">
        <v>914</v>
      </c>
      <c r="D271" s="2" t="s">
        <v>915</v>
      </c>
      <c r="E271" s="2" t="s">
        <v>507</v>
      </c>
      <c r="F271" s="2" t="s">
        <v>892</v>
      </c>
      <c r="G271" s="2"/>
    </row>
    <row r="272" customFormat="false" ht="23.85" hidden="false" customHeight="false" outlineLevel="0" collapsed="false">
      <c r="A272" s="2" t="n">
        <v>271</v>
      </c>
      <c r="B272" s="2" t="s">
        <v>888</v>
      </c>
      <c r="C272" s="2" t="s">
        <v>916</v>
      </c>
      <c r="D272" s="2" t="s">
        <v>917</v>
      </c>
      <c r="E272" s="2" t="s">
        <v>507</v>
      </c>
      <c r="F272" s="2" t="s">
        <v>892</v>
      </c>
      <c r="G272" s="2"/>
    </row>
    <row r="273" customFormat="false" ht="23.85" hidden="false" customHeight="false" outlineLevel="0" collapsed="false">
      <c r="A273" s="2" t="n">
        <v>272</v>
      </c>
      <c r="B273" s="2" t="s">
        <v>888</v>
      </c>
      <c r="C273" s="2" t="s">
        <v>918</v>
      </c>
      <c r="D273" s="2" t="s">
        <v>919</v>
      </c>
      <c r="E273" s="2" t="s">
        <v>507</v>
      </c>
      <c r="F273" s="2" t="s">
        <v>892</v>
      </c>
      <c r="G273" s="2"/>
    </row>
    <row r="274" customFormat="false" ht="23.85" hidden="false" customHeight="false" outlineLevel="0" collapsed="false">
      <c r="A274" s="2" t="n">
        <v>273</v>
      </c>
      <c r="B274" s="2" t="s">
        <v>888</v>
      </c>
      <c r="C274" s="2" t="s">
        <v>920</v>
      </c>
      <c r="D274" s="2" t="s">
        <v>921</v>
      </c>
      <c r="E274" s="2" t="s">
        <v>507</v>
      </c>
      <c r="F274" s="2" t="s">
        <v>892</v>
      </c>
      <c r="G274" s="2"/>
    </row>
    <row r="275" customFormat="false" ht="23.85" hidden="false" customHeight="false" outlineLevel="0" collapsed="false">
      <c r="A275" s="2" t="n">
        <v>274</v>
      </c>
      <c r="B275" s="2" t="s">
        <v>888</v>
      </c>
      <c r="C275" s="2" t="s">
        <v>922</v>
      </c>
      <c r="D275" s="2" t="s">
        <v>923</v>
      </c>
      <c r="E275" s="2" t="s">
        <v>507</v>
      </c>
      <c r="F275" s="2" t="s">
        <v>892</v>
      </c>
      <c r="G275" s="2"/>
    </row>
    <row r="276" customFormat="false" ht="23.85" hidden="false" customHeight="false" outlineLevel="0" collapsed="false">
      <c r="A276" s="2" t="n">
        <v>275</v>
      </c>
      <c r="B276" s="2" t="s">
        <v>888</v>
      </c>
      <c r="C276" s="2" t="s">
        <v>924</v>
      </c>
      <c r="D276" s="2" t="s">
        <v>925</v>
      </c>
      <c r="E276" s="2" t="s">
        <v>507</v>
      </c>
      <c r="F276" s="2" t="s">
        <v>892</v>
      </c>
      <c r="G276" s="2"/>
    </row>
    <row r="277" customFormat="false" ht="23.85" hidden="false" customHeight="false" outlineLevel="0" collapsed="false">
      <c r="A277" s="2" t="n">
        <v>276</v>
      </c>
      <c r="B277" s="2" t="s">
        <v>888</v>
      </c>
      <c r="C277" s="2" t="s">
        <v>926</v>
      </c>
      <c r="D277" s="2" t="s">
        <v>927</v>
      </c>
      <c r="E277" s="2" t="s">
        <v>507</v>
      </c>
      <c r="F277" s="2" t="s">
        <v>892</v>
      </c>
      <c r="G277" s="2"/>
    </row>
    <row r="278" customFormat="false" ht="23.85" hidden="false" customHeight="false" outlineLevel="0" collapsed="false">
      <c r="A278" s="2" t="n">
        <v>277</v>
      </c>
      <c r="B278" s="2" t="s">
        <v>888</v>
      </c>
      <c r="C278" s="2" t="s">
        <v>928</v>
      </c>
      <c r="D278" s="2" t="s">
        <v>929</v>
      </c>
      <c r="E278" s="2" t="s">
        <v>507</v>
      </c>
      <c r="F278" s="2" t="s">
        <v>892</v>
      </c>
      <c r="G278" s="2"/>
    </row>
    <row r="279" customFormat="false" ht="57.45" hidden="false" customHeight="false" outlineLevel="0" collapsed="false">
      <c r="A279" s="2" t="n">
        <v>278</v>
      </c>
      <c r="B279" s="2" t="s">
        <v>888</v>
      </c>
      <c r="C279" s="2" t="s">
        <v>930</v>
      </c>
      <c r="D279" s="2" t="s">
        <v>931</v>
      </c>
      <c r="E279" s="2" t="s">
        <v>932</v>
      </c>
      <c r="F279" s="2" t="s">
        <v>892</v>
      </c>
      <c r="G279" s="2"/>
    </row>
    <row r="280" customFormat="false" ht="23.85" hidden="false" customHeight="false" outlineLevel="0" collapsed="false">
      <c r="A280" s="2" t="n">
        <v>279</v>
      </c>
      <c r="B280" s="2" t="s">
        <v>888</v>
      </c>
      <c r="C280" s="2" t="s">
        <v>933</v>
      </c>
      <c r="D280" s="2" t="s">
        <v>934</v>
      </c>
      <c r="E280" s="2" t="s">
        <v>507</v>
      </c>
      <c r="F280" s="2" t="s">
        <v>892</v>
      </c>
      <c r="G280" s="2"/>
    </row>
    <row r="281" customFormat="false" ht="23.85" hidden="false" customHeight="false" outlineLevel="0" collapsed="false">
      <c r="A281" s="2" t="n">
        <v>280</v>
      </c>
      <c r="B281" s="2" t="s">
        <v>888</v>
      </c>
      <c r="C281" s="2" t="s">
        <v>935</v>
      </c>
      <c r="D281" s="2" t="s">
        <v>936</v>
      </c>
      <c r="E281" s="2" t="s">
        <v>507</v>
      </c>
      <c r="F281" s="2" t="s">
        <v>892</v>
      </c>
      <c r="G281" s="2"/>
    </row>
    <row r="282" customFormat="false" ht="23.85" hidden="false" customHeight="false" outlineLevel="0" collapsed="false">
      <c r="A282" s="2" t="n">
        <v>281</v>
      </c>
      <c r="B282" s="2" t="s">
        <v>888</v>
      </c>
      <c r="C282" s="2" t="s">
        <v>937</v>
      </c>
      <c r="D282" s="2" t="s">
        <v>938</v>
      </c>
      <c r="E282" s="2" t="s">
        <v>507</v>
      </c>
      <c r="F282" s="2" t="s">
        <v>892</v>
      </c>
      <c r="G282" s="2"/>
    </row>
    <row r="283" customFormat="false" ht="23.85" hidden="false" customHeight="false" outlineLevel="0" collapsed="false">
      <c r="A283" s="2" t="n">
        <v>282</v>
      </c>
      <c r="B283" s="2" t="s">
        <v>888</v>
      </c>
      <c r="C283" s="2" t="s">
        <v>939</v>
      </c>
      <c r="D283" s="2" t="s">
        <v>940</v>
      </c>
      <c r="E283" s="2" t="s">
        <v>941</v>
      </c>
      <c r="F283" s="2" t="s">
        <v>892</v>
      </c>
      <c r="G283" s="2"/>
    </row>
    <row r="284" customFormat="false" ht="23.85" hidden="false" customHeight="false" outlineLevel="0" collapsed="false">
      <c r="A284" s="2" t="n">
        <v>283</v>
      </c>
      <c r="B284" s="2" t="s">
        <v>888</v>
      </c>
      <c r="C284" s="2" t="s">
        <v>942</v>
      </c>
      <c r="D284" s="2" t="s">
        <v>943</v>
      </c>
      <c r="E284" s="2" t="s">
        <v>507</v>
      </c>
      <c r="F284" s="2" t="s">
        <v>892</v>
      </c>
      <c r="G284" s="2"/>
    </row>
    <row r="285" customFormat="false" ht="23.85" hidden="false" customHeight="false" outlineLevel="0" collapsed="false">
      <c r="A285" s="2" t="n">
        <v>284</v>
      </c>
      <c r="B285" s="2" t="s">
        <v>888</v>
      </c>
      <c r="C285" s="2" t="s">
        <v>944</v>
      </c>
      <c r="D285" s="2" t="s">
        <v>945</v>
      </c>
      <c r="E285" s="2" t="s">
        <v>507</v>
      </c>
      <c r="F285" s="2" t="s">
        <v>892</v>
      </c>
      <c r="G285" s="2"/>
    </row>
    <row r="286" customFormat="false" ht="23.85" hidden="false" customHeight="false" outlineLevel="0" collapsed="false">
      <c r="A286" s="2" t="n">
        <v>285</v>
      </c>
      <c r="B286" s="2" t="s">
        <v>888</v>
      </c>
      <c r="C286" s="2" t="s">
        <v>946</v>
      </c>
      <c r="D286" s="2" t="s">
        <v>947</v>
      </c>
      <c r="E286" s="2" t="s">
        <v>507</v>
      </c>
      <c r="F286" s="2" t="s">
        <v>892</v>
      </c>
      <c r="G286" s="2"/>
    </row>
    <row r="287" customFormat="false" ht="23.85" hidden="false" customHeight="false" outlineLevel="0" collapsed="false">
      <c r="A287" s="2" t="n">
        <v>286</v>
      </c>
      <c r="B287" s="2" t="s">
        <v>888</v>
      </c>
      <c r="C287" s="2" t="s">
        <v>948</v>
      </c>
      <c r="D287" s="2" t="s">
        <v>949</v>
      </c>
      <c r="E287" s="2" t="s">
        <v>507</v>
      </c>
      <c r="F287" s="2" t="s">
        <v>892</v>
      </c>
      <c r="G287" s="2"/>
    </row>
    <row r="288" customFormat="false" ht="23.85" hidden="false" customHeight="false" outlineLevel="0" collapsed="false">
      <c r="A288" s="2" t="n">
        <v>287</v>
      </c>
      <c r="B288" s="2" t="s">
        <v>888</v>
      </c>
      <c r="C288" s="2" t="s">
        <v>950</v>
      </c>
      <c r="D288" s="2" t="s">
        <v>951</v>
      </c>
      <c r="E288" s="2" t="s">
        <v>507</v>
      </c>
      <c r="F288" s="2" t="s">
        <v>892</v>
      </c>
      <c r="G288" s="2"/>
    </row>
    <row r="289" customFormat="false" ht="23.85" hidden="false" customHeight="false" outlineLevel="0" collapsed="false">
      <c r="A289" s="2" t="n">
        <v>288</v>
      </c>
      <c r="B289" s="2" t="s">
        <v>888</v>
      </c>
      <c r="C289" s="2" t="s">
        <v>952</v>
      </c>
      <c r="D289" s="2" t="s">
        <v>953</v>
      </c>
      <c r="E289" s="2" t="s">
        <v>954</v>
      </c>
      <c r="F289" s="2" t="s">
        <v>892</v>
      </c>
      <c r="G289" s="2"/>
    </row>
    <row r="290" customFormat="false" ht="23.85" hidden="false" customHeight="false" outlineLevel="0" collapsed="false">
      <c r="A290" s="2" t="n">
        <v>289</v>
      </c>
      <c r="B290" s="2" t="s">
        <v>888</v>
      </c>
      <c r="C290" s="2" t="s">
        <v>955</v>
      </c>
      <c r="D290" s="2" t="s">
        <v>956</v>
      </c>
      <c r="E290" s="2" t="s">
        <v>507</v>
      </c>
      <c r="F290" s="2" t="s">
        <v>892</v>
      </c>
      <c r="G290" s="2"/>
    </row>
    <row r="291" customFormat="false" ht="23.85" hidden="false" customHeight="false" outlineLevel="0" collapsed="false">
      <c r="A291" s="2" t="n">
        <v>290</v>
      </c>
      <c r="B291" s="2" t="s">
        <v>888</v>
      </c>
      <c r="C291" s="2" t="s">
        <v>957</v>
      </c>
      <c r="D291" s="2" t="s">
        <v>958</v>
      </c>
      <c r="E291" s="2" t="s">
        <v>507</v>
      </c>
      <c r="F291" s="2" t="s">
        <v>892</v>
      </c>
      <c r="G291" s="2"/>
    </row>
    <row r="292" customFormat="false" ht="23.85" hidden="false" customHeight="false" outlineLevel="0" collapsed="false">
      <c r="A292" s="2" t="n">
        <v>291</v>
      </c>
      <c r="B292" s="2" t="s">
        <v>888</v>
      </c>
      <c r="C292" s="2" t="s">
        <v>959</v>
      </c>
      <c r="D292" s="2" t="s">
        <v>958</v>
      </c>
      <c r="E292" s="2" t="s">
        <v>507</v>
      </c>
      <c r="F292" s="2" t="s">
        <v>892</v>
      </c>
      <c r="G292" s="2"/>
    </row>
    <row r="293" customFormat="false" ht="23.85" hidden="false" customHeight="false" outlineLevel="0" collapsed="false">
      <c r="A293" s="2" t="n">
        <v>292</v>
      </c>
      <c r="B293" s="2" t="s">
        <v>888</v>
      </c>
      <c r="C293" s="2" t="s">
        <v>960</v>
      </c>
      <c r="D293" s="2" t="s">
        <v>961</v>
      </c>
      <c r="E293" s="2" t="s">
        <v>507</v>
      </c>
      <c r="F293" s="2" t="s">
        <v>892</v>
      </c>
      <c r="G293" s="2"/>
    </row>
    <row r="294" customFormat="false" ht="23.85" hidden="false" customHeight="false" outlineLevel="0" collapsed="false">
      <c r="A294" s="2" t="n">
        <v>293</v>
      </c>
      <c r="B294" s="2" t="s">
        <v>888</v>
      </c>
      <c r="C294" s="2" t="s">
        <v>962</v>
      </c>
      <c r="D294" s="2" t="s">
        <v>963</v>
      </c>
      <c r="E294" s="2" t="s">
        <v>507</v>
      </c>
      <c r="F294" s="2" t="s">
        <v>892</v>
      </c>
      <c r="G294" s="2"/>
    </row>
    <row r="295" customFormat="false" ht="23.85" hidden="false" customHeight="false" outlineLevel="0" collapsed="false">
      <c r="A295" s="2" t="n">
        <v>294</v>
      </c>
      <c r="B295" s="2" t="s">
        <v>888</v>
      </c>
      <c r="C295" s="2" t="s">
        <v>964</v>
      </c>
      <c r="D295" s="2" t="s">
        <v>965</v>
      </c>
      <c r="E295" s="2" t="s">
        <v>507</v>
      </c>
      <c r="F295" s="2" t="s">
        <v>892</v>
      </c>
      <c r="G295" s="2"/>
    </row>
    <row r="296" customFormat="false" ht="23.85" hidden="false" customHeight="false" outlineLevel="0" collapsed="false">
      <c r="A296" s="2" t="n">
        <v>295</v>
      </c>
      <c r="B296" s="2" t="s">
        <v>888</v>
      </c>
      <c r="C296" s="2" t="s">
        <v>966</v>
      </c>
      <c r="D296" s="2" t="s">
        <v>967</v>
      </c>
      <c r="E296" s="2" t="s">
        <v>507</v>
      </c>
      <c r="F296" s="2" t="s">
        <v>892</v>
      </c>
      <c r="G296" s="2"/>
    </row>
    <row r="297" customFormat="false" ht="23.85" hidden="false" customHeight="false" outlineLevel="0" collapsed="false">
      <c r="A297" s="2" t="n">
        <v>296</v>
      </c>
      <c r="B297" s="2" t="s">
        <v>888</v>
      </c>
      <c r="C297" s="2" t="s">
        <v>968</v>
      </c>
      <c r="D297" s="2" t="s">
        <v>969</v>
      </c>
      <c r="E297" s="2" t="s">
        <v>507</v>
      </c>
      <c r="F297" s="2" t="s">
        <v>892</v>
      </c>
      <c r="G297" s="2"/>
    </row>
    <row r="298" customFormat="false" ht="23.85" hidden="false" customHeight="false" outlineLevel="0" collapsed="false">
      <c r="A298" s="2" t="n">
        <v>297</v>
      </c>
      <c r="B298" s="2" t="s">
        <v>888</v>
      </c>
      <c r="C298" s="2" t="s">
        <v>970</v>
      </c>
      <c r="D298" s="2" t="s">
        <v>971</v>
      </c>
      <c r="E298" s="2" t="s">
        <v>507</v>
      </c>
      <c r="F298" s="2" t="s">
        <v>892</v>
      </c>
      <c r="G298" s="2"/>
    </row>
    <row r="299" customFormat="false" ht="23.85" hidden="false" customHeight="false" outlineLevel="0" collapsed="false">
      <c r="A299" s="2" t="n">
        <v>298</v>
      </c>
      <c r="B299" s="2" t="s">
        <v>888</v>
      </c>
      <c r="C299" s="2" t="s">
        <v>972</v>
      </c>
      <c r="D299" s="2" t="s">
        <v>973</v>
      </c>
      <c r="E299" s="2" t="s">
        <v>507</v>
      </c>
      <c r="F299" s="2" t="s">
        <v>892</v>
      </c>
      <c r="G299" s="2"/>
    </row>
    <row r="300" customFormat="false" ht="23.85" hidden="false" customHeight="false" outlineLevel="0" collapsed="false">
      <c r="A300" s="2" t="n">
        <v>299</v>
      </c>
      <c r="B300" s="2" t="s">
        <v>888</v>
      </c>
      <c r="C300" s="2" t="s">
        <v>974</v>
      </c>
      <c r="D300" s="2" t="s">
        <v>975</v>
      </c>
      <c r="E300" s="2" t="s">
        <v>507</v>
      </c>
      <c r="F300" s="2" t="s">
        <v>892</v>
      </c>
      <c r="G300" s="2"/>
    </row>
    <row r="301" customFormat="false" ht="23.85" hidden="false" customHeight="false" outlineLevel="0" collapsed="false">
      <c r="A301" s="2" t="n">
        <v>300</v>
      </c>
      <c r="B301" s="2" t="s">
        <v>888</v>
      </c>
      <c r="C301" s="2" t="s">
        <v>976</v>
      </c>
      <c r="D301" s="2" t="s">
        <v>977</v>
      </c>
      <c r="E301" s="2" t="s">
        <v>507</v>
      </c>
      <c r="F301" s="2" t="s">
        <v>892</v>
      </c>
      <c r="G301" s="2"/>
    </row>
    <row r="302" customFormat="false" ht="23.85" hidden="false" customHeight="false" outlineLevel="0" collapsed="false">
      <c r="A302" s="2" t="n">
        <v>301</v>
      </c>
      <c r="B302" s="2" t="s">
        <v>888</v>
      </c>
      <c r="C302" s="2" t="s">
        <v>978</v>
      </c>
      <c r="D302" s="2" t="s">
        <v>979</v>
      </c>
      <c r="E302" s="2" t="s">
        <v>507</v>
      </c>
      <c r="F302" s="2" t="s">
        <v>892</v>
      </c>
      <c r="G302" s="2"/>
    </row>
    <row r="303" customFormat="false" ht="23.85" hidden="false" customHeight="false" outlineLevel="0" collapsed="false">
      <c r="A303" s="2" t="n">
        <v>302</v>
      </c>
      <c r="B303" s="2" t="s">
        <v>888</v>
      </c>
      <c r="C303" s="2" t="s">
        <v>980</v>
      </c>
      <c r="D303" s="2" t="s">
        <v>981</v>
      </c>
      <c r="E303" s="2" t="s">
        <v>982</v>
      </c>
      <c r="F303" s="2" t="s">
        <v>892</v>
      </c>
      <c r="G303" s="2"/>
    </row>
    <row r="304" customFormat="false" ht="23.85" hidden="false" customHeight="false" outlineLevel="0" collapsed="false">
      <c r="A304" s="2" t="n">
        <v>303</v>
      </c>
      <c r="B304" s="2" t="s">
        <v>888</v>
      </c>
      <c r="C304" s="2" t="s">
        <v>983</v>
      </c>
      <c r="D304" s="2" t="s">
        <v>984</v>
      </c>
      <c r="E304" s="2" t="s">
        <v>982</v>
      </c>
      <c r="F304" s="2" t="s">
        <v>892</v>
      </c>
      <c r="G304" s="2"/>
    </row>
    <row r="305" customFormat="false" ht="23.85" hidden="false" customHeight="false" outlineLevel="0" collapsed="false">
      <c r="A305" s="2" t="n">
        <v>304</v>
      </c>
      <c r="B305" s="2" t="s">
        <v>888</v>
      </c>
      <c r="C305" s="2" t="s">
        <v>985</v>
      </c>
      <c r="D305" s="2" t="s">
        <v>986</v>
      </c>
      <c r="E305" s="2" t="s">
        <v>987</v>
      </c>
      <c r="F305" s="2" t="s">
        <v>892</v>
      </c>
      <c r="G305" s="2"/>
    </row>
    <row r="306" customFormat="false" ht="35.05" hidden="false" customHeight="false" outlineLevel="0" collapsed="false">
      <c r="A306" s="2" t="n">
        <v>305</v>
      </c>
      <c r="B306" s="2" t="s">
        <v>888</v>
      </c>
      <c r="C306" s="2" t="s">
        <v>988</v>
      </c>
      <c r="D306" s="2" t="s">
        <v>989</v>
      </c>
      <c r="E306" s="2" t="s">
        <v>507</v>
      </c>
      <c r="F306" s="2" t="s">
        <v>892</v>
      </c>
      <c r="G306" s="2"/>
    </row>
    <row r="307" customFormat="false" ht="23.85" hidden="false" customHeight="false" outlineLevel="0" collapsed="false">
      <c r="A307" s="2" t="n">
        <v>306</v>
      </c>
      <c r="B307" s="2" t="s">
        <v>888</v>
      </c>
      <c r="C307" s="2" t="s">
        <v>990</v>
      </c>
      <c r="D307" s="2" t="s">
        <v>991</v>
      </c>
      <c r="E307" s="2" t="s">
        <v>992</v>
      </c>
      <c r="F307" s="2" t="s">
        <v>892</v>
      </c>
      <c r="G307" s="2"/>
    </row>
    <row r="308" customFormat="false" ht="35.05" hidden="false" customHeight="false" outlineLevel="0" collapsed="false">
      <c r="A308" s="2" t="n">
        <v>307</v>
      </c>
      <c r="B308" s="2" t="s">
        <v>888</v>
      </c>
      <c r="C308" s="2" t="s">
        <v>993</v>
      </c>
      <c r="D308" s="2" t="s">
        <v>994</v>
      </c>
      <c r="E308" s="2" t="s">
        <v>995</v>
      </c>
      <c r="F308" s="2" t="s">
        <v>892</v>
      </c>
      <c r="G308" s="2"/>
    </row>
    <row r="309" customFormat="false" ht="23.85" hidden="false" customHeight="false" outlineLevel="0" collapsed="false">
      <c r="A309" s="2" t="n">
        <v>308</v>
      </c>
      <c r="B309" s="2" t="s">
        <v>888</v>
      </c>
      <c r="C309" s="2" t="s">
        <v>996</v>
      </c>
      <c r="D309" s="2" t="s">
        <v>994</v>
      </c>
      <c r="E309" s="2" t="s">
        <v>997</v>
      </c>
      <c r="F309" s="2" t="s">
        <v>892</v>
      </c>
      <c r="G309" s="2"/>
    </row>
    <row r="310" customFormat="false" ht="35.05" hidden="false" customHeight="false" outlineLevel="0" collapsed="false">
      <c r="A310" s="2" t="n">
        <v>309</v>
      </c>
      <c r="B310" s="2" t="s">
        <v>888</v>
      </c>
      <c r="C310" s="2" t="s">
        <v>998</v>
      </c>
      <c r="D310" s="2" t="s">
        <v>999</v>
      </c>
      <c r="E310" s="2" t="s">
        <v>1000</v>
      </c>
      <c r="F310" s="2" t="s">
        <v>892</v>
      </c>
      <c r="G310" s="2"/>
    </row>
    <row r="311" customFormat="false" ht="35.05" hidden="false" customHeight="false" outlineLevel="0" collapsed="false">
      <c r="A311" s="2" t="n">
        <v>310</v>
      </c>
      <c r="B311" s="2" t="s">
        <v>888</v>
      </c>
      <c r="C311" s="2" t="s">
        <v>1001</v>
      </c>
      <c r="D311" s="2" t="s">
        <v>1002</v>
      </c>
      <c r="E311" s="2" t="s">
        <v>1003</v>
      </c>
      <c r="F311" s="2" t="s">
        <v>892</v>
      </c>
      <c r="G311" s="2"/>
    </row>
    <row r="312" customFormat="false" ht="35.05" hidden="false" customHeight="false" outlineLevel="0" collapsed="false">
      <c r="A312" s="2" t="n">
        <v>311</v>
      </c>
      <c r="B312" s="2" t="s">
        <v>888</v>
      </c>
      <c r="C312" s="2" t="s">
        <v>1004</v>
      </c>
      <c r="D312" s="2" t="s">
        <v>1005</v>
      </c>
      <c r="E312" s="2" t="s">
        <v>1006</v>
      </c>
      <c r="F312" s="2" t="s">
        <v>892</v>
      </c>
      <c r="G312" s="2"/>
    </row>
    <row r="313" customFormat="false" ht="35.05" hidden="false" customHeight="false" outlineLevel="0" collapsed="false">
      <c r="A313" s="2" t="n">
        <v>312</v>
      </c>
      <c r="B313" s="2" t="s">
        <v>888</v>
      </c>
      <c r="C313" s="2" t="s">
        <v>1007</v>
      </c>
      <c r="D313" s="2" t="s">
        <v>1008</v>
      </c>
      <c r="E313" s="2" t="s">
        <v>1009</v>
      </c>
      <c r="F313" s="2" t="s">
        <v>892</v>
      </c>
      <c r="G313" s="2"/>
    </row>
    <row r="314" customFormat="false" ht="23.85" hidden="false" customHeight="false" outlineLevel="0" collapsed="false">
      <c r="A314" s="2" t="n">
        <v>313</v>
      </c>
      <c r="B314" s="2" t="s">
        <v>888</v>
      </c>
      <c r="C314" s="2" t="s">
        <v>1010</v>
      </c>
      <c r="D314" s="2" t="s">
        <v>1011</v>
      </c>
      <c r="E314" s="2" t="s">
        <v>507</v>
      </c>
      <c r="F314" s="2" t="s">
        <v>892</v>
      </c>
      <c r="G314" s="2"/>
    </row>
    <row r="315" customFormat="false" ht="23.85" hidden="false" customHeight="false" outlineLevel="0" collapsed="false">
      <c r="A315" s="2" t="n">
        <v>314</v>
      </c>
      <c r="B315" s="2" t="s">
        <v>888</v>
      </c>
      <c r="C315" s="2" t="s">
        <v>1012</v>
      </c>
      <c r="D315" s="2" t="s">
        <v>1013</v>
      </c>
      <c r="E315" s="2" t="s">
        <v>1014</v>
      </c>
      <c r="F315" s="2" t="s">
        <v>892</v>
      </c>
      <c r="G315" s="2"/>
    </row>
    <row r="316" customFormat="false" ht="35.05" hidden="false" customHeight="false" outlineLevel="0" collapsed="false">
      <c r="A316" s="2" t="n">
        <v>315</v>
      </c>
      <c r="B316" s="2" t="s">
        <v>888</v>
      </c>
      <c r="C316" s="2" t="s">
        <v>1015</v>
      </c>
      <c r="D316" s="2" t="s">
        <v>1016</v>
      </c>
      <c r="E316" s="2" t="s">
        <v>1017</v>
      </c>
      <c r="F316" s="2" t="s">
        <v>892</v>
      </c>
      <c r="G316" s="2"/>
    </row>
    <row r="317" customFormat="false" ht="23.85" hidden="false" customHeight="false" outlineLevel="0" collapsed="false">
      <c r="A317" s="2" t="n">
        <v>316</v>
      </c>
      <c r="B317" s="2" t="s">
        <v>888</v>
      </c>
      <c r="C317" s="2" t="s">
        <v>1018</v>
      </c>
      <c r="D317" s="2" t="s">
        <v>1019</v>
      </c>
      <c r="E317" s="2" t="s">
        <v>898</v>
      </c>
      <c r="F317" s="2" t="s">
        <v>892</v>
      </c>
      <c r="G317" s="2"/>
    </row>
    <row r="318" customFormat="false" ht="23.85" hidden="false" customHeight="false" outlineLevel="0" collapsed="false">
      <c r="A318" s="2" t="n">
        <v>317</v>
      </c>
      <c r="B318" s="2" t="s">
        <v>888</v>
      </c>
      <c r="C318" s="2" t="s">
        <v>1020</v>
      </c>
      <c r="D318" s="2" t="s">
        <v>1021</v>
      </c>
      <c r="E318" s="2" t="s">
        <v>898</v>
      </c>
      <c r="F318" s="2" t="s">
        <v>892</v>
      </c>
      <c r="G318" s="2"/>
    </row>
    <row r="319" customFormat="false" ht="35.05" hidden="false" customHeight="false" outlineLevel="0" collapsed="false">
      <c r="A319" s="2" t="n">
        <v>318</v>
      </c>
      <c r="B319" s="2" t="s">
        <v>888</v>
      </c>
      <c r="C319" s="2" t="s">
        <v>1022</v>
      </c>
      <c r="D319" s="2" t="s">
        <v>1023</v>
      </c>
      <c r="E319" s="2" t="s">
        <v>1024</v>
      </c>
      <c r="F319" s="2" t="s">
        <v>892</v>
      </c>
      <c r="G319" s="2"/>
    </row>
    <row r="320" customFormat="false" ht="23.85" hidden="false" customHeight="false" outlineLevel="0" collapsed="false">
      <c r="A320" s="2" t="n">
        <v>319</v>
      </c>
      <c r="B320" s="2" t="s">
        <v>888</v>
      </c>
      <c r="C320" s="2" t="s">
        <v>1025</v>
      </c>
      <c r="D320" s="2" t="s">
        <v>1026</v>
      </c>
      <c r="E320" s="2" t="s">
        <v>507</v>
      </c>
      <c r="F320" s="2" t="s">
        <v>892</v>
      </c>
      <c r="G320" s="2"/>
    </row>
    <row r="321" customFormat="false" ht="35.05" hidden="false" customHeight="false" outlineLevel="0" collapsed="false">
      <c r="A321" s="2" t="n">
        <v>320</v>
      </c>
      <c r="B321" s="2" t="s">
        <v>888</v>
      </c>
      <c r="C321" s="2" t="s">
        <v>1027</v>
      </c>
      <c r="D321" s="2" t="s">
        <v>1028</v>
      </c>
      <c r="E321" s="2" t="s">
        <v>507</v>
      </c>
      <c r="F321" s="2" t="s">
        <v>892</v>
      </c>
      <c r="G321" s="2"/>
    </row>
    <row r="322" customFormat="false" ht="23.85" hidden="false" customHeight="false" outlineLevel="0" collapsed="false">
      <c r="A322" s="2" t="n">
        <v>321</v>
      </c>
      <c r="B322" s="2" t="s">
        <v>888</v>
      </c>
      <c r="C322" s="2" t="s">
        <v>1029</v>
      </c>
      <c r="D322" s="2" t="s">
        <v>1030</v>
      </c>
      <c r="E322" s="2" t="s">
        <v>507</v>
      </c>
      <c r="F322" s="2" t="s">
        <v>892</v>
      </c>
      <c r="G322" s="2"/>
    </row>
    <row r="323" customFormat="false" ht="23.85" hidden="false" customHeight="false" outlineLevel="0" collapsed="false">
      <c r="A323" s="2" t="n">
        <v>322</v>
      </c>
      <c r="B323" s="2" t="s">
        <v>888</v>
      </c>
      <c r="C323" s="2" t="s">
        <v>1031</v>
      </c>
      <c r="D323" s="2" t="s">
        <v>1032</v>
      </c>
      <c r="E323" s="2" t="s">
        <v>507</v>
      </c>
      <c r="F323" s="2" t="s">
        <v>892</v>
      </c>
      <c r="G323" s="2"/>
    </row>
    <row r="324" customFormat="false" ht="23.85" hidden="false" customHeight="false" outlineLevel="0" collapsed="false">
      <c r="A324" s="2" t="n">
        <v>323</v>
      </c>
      <c r="B324" s="2" t="s">
        <v>888</v>
      </c>
      <c r="C324" s="2" t="s">
        <v>1033</v>
      </c>
      <c r="D324" s="2" t="s">
        <v>1034</v>
      </c>
      <c r="E324" s="2" t="s">
        <v>507</v>
      </c>
      <c r="F324" s="2" t="s">
        <v>892</v>
      </c>
      <c r="G324" s="2"/>
    </row>
    <row r="325" customFormat="false" ht="23.85" hidden="false" customHeight="false" outlineLevel="0" collapsed="false">
      <c r="A325" s="2" t="n">
        <v>324</v>
      </c>
      <c r="B325" s="2" t="s">
        <v>888</v>
      </c>
      <c r="C325" s="2" t="s">
        <v>1035</v>
      </c>
      <c r="D325" s="2" t="s">
        <v>1036</v>
      </c>
      <c r="E325" s="2" t="s">
        <v>1037</v>
      </c>
      <c r="F325" s="2" t="s">
        <v>892</v>
      </c>
      <c r="G325" s="2"/>
    </row>
    <row r="326" customFormat="false" ht="23.85" hidden="false" customHeight="false" outlineLevel="0" collapsed="false">
      <c r="A326" s="2" t="n">
        <v>325</v>
      </c>
      <c r="B326" s="2" t="s">
        <v>888</v>
      </c>
      <c r="C326" s="2" t="s">
        <v>1038</v>
      </c>
      <c r="D326" s="2" t="s">
        <v>1039</v>
      </c>
      <c r="E326" s="2" t="s">
        <v>1040</v>
      </c>
      <c r="F326" s="2" t="s">
        <v>892</v>
      </c>
      <c r="G326" s="2"/>
    </row>
    <row r="327" customFormat="false" ht="23.85" hidden="false" customHeight="false" outlineLevel="0" collapsed="false">
      <c r="A327" s="2" t="n">
        <v>326</v>
      </c>
      <c r="B327" s="2" t="s">
        <v>888</v>
      </c>
      <c r="C327" s="2" t="s">
        <v>1041</v>
      </c>
      <c r="D327" s="2" t="s">
        <v>1042</v>
      </c>
      <c r="E327" s="2" t="s">
        <v>1043</v>
      </c>
      <c r="F327" s="2" t="s">
        <v>892</v>
      </c>
      <c r="G327" s="2"/>
    </row>
    <row r="328" customFormat="false" ht="35.05" hidden="false" customHeight="false" outlineLevel="0" collapsed="false">
      <c r="A328" s="2" t="n">
        <v>327</v>
      </c>
      <c r="B328" s="2" t="s">
        <v>888</v>
      </c>
      <c r="C328" s="2" t="s">
        <v>1044</v>
      </c>
      <c r="D328" s="2" t="s">
        <v>1042</v>
      </c>
      <c r="E328" s="2" t="s">
        <v>1045</v>
      </c>
      <c r="F328" s="2" t="s">
        <v>892</v>
      </c>
      <c r="G328" s="2"/>
    </row>
    <row r="329" customFormat="false" ht="35.05" hidden="false" customHeight="false" outlineLevel="0" collapsed="false">
      <c r="A329" s="2" t="n">
        <v>328</v>
      </c>
      <c r="B329" s="2" t="s">
        <v>888</v>
      </c>
      <c r="C329" s="2" t="s">
        <v>1046</v>
      </c>
      <c r="D329" s="2" t="s">
        <v>1042</v>
      </c>
      <c r="E329" s="2" t="s">
        <v>1047</v>
      </c>
      <c r="F329" s="2" t="s">
        <v>892</v>
      </c>
      <c r="G329" s="2"/>
    </row>
    <row r="330" customFormat="false" ht="35.05" hidden="false" customHeight="false" outlineLevel="0" collapsed="false">
      <c r="A330" s="2" t="n">
        <v>329</v>
      </c>
      <c r="B330" s="2" t="s">
        <v>888</v>
      </c>
      <c r="C330" s="2" t="s">
        <v>1048</v>
      </c>
      <c r="D330" s="2" t="s">
        <v>1049</v>
      </c>
      <c r="E330" s="2" t="s">
        <v>1050</v>
      </c>
      <c r="F330" s="2" t="s">
        <v>892</v>
      </c>
      <c r="G330" s="2"/>
    </row>
    <row r="331" customFormat="false" ht="35.05" hidden="false" customHeight="false" outlineLevel="0" collapsed="false">
      <c r="A331" s="2" t="n">
        <v>330</v>
      </c>
      <c r="B331" s="2" t="s">
        <v>888</v>
      </c>
      <c r="C331" s="2" t="s">
        <v>1051</v>
      </c>
      <c r="D331" s="2" t="s">
        <v>1052</v>
      </c>
      <c r="E331" s="2" t="s">
        <v>1053</v>
      </c>
      <c r="F331" s="2" t="s">
        <v>892</v>
      </c>
      <c r="G331" s="2"/>
    </row>
    <row r="332" customFormat="false" ht="35.05" hidden="false" customHeight="false" outlineLevel="0" collapsed="false">
      <c r="A332" s="2" t="n">
        <v>331</v>
      </c>
      <c r="B332" s="2" t="s">
        <v>888</v>
      </c>
      <c r="C332" s="2" t="s">
        <v>1054</v>
      </c>
      <c r="D332" s="2" t="s">
        <v>1055</v>
      </c>
      <c r="E332" s="2" t="s">
        <v>1056</v>
      </c>
      <c r="F332" s="2" t="s">
        <v>892</v>
      </c>
      <c r="G332" s="2"/>
    </row>
    <row r="333" customFormat="false" ht="35.05" hidden="false" customHeight="false" outlineLevel="0" collapsed="false">
      <c r="A333" s="2" t="n">
        <v>332</v>
      </c>
      <c r="B333" s="2" t="s">
        <v>888</v>
      </c>
      <c r="C333" s="2" t="s">
        <v>1057</v>
      </c>
      <c r="D333" s="2" t="s">
        <v>1058</v>
      </c>
      <c r="E333" s="2" t="s">
        <v>507</v>
      </c>
      <c r="F333" s="2" t="s">
        <v>892</v>
      </c>
      <c r="G333" s="2"/>
    </row>
    <row r="334" customFormat="false" ht="35.05" hidden="false" customHeight="false" outlineLevel="0" collapsed="false">
      <c r="A334" s="2" t="n">
        <v>333</v>
      </c>
      <c r="B334" s="2" t="s">
        <v>888</v>
      </c>
      <c r="C334" s="2" t="s">
        <v>1059</v>
      </c>
      <c r="D334" s="2" t="s">
        <v>1060</v>
      </c>
      <c r="E334" s="2" t="s">
        <v>1061</v>
      </c>
      <c r="F334" s="2" t="s">
        <v>892</v>
      </c>
      <c r="G334" s="2"/>
    </row>
    <row r="335" customFormat="false" ht="23.85" hidden="false" customHeight="false" outlineLevel="0" collapsed="false">
      <c r="A335" s="2" t="n">
        <v>334</v>
      </c>
      <c r="B335" s="2" t="s">
        <v>888</v>
      </c>
      <c r="C335" s="2" t="s">
        <v>1062</v>
      </c>
      <c r="D335" s="2" t="s">
        <v>1063</v>
      </c>
      <c r="E335" s="2" t="s">
        <v>1064</v>
      </c>
      <c r="F335" s="2" t="s">
        <v>892</v>
      </c>
      <c r="G335" s="2"/>
    </row>
    <row r="336" customFormat="false" ht="23.85" hidden="false" customHeight="false" outlineLevel="0" collapsed="false">
      <c r="A336" s="2" t="n">
        <v>335</v>
      </c>
      <c r="B336" s="2" t="s">
        <v>888</v>
      </c>
      <c r="C336" s="2" t="s">
        <v>1065</v>
      </c>
      <c r="D336" s="2" t="s">
        <v>1039</v>
      </c>
      <c r="E336" s="2" t="s">
        <v>1066</v>
      </c>
      <c r="F336" s="2" t="s">
        <v>892</v>
      </c>
      <c r="G336" s="2"/>
    </row>
    <row r="337" customFormat="false" ht="35.05" hidden="false" customHeight="false" outlineLevel="0" collapsed="false">
      <c r="A337" s="2" t="n">
        <v>336</v>
      </c>
      <c r="B337" s="2" t="s">
        <v>888</v>
      </c>
      <c r="C337" s="2" t="s">
        <v>1067</v>
      </c>
      <c r="D337" s="2" t="s">
        <v>1039</v>
      </c>
      <c r="E337" s="2" t="s">
        <v>1068</v>
      </c>
      <c r="F337" s="2" t="s">
        <v>892</v>
      </c>
      <c r="G337" s="2"/>
    </row>
    <row r="338" customFormat="false" ht="35.05" hidden="false" customHeight="false" outlineLevel="0" collapsed="false">
      <c r="A338" s="2" t="n">
        <v>337</v>
      </c>
      <c r="B338" s="2" t="s">
        <v>888</v>
      </c>
      <c r="C338" s="2" t="s">
        <v>1069</v>
      </c>
      <c r="D338" s="2" t="s">
        <v>1039</v>
      </c>
      <c r="E338" s="2" t="s">
        <v>1070</v>
      </c>
      <c r="F338" s="2" t="s">
        <v>892</v>
      </c>
      <c r="G338" s="2"/>
    </row>
    <row r="339" customFormat="false" ht="23.85" hidden="false" customHeight="false" outlineLevel="0" collapsed="false">
      <c r="A339" s="2" t="n">
        <v>338</v>
      </c>
      <c r="B339" s="2" t="s">
        <v>888</v>
      </c>
      <c r="C339" s="2" t="s">
        <v>1071</v>
      </c>
      <c r="D339" s="2" t="s">
        <v>1072</v>
      </c>
      <c r="E339" s="2" t="s">
        <v>1073</v>
      </c>
      <c r="F339" s="2" t="s">
        <v>892</v>
      </c>
      <c r="G339" s="2"/>
    </row>
    <row r="340" customFormat="false" ht="23.85" hidden="false" customHeight="false" outlineLevel="0" collapsed="false">
      <c r="A340" s="2" t="n">
        <v>339</v>
      </c>
      <c r="B340" s="2" t="s">
        <v>888</v>
      </c>
      <c r="C340" s="2" t="s">
        <v>1074</v>
      </c>
      <c r="D340" s="2" t="s">
        <v>1075</v>
      </c>
      <c r="E340" s="2" t="s">
        <v>1076</v>
      </c>
      <c r="F340" s="2" t="s">
        <v>892</v>
      </c>
      <c r="G340" s="2"/>
    </row>
    <row r="341" customFormat="false" ht="23.85" hidden="false" customHeight="false" outlineLevel="0" collapsed="false">
      <c r="A341" s="2" t="n">
        <v>340</v>
      </c>
      <c r="B341" s="2" t="s">
        <v>888</v>
      </c>
      <c r="C341" s="2" t="s">
        <v>1077</v>
      </c>
      <c r="D341" s="2" t="s">
        <v>1078</v>
      </c>
      <c r="E341" s="2" t="s">
        <v>507</v>
      </c>
      <c r="F341" s="2" t="s">
        <v>892</v>
      </c>
      <c r="G341" s="2"/>
    </row>
    <row r="342" customFormat="false" ht="35.05" hidden="false" customHeight="false" outlineLevel="0" collapsed="false">
      <c r="A342" s="2" t="n">
        <v>341</v>
      </c>
      <c r="B342" s="2" t="s">
        <v>888</v>
      </c>
      <c r="C342" s="2" t="s">
        <v>1079</v>
      </c>
      <c r="D342" s="2" t="s">
        <v>1080</v>
      </c>
      <c r="E342" s="2" t="s">
        <v>1081</v>
      </c>
      <c r="F342" s="2" t="s">
        <v>892</v>
      </c>
      <c r="G342" s="2"/>
    </row>
    <row r="343" customFormat="false" ht="23.85" hidden="false" customHeight="false" outlineLevel="0" collapsed="false">
      <c r="A343" s="2" t="n">
        <v>342</v>
      </c>
      <c r="B343" s="2" t="s">
        <v>888</v>
      </c>
      <c r="C343" s="2" t="s">
        <v>1082</v>
      </c>
      <c r="D343" s="2" t="s">
        <v>1083</v>
      </c>
      <c r="E343" s="2" t="s">
        <v>507</v>
      </c>
      <c r="F343" s="2" t="s">
        <v>892</v>
      </c>
      <c r="G343" s="2"/>
    </row>
    <row r="344" customFormat="false" ht="35.05" hidden="false" customHeight="false" outlineLevel="0" collapsed="false">
      <c r="A344" s="2" t="n">
        <v>343</v>
      </c>
      <c r="B344" s="2" t="s">
        <v>888</v>
      </c>
      <c r="C344" s="2" t="s">
        <v>1084</v>
      </c>
      <c r="D344" s="2" t="s">
        <v>1085</v>
      </c>
      <c r="E344" s="2" t="s">
        <v>1086</v>
      </c>
      <c r="F344" s="2" t="s">
        <v>892</v>
      </c>
      <c r="G344" s="2"/>
    </row>
    <row r="345" customFormat="false" ht="35.05" hidden="false" customHeight="false" outlineLevel="0" collapsed="false">
      <c r="A345" s="2" t="n">
        <v>344</v>
      </c>
      <c r="B345" s="2" t="s">
        <v>888</v>
      </c>
      <c r="C345" s="2" t="s">
        <v>1087</v>
      </c>
      <c r="D345" s="2" t="s">
        <v>1088</v>
      </c>
      <c r="E345" s="2" t="s">
        <v>1089</v>
      </c>
      <c r="F345" s="2" t="s">
        <v>892</v>
      </c>
      <c r="G345" s="2"/>
    </row>
    <row r="346" customFormat="false" ht="35.05" hidden="false" customHeight="false" outlineLevel="0" collapsed="false">
      <c r="A346" s="2" t="n">
        <v>345</v>
      </c>
      <c r="B346" s="2" t="s">
        <v>888</v>
      </c>
      <c r="C346" s="2" t="s">
        <v>1090</v>
      </c>
      <c r="D346" s="2" t="s">
        <v>1091</v>
      </c>
      <c r="E346" s="2" t="s">
        <v>507</v>
      </c>
      <c r="F346" s="2" t="s">
        <v>892</v>
      </c>
      <c r="G346" s="2"/>
    </row>
    <row r="347" customFormat="false" ht="35.05" hidden="false" customHeight="false" outlineLevel="0" collapsed="false">
      <c r="A347" s="2" t="n">
        <v>346</v>
      </c>
      <c r="B347" s="2" t="s">
        <v>888</v>
      </c>
      <c r="C347" s="2" t="s">
        <v>1092</v>
      </c>
      <c r="D347" s="2" t="s">
        <v>1093</v>
      </c>
      <c r="E347" s="2" t="s">
        <v>1094</v>
      </c>
      <c r="F347" s="2" t="s">
        <v>892</v>
      </c>
      <c r="G347" s="2"/>
    </row>
    <row r="348" customFormat="false" ht="23.85" hidden="false" customHeight="false" outlineLevel="0" collapsed="false">
      <c r="A348" s="2" t="n">
        <v>347</v>
      </c>
      <c r="B348" s="2" t="s">
        <v>888</v>
      </c>
      <c r="C348" s="2" t="s">
        <v>1095</v>
      </c>
      <c r="D348" s="2" t="s">
        <v>1096</v>
      </c>
      <c r="E348" s="2" t="s">
        <v>507</v>
      </c>
      <c r="F348" s="2" t="s">
        <v>892</v>
      </c>
      <c r="G348" s="2"/>
    </row>
    <row r="349" customFormat="false" ht="23.85" hidden="false" customHeight="false" outlineLevel="0" collapsed="false">
      <c r="A349" s="2" t="n">
        <v>348</v>
      </c>
      <c r="B349" s="2" t="s">
        <v>888</v>
      </c>
      <c r="C349" s="2" t="s">
        <v>1097</v>
      </c>
      <c r="D349" s="2" t="s">
        <v>1098</v>
      </c>
      <c r="E349" s="2" t="s">
        <v>507</v>
      </c>
      <c r="F349" s="2" t="s">
        <v>892</v>
      </c>
      <c r="G349" s="2"/>
    </row>
    <row r="350" customFormat="false" ht="23.85" hidden="false" customHeight="false" outlineLevel="0" collapsed="false">
      <c r="A350" s="2" t="n">
        <v>349</v>
      </c>
      <c r="B350" s="2" t="s">
        <v>888</v>
      </c>
      <c r="C350" s="2" t="s">
        <v>1099</v>
      </c>
      <c r="D350" s="2" t="s">
        <v>1100</v>
      </c>
      <c r="E350" s="2" t="s">
        <v>507</v>
      </c>
      <c r="F350" s="2" t="s">
        <v>892</v>
      </c>
      <c r="G350" s="2"/>
    </row>
    <row r="351" customFormat="false" ht="35.05" hidden="false" customHeight="false" outlineLevel="0" collapsed="false">
      <c r="A351" s="2" t="n">
        <v>350</v>
      </c>
      <c r="B351" s="2" t="s">
        <v>888</v>
      </c>
      <c r="C351" s="2" t="s">
        <v>1101</v>
      </c>
      <c r="D351" s="2" t="s">
        <v>1102</v>
      </c>
      <c r="E351" s="2" t="s">
        <v>507</v>
      </c>
      <c r="F351" s="2" t="s">
        <v>892</v>
      </c>
      <c r="G351" s="2"/>
    </row>
    <row r="352" customFormat="false" ht="35.05" hidden="false" customHeight="false" outlineLevel="0" collapsed="false">
      <c r="A352" s="2" t="n">
        <v>351</v>
      </c>
      <c r="B352" s="2" t="s">
        <v>888</v>
      </c>
      <c r="C352" s="2" t="s">
        <v>1103</v>
      </c>
      <c r="D352" s="2" t="s">
        <v>1104</v>
      </c>
      <c r="E352" s="2" t="s">
        <v>1105</v>
      </c>
      <c r="F352" s="2" t="s">
        <v>892</v>
      </c>
      <c r="G352" s="2"/>
    </row>
    <row r="353" customFormat="false" ht="23.85" hidden="false" customHeight="false" outlineLevel="0" collapsed="false">
      <c r="A353" s="2" t="n">
        <v>352</v>
      </c>
      <c r="B353" s="2" t="s">
        <v>888</v>
      </c>
      <c r="C353" s="2" t="s">
        <v>1106</v>
      </c>
      <c r="D353" s="2" t="s">
        <v>1107</v>
      </c>
      <c r="E353" s="2" t="s">
        <v>507</v>
      </c>
      <c r="F353" s="2" t="s">
        <v>892</v>
      </c>
      <c r="G353" s="2"/>
    </row>
    <row r="354" customFormat="false" ht="35.05" hidden="false" customHeight="false" outlineLevel="0" collapsed="false">
      <c r="A354" s="2" t="n">
        <v>353</v>
      </c>
      <c r="B354" s="2" t="s">
        <v>888</v>
      </c>
      <c r="C354" s="2" t="s">
        <v>1108</v>
      </c>
      <c r="D354" s="2" t="s">
        <v>1109</v>
      </c>
      <c r="E354" s="2" t="s">
        <v>1110</v>
      </c>
      <c r="F354" s="2" t="s">
        <v>892</v>
      </c>
      <c r="G354" s="2"/>
    </row>
    <row r="355" customFormat="false" ht="46.25" hidden="false" customHeight="false" outlineLevel="0" collapsed="false">
      <c r="A355" s="2" t="n">
        <v>354</v>
      </c>
      <c r="B355" s="2" t="s">
        <v>888</v>
      </c>
      <c r="C355" s="2" t="s">
        <v>1111</v>
      </c>
      <c r="D355" s="2" t="s">
        <v>1112</v>
      </c>
      <c r="E355" s="2" t="s">
        <v>1113</v>
      </c>
      <c r="F355" s="2" t="s">
        <v>892</v>
      </c>
      <c r="G355" s="2"/>
    </row>
    <row r="356" customFormat="false" ht="46.25" hidden="false" customHeight="false" outlineLevel="0" collapsed="false">
      <c r="A356" s="2" t="n">
        <v>355</v>
      </c>
      <c r="B356" s="2" t="s">
        <v>888</v>
      </c>
      <c r="C356" s="2" t="s">
        <v>1114</v>
      </c>
      <c r="D356" s="2" t="s">
        <v>1112</v>
      </c>
      <c r="E356" s="2" t="s">
        <v>1113</v>
      </c>
      <c r="F356" s="2" t="s">
        <v>892</v>
      </c>
      <c r="G356" s="2"/>
    </row>
    <row r="357" customFormat="false" ht="23.85" hidden="false" customHeight="false" outlineLevel="0" collapsed="false">
      <c r="A357" s="2" t="n">
        <v>356</v>
      </c>
      <c r="B357" s="2" t="s">
        <v>888</v>
      </c>
      <c r="C357" s="2" t="s">
        <v>1115</v>
      </c>
      <c r="D357" s="2" t="s">
        <v>1116</v>
      </c>
      <c r="E357" s="2" t="s">
        <v>1117</v>
      </c>
      <c r="F357" s="2" t="s">
        <v>892</v>
      </c>
      <c r="G357" s="2"/>
    </row>
    <row r="358" customFormat="false" ht="23.85" hidden="false" customHeight="false" outlineLevel="0" collapsed="false">
      <c r="A358" s="2" t="n">
        <v>357</v>
      </c>
      <c r="B358" s="2" t="s">
        <v>888</v>
      </c>
      <c r="C358" s="2" t="s">
        <v>1118</v>
      </c>
      <c r="D358" s="2" t="s">
        <v>1116</v>
      </c>
      <c r="E358" s="2" t="s">
        <v>1119</v>
      </c>
      <c r="F358" s="2" t="s">
        <v>892</v>
      </c>
      <c r="G358" s="2"/>
    </row>
    <row r="359" customFormat="false" ht="46.25" hidden="false" customHeight="false" outlineLevel="0" collapsed="false">
      <c r="A359" s="2" t="n">
        <v>358</v>
      </c>
      <c r="B359" s="2" t="s">
        <v>888</v>
      </c>
      <c r="C359" s="2" t="s">
        <v>1120</v>
      </c>
      <c r="D359" s="2" t="s">
        <v>1121</v>
      </c>
      <c r="E359" s="2" t="s">
        <v>1122</v>
      </c>
      <c r="F359" s="2" t="s">
        <v>892</v>
      </c>
      <c r="G359" s="2"/>
    </row>
    <row r="360" customFormat="false" ht="23.85" hidden="false" customHeight="false" outlineLevel="0" collapsed="false">
      <c r="A360" s="2" t="n">
        <v>359</v>
      </c>
      <c r="B360" s="2" t="s">
        <v>888</v>
      </c>
      <c r="C360" s="2" t="s">
        <v>1123</v>
      </c>
      <c r="D360" s="2" t="s">
        <v>1124</v>
      </c>
      <c r="E360" s="2" t="s">
        <v>1125</v>
      </c>
      <c r="F360" s="2" t="s">
        <v>892</v>
      </c>
      <c r="G360" s="2"/>
    </row>
    <row r="361" customFormat="false" ht="23.85" hidden="false" customHeight="false" outlineLevel="0" collapsed="false">
      <c r="A361" s="2" t="n">
        <v>360</v>
      </c>
      <c r="B361" s="2" t="s">
        <v>888</v>
      </c>
      <c r="C361" s="2" t="s">
        <v>1126</v>
      </c>
      <c r="D361" s="2" t="s">
        <v>1127</v>
      </c>
      <c r="E361" s="2" t="s">
        <v>1128</v>
      </c>
      <c r="F361" s="2" t="s">
        <v>892</v>
      </c>
      <c r="G361" s="2"/>
    </row>
    <row r="362" customFormat="false" ht="46.25" hidden="false" customHeight="false" outlineLevel="0" collapsed="false">
      <c r="A362" s="2" t="n">
        <v>361</v>
      </c>
      <c r="B362" s="2" t="s">
        <v>888</v>
      </c>
      <c r="C362" s="2" t="s">
        <v>1129</v>
      </c>
      <c r="D362" s="2" t="s">
        <v>1130</v>
      </c>
      <c r="E362" s="2" t="s">
        <v>1131</v>
      </c>
      <c r="F362" s="2" t="s">
        <v>892</v>
      </c>
      <c r="G362" s="2"/>
    </row>
    <row r="363" customFormat="false" ht="23.85" hidden="false" customHeight="false" outlineLevel="0" collapsed="false">
      <c r="A363" s="2" t="n">
        <v>362</v>
      </c>
      <c r="B363" s="2" t="s">
        <v>888</v>
      </c>
      <c r="C363" s="2" t="s">
        <v>1132</v>
      </c>
      <c r="D363" s="2" t="s">
        <v>1133</v>
      </c>
      <c r="E363" s="2" t="s">
        <v>1134</v>
      </c>
      <c r="F363" s="2" t="s">
        <v>892</v>
      </c>
      <c r="G363" s="2"/>
    </row>
    <row r="364" customFormat="false" ht="35.05" hidden="false" customHeight="false" outlineLevel="0" collapsed="false">
      <c r="A364" s="2" t="n">
        <v>363</v>
      </c>
      <c r="B364" s="2" t="s">
        <v>888</v>
      </c>
      <c r="C364" s="2" t="s">
        <v>1135</v>
      </c>
      <c r="D364" s="2" t="s">
        <v>1136</v>
      </c>
      <c r="E364" s="2" t="s">
        <v>1137</v>
      </c>
      <c r="F364" s="2" t="s">
        <v>892</v>
      </c>
      <c r="G364" s="2"/>
    </row>
    <row r="365" customFormat="false" ht="23.85" hidden="false" customHeight="false" outlineLevel="0" collapsed="false">
      <c r="A365" s="2" t="n">
        <v>364</v>
      </c>
      <c r="B365" s="2" t="s">
        <v>888</v>
      </c>
      <c r="C365" s="2" t="s">
        <v>1138</v>
      </c>
      <c r="D365" s="2" t="s">
        <v>1139</v>
      </c>
      <c r="E365" s="2" t="s">
        <v>1140</v>
      </c>
      <c r="F365" s="2" t="s">
        <v>892</v>
      </c>
      <c r="G365" s="2"/>
    </row>
    <row r="366" customFormat="false" ht="23.85" hidden="false" customHeight="false" outlineLevel="0" collapsed="false">
      <c r="A366" s="2" t="n">
        <v>365</v>
      </c>
      <c r="B366" s="2" t="s">
        <v>888</v>
      </c>
      <c r="C366" s="2" t="s">
        <v>1141</v>
      </c>
      <c r="D366" s="2" t="s">
        <v>1142</v>
      </c>
      <c r="E366" s="2" t="s">
        <v>507</v>
      </c>
      <c r="F366" s="2" t="s">
        <v>892</v>
      </c>
      <c r="G366" s="2"/>
    </row>
    <row r="367" customFormat="false" ht="57.45" hidden="false" customHeight="false" outlineLevel="0" collapsed="false">
      <c r="A367" s="2" t="n">
        <v>366</v>
      </c>
      <c r="B367" s="2" t="s">
        <v>888</v>
      </c>
      <c r="C367" s="2" t="s">
        <v>1143</v>
      </c>
      <c r="D367" s="2" t="s">
        <v>1144</v>
      </c>
      <c r="E367" s="2" t="s">
        <v>1145</v>
      </c>
      <c r="F367" s="2" t="s">
        <v>892</v>
      </c>
      <c r="G367" s="2"/>
    </row>
    <row r="368" customFormat="false" ht="35.05" hidden="false" customHeight="false" outlineLevel="0" collapsed="false">
      <c r="A368" s="2" t="n">
        <v>367</v>
      </c>
      <c r="B368" s="2" t="s">
        <v>888</v>
      </c>
      <c r="C368" s="2" t="s">
        <v>1146</v>
      </c>
      <c r="D368" s="2" t="s">
        <v>1147</v>
      </c>
      <c r="E368" s="2" t="s">
        <v>1148</v>
      </c>
      <c r="F368" s="2" t="s">
        <v>892</v>
      </c>
      <c r="G368" s="2"/>
    </row>
    <row r="369" customFormat="false" ht="46.25" hidden="false" customHeight="false" outlineLevel="0" collapsed="false">
      <c r="A369" s="2" t="n">
        <v>368</v>
      </c>
      <c r="B369" s="2" t="s">
        <v>888</v>
      </c>
      <c r="C369" s="2" t="s">
        <v>1149</v>
      </c>
      <c r="D369" s="2" t="s">
        <v>1150</v>
      </c>
      <c r="E369" s="2" t="s">
        <v>1151</v>
      </c>
      <c r="F369" s="2" t="s">
        <v>892</v>
      </c>
      <c r="G369" s="2"/>
    </row>
    <row r="370" customFormat="false" ht="35.05" hidden="false" customHeight="false" outlineLevel="0" collapsed="false">
      <c r="A370" s="2" t="n">
        <v>369</v>
      </c>
      <c r="B370" s="2" t="s">
        <v>888</v>
      </c>
      <c r="C370" s="2" t="s">
        <v>1152</v>
      </c>
      <c r="D370" s="2" t="s">
        <v>1153</v>
      </c>
      <c r="E370" s="2" t="s">
        <v>507</v>
      </c>
      <c r="F370" s="2" t="s">
        <v>892</v>
      </c>
      <c r="G370" s="2"/>
    </row>
    <row r="371" customFormat="false" ht="23.85" hidden="false" customHeight="false" outlineLevel="0" collapsed="false">
      <c r="A371" s="2" t="n">
        <v>370</v>
      </c>
      <c r="B371" s="2" t="s">
        <v>888</v>
      </c>
      <c r="C371" s="2" t="s">
        <v>1154</v>
      </c>
      <c r="D371" s="2" t="s">
        <v>1153</v>
      </c>
      <c r="E371" s="2" t="s">
        <v>1155</v>
      </c>
      <c r="F371" s="2" t="s">
        <v>892</v>
      </c>
      <c r="G371" s="2"/>
    </row>
    <row r="372" customFormat="false" ht="35.05" hidden="false" customHeight="false" outlineLevel="0" collapsed="false">
      <c r="A372" s="2" t="n">
        <v>371</v>
      </c>
      <c r="B372" s="2" t="s">
        <v>888</v>
      </c>
      <c r="C372" s="2" t="s">
        <v>1156</v>
      </c>
      <c r="D372" s="2" t="s">
        <v>1157</v>
      </c>
      <c r="E372" s="2" t="s">
        <v>1158</v>
      </c>
      <c r="F372" s="2" t="s">
        <v>892</v>
      </c>
      <c r="G372" s="2"/>
    </row>
    <row r="373" customFormat="false" ht="35.05" hidden="false" customHeight="false" outlineLevel="0" collapsed="false">
      <c r="A373" s="2" t="n">
        <v>372</v>
      </c>
      <c r="B373" s="2" t="s">
        <v>888</v>
      </c>
      <c r="C373" s="2" t="s">
        <v>1159</v>
      </c>
      <c r="D373" s="2" t="s">
        <v>1160</v>
      </c>
      <c r="E373" s="2" t="s">
        <v>507</v>
      </c>
      <c r="F373" s="2" t="s">
        <v>892</v>
      </c>
      <c r="G373" s="2"/>
    </row>
    <row r="374" customFormat="false" ht="35.05" hidden="false" customHeight="false" outlineLevel="0" collapsed="false">
      <c r="A374" s="2" t="n">
        <v>373</v>
      </c>
      <c r="B374" s="2" t="s">
        <v>888</v>
      </c>
      <c r="C374" s="2" t="s">
        <v>1161</v>
      </c>
      <c r="D374" s="2" t="s">
        <v>1162</v>
      </c>
      <c r="E374" s="2" t="s">
        <v>507</v>
      </c>
      <c r="F374" s="2" t="s">
        <v>892</v>
      </c>
      <c r="G374" s="2"/>
    </row>
    <row r="375" customFormat="false" ht="23.85" hidden="false" customHeight="false" outlineLevel="0" collapsed="false">
      <c r="A375" s="2" t="n">
        <v>374</v>
      </c>
      <c r="B375" s="2" t="s">
        <v>888</v>
      </c>
      <c r="C375" s="2" t="s">
        <v>1163</v>
      </c>
      <c r="D375" s="2" t="s">
        <v>1164</v>
      </c>
      <c r="E375" s="2" t="s">
        <v>1165</v>
      </c>
      <c r="F375" s="2" t="s">
        <v>892</v>
      </c>
      <c r="G375" s="2"/>
    </row>
    <row r="376" customFormat="false" ht="23.85" hidden="false" customHeight="false" outlineLevel="0" collapsed="false">
      <c r="A376" s="2" t="n">
        <v>375</v>
      </c>
      <c r="B376" s="2" t="s">
        <v>888</v>
      </c>
      <c r="C376" s="2" t="s">
        <v>1166</v>
      </c>
      <c r="D376" s="2" t="s">
        <v>1167</v>
      </c>
      <c r="E376" s="2" t="s">
        <v>1168</v>
      </c>
      <c r="F376" s="2" t="s">
        <v>892</v>
      </c>
      <c r="G376" s="2"/>
    </row>
    <row r="377" customFormat="false" ht="23.85" hidden="false" customHeight="false" outlineLevel="0" collapsed="false">
      <c r="A377" s="2" t="n">
        <v>376</v>
      </c>
      <c r="B377" s="2" t="s">
        <v>888</v>
      </c>
      <c r="C377" s="2" t="s">
        <v>1169</v>
      </c>
      <c r="D377" s="2" t="s">
        <v>1167</v>
      </c>
      <c r="E377" s="2" t="s">
        <v>1170</v>
      </c>
      <c r="F377" s="2" t="s">
        <v>892</v>
      </c>
      <c r="G377" s="2"/>
    </row>
    <row r="378" customFormat="false" ht="23.85" hidden="false" customHeight="false" outlineLevel="0" collapsed="false">
      <c r="A378" s="2" t="n">
        <v>377</v>
      </c>
      <c r="B378" s="2" t="s">
        <v>888</v>
      </c>
      <c r="C378" s="2" t="s">
        <v>1171</v>
      </c>
      <c r="D378" s="2" t="s">
        <v>1172</v>
      </c>
      <c r="E378" s="2" t="s">
        <v>1173</v>
      </c>
      <c r="F378" s="2" t="s">
        <v>892</v>
      </c>
      <c r="G378" s="2"/>
    </row>
    <row r="379" customFormat="false" ht="23.85" hidden="false" customHeight="false" outlineLevel="0" collapsed="false">
      <c r="A379" s="2" t="n">
        <v>378</v>
      </c>
      <c r="B379" s="2" t="s">
        <v>888</v>
      </c>
      <c r="C379" s="2" t="s">
        <v>1174</v>
      </c>
      <c r="D379" s="2" t="s">
        <v>1175</v>
      </c>
      <c r="E379" s="2" t="s">
        <v>1176</v>
      </c>
      <c r="F379" s="2" t="s">
        <v>892</v>
      </c>
      <c r="G379" s="2"/>
    </row>
    <row r="380" customFormat="false" ht="23.85" hidden="false" customHeight="false" outlineLevel="0" collapsed="false">
      <c r="A380" s="2" t="n">
        <v>379</v>
      </c>
      <c r="B380" s="2" t="s">
        <v>888</v>
      </c>
      <c r="C380" s="2" t="s">
        <v>1177</v>
      </c>
      <c r="D380" s="2" t="s">
        <v>1178</v>
      </c>
      <c r="E380" s="2" t="s">
        <v>507</v>
      </c>
      <c r="F380" s="2" t="s">
        <v>892</v>
      </c>
      <c r="G380" s="2"/>
    </row>
    <row r="381" customFormat="false" ht="23.85" hidden="false" customHeight="false" outlineLevel="0" collapsed="false">
      <c r="A381" s="2" t="n">
        <v>380</v>
      </c>
      <c r="B381" s="2" t="s">
        <v>888</v>
      </c>
      <c r="C381" s="2" t="s">
        <v>1179</v>
      </c>
      <c r="D381" s="2" t="s">
        <v>1178</v>
      </c>
      <c r="E381" s="2" t="s">
        <v>507</v>
      </c>
      <c r="F381" s="2" t="s">
        <v>892</v>
      </c>
      <c r="G381" s="2"/>
    </row>
    <row r="382" customFormat="false" ht="23.85" hidden="false" customHeight="false" outlineLevel="0" collapsed="false">
      <c r="A382" s="2" t="n">
        <v>381</v>
      </c>
      <c r="B382" s="2" t="s">
        <v>888</v>
      </c>
      <c r="C382" s="2" t="s">
        <v>1180</v>
      </c>
      <c r="D382" s="2" t="s">
        <v>1178</v>
      </c>
      <c r="E382" s="2" t="s">
        <v>507</v>
      </c>
      <c r="F382" s="2" t="s">
        <v>892</v>
      </c>
      <c r="G382" s="2"/>
    </row>
    <row r="383" customFormat="false" ht="23.85" hidden="false" customHeight="false" outlineLevel="0" collapsed="false">
      <c r="A383" s="2" t="n">
        <v>382</v>
      </c>
      <c r="B383" s="2" t="s">
        <v>888</v>
      </c>
      <c r="C383" s="2" t="s">
        <v>1181</v>
      </c>
      <c r="D383" s="2" t="s">
        <v>1178</v>
      </c>
      <c r="E383" s="2" t="s">
        <v>507</v>
      </c>
      <c r="F383" s="2" t="s">
        <v>892</v>
      </c>
      <c r="G383" s="2"/>
    </row>
    <row r="384" customFormat="false" ht="23.85" hidden="false" customHeight="false" outlineLevel="0" collapsed="false">
      <c r="A384" s="2" t="n">
        <v>383</v>
      </c>
      <c r="B384" s="2" t="s">
        <v>888</v>
      </c>
      <c r="C384" s="2" t="s">
        <v>1182</v>
      </c>
      <c r="D384" s="2" t="s">
        <v>1178</v>
      </c>
      <c r="E384" s="2" t="s">
        <v>1176</v>
      </c>
      <c r="F384" s="2" t="s">
        <v>892</v>
      </c>
      <c r="G384" s="2"/>
    </row>
    <row r="385" customFormat="false" ht="35.05" hidden="false" customHeight="false" outlineLevel="0" collapsed="false">
      <c r="A385" s="2" t="n">
        <v>384</v>
      </c>
      <c r="B385" s="2" t="s">
        <v>888</v>
      </c>
      <c r="C385" s="2" t="s">
        <v>1183</v>
      </c>
      <c r="D385" s="2" t="s">
        <v>1184</v>
      </c>
      <c r="E385" s="2" t="s">
        <v>1185</v>
      </c>
      <c r="F385" s="2" t="s">
        <v>892</v>
      </c>
      <c r="G385" s="2"/>
    </row>
    <row r="386" customFormat="false" ht="35.05" hidden="false" customHeight="false" outlineLevel="0" collapsed="false">
      <c r="A386" s="2" t="n">
        <v>385</v>
      </c>
      <c r="B386" s="2" t="s">
        <v>888</v>
      </c>
      <c r="C386" s="2" t="s">
        <v>1186</v>
      </c>
      <c r="D386" s="2" t="s">
        <v>1187</v>
      </c>
      <c r="E386" s="2" t="s">
        <v>507</v>
      </c>
      <c r="F386" s="2" t="s">
        <v>892</v>
      </c>
      <c r="G386" s="2"/>
    </row>
    <row r="387" customFormat="false" ht="23.85" hidden="false" customHeight="false" outlineLevel="0" collapsed="false">
      <c r="A387" s="2" t="n">
        <v>386</v>
      </c>
      <c r="B387" s="2" t="s">
        <v>888</v>
      </c>
      <c r="C387" s="2" t="s">
        <v>1188</v>
      </c>
      <c r="D387" s="2" t="s">
        <v>1189</v>
      </c>
      <c r="E387" s="2" t="s">
        <v>507</v>
      </c>
      <c r="F387" s="2" t="s">
        <v>892</v>
      </c>
      <c r="G387" s="2"/>
    </row>
    <row r="388" customFormat="false" ht="23.85" hidden="false" customHeight="false" outlineLevel="0" collapsed="false">
      <c r="A388" s="2" t="n">
        <v>387</v>
      </c>
      <c r="B388" s="2" t="s">
        <v>888</v>
      </c>
      <c r="C388" s="2" t="s">
        <v>1190</v>
      </c>
      <c r="D388" s="2" t="s">
        <v>1191</v>
      </c>
      <c r="E388" s="2" t="s">
        <v>507</v>
      </c>
      <c r="F388" s="2" t="s">
        <v>892</v>
      </c>
      <c r="G388" s="2"/>
    </row>
    <row r="389" customFormat="false" ht="23.85" hidden="false" customHeight="false" outlineLevel="0" collapsed="false">
      <c r="A389" s="2" t="n">
        <v>388</v>
      </c>
      <c r="B389" s="2" t="s">
        <v>888</v>
      </c>
      <c r="C389" s="2" t="s">
        <v>1192</v>
      </c>
      <c r="D389" s="2" t="s">
        <v>1193</v>
      </c>
      <c r="E389" s="2" t="s">
        <v>1194</v>
      </c>
      <c r="F389" s="2" t="s">
        <v>892</v>
      </c>
      <c r="G389" s="2"/>
    </row>
    <row r="390" customFormat="false" ht="23.85" hidden="false" customHeight="false" outlineLevel="0" collapsed="false">
      <c r="A390" s="2" t="n">
        <v>389</v>
      </c>
      <c r="B390" s="2" t="s">
        <v>888</v>
      </c>
      <c r="C390" s="2" t="s">
        <v>1195</v>
      </c>
      <c r="D390" s="2" t="s">
        <v>1193</v>
      </c>
      <c r="E390" s="2" t="s">
        <v>1196</v>
      </c>
      <c r="F390" s="2" t="s">
        <v>892</v>
      </c>
      <c r="G390" s="2"/>
    </row>
    <row r="391" customFormat="false" ht="23.85" hidden="false" customHeight="false" outlineLevel="0" collapsed="false">
      <c r="A391" s="2" t="n">
        <v>390</v>
      </c>
      <c r="B391" s="2" t="s">
        <v>888</v>
      </c>
      <c r="C391" s="2" t="s">
        <v>1197</v>
      </c>
      <c r="D391" s="2" t="s">
        <v>1198</v>
      </c>
      <c r="E391" s="2" t="s">
        <v>1199</v>
      </c>
      <c r="F391" s="2" t="s">
        <v>892</v>
      </c>
      <c r="G391" s="2"/>
    </row>
    <row r="392" customFormat="false" ht="35.05" hidden="false" customHeight="false" outlineLevel="0" collapsed="false">
      <c r="A392" s="2" t="n">
        <v>391</v>
      </c>
      <c r="B392" s="2" t="s">
        <v>888</v>
      </c>
      <c r="C392" s="2" t="s">
        <v>1200</v>
      </c>
      <c r="D392" s="2" t="s">
        <v>1201</v>
      </c>
      <c r="E392" s="2" t="s">
        <v>1202</v>
      </c>
      <c r="F392" s="2" t="s">
        <v>892</v>
      </c>
      <c r="G392" s="2"/>
    </row>
    <row r="393" customFormat="false" ht="35.05" hidden="false" customHeight="false" outlineLevel="0" collapsed="false">
      <c r="A393" s="2" t="n">
        <v>392</v>
      </c>
      <c r="B393" s="2" t="s">
        <v>888</v>
      </c>
      <c r="C393" s="2" t="s">
        <v>1203</v>
      </c>
      <c r="D393" s="2" t="s">
        <v>1204</v>
      </c>
      <c r="E393" s="2" t="s">
        <v>507</v>
      </c>
      <c r="F393" s="2" t="s">
        <v>892</v>
      </c>
      <c r="G393" s="2"/>
    </row>
    <row r="394" customFormat="false" ht="23.85" hidden="false" customHeight="false" outlineLevel="0" collapsed="false">
      <c r="A394" s="2" t="n">
        <v>393</v>
      </c>
      <c r="B394" s="2" t="s">
        <v>888</v>
      </c>
      <c r="C394" s="2" t="s">
        <v>1205</v>
      </c>
      <c r="D394" s="2" t="s">
        <v>1206</v>
      </c>
      <c r="E394" s="2" t="s">
        <v>507</v>
      </c>
      <c r="F394" s="2" t="s">
        <v>892</v>
      </c>
      <c r="G394" s="2"/>
    </row>
    <row r="395" customFormat="false" ht="23.85" hidden="false" customHeight="false" outlineLevel="0" collapsed="false">
      <c r="A395" s="2" t="n">
        <v>394</v>
      </c>
      <c r="B395" s="2" t="s">
        <v>888</v>
      </c>
      <c r="C395" s="2" t="s">
        <v>1207</v>
      </c>
      <c r="D395" s="2" t="s">
        <v>1208</v>
      </c>
      <c r="E395" s="2" t="s">
        <v>1209</v>
      </c>
      <c r="F395" s="2" t="s">
        <v>892</v>
      </c>
      <c r="G395" s="2"/>
    </row>
    <row r="396" customFormat="false" ht="23.85" hidden="false" customHeight="false" outlineLevel="0" collapsed="false">
      <c r="A396" s="2" t="n">
        <v>395</v>
      </c>
      <c r="B396" s="2" t="s">
        <v>888</v>
      </c>
      <c r="C396" s="2" t="s">
        <v>1210</v>
      </c>
      <c r="D396" s="2" t="s">
        <v>1211</v>
      </c>
      <c r="E396" s="2" t="s">
        <v>507</v>
      </c>
      <c r="F396" s="2" t="s">
        <v>892</v>
      </c>
      <c r="G396" s="2"/>
    </row>
    <row r="397" customFormat="false" ht="23.85" hidden="false" customHeight="false" outlineLevel="0" collapsed="false">
      <c r="A397" s="2" t="n">
        <v>396</v>
      </c>
      <c r="B397" s="2" t="s">
        <v>888</v>
      </c>
      <c r="C397" s="2" t="s">
        <v>1212</v>
      </c>
      <c r="D397" s="2" t="s">
        <v>1211</v>
      </c>
      <c r="E397" s="2" t="s">
        <v>507</v>
      </c>
      <c r="F397" s="2" t="s">
        <v>892</v>
      </c>
      <c r="G397" s="2"/>
    </row>
    <row r="398" customFormat="false" ht="35.05" hidden="false" customHeight="false" outlineLevel="0" collapsed="false">
      <c r="A398" s="2" t="n">
        <v>397</v>
      </c>
      <c r="B398" s="2" t="s">
        <v>888</v>
      </c>
      <c r="C398" s="2" t="s">
        <v>1213</v>
      </c>
      <c r="D398" s="2" t="s">
        <v>1214</v>
      </c>
      <c r="E398" s="2" t="s">
        <v>1215</v>
      </c>
      <c r="F398" s="2" t="s">
        <v>892</v>
      </c>
      <c r="G398" s="2"/>
    </row>
    <row r="399" customFormat="false" ht="57.45" hidden="false" customHeight="false" outlineLevel="0" collapsed="false">
      <c r="A399" s="2" t="n">
        <v>398</v>
      </c>
      <c r="B399" s="2" t="s">
        <v>888</v>
      </c>
      <c r="C399" s="2" t="s">
        <v>1216</v>
      </c>
      <c r="D399" s="2" t="s">
        <v>1217</v>
      </c>
      <c r="E399" s="2" t="s">
        <v>1053</v>
      </c>
      <c r="F399" s="2" t="s">
        <v>892</v>
      </c>
      <c r="G399" s="2"/>
    </row>
    <row r="400" customFormat="false" ht="35.05" hidden="false" customHeight="false" outlineLevel="0" collapsed="false">
      <c r="A400" s="2" t="n">
        <v>399</v>
      </c>
      <c r="B400" s="2" t="s">
        <v>888</v>
      </c>
      <c r="C400" s="2" t="s">
        <v>1218</v>
      </c>
      <c r="D400" s="2" t="s">
        <v>1219</v>
      </c>
      <c r="E400" s="2" t="s">
        <v>1220</v>
      </c>
      <c r="F400" s="2" t="s">
        <v>892</v>
      </c>
      <c r="G400" s="2"/>
    </row>
    <row r="401" customFormat="false" ht="23.85" hidden="false" customHeight="false" outlineLevel="0" collapsed="false">
      <c r="A401" s="2" t="n">
        <v>400</v>
      </c>
      <c r="B401" s="2" t="s">
        <v>888</v>
      </c>
      <c r="C401" s="2" t="s">
        <v>1221</v>
      </c>
      <c r="D401" s="2" t="s">
        <v>1222</v>
      </c>
      <c r="E401" s="2" t="s">
        <v>1223</v>
      </c>
      <c r="F401" s="2" t="s">
        <v>892</v>
      </c>
      <c r="G401" s="2"/>
    </row>
    <row r="402" customFormat="false" ht="23.85" hidden="false" customHeight="false" outlineLevel="0" collapsed="false">
      <c r="A402" s="2" t="n">
        <v>401</v>
      </c>
      <c r="B402" s="2" t="s">
        <v>888</v>
      </c>
      <c r="C402" s="2" t="s">
        <v>1224</v>
      </c>
      <c r="D402" s="2" t="s">
        <v>1225</v>
      </c>
      <c r="E402" s="2" t="s">
        <v>1226</v>
      </c>
      <c r="F402" s="2" t="s">
        <v>892</v>
      </c>
      <c r="G402" s="2"/>
    </row>
    <row r="403" customFormat="false" ht="23.85" hidden="false" customHeight="false" outlineLevel="0" collapsed="false">
      <c r="A403" s="2" t="n">
        <v>402</v>
      </c>
      <c r="B403" s="2" t="s">
        <v>888</v>
      </c>
      <c r="C403" s="2" t="s">
        <v>1227</v>
      </c>
      <c r="D403" s="2" t="s">
        <v>1228</v>
      </c>
      <c r="E403" s="2" t="s">
        <v>1229</v>
      </c>
      <c r="F403" s="2" t="s">
        <v>892</v>
      </c>
      <c r="G403" s="2"/>
    </row>
    <row r="404" customFormat="false" ht="23.85" hidden="false" customHeight="false" outlineLevel="0" collapsed="false">
      <c r="A404" s="2" t="n">
        <v>403</v>
      </c>
      <c r="B404" s="2" t="s">
        <v>888</v>
      </c>
      <c r="C404" s="2" t="s">
        <v>1230</v>
      </c>
      <c r="D404" s="2" t="s">
        <v>1228</v>
      </c>
      <c r="E404" s="2" t="s">
        <v>507</v>
      </c>
      <c r="F404" s="2" t="s">
        <v>892</v>
      </c>
      <c r="G404" s="2"/>
    </row>
    <row r="405" customFormat="false" ht="35.05" hidden="false" customHeight="false" outlineLevel="0" collapsed="false">
      <c r="A405" s="2" t="n">
        <v>404</v>
      </c>
      <c r="B405" s="2" t="s">
        <v>888</v>
      </c>
      <c r="C405" s="2" t="s">
        <v>1231</v>
      </c>
      <c r="D405" s="2" t="s">
        <v>1232</v>
      </c>
      <c r="E405" s="2" t="s">
        <v>1233</v>
      </c>
      <c r="F405" s="2" t="s">
        <v>892</v>
      </c>
      <c r="G405" s="2"/>
    </row>
    <row r="406" customFormat="false" ht="35.05" hidden="false" customHeight="false" outlineLevel="0" collapsed="false">
      <c r="A406" s="2" t="n">
        <v>405</v>
      </c>
      <c r="B406" s="2" t="s">
        <v>888</v>
      </c>
      <c r="C406" s="2" t="s">
        <v>1234</v>
      </c>
      <c r="D406" s="2" t="s">
        <v>1232</v>
      </c>
      <c r="E406" s="2" t="s">
        <v>1235</v>
      </c>
      <c r="F406" s="2" t="s">
        <v>892</v>
      </c>
      <c r="G406" s="2"/>
    </row>
    <row r="407" customFormat="false" ht="35.05" hidden="false" customHeight="false" outlineLevel="0" collapsed="false">
      <c r="A407" s="2" t="n">
        <v>406</v>
      </c>
      <c r="B407" s="2" t="s">
        <v>888</v>
      </c>
      <c r="C407" s="2" t="s">
        <v>1236</v>
      </c>
      <c r="D407" s="2" t="s">
        <v>1232</v>
      </c>
      <c r="E407" s="2" t="s">
        <v>1237</v>
      </c>
      <c r="F407" s="2" t="s">
        <v>892</v>
      </c>
      <c r="G407" s="2"/>
    </row>
    <row r="408" customFormat="false" ht="35.05" hidden="false" customHeight="false" outlineLevel="0" collapsed="false">
      <c r="A408" s="2" t="n">
        <v>407</v>
      </c>
      <c r="B408" s="2" t="s">
        <v>888</v>
      </c>
      <c r="C408" s="2" t="s">
        <v>1238</v>
      </c>
      <c r="D408" s="2" t="s">
        <v>1232</v>
      </c>
      <c r="E408" s="2" t="s">
        <v>1239</v>
      </c>
      <c r="F408" s="2" t="s">
        <v>892</v>
      </c>
      <c r="G408" s="2"/>
    </row>
    <row r="409" customFormat="false" ht="35.05" hidden="false" customHeight="false" outlineLevel="0" collapsed="false">
      <c r="A409" s="2" t="n">
        <v>408</v>
      </c>
      <c r="B409" s="2" t="s">
        <v>888</v>
      </c>
      <c r="C409" s="2" t="s">
        <v>1240</v>
      </c>
      <c r="D409" s="2" t="s">
        <v>1232</v>
      </c>
      <c r="E409" s="2" t="s">
        <v>1241</v>
      </c>
      <c r="F409" s="2" t="s">
        <v>892</v>
      </c>
      <c r="G409" s="2"/>
    </row>
    <row r="410" customFormat="false" ht="35.05" hidden="false" customHeight="false" outlineLevel="0" collapsed="false">
      <c r="A410" s="2" t="n">
        <v>409</v>
      </c>
      <c r="B410" s="2" t="s">
        <v>888</v>
      </c>
      <c r="C410" s="2" t="s">
        <v>1242</v>
      </c>
      <c r="D410" s="2" t="s">
        <v>1243</v>
      </c>
      <c r="E410" s="2" t="s">
        <v>1244</v>
      </c>
      <c r="F410" s="2" t="s">
        <v>892</v>
      </c>
      <c r="G410" s="2"/>
    </row>
    <row r="411" customFormat="false" ht="23.85" hidden="false" customHeight="false" outlineLevel="0" collapsed="false">
      <c r="A411" s="2" t="n">
        <v>410</v>
      </c>
      <c r="B411" s="2" t="s">
        <v>888</v>
      </c>
      <c r="C411" s="2" t="s">
        <v>1245</v>
      </c>
      <c r="D411" s="2" t="s">
        <v>1246</v>
      </c>
      <c r="E411" s="2" t="s">
        <v>507</v>
      </c>
      <c r="F411" s="2" t="s">
        <v>892</v>
      </c>
      <c r="G411" s="2"/>
    </row>
    <row r="412" customFormat="false" ht="35.05" hidden="false" customHeight="false" outlineLevel="0" collapsed="false">
      <c r="A412" s="2" t="n">
        <v>411</v>
      </c>
      <c r="B412" s="2" t="s">
        <v>888</v>
      </c>
      <c r="C412" s="2" t="s">
        <v>1247</v>
      </c>
      <c r="D412" s="2" t="s">
        <v>1248</v>
      </c>
      <c r="E412" s="2" t="s">
        <v>507</v>
      </c>
      <c r="F412" s="2" t="s">
        <v>892</v>
      </c>
      <c r="G412" s="2"/>
    </row>
    <row r="413" customFormat="false" ht="23.85" hidden="false" customHeight="false" outlineLevel="0" collapsed="false">
      <c r="A413" s="2" t="n">
        <v>412</v>
      </c>
      <c r="B413" s="2" t="s">
        <v>888</v>
      </c>
      <c r="C413" s="2" t="s">
        <v>1249</v>
      </c>
      <c r="D413" s="2" t="s">
        <v>1248</v>
      </c>
      <c r="E413" s="2" t="s">
        <v>507</v>
      </c>
      <c r="F413" s="2" t="s">
        <v>892</v>
      </c>
      <c r="G413" s="2"/>
    </row>
    <row r="414" customFormat="false" ht="35.05" hidden="false" customHeight="false" outlineLevel="0" collapsed="false">
      <c r="A414" s="2" t="n">
        <v>413</v>
      </c>
      <c r="B414" s="2" t="s">
        <v>888</v>
      </c>
      <c r="C414" s="2" t="s">
        <v>1250</v>
      </c>
      <c r="D414" s="2" t="s">
        <v>1251</v>
      </c>
      <c r="E414" s="2" t="s">
        <v>507</v>
      </c>
      <c r="F414" s="2" t="s">
        <v>892</v>
      </c>
      <c r="G414" s="2"/>
    </row>
    <row r="415" customFormat="false" ht="23.85" hidden="false" customHeight="false" outlineLevel="0" collapsed="false">
      <c r="A415" s="2" t="n">
        <v>414</v>
      </c>
      <c r="B415" s="2" t="s">
        <v>888</v>
      </c>
      <c r="C415" s="2" t="s">
        <v>1252</v>
      </c>
      <c r="D415" s="2" t="s">
        <v>1253</v>
      </c>
      <c r="E415" s="2" t="s">
        <v>507</v>
      </c>
      <c r="F415" s="2" t="s">
        <v>892</v>
      </c>
      <c r="G415" s="2"/>
    </row>
    <row r="416" customFormat="false" ht="23.85" hidden="false" customHeight="false" outlineLevel="0" collapsed="false">
      <c r="A416" s="2" t="n">
        <v>415</v>
      </c>
      <c r="B416" s="2" t="s">
        <v>888</v>
      </c>
      <c r="C416" s="2" t="s">
        <v>1254</v>
      </c>
      <c r="D416" s="2" t="s">
        <v>1255</v>
      </c>
      <c r="E416" s="2" t="s">
        <v>507</v>
      </c>
      <c r="F416" s="2" t="s">
        <v>892</v>
      </c>
      <c r="G416" s="2"/>
    </row>
    <row r="417" customFormat="false" ht="23.85" hidden="false" customHeight="false" outlineLevel="0" collapsed="false">
      <c r="A417" s="2" t="n">
        <v>416</v>
      </c>
      <c r="B417" s="2" t="s">
        <v>888</v>
      </c>
      <c r="C417" s="2" t="s">
        <v>1256</v>
      </c>
      <c r="D417" s="2" t="s">
        <v>1201</v>
      </c>
      <c r="E417" s="2" t="s">
        <v>1257</v>
      </c>
      <c r="F417" s="2" t="s">
        <v>892</v>
      </c>
      <c r="G417" s="2"/>
    </row>
    <row r="418" customFormat="false" ht="35.05" hidden="false" customHeight="false" outlineLevel="0" collapsed="false">
      <c r="A418" s="2" t="n">
        <v>417</v>
      </c>
      <c r="B418" s="2" t="s">
        <v>888</v>
      </c>
      <c r="C418" s="2" t="s">
        <v>1258</v>
      </c>
      <c r="D418" s="2" t="s">
        <v>1259</v>
      </c>
      <c r="E418" s="2" t="s">
        <v>507</v>
      </c>
      <c r="F418" s="2" t="s">
        <v>892</v>
      </c>
      <c r="G418" s="2"/>
    </row>
    <row r="419" customFormat="false" ht="23.85" hidden="false" customHeight="false" outlineLevel="0" collapsed="false">
      <c r="A419" s="2" t="n">
        <v>418</v>
      </c>
      <c r="B419" s="2" t="s">
        <v>888</v>
      </c>
      <c r="C419" s="2" t="s">
        <v>1260</v>
      </c>
      <c r="D419" s="2" t="s">
        <v>1261</v>
      </c>
      <c r="E419" s="2" t="s">
        <v>507</v>
      </c>
      <c r="F419" s="2" t="s">
        <v>892</v>
      </c>
      <c r="G419" s="2"/>
    </row>
    <row r="420" customFormat="false" ht="23.85" hidden="false" customHeight="false" outlineLevel="0" collapsed="false">
      <c r="A420" s="2" t="n">
        <v>419</v>
      </c>
      <c r="B420" s="2" t="s">
        <v>888</v>
      </c>
      <c r="C420" s="2" t="s">
        <v>1262</v>
      </c>
      <c r="D420" s="2" t="s">
        <v>1263</v>
      </c>
      <c r="E420" s="2" t="s">
        <v>507</v>
      </c>
      <c r="F420" s="2" t="s">
        <v>892</v>
      </c>
      <c r="G420" s="2"/>
    </row>
    <row r="421" customFormat="false" ht="23.85" hidden="false" customHeight="false" outlineLevel="0" collapsed="false">
      <c r="A421" s="2" t="n">
        <v>420</v>
      </c>
      <c r="B421" s="2" t="s">
        <v>888</v>
      </c>
      <c r="C421" s="2" t="s">
        <v>1264</v>
      </c>
      <c r="D421" s="2" t="s">
        <v>1265</v>
      </c>
      <c r="E421" s="2" t="s">
        <v>507</v>
      </c>
      <c r="F421" s="2" t="s">
        <v>892</v>
      </c>
      <c r="G421" s="2"/>
    </row>
    <row r="422" customFormat="false" ht="35.05" hidden="false" customHeight="false" outlineLevel="0" collapsed="false">
      <c r="A422" s="2" t="n">
        <v>421</v>
      </c>
      <c r="B422" s="2" t="s">
        <v>888</v>
      </c>
      <c r="C422" s="2" t="s">
        <v>1266</v>
      </c>
      <c r="D422" s="2" t="s">
        <v>1267</v>
      </c>
      <c r="E422" s="2" t="s">
        <v>507</v>
      </c>
      <c r="F422" s="2" t="s">
        <v>892</v>
      </c>
      <c r="G422" s="2"/>
    </row>
    <row r="423" customFormat="false" ht="23.85" hidden="false" customHeight="false" outlineLevel="0" collapsed="false">
      <c r="A423" s="2" t="n">
        <v>422</v>
      </c>
      <c r="B423" s="2" t="s">
        <v>888</v>
      </c>
      <c r="C423" s="2" t="s">
        <v>1268</v>
      </c>
      <c r="D423" s="2" t="s">
        <v>1269</v>
      </c>
      <c r="E423" s="2" t="s">
        <v>507</v>
      </c>
      <c r="F423" s="2" t="s">
        <v>892</v>
      </c>
      <c r="G423" s="2"/>
    </row>
    <row r="424" customFormat="false" ht="57.45" hidden="false" customHeight="false" outlineLevel="0" collapsed="false">
      <c r="A424" s="2" t="n">
        <v>423</v>
      </c>
      <c r="B424" s="2" t="s">
        <v>888</v>
      </c>
      <c r="C424" s="2" t="s">
        <v>1270</v>
      </c>
      <c r="D424" s="2" t="s">
        <v>1271</v>
      </c>
      <c r="E424" s="2" t="s">
        <v>1272</v>
      </c>
      <c r="F424" s="2" t="s">
        <v>892</v>
      </c>
      <c r="G424" s="2"/>
    </row>
    <row r="425" customFormat="false" ht="23.85" hidden="false" customHeight="false" outlineLevel="0" collapsed="false">
      <c r="A425" s="2" t="n">
        <v>424</v>
      </c>
      <c r="B425" s="2" t="s">
        <v>888</v>
      </c>
      <c r="C425" s="2" t="s">
        <v>1273</v>
      </c>
      <c r="D425" s="2" t="s">
        <v>1274</v>
      </c>
      <c r="E425" s="2" t="s">
        <v>507</v>
      </c>
      <c r="F425" s="2" t="s">
        <v>892</v>
      </c>
      <c r="G425" s="2"/>
    </row>
    <row r="426" customFormat="false" ht="23.85" hidden="false" customHeight="false" outlineLevel="0" collapsed="false">
      <c r="A426" s="2" t="n">
        <v>425</v>
      </c>
      <c r="B426" s="2" t="s">
        <v>888</v>
      </c>
      <c r="C426" s="2" t="s">
        <v>1275</v>
      </c>
      <c r="D426" s="2" t="s">
        <v>1274</v>
      </c>
      <c r="E426" s="2" t="s">
        <v>507</v>
      </c>
      <c r="F426" s="2" t="s">
        <v>892</v>
      </c>
      <c r="G426" s="2"/>
    </row>
    <row r="427" customFormat="false" ht="23.85" hidden="false" customHeight="false" outlineLevel="0" collapsed="false">
      <c r="A427" s="2" t="n">
        <v>426</v>
      </c>
      <c r="B427" s="2" t="s">
        <v>888</v>
      </c>
      <c r="C427" s="2" t="s">
        <v>1276</v>
      </c>
      <c r="D427" s="2" t="s">
        <v>1277</v>
      </c>
      <c r="E427" s="2" t="s">
        <v>507</v>
      </c>
      <c r="F427" s="2" t="s">
        <v>892</v>
      </c>
      <c r="G427" s="2"/>
    </row>
    <row r="428" customFormat="false" ht="35.05" hidden="false" customHeight="false" outlineLevel="0" collapsed="false">
      <c r="A428" s="2" t="n">
        <v>427</v>
      </c>
      <c r="B428" s="2" t="s">
        <v>888</v>
      </c>
      <c r="C428" s="2" t="s">
        <v>1278</v>
      </c>
      <c r="D428" s="2" t="s">
        <v>1279</v>
      </c>
      <c r="E428" s="2" t="s">
        <v>507</v>
      </c>
      <c r="F428" s="2" t="s">
        <v>892</v>
      </c>
      <c r="G428" s="2"/>
    </row>
    <row r="429" customFormat="false" ht="35.05" hidden="false" customHeight="false" outlineLevel="0" collapsed="false">
      <c r="A429" s="2" t="n">
        <v>428</v>
      </c>
      <c r="B429" s="2" t="s">
        <v>888</v>
      </c>
      <c r="C429" s="2" t="s">
        <v>1280</v>
      </c>
      <c r="D429" s="2" t="s">
        <v>1281</v>
      </c>
      <c r="E429" s="2" t="s">
        <v>507</v>
      </c>
      <c r="F429" s="2" t="s">
        <v>892</v>
      </c>
      <c r="G429" s="2"/>
    </row>
    <row r="430" customFormat="false" ht="23.85" hidden="false" customHeight="false" outlineLevel="0" collapsed="false">
      <c r="A430" s="2" t="n">
        <v>429</v>
      </c>
      <c r="B430" s="2" t="s">
        <v>888</v>
      </c>
      <c r="C430" s="2" t="s">
        <v>1282</v>
      </c>
      <c r="D430" s="2" t="s">
        <v>1283</v>
      </c>
      <c r="E430" s="2" t="s">
        <v>507</v>
      </c>
      <c r="F430" s="2" t="s">
        <v>892</v>
      </c>
      <c r="G430" s="2"/>
    </row>
    <row r="431" customFormat="false" ht="23.85" hidden="false" customHeight="false" outlineLevel="0" collapsed="false">
      <c r="A431" s="2" t="n">
        <v>430</v>
      </c>
      <c r="B431" s="2" t="s">
        <v>888</v>
      </c>
      <c r="C431" s="2" t="s">
        <v>1284</v>
      </c>
      <c r="D431" s="2" t="s">
        <v>1285</v>
      </c>
      <c r="E431" s="2" t="s">
        <v>507</v>
      </c>
      <c r="F431" s="2" t="s">
        <v>892</v>
      </c>
      <c r="G431" s="2"/>
    </row>
    <row r="432" customFormat="false" ht="23.85" hidden="false" customHeight="false" outlineLevel="0" collapsed="false">
      <c r="A432" s="2" t="n">
        <v>431</v>
      </c>
      <c r="B432" s="2" t="s">
        <v>888</v>
      </c>
      <c r="C432" s="2" t="s">
        <v>1286</v>
      </c>
      <c r="D432" s="2" t="s">
        <v>1285</v>
      </c>
      <c r="E432" s="2" t="s">
        <v>507</v>
      </c>
      <c r="F432" s="2" t="s">
        <v>892</v>
      </c>
      <c r="G432" s="2"/>
    </row>
    <row r="433" customFormat="false" ht="23.85" hidden="false" customHeight="false" outlineLevel="0" collapsed="false">
      <c r="A433" s="2" t="n">
        <v>432</v>
      </c>
      <c r="B433" s="2" t="s">
        <v>888</v>
      </c>
      <c r="C433" s="2" t="s">
        <v>1287</v>
      </c>
      <c r="D433" s="2" t="s">
        <v>1288</v>
      </c>
      <c r="E433" s="2" t="s">
        <v>507</v>
      </c>
      <c r="F433" s="2" t="s">
        <v>892</v>
      </c>
      <c r="G433" s="2"/>
    </row>
    <row r="434" customFormat="false" ht="23.85" hidden="false" customHeight="false" outlineLevel="0" collapsed="false">
      <c r="A434" s="2" t="n">
        <v>433</v>
      </c>
      <c r="B434" s="2" t="s">
        <v>888</v>
      </c>
      <c r="C434" s="2" t="s">
        <v>1289</v>
      </c>
      <c r="D434" s="2" t="s">
        <v>1288</v>
      </c>
      <c r="E434" s="2" t="s">
        <v>507</v>
      </c>
      <c r="F434" s="2" t="s">
        <v>892</v>
      </c>
      <c r="G434" s="2"/>
    </row>
    <row r="435" customFormat="false" ht="35.05" hidden="false" customHeight="false" outlineLevel="0" collapsed="false">
      <c r="A435" s="2" t="n">
        <v>434</v>
      </c>
      <c r="B435" s="2" t="s">
        <v>888</v>
      </c>
      <c r="C435" s="2" t="s">
        <v>1290</v>
      </c>
      <c r="D435" s="2" t="s">
        <v>1291</v>
      </c>
      <c r="E435" s="2" t="s">
        <v>1292</v>
      </c>
      <c r="F435" s="2" t="s">
        <v>892</v>
      </c>
      <c r="G435" s="2"/>
    </row>
    <row r="436" customFormat="false" ht="23.85" hidden="false" customHeight="false" outlineLevel="0" collapsed="false">
      <c r="A436" s="2" t="n">
        <v>435</v>
      </c>
      <c r="B436" s="2" t="s">
        <v>888</v>
      </c>
      <c r="C436" s="2" t="s">
        <v>1293</v>
      </c>
      <c r="D436" s="2" t="s">
        <v>1294</v>
      </c>
      <c r="E436" s="2" t="s">
        <v>507</v>
      </c>
      <c r="F436" s="2" t="s">
        <v>892</v>
      </c>
      <c r="G436" s="2"/>
    </row>
    <row r="437" customFormat="false" ht="35.05" hidden="false" customHeight="false" outlineLevel="0" collapsed="false">
      <c r="A437" s="2" t="n">
        <v>436</v>
      </c>
      <c r="B437" s="2" t="s">
        <v>888</v>
      </c>
      <c r="C437" s="2" t="s">
        <v>1295</v>
      </c>
      <c r="D437" s="2" t="s">
        <v>1296</v>
      </c>
      <c r="E437" s="2" t="s">
        <v>507</v>
      </c>
      <c r="F437" s="2" t="s">
        <v>892</v>
      </c>
      <c r="G437" s="2"/>
    </row>
    <row r="438" customFormat="false" ht="35.05" hidden="false" customHeight="false" outlineLevel="0" collapsed="false">
      <c r="A438" s="2" t="n">
        <v>437</v>
      </c>
      <c r="B438" s="2" t="s">
        <v>888</v>
      </c>
      <c r="C438" s="2" t="s">
        <v>1297</v>
      </c>
      <c r="D438" s="2" t="s">
        <v>1298</v>
      </c>
      <c r="E438" s="2" t="s">
        <v>1299</v>
      </c>
      <c r="F438" s="2" t="s">
        <v>892</v>
      </c>
      <c r="G438" s="2"/>
    </row>
    <row r="439" customFormat="false" ht="23.85" hidden="false" customHeight="false" outlineLevel="0" collapsed="false">
      <c r="A439" s="2" t="n">
        <v>438</v>
      </c>
      <c r="B439" s="2" t="s">
        <v>888</v>
      </c>
      <c r="C439" s="2" t="s">
        <v>1300</v>
      </c>
      <c r="D439" s="2" t="s">
        <v>1298</v>
      </c>
      <c r="E439" s="2" t="s">
        <v>507</v>
      </c>
      <c r="F439" s="2" t="s">
        <v>892</v>
      </c>
      <c r="G439" s="2"/>
    </row>
    <row r="440" customFormat="false" ht="35.05" hidden="false" customHeight="false" outlineLevel="0" collapsed="false">
      <c r="A440" s="2" t="n">
        <v>439</v>
      </c>
      <c r="B440" s="2" t="s">
        <v>888</v>
      </c>
      <c r="C440" s="2" t="s">
        <v>1301</v>
      </c>
      <c r="D440" s="2" t="s">
        <v>1302</v>
      </c>
      <c r="E440" s="2" t="s">
        <v>1303</v>
      </c>
      <c r="F440" s="2" t="s">
        <v>892</v>
      </c>
      <c r="G440" s="2"/>
    </row>
    <row r="441" customFormat="false" ht="23.85" hidden="false" customHeight="false" outlineLevel="0" collapsed="false">
      <c r="A441" s="2" t="n">
        <v>440</v>
      </c>
      <c r="B441" s="2" t="s">
        <v>888</v>
      </c>
      <c r="C441" s="2" t="s">
        <v>1304</v>
      </c>
      <c r="D441" s="2" t="s">
        <v>1302</v>
      </c>
      <c r="E441" s="2" t="s">
        <v>1305</v>
      </c>
      <c r="F441" s="2" t="s">
        <v>892</v>
      </c>
      <c r="G441" s="2"/>
    </row>
    <row r="442" customFormat="false" ht="23.85" hidden="false" customHeight="false" outlineLevel="0" collapsed="false">
      <c r="A442" s="2" t="n">
        <v>441</v>
      </c>
      <c r="B442" s="2" t="s">
        <v>888</v>
      </c>
      <c r="C442" s="2" t="s">
        <v>1306</v>
      </c>
      <c r="D442" s="2" t="s">
        <v>1302</v>
      </c>
      <c r="E442" s="2" t="s">
        <v>1305</v>
      </c>
      <c r="F442" s="2" t="s">
        <v>892</v>
      </c>
      <c r="G442" s="2"/>
    </row>
    <row r="443" customFormat="false" ht="23.85" hidden="false" customHeight="false" outlineLevel="0" collapsed="false">
      <c r="A443" s="2" t="n">
        <v>442</v>
      </c>
      <c r="B443" s="2" t="s">
        <v>888</v>
      </c>
      <c r="C443" s="2" t="s">
        <v>1307</v>
      </c>
      <c r="D443" s="2" t="s">
        <v>1308</v>
      </c>
      <c r="E443" s="2" t="s">
        <v>507</v>
      </c>
      <c r="F443" s="2" t="s">
        <v>892</v>
      </c>
      <c r="G443" s="2"/>
    </row>
    <row r="444" customFormat="false" ht="23.85" hidden="false" customHeight="false" outlineLevel="0" collapsed="false">
      <c r="A444" s="2" t="n">
        <v>443</v>
      </c>
      <c r="B444" s="2" t="s">
        <v>888</v>
      </c>
      <c r="C444" s="2" t="s">
        <v>1309</v>
      </c>
      <c r="D444" s="2" t="s">
        <v>1310</v>
      </c>
      <c r="E444" s="2" t="s">
        <v>507</v>
      </c>
      <c r="F444" s="2" t="s">
        <v>892</v>
      </c>
      <c r="G444" s="2"/>
    </row>
    <row r="445" customFormat="false" ht="35.05" hidden="false" customHeight="false" outlineLevel="0" collapsed="false">
      <c r="A445" s="2" t="n">
        <v>444</v>
      </c>
      <c r="B445" s="2" t="s">
        <v>888</v>
      </c>
      <c r="C445" s="2" t="s">
        <v>1311</v>
      </c>
      <c r="D445" s="2" t="s">
        <v>1312</v>
      </c>
      <c r="E445" s="2" t="s">
        <v>507</v>
      </c>
      <c r="F445" s="2" t="s">
        <v>892</v>
      </c>
      <c r="G445" s="2"/>
    </row>
    <row r="446" customFormat="false" ht="35.05" hidden="false" customHeight="false" outlineLevel="0" collapsed="false">
      <c r="A446" s="2" t="n">
        <v>445</v>
      </c>
      <c r="B446" s="2" t="s">
        <v>888</v>
      </c>
      <c r="C446" s="2" t="s">
        <v>1313</v>
      </c>
      <c r="D446" s="2" t="s">
        <v>1314</v>
      </c>
      <c r="E446" s="2" t="s">
        <v>507</v>
      </c>
      <c r="F446" s="2" t="s">
        <v>892</v>
      </c>
      <c r="G446" s="2"/>
    </row>
    <row r="447" customFormat="false" ht="35.05" hidden="false" customHeight="false" outlineLevel="0" collapsed="false">
      <c r="A447" s="2" t="n">
        <v>446</v>
      </c>
      <c r="B447" s="2" t="s">
        <v>888</v>
      </c>
      <c r="C447" s="2" t="s">
        <v>1315</v>
      </c>
      <c r="D447" s="2" t="s">
        <v>1316</v>
      </c>
      <c r="E447" s="2" t="s">
        <v>507</v>
      </c>
      <c r="F447" s="2" t="s">
        <v>892</v>
      </c>
      <c r="G447" s="2"/>
    </row>
    <row r="448" customFormat="false" ht="35.05" hidden="false" customHeight="false" outlineLevel="0" collapsed="false">
      <c r="A448" s="2" t="n">
        <v>447</v>
      </c>
      <c r="B448" s="2" t="s">
        <v>888</v>
      </c>
      <c r="C448" s="2" t="s">
        <v>1317</v>
      </c>
      <c r="D448" s="2" t="s">
        <v>1318</v>
      </c>
      <c r="E448" s="2" t="s">
        <v>507</v>
      </c>
      <c r="F448" s="2" t="s">
        <v>892</v>
      </c>
      <c r="G448" s="2"/>
    </row>
    <row r="449" customFormat="false" ht="35.05" hidden="false" customHeight="false" outlineLevel="0" collapsed="false">
      <c r="A449" s="2" t="n">
        <v>448</v>
      </c>
      <c r="B449" s="2" t="s">
        <v>888</v>
      </c>
      <c r="C449" s="2" t="s">
        <v>1319</v>
      </c>
      <c r="D449" s="2" t="s">
        <v>1320</v>
      </c>
      <c r="E449" s="2" t="s">
        <v>507</v>
      </c>
      <c r="F449" s="2" t="s">
        <v>892</v>
      </c>
      <c r="G449" s="2"/>
    </row>
    <row r="450" customFormat="false" ht="35.05" hidden="false" customHeight="false" outlineLevel="0" collapsed="false">
      <c r="A450" s="2" t="n">
        <v>449</v>
      </c>
      <c r="B450" s="2" t="s">
        <v>888</v>
      </c>
      <c r="C450" s="2" t="s">
        <v>1321</v>
      </c>
      <c r="D450" s="2" t="s">
        <v>1322</v>
      </c>
      <c r="E450" s="2" t="s">
        <v>507</v>
      </c>
      <c r="F450" s="2" t="s">
        <v>892</v>
      </c>
      <c r="G450" s="2"/>
    </row>
    <row r="451" customFormat="false" ht="35.05" hidden="false" customHeight="false" outlineLevel="0" collapsed="false">
      <c r="A451" s="2" t="n">
        <v>450</v>
      </c>
      <c r="B451" s="2" t="s">
        <v>888</v>
      </c>
      <c r="C451" s="2" t="s">
        <v>1323</v>
      </c>
      <c r="D451" s="2" t="s">
        <v>1324</v>
      </c>
      <c r="E451" s="2" t="s">
        <v>1325</v>
      </c>
      <c r="F451" s="2" t="s">
        <v>892</v>
      </c>
      <c r="G451" s="2"/>
    </row>
    <row r="452" customFormat="false" ht="35.05" hidden="false" customHeight="false" outlineLevel="0" collapsed="false">
      <c r="A452" s="2" t="n">
        <v>451</v>
      </c>
      <c r="B452" s="2" t="s">
        <v>888</v>
      </c>
      <c r="C452" s="2" t="s">
        <v>1326</v>
      </c>
      <c r="D452" s="2" t="s">
        <v>1324</v>
      </c>
      <c r="E452" s="2" t="s">
        <v>1327</v>
      </c>
      <c r="F452" s="2" t="s">
        <v>892</v>
      </c>
      <c r="G452" s="2"/>
    </row>
    <row r="453" customFormat="false" ht="35.05" hidden="false" customHeight="false" outlineLevel="0" collapsed="false">
      <c r="A453" s="2" t="n">
        <v>452</v>
      </c>
      <c r="B453" s="2" t="s">
        <v>888</v>
      </c>
      <c r="C453" s="2" t="s">
        <v>1328</v>
      </c>
      <c r="D453" s="2" t="s">
        <v>1324</v>
      </c>
      <c r="E453" s="2" t="s">
        <v>1329</v>
      </c>
      <c r="F453" s="2" t="s">
        <v>892</v>
      </c>
      <c r="G453" s="2"/>
    </row>
    <row r="454" customFormat="false" ht="35.05" hidden="false" customHeight="false" outlineLevel="0" collapsed="false">
      <c r="A454" s="2" t="n">
        <v>453</v>
      </c>
      <c r="B454" s="2" t="s">
        <v>888</v>
      </c>
      <c r="C454" s="2" t="s">
        <v>1330</v>
      </c>
      <c r="D454" s="2" t="s">
        <v>1331</v>
      </c>
      <c r="E454" s="2" t="s">
        <v>1332</v>
      </c>
      <c r="F454" s="2" t="s">
        <v>892</v>
      </c>
      <c r="G454" s="2"/>
    </row>
    <row r="455" customFormat="false" ht="35.05" hidden="false" customHeight="false" outlineLevel="0" collapsed="false">
      <c r="A455" s="2" t="n">
        <v>454</v>
      </c>
      <c r="B455" s="2" t="s">
        <v>888</v>
      </c>
      <c r="C455" s="2" t="s">
        <v>1333</v>
      </c>
      <c r="D455" s="2" t="s">
        <v>1334</v>
      </c>
      <c r="E455" s="2" t="s">
        <v>1335</v>
      </c>
      <c r="F455" s="2" t="s">
        <v>892</v>
      </c>
      <c r="G455" s="2"/>
    </row>
    <row r="456" customFormat="false" ht="35.05" hidden="false" customHeight="false" outlineLevel="0" collapsed="false">
      <c r="A456" s="2" t="n">
        <v>455</v>
      </c>
      <c r="B456" s="2" t="s">
        <v>888</v>
      </c>
      <c r="C456" s="2" t="s">
        <v>1336</v>
      </c>
      <c r="D456" s="2" t="s">
        <v>1337</v>
      </c>
      <c r="E456" s="2" t="s">
        <v>507</v>
      </c>
      <c r="F456" s="2" t="s">
        <v>892</v>
      </c>
      <c r="G456" s="2"/>
    </row>
    <row r="457" customFormat="false" ht="35.05" hidden="false" customHeight="false" outlineLevel="0" collapsed="false">
      <c r="A457" s="2" t="n">
        <v>456</v>
      </c>
      <c r="B457" s="2" t="s">
        <v>888</v>
      </c>
      <c r="C457" s="2" t="s">
        <v>1338</v>
      </c>
      <c r="D457" s="2" t="s">
        <v>1339</v>
      </c>
      <c r="E457" s="2" t="s">
        <v>1340</v>
      </c>
      <c r="F457" s="2" t="s">
        <v>892</v>
      </c>
      <c r="G457" s="2"/>
    </row>
    <row r="458" customFormat="false" ht="23.85" hidden="false" customHeight="false" outlineLevel="0" collapsed="false">
      <c r="A458" s="2" t="n">
        <v>457</v>
      </c>
      <c r="B458" s="2" t="s">
        <v>888</v>
      </c>
      <c r="C458" s="2" t="s">
        <v>1341</v>
      </c>
      <c r="D458" s="2" t="s">
        <v>1342</v>
      </c>
      <c r="E458" s="2" t="s">
        <v>507</v>
      </c>
      <c r="F458" s="2" t="s">
        <v>892</v>
      </c>
      <c r="G458" s="2"/>
    </row>
    <row r="459" customFormat="false" ht="35.05" hidden="false" customHeight="false" outlineLevel="0" collapsed="false">
      <c r="A459" s="2" t="n">
        <v>458</v>
      </c>
      <c r="B459" s="2" t="s">
        <v>888</v>
      </c>
      <c r="C459" s="2" t="s">
        <v>1343</v>
      </c>
      <c r="D459" s="2" t="s">
        <v>1314</v>
      </c>
      <c r="E459" s="2" t="s">
        <v>1344</v>
      </c>
      <c r="F459" s="2" t="s">
        <v>892</v>
      </c>
      <c r="G459" s="2"/>
    </row>
    <row r="460" customFormat="false" ht="35.05" hidden="false" customHeight="false" outlineLevel="0" collapsed="false">
      <c r="A460" s="2" t="n">
        <v>459</v>
      </c>
      <c r="B460" s="2" t="s">
        <v>888</v>
      </c>
      <c r="C460" s="2" t="s">
        <v>1345</v>
      </c>
      <c r="D460" s="2" t="s">
        <v>1346</v>
      </c>
      <c r="E460" s="2" t="s">
        <v>1347</v>
      </c>
      <c r="F460" s="2" t="s">
        <v>892</v>
      </c>
      <c r="G460" s="2"/>
    </row>
    <row r="461" customFormat="false" ht="35.05" hidden="false" customHeight="false" outlineLevel="0" collapsed="false">
      <c r="A461" s="2" t="n">
        <v>460</v>
      </c>
      <c r="B461" s="2" t="s">
        <v>888</v>
      </c>
      <c r="C461" s="2" t="s">
        <v>1348</v>
      </c>
      <c r="D461" s="2" t="s">
        <v>1349</v>
      </c>
      <c r="E461" s="2" t="s">
        <v>1350</v>
      </c>
      <c r="F461" s="2" t="s">
        <v>892</v>
      </c>
      <c r="G461" s="2"/>
    </row>
    <row r="462" customFormat="false" ht="23.85" hidden="false" customHeight="false" outlineLevel="0" collapsed="false">
      <c r="A462" s="2" t="n">
        <v>461</v>
      </c>
      <c r="B462" s="2" t="s">
        <v>888</v>
      </c>
      <c r="C462" s="2" t="s">
        <v>1351</v>
      </c>
      <c r="D462" s="2" t="s">
        <v>1352</v>
      </c>
      <c r="E462" s="2" t="s">
        <v>507</v>
      </c>
      <c r="F462" s="2" t="s">
        <v>892</v>
      </c>
      <c r="G462" s="2"/>
    </row>
    <row r="463" customFormat="false" ht="35.05" hidden="false" customHeight="false" outlineLevel="0" collapsed="false">
      <c r="A463" s="2" t="n">
        <v>462</v>
      </c>
      <c r="B463" s="2" t="s">
        <v>888</v>
      </c>
      <c r="C463" s="2" t="s">
        <v>1353</v>
      </c>
      <c r="D463" s="2" t="s">
        <v>1354</v>
      </c>
      <c r="E463" s="2" t="s">
        <v>1355</v>
      </c>
      <c r="F463" s="2" t="s">
        <v>892</v>
      </c>
      <c r="G463" s="2"/>
    </row>
    <row r="464" customFormat="false" ht="35.05" hidden="false" customHeight="false" outlineLevel="0" collapsed="false">
      <c r="A464" s="2" t="n">
        <v>463</v>
      </c>
      <c r="B464" s="2" t="s">
        <v>888</v>
      </c>
      <c r="C464" s="2" t="s">
        <v>1356</v>
      </c>
      <c r="D464" s="2" t="s">
        <v>1357</v>
      </c>
      <c r="E464" s="2" t="s">
        <v>507</v>
      </c>
      <c r="F464" s="2" t="s">
        <v>892</v>
      </c>
      <c r="G464" s="2"/>
    </row>
    <row r="465" customFormat="false" ht="35.05" hidden="false" customHeight="false" outlineLevel="0" collapsed="false">
      <c r="A465" s="2" t="n">
        <v>464</v>
      </c>
      <c r="B465" s="2" t="s">
        <v>888</v>
      </c>
      <c r="C465" s="2" t="s">
        <v>1358</v>
      </c>
      <c r="D465" s="2" t="s">
        <v>1359</v>
      </c>
      <c r="E465" s="2" t="s">
        <v>507</v>
      </c>
      <c r="F465" s="2" t="s">
        <v>892</v>
      </c>
      <c r="G465" s="2"/>
    </row>
    <row r="466" customFormat="false" ht="35.05" hidden="false" customHeight="false" outlineLevel="0" collapsed="false">
      <c r="A466" s="2" t="n">
        <v>465</v>
      </c>
      <c r="B466" s="2" t="s">
        <v>888</v>
      </c>
      <c r="C466" s="2" t="s">
        <v>1360</v>
      </c>
      <c r="D466" s="2" t="s">
        <v>1361</v>
      </c>
      <c r="E466" s="2" t="s">
        <v>507</v>
      </c>
      <c r="F466" s="2" t="s">
        <v>892</v>
      </c>
      <c r="G466" s="2"/>
    </row>
    <row r="467" customFormat="false" ht="35.05" hidden="false" customHeight="false" outlineLevel="0" collapsed="false">
      <c r="A467" s="2" t="n">
        <v>466</v>
      </c>
      <c r="B467" s="2" t="s">
        <v>888</v>
      </c>
      <c r="C467" s="2" t="s">
        <v>1362</v>
      </c>
      <c r="D467" s="2" t="s">
        <v>1361</v>
      </c>
      <c r="E467" s="2" t="s">
        <v>507</v>
      </c>
      <c r="F467" s="2" t="s">
        <v>892</v>
      </c>
      <c r="G467" s="2"/>
    </row>
    <row r="468" customFormat="false" ht="35.05" hidden="false" customHeight="false" outlineLevel="0" collapsed="false">
      <c r="A468" s="2" t="n">
        <v>467</v>
      </c>
      <c r="B468" s="2" t="s">
        <v>888</v>
      </c>
      <c r="C468" s="2" t="s">
        <v>1363</v>
      </c>
      <c r="D468" s="2" t="s">
        <v>1364</v>
      </c>
      <c r="E468" s="2" t="s">
        <v>507</v>
      </c>
      <c r="F468" s="2" t="s">
        <v>892</v>
      </c>
      <c r="G468" s="2"/>
    </row>
    <row r="469" customFormat="false" ht="23.85" hidden="false" customHeight="false" outlineLevel="0" collapsed="false">
      <c r="A469" s="2" t="n">
        <v>468</v>
      </c>
      <c r="B469" s="2" t="s">
        <v>888</v>
      </c>
      <c r="C469" s="2" t="s">
        <v>1365</v>
      </c>
      <c r="D469" s="2" t="s">
        <v>1366</v>
      </c>
      <c r="E469" s="2" t="s">
        <v>507</v>
      </c>
      <c r="F469" s="2" t="s">
        <v>892</v>
      </c>
      <c r="G469" s="2"/>
    </row>
    <row r="470" customFormat="false" ht="35.05" hidden="false" customHeight="false" outlineLevel="0" collapsed="false">
      <c r="A470" s="2" t="n">
        <v>469</v>
      </c>
      <c r="B470" s="2" t="s">
        <v>888</v>
      </c>
      <c r="C470" s="2" t="s">
        <v>1367</v>
      </c>
      <c r="D470" s="2" t="s">
        <v>1368</v>
      </c>
      <c r="E470" s="2" t="s">
        <v>1369</v>
      </c>
      <c r="F470" s="2" t="s">
        <v>892</v>
      </c>
      <c r="G470" s="2"/>
    </row>
    <row r="471" customFormat="false" ht="46.25" hidden="false" customHeight="false" outlineLevel="0" collapsed="false">
      <c r="A471" s="2" t="n">
        <v>470</v>
      </c>
      <c r="B471" s="2" t="s">
        <v>888</v>
      </c>
      <c r="C471" s="2" t="s">
        <v>1370</v>
      </c>
      <c r="D471" s="2" t="s">
        <v>1368</v>
      </c>
      <c r="E471" s="2" t="s">
        <v>1371</v>
      </c>
      <c r="F471" s="2" t="s">
        <v>892</v>
      </c>
      <c r="G471" s="2"/>
    </row>
    <row r="472" customFormat="false" ht="35.05" hidden="false" customHeight="false" outlineLevel="0" collapsed="false">
      <c r="A472" s="2" t="n">
        <v>471</v>
      </c>
      <c r="B472" s="2" t="s">
        <v>888</v>
      </c>
      <c r="C472" s="2" t="s">
        <v>1372</v>
      </c>
      <c r="D472" s="2" t="s">
        <v>1368</v>
      </c>
      <c r="E472" s="2" t="s">
        <v>507</v>
      </c>
      <c r="F472" s="2" t="s">
        <v>892</v>
      </c>
      <c r="G472" s="2"/>
    </row>
    <row r="473" customFormat="false" ht="23.85" hidden="false" customHeight="false" outlineLevel="0" collapsed="false">
      <c r="A473" s="2" t="n">
        <v>472</v>
      </c>
      <c r="B473" s="2" t="s">
        <v>888</v>
      </c>
      <c r="C473" s="2" t="s">
        <v>1373</v>
      </c>
      <c r="D473" s="2" t="s">
        <v>1374</v>
      </c>
      <c r="E473" s="2" t="s">
        <v>1375</v>
      </c>
      <c r="F473" s="2" t="s">
        <v>892</v>
      </c>
      <c r="G473" s="2"/>
    </row>
    <row r="474" customFormat="false" ht="23.85" hidden="false" customHeight="false" outlineLevel="0" collapsed="false">
      <c r="A474" s="2" t="n">
        <v>473</v>
      </c>
      <c r="B474" s="2" t="s">
        <v>888</v>
      </c>
      <c r="C474" s="2" t="s">
        <v>1376</v>
      </c>
      <c r="D474" s="2" t="s">
        <v>1377</v>
      </c>
      <c r="E474" s="2" t="s">
        <v>1378</v>
      </c>
      <c r="F474" s="2" t="s">
        <v>892</v>
      </c>
      <c r="G474" s="2"/>
    </row>
    <row r="475" customFormat="false" ht="23.85" hidden="false" customHeight="false" outlineLevel="0" collapsed="false">
      <c r="A475" s="2" t="n">
        <v>474</v>
      </c>
      <c r="B475" s="2" t="s">
        <v>888</v>
      </c>
      <c r="C475" s="2" t="s">
        <v>1379</v>
      </c>
      <c r="D475" s="2" t="s">
        <v>1377</v>
      </c>
      <c r="E475" s="2" t="s">
        <v>1378</v>
      </c>
      <c r="F475" s="2" t="s">
        <v>892</v>
      </c>
      <c r="G475" s="2"/>
    </row>
    <row r="476" customFormat="false" ht="35.05" hidden="false" customHeight="false" outlineLevel="0" collapsed="false">
      <c r="A476" s="2" t="n">
        <v>475</v>
      </c>
      <c r="B476" s="2" t="s">
        <v>888</v>
      </c>
      <c r="C476" s="2" t="s">
        <v>1380</v>
      </c>
      <c r="D476" s="2" t="s">
        <v>1381</v>
      </c>
      <c r="E476" s="2" t="s">
        <v>1378</v>
      </c>
      <c r="F476" s="2" t="s">
        <v>892</v>
      </c>
      <c r="G476" s="2"/>
    </row>
    <row r="477" customFormat="false" ht="35.05" hidden="false" customHeight="false" outlineLevel="0" collapsed="false">
      <c r="A477" s="2" t="n">
        <v>476</v>
      </c>
      <c r="B477" s="2" t="s">
        <v>888</v>
      </c>
      <c r="C477" s="2" t="s">
        <v>1382</v>
      </c>
      <c r="D477" s="2" t="s">
        <v>1381</v>
      </c>
      <c r="E477" s="2" t="s">
        <v>1378</v>
      </c>
      <c r="F477" s="2" t="s">
        <v>892</v>
      </c>
      <c r="G477" s="2"/>
    </row>
    <row r="478" customFormat="false" ht="35.05" hidden="false" customHeight="false" outlineLevel="0" collapsed="false">
      <c r="A478" s="2" t="n">
        <v>477</v>
      </c>
      <c r="B478" s="2" t="s">
        <v>888</v>
      </c>
      <c r="C478" s="2" t="s">
        <v>1383</v>
      </c>
      <c r="D478" s="2" t="s">
        <v>1384</v>
      </c>
      <c r="E478" s="2" t="s">
        <v>1385</v>
      </c>
      <c r="F478" s="2" t="s">
        <v>892</v>
      </c>
      <c r="G478" s="2"/>
    </row>
    <row r="479" customFormat="false" ht="35.05" hidden="false" customHeight="false" outlineLevel="0" collapsed="false">
      <c r="A479" s="2" t="n">
        <v>478</v>
      </c>
      <c r="B479" s="2" t="s">
        <v>888</v>
      </c>
      <c r="C479" s="2" t="s">
        <v>1386</v>
      </c>
      <c r="D479" s="2" t="s">
        <v>1387</v>
      </c>
      <c r="E479" s="2" t="s">
        <v>507</v>
      </c>
      <c r="F479" s="2" t="s">
        <v>892</v>
      </c>
      <c r="G479" s="2"/>
    </row>
    <row r="480" customFormat="false" ht="23.85" hidden="false" customHeight="false" outlineLevel="0" collapsed="false">
      <c r="A480" s="2" t="n">
        <v>479</v>
      </c>
      <c r="B480" s="2" t="s">
        <v>888</v>
      </c>
      <c r="C480" s="2" t="s">
        <v>1388</v>
      </c>
      <c r="D480" s="2" t="s">
        <v>1389</v>
      </c>
      <c r="E480" s="2" t="s">
        <v>507</v>
      </c>
      <c r="F480" s="2" t="s">
        <v>892</v>
      </c>
      <c r="G480" s="2"/>
    </row>
    <row r="481" customFormat="false" ht="35.05" hidden="false" customHeight="false" outlineLevel="0" collapsed="false">
      <c r="A481" s="2" t="n">
        <v>480</v>
      </c>
      <c r="B481" s="2" t="s">
        <v>888</v>
      </c>
      <c r="C481" s="2" t="s">
        <v>1390</v>
      </c>
      <c r="D481" s="2" t="s">
        <v>1391</v>
      </c>
      <c r="E481" s="2" t="s">
        <v>507</v>
      </c>
      <c r="F481" s="2" t="s">
        <v>892</v>
      </c>
      <c r="G481" s="2"/>
    </row>
    <row r="482" customFormat="false" ht="35.05" hidden="false" customHeight="false" outlineLevel="0" collapsed="false">
      <c r="A482" s="2" t="n">
        <v>481</v>
      </c>
      <c r="B482" s="2" t="s">
        <v>888</v>
      </c>
      <c r="C482" s="2" t="s">
        <v>1392</v>
      </c>
      <c r="D482" s="2" t="s">
        <v>1393</v>
      </c>
      <c r="E482" s="2" t="s">
        <v>507</v>
      </c>
      <c r="F482" s="2" t="s">
        <v>892</v>
      </c>
      <c r="G482" s="2"/>
    </row>
    <row r="483" customFormat="false" ht="35.05" hidden="false" customHeight="false" outlineLevel="0" collapsed="false">
      <c r="A483" s="2" t="n">
        <v>482</v>
      </c>
      <c r="B483" s="2" t="s">
        <v>888</v>
      </c>
      <c r="C483" s="2" t="s">
        <v>1394</v>
      </c>
      <c r="D483" s="2" t="s">
        <v>1395</v>
      </c>
      <c r="E483" s="2" t="s">
        <v>1396</v>
      </c>
      <c r="F483" s="2" t="s">
        <v>892</v>
      </c>
      <c r="G483" s="2"/>
    </row>
    <row r="484" customFormat="false" ht="35.05" hidden="false" customHeight="false" outlineLevel="0" collapsed="false">
      <c r="A484" s="2" t="n">
        <v>483</v>
      </c>
      <c r="B484" s="2" t="s">
        <v>888</v>
      </c>
      <c r="C484" s="2" t="s">
        <v>1397</v>
      </c>
      <c r="D484" s="2" t="s">
        <v>1398</v>
      </c>
      <c r="E484" s="2" t="s">
        <v>1399</v>
      </c>
      <c r="F484" s="2" t="s">
        <v>892</v>
      </c>
      <c r="G484" s="2"/>
    </row>
    <row r="485" customFormat="false" ht="23.85" hidden="false" customHeight="false" outlineLevel="0" collapsed="false">
      <c r="A485" s="2" t="n">
        <v>484</v>
      </c>
      <c r="B485" s="2" t="s">
        <v>888</v>
      </c>
      <c r="C485" s="2" t="s">
        <v>1400</v>
      </c>
      <c r="D485" s="2" t="s">
        <v>1401</v>
      </c>
      <c r="E485" s="2" t="s">
        <v>1402</v>
      </c>
      <c r="F485" s="2" t="s">
        <v>892</v>
      </c>
      <c r="G485" s="2"/>
    </row>
    <row r="486" customFormat="false" ht="35.05" hidden="false" customHeight="false" outlineLevel="0" collapsed="false">
      <c r="A486" s="2" t="n">
        <v>485</v>
      </c>
      <c r="B486" s="2" t="s">
        <v>888</v>
      </c>
      <c r="C486" s="2" t="s">
        <v>1403</v>
      </c>
      <c r="D486" s="2" t="s">
        <v>1404</v>
      </c>
      <c r="E486" s="2" t="s">
        <v>507</v>
      </c>
      <c r="F486" s="2" t="s">
        <v>892</v>
      </c>
      <c r="G486" s="2"/>
    </row>
    <row r="487" customFormat="false" ht="23.85" hidden="false" customHeight="false" outlineLevel="0" collapsed="false">
      <c r="A487" s="2" t="n">
        <v>486</v>
      </c>
      <c r="B487" s="2" t="s">
        <v>888</v>
      </c>
      <c r="C487" s="2" t="s">
        <v>1405</v>
      </c>
      <c r="D487" s="2" t="s">
        <v>1406</v>
      </c>
      <c r="E487" s="2" t="s">
        <v>507</v>
      </c>
      <c r="F487" s="2" t="s">
        <v>892</v>
      </c>
      <c r="G487" s="2"/>
    </row>
    <row r="488" customFormat="false" ht="23.85" hidden="false" customHeight="false" outlineLevel="0" collapsed="false">
      <c r="A488" s="2" t="n">
        <v>487</v>
      </c>
      <c r="B488" s="2" t="s">
        <v>888</v>
      </c>
      <c r="C488" s="2" t="s">
        <v>1407</v>
      </c>
      <c r="D488" s="2" t="s">
        <v>1408</v>
      </c>
      <c r="E488" s="2" t="s">
        <v>507</v>
      </c>
      <c r="F488" s="2" t="s">
        <v>892</v>
      </c>
      <c r="G488" s="2"/>
    </row>
    <row r="489" customFormat="false" ht="46.25" hidden="false" customHeight="false" outlineLevel="0" collapsed="false">
      <c r="A489" s="2" t="n">
        <v>488</v>
      </c>
      <c r="B489" s="2" t="s">
        <v>888</v>
      </c>
      <c r="C489" s="2" t="s">
        <v>1409</v>
      </c>
      <c r="D489" s="2" t="s">
        <v>1410</v>
      </c>
      <c r="E489" s="2" t="s">
        <v>1411</v>
      </c>
      <c r="F489" s="2" t="s">
        <v>892</v>
      </c>
      <c r="G489" s="2"/>
    </row>
    <row r="490" customFormat="false" ht="23.85" hidden="false" customHeight="false" outlineLevel="0" collapsed="false">
      <c r="A490" s="2" t="n">
        <v>489</v>
      </c>
      <c r="B490" s="2" t="s">
        <v>888</v>
      </c>
      <c r="C490" s="2" t="s">
        <v>1412</v>
      </c>
      <c r="D490" s="2" t="s">
        <v>1413</v>
      </c>
      <c r="E490" s="2" t="s">
        <v>1414</v>
      </c>
      <c r="F490" s="2" t="s">
        <v>892</v>
      </c>
      <c r="G490" s="2"/>
    </row>
    <row r="491" customFormat="false" ht="35.05" hidden="false" customHeight="false" outlineLevel="0" collapsed="false">
      <c r="A491" s="2" t="n">
        <v>490</v>
      </c>
      <c r="B491" s="2" t="s">
        <v>888</v>
      </c>
      <c r="C491" s="2" t="s">
        <v>1415</v>
      </c>
      <c r="D491" s="2" t="s">
        <v>1416</v>
      </c>
      <c r="E491" s="2" t="s">
        <v>1417</v>
      </c>
      <c r="F491" s="2" t="s">
        <v>892</v>
      </c>
      <c r="G491" s="2"/>
    </row>
    <row r="492" customFormat="false" ht="35.05" hidden="false" customHeight="false" outlineLevel="0" collapsed="false">
      <c r="A492" s="2" t="n">
        <v>491</v>
      </c>
      <c r="B492" s="2" t="s">
        <v>888</v>
      </c>
      <c r="C492" s="2" t="s">
        <v>1418</v>
      </c>
      <c r="D492" s="2" t="s">
        <v>1416</v>
      </c>
      <c r="E492" s="2" t="s">
        <v>1419</v>
      </c>
      <c r="F492" s="2" t="s">
        <v>892</v>
      </c>
      <c r="G492" s="2"/>
    </row>
    <row r="493" customFormat="false" ht="35.05" hidden="false" customHeight="false" outlineLevel="0" collapsed="false">
      <c r="A493" s="2" t="n">
        <v>492</v>
      </c>
      <c r="B493" s="2" t="s">
        <v>888</v>
      </c>
      <c r="C493" s="2" t="s">
        <v>1420</v>
      </c>
      <c r="D493" s="2" t="s">
        <v>1416</v>
      </c>
      <c r="E493" s="2" t="s">
        <v>1421</v>
      </c>
      <c r="F493" s="2" t="s">
        <v>892</v>
      </c>
      <c r="G493" s="2"/>
    </row>
    <row r="494" customFormat="false" ht="23.85" hidden="false" customHeight="false" outlineLevel="0" collapsed="false">
      <c r="A494" s="2" t="n">
        <v>493</v>
      </c>
      <c r="B494" s="2" t="s">
        <v>888</v>
      </c>
      <c r="C494" s="2" t="s">
        <v>1422</v>
      </c>
      <c r="D494" s="2" t="s">
        <v>1423</v>
      </c>
      <c r="E494" s="2" t="s">
        <v>507</v>
      </c>
      <c r="F494" s="2" t="s">
        <v>892</v>
      </c>
      <c r="G494" s="2"/>
    </row>
    <row r="495" customFormat="false" ht="35.05" hidden="false" customHeight="false" outlineLevel="0" collapsed="false">
      <c r="A495" s="2" t="n">
        <v>494</v>
      </c>
      <c r="B495" s="2" t="s">
        <v>888</v>
      </c>
      <c r="C495" s="2" t="s">
        <v>1424</v>
      </c>
      <c r="D495" s="2" t="s">
        <v>1425</v>
      </c>
      <c r="E495" s="2" t="s">
        <v>1426</v>
      </c>
      <c r="F495" s="2" t="s">
        <v>892</v>
      </c>
      <c r="G495" s="2"/>
    </row>
    <row r="496" customFormat="false" ht="35.05" hidden="false" customHeight="false" outlineLevel="0" collapsed="false">
      <c r="A496" s="2" t="n">
        <v>495</v>
      </c>
      <c r="B496" s="2" t="s">
        <v>888</v>
      </c>
      <c r="C496" s="2" t="s">
        <v>1427</v>
      </c>
      <c r="D496" s="2" t="s">
        <v>1425</v>
      </c>
      <c r="E496" s="2" t="s">
        <v>1426</v>
      </c>
      <c r="F496" s="2" t="s">
        <v>892</v>
      </c>
      <c r="G496" s="2"/>
    </row>
    <row r="497" customFormat="false" ht="35.05" hidden="false" customHeight="false" outlineLevel="0" collapsed="false">
      <c r="A497" s="2" t="n">
        <v>496</v>
      </c>
      <c r="B497" s="2" t="s">
        <v>888</v>
      </c>
      <c r="C497" s="2" t="s">
        <v>1428</v>
      </c>
      <c r="D497" s="2" t="s">
        <v>1425</v>
      </c>
      <c r="E497" s="2" t="s">
        <v>1426</v>
      </c>
      <c r="F497" s="2" t="s">
        <v>892</v>
      </c>
      <c r="G497" s="2"/>
    </row>
    <row r="498" customFormat="false" ht="23.85" hidden="false" customHeight="false" outlineLevel="0" collapsed="false">
      <c r="A498" s="2" t="n">
        <v>497</v>
      </c>
      <c r="B498" s="2" t="s">
        <v>888</v>
      </c>
      <c r="C498" s="2" t="s">
        <v>1429</v>
      </c>
      <c r="D498" s="2" t="s">
        <v>1425</v>
      </c>
      <c r="E498" s="2" t="s">
        <v>1430</v>
      </c>
      <c r="F498" s="2" t="s">
        <v>892</v>
      </c>
      <c r="G498" s="2"/>
    </row>
    <row r="499" customFormat="false" ht="35.05" hidden="false" customHeight="false" outlineLevel="0" collapsed="false">
      <c r="A499" s="2" t="n">
        <v>498</v>
      </c>
      <c r="B499" s="2" t="s">
        <v>888</v>
      </c>
      <c r="C499" s="2" t="s">
        <v>1431</v>
      </c>
      <c r="D499" s="2" t="s">
        <v>1425</v>
      </c>
      <c r="E499" s="2" t="s">
        <v>1432</v>
      </c>
      <c r="F499" s="2" t="s">
        <v>892</v>
      </c>
      <c r="G499" s="2"/>
    </row>
    <row r="500" customFormat="false" ht="23.85" hidden="false" customHeight="false" outlineLevel="0" collapsed="false">
      <c r="A500" s="2" t="n">
        <v>499</v>
      </c>
      <c r="B500" s="2" t="s">
        <v>888</v>
      </c>
      <c r="C500" s="2" t="s">
        <v>1433</v>
      </c>
      <c r="D500" s="2" t="s">
        <v>1434</v>
      </c>
      <c r="E500" s="2" t="s">
        <v>1435</v>
      </c>
      <c r="F500" s="2" t="s">
        <v>892</v>
      </c>
      <c r="G500" s="2"/>
    </row>
    <row r="501" customFormat="false" ht="35.05" hidden="false" customHeight="false" outlineLevel="0" collapsed="false">
      <c r="A501" s="2" t="n">
        <v>500</v>
      </c>
      <c r="B501" s="2" t="s">
        <v>888</v>
      </c>
      <c r="C501" s="2" t="s">
        <v>1436</v>
      </c>
      <c r="D501" s="2" t="s">
        <v>1437</v>
      </c>
      <c r="E501" s="2" t="s">
        <v>1438</v>
      </c>
      <c r="F501" s="2" t="s">
        <v>892</v>
      </c>
      <c r="G501" s="2"/>
    </row>
    <row r="502" customFormat="false" ht="35.05" hidden="false" customHeight="false" outlineLevel="0" collapsed="false">
      <c r="A502" s="2" t="n">
        <v>501</v>
      </c>
      <c r="B502" s="2" t="s">
        <v>888</v>
      </c>
      <c r="C502" s="2" t="s">
        <v>1439</v>
      </c>
      <c r="D502" s="2" t="s">
        <v>1440</v>
      </c>
      <c r="E502" s="2" t="s">
        <v>507</v>
      </c>
      <c r="F502" s="2" t="s">
        <v>892</v>
      </c>
      <c r="G502" s="2"/>
    </row>
    <row r="503" customFormat="false" ht="35.05" hidden="false" customHeight="false" outlineLevel="0" collapsed="false">
      <c r="A503" s="2" t="n">
        <v>502</v>
      </c>
      <c r="B503" s="2" t="s">
        <v>888</v>
      </c>
      <c r="C503" s="2" t="s">
        <v>1441</v>
      </c>
      <c r="D503" s="2" t="s">
        <v>1442</v>
      </c>
      <c r="E503" s="2" t="s">
        <v>1443</v>
      </c>
      <c r="F503" s="2" t="s">
        <v>892</v>
      </c>
      <c r="G503" s="2"/>
    </row>
    <row r="504" customFormat="false" ht="46.25" hidden="false" customHeight="false" outlineLevel="0" collapsed="false">
      <c r="A504" s="2" t="n">
        <v>503</v>
      </c>
      <c r="B504" s="2" t="s">
        <v>888</v>
      </c>
      <c r="C504" s="2" t="s">
        <v>1444</v>
      </c>
      <c r="D504" s="2" t="s">
        <v>1442</v>
      </c>
      <c r="E504" s="2" t="s">
        <v>1445</v>
      </c>
      <c r="F504" s="2" t="s">
        <v>892</v>
      </c>
      <c r="G504" s="2"/>
    </row>
    <row r="505" customFormat="false" ht="23.85" hidden="false" customHeight="false" outlineLevel="0" collapsed="false">
      <c r="A505" s="2" t="n">
        <v>504</v>
      </c>
      <c r="B505" s="2" t="s">
        <v>888</v>
      </c>
      <c r="C505" s="2" t="s">
        <v>1446</v>
      </c>
      <c r="D505" s="2" t="s">
        <v>1447</v>
      </c>
      <c r="E505" s="2" t="s">
        <v>507</v>
      </c>
      <c r="F505" s="2" t="s">
        <v>892</v>
      </c>
      <c r="G505" s="2"/>
    </row>
    <row r="506" customFormat="false" ht="23.85" hidden="false" customHeight="false" outlineLevel="0" collapsed="false">
      <c r="A506" s="2" t="n">
        <v>505</v>
      </c>
      <c r="B506" s="2" t="s">
        <v>888</v>
      </c>
      <c r="C506" s="2" t="s">
        <v>1448</v>
      </c>
      <c r="D506" s="2" t="s">
        <v>1449</v>
      </c>
      <c r="E506" s="2" t="s">
        <v>1450</v>
      </c>
      <c r="F506" s="2" t="s">
        <v>892</v>
      </c>
      <c r="G506" s="2"/>
    </row>
    <row r="507" customFormat="false" ht="23.85" hidden="false" customHeight="false" outlineLevel="0" collapsed="false">
      <c r="A507" s="2" t="n">
        <v>506</v>
      </c>
      <c r="B507" s="2" t="s">
        <v>888</v>
      </c>
      <c r="C507" s="2" t="s">
        <v>1451</v>
      </c>
      <c r="D507" s="2" t="s">
        <v>1452</v>
      </c>
      <c r="E507" s="2" t="s">
        <v>1450</v>
      </c>
      <c r="F507" s="2" t="s">
        <v>892</v>
      </c>
      <c r="G507" s="2"/>
    </row>
    <row r="508" customFormat="false" ht="23.85" hidden="false" customHeight="false" outlineLevel="0" collapsed="false">
      <c r="A508" s="2" t="n">
        <v>507</v>
      </c>
      <c r="B508" s="2" t="s">
        <v>888</v>
      </c>
      <c r="C508" s="2" t="s">
        <v>1453</v>
      </c>
      <c r="D508" s="2" t="s">
        <v>1454</v>
      </c>
      <c r="E508" s="2" t="s">
        <v>507</v>
      </c>
      <c r="F508" s="2" t="s">
        <v>892</v>
      </c>
      <c r="G508" s="2"/>
    </row>
    <row r="509" customFormat="false" ht="23.85" hidden="false" customHeight="false" outlineLevel="0" collapsed="false">
      <c r="A509" s="2" t="n">
        <v>508</v>
      </c>
      <c r="B509" s="2" t="s">
        <v>888</v>
      </c>
      <c r="C509" s="2" t="s">
        <v>1455</v>
      </c>
      <c r="D509" s="2" t="s">
        <v>1456</v>
      </c>
      <c r="E509" s="2" t="s">
        <v>507</v>
      </c>
      <c r="F509" s="2" t="s">
        <v>892</v>
      </c>
      <c r="G509" s="2"/>
    </row>
    <row r="510" customFormat="false" ht="23.85" hidden="false" customHeight="false" outlineLevel="0" collapsed="false">
      <c r="A510" s="2" t="n">
        <v>509</v>
      </c>
      <c r="B510" s="2" t="s">
        <v>888</v>
      </c>
      <c r="C510" s="2" t="s">
        <v>1457</v>
      </c>
      <c r="D510" s="2" t="s">
        <v>1458</v>
      </c>
      <c r="E510" s="2" t="s">
        <v>1459</v>
      </c>
      <c r="F510" s="2" t="s">
        <v>892</v>
      </c>
      <c r="G510" s="2"/>
    </row>
    <row r="511" customFormat="false" ht="23.85" hidden="false" customHeight="false" outlineLevel="0" collapsed="false">
      <c r="A511" s="2" t="n">
        <v>510</v>
      </c>
      <c r="B511" s="2" t="s">
        <v>888</v>
      </c>
      <c r="C511" s="2" t="s">
        <v>1460</v>
      </c>
      <c r="D511" s="2" t="s">
        <v>1461</v>
      </c>
      <c r="E511" s="2" t="s">
        <v>507</v>
      </c>
      <c r="F511" s="2" t="s">
        <v>892</v>
      </c>
      <c r="G511" s="2"/>
    </row>
    <row r="512" customFormat="false" ht="35.05" hidden="false" customHeight="false" outlineLevel="0" collapsed="false">
      <c r="A512" s="2" t="n">
        <v>511</v>
      </c>
      <c r="B512" s="2" t="s">
        <v>888</v>
      </c>
      <c r="C512" s="2" t="s">
        <v>1462</v>
      </c>
      <c r="D512" s="2" t="s">
        <v>1458</v>
      </c>
      <c r="E512" s="2" t="s">
        <v>1463</v>
      </c>
      <c r="F512" s="2" t="s">
        <v>892</v>
      </c>
      <c r="G512" s="2"/>
    </row>
    <row r="513" customFormat="false" ht="23.85" hidden="false" customHeight="false" outlineLevel="0" collapsed="false">
      <c r="A513" s="2" t="n">
        <v>512</v>
      </c>
      <c r="B513" s="2" t="s">
        <v>888</v>
      </c>
      <c r="C513" s="2" t="s">
        <v>1464</v>
      </c>
      <c r="D513" s="2" t="s">
        <v>1461</v>
      </c>
      <c r="E513" s="2" t="s">
        <v>1465</v>
      </c>
      <c r="F513" s="2" t="s">
        <v>892</v>
      </c>
      <c r="G513" s="2"/>
    </row>
    <row r="514" customFormat="false" ht="35.05" hidden="false" customHeight="false" outlineLevel="0" collapsed="false">
      <c r="A514" s="2" t="n">
        <v>513</v>
      </c>
      <c r="B514" s="2" t="s">
        <v>888</v>
      </c>
      <c r="C514" s="2" t="s">
        <v>1466</v>
      </c>
      <c r="D514" s="2" t="s">
        <v>1458</v>
      </c>
      <c r="E514" s="2" t="s">
        <v>1467</v>
      </c>
      <c r="F514" s="2" t="s">
        <v>892</v>
      </c>
      <c r="G514" s="2"/>
    </row>
    <row r="515" customFormat="false" ht="23.85" hidden="false" customHeight="false" outlineLevel="0" collapsed="false">
      <c r="A515" s="2" t="n">
        <v>514</v>
      </c>
      <c r="B515" s="2" t="s">
        <v>888</v>
      </c>
      <c r="C515" s="2" t="s">
        <v>1468</v>
      </c>
      <c r="D515" s="2" t="s">
        <v>1469</v>
      </c>
      <c r="E515" s="2" t="s">
        <v>1470</v>
      </c>
      <c r="F515" s="2" t="s">
        <v>892</v>
      </c>
      <c r="G515" s="2"/>
    </row>
    <row r="516" customFormat="false" ht="46.25" hidden="false" customHeight="false" outlineLevel="0" collapsed="false">
      <c r="A516" s="2" t="n">
        <v>515</v>
      </c>
      <c r="B516" s="2" t="s">
        <v>888</v>
      </c>
      <c r="C516" s="2" t="s">
        <v>1471</v>
      </c>
      <c r="D516" s="2" t="s">
        <v>1472</v>
      </c>
      <c r="E516" s="2" t="s">
        <v>1473</v>
      </c>
      <c r="F516" s="2" t="s">
        <v>892</v>
      </c>
      <c r="G516" s="2"/>
    </row>
    <row r="517" customFormat="false" ht="35.05" hidden="false" customHeight="false" outlineLevel="0" collapsed="false">
      <c r="A517" s="2" t="n">
        <v>516</v>
      </c>
      <c r="B517" s="2" t="s">
        <v>888</v>
      </c>
      <c r="C517" s="2" t="s">
        <v>1474</v>
      </c>
      <c r="D517" s="2" t="s">
        <v>1472</v>
      </c>
      <c r="E517" s="2" t="s">
        <v>1475</v>
      </c>
      <c r="F517" s="2" t="s">
        <v>892</v>
      </c>
      <c r="G517" s="2"/>
    </row>
    <row r="518" customFormat="false" ht="35.05" hidden="false" customHeight="false" outlineLevel="0" collapsed="false">
      <c r="A518" s="2" t="n">
        <v>517</v>
      </c>
      <c r="B518" s="2" t="s">
        <v>888</v>
      </c>
      <c r="C518" s="2" t="s">
        <v>1476</v>
      </c>
      <c r="D518" s="2" t="s">
        <v>1472</v>
      </c>
      <c r="E518" s="2" t="s">
        <v>1459</v>
      </c>
      <c r="F518" s="2" t="s">
        <v>892</v>
      </c>
      <c r="G518" s="2"/>
    </row>
    <row r="519" customFormat="false" ht="23.85" hidden="false" customHeight="false" outlineLevel="0" collapsed="false">
      <c r="A519" s="2" t="n">
        <v>518</v>
      </c>
      <c r="B519" s="2" t="s">
        <v>888</v>
      </c>
      <c r="C519" s="2" t="s">
        <v>1477</v>
      </c>
      <c r="D519" s="2" t="s">
        <v>1472</v>
      </c>
      <c r="E519" s="2" t="s">
        <v>1478</v>
      </c>
      <c r="F519" s="2" t="s">
        <v>892</v>
      </c>
      <c r="G519" s="2"/>
    </row>
    <row r="520" customFormat="false" ht="23.85" hidden="false" customHeight="false" outlineLevel="0" collapsed="false">
      <c r="A520" s="2" t="n">
        <v>519</v>
      </c>
      <c r="B520" s="2" t="s">
        <v>888</v>
      </c>
      <c r="C520" s="2" t="s">
        <v>1479</v>
      </c>
      <c r="D520" s="2" t="s">
        <v>1472</v>
      </c>
      <c r="E520" s="2" t="s">
        <v>507</v>
      </c>
      <c r="F520" s="2" t="s">
        <v>892</v>
      </c>
      <c r="G520" s="2"/>
    </row>
    <row r="521" customFormat="false" ht="57.45" hidden="false" customHeight="false" outlineLevel="0" collapsed="false">
      <c r="A521" s="2" t="n">
        <v>520</v>
      </c>
      <c r="B521" s="2" t="s">
        <v>888</v>
      </c>
      <c r="C521" s="2" t="s">
        <v>1480</v>
      </c>
      <c r="D521" s="2" t="s">
        <v>1472</v>
      </c>
      <c r="E521" s="2" t="s">
        <v>1481</v>
      </c>
      <c r="F521" s="2" t="s">
        <v>892</v>
      </c>
      <c r="G521" s="2"/>
    </row>
    <row r="522" customFormat="false" ht="35.05" hidden="false" customHeight="false" outlineLevel="0" collapsed="false">
      <c r="A522" s="2" t="n">
        <v>521</v>
      </c>
      <c r="B522" s="2" t="s">
        <v>888</v>
      </c>
      <c r="C522" s="2" t="s">
        <v>1482</v>
      </c>
      <c r="D522" s="2" t="s">
        <v>1472</v>
      </c>
      <c r="E522" s="2" t="s">
        <v>1483</v>
      </c>
      <c r="F522" s="2" t="s">
        <v>892</v>
      </c>
      <c r="G522" s="2"/>
    </row>
    <row r="523" customFormat="false" ht="35.05" hidden="false" customHeight="false" outlineLevel="0" collapsed="false">
      <c r="A523" s="2" t="n">
        <v>522</v>
      </c>
      <c r="B523" s="2" t="s">
        <v>888</v>
      </c>
      <c r="C523" s="2" t="s">
        <v>1484</v>
      </c>
      <c r="D523" s="2" t="s">
        <v>1485</v>
      </c>
      <c r="E523" s="2" t="s">
        <v>507</v>
      </c>
      <c r="F523" s="2" t="s">
        <v>892</v>
      </c>
      <c r="G523" s="2"/>
    </row>
    <row r="524" customFormat="false" ht="23.85" hidden="false" customHeight="false" outlineLevel="0" collapsed="false">
      <c r="A524" s="2" t="n">
        <v>523</v>
      </c>
      <c r="B524" s="2" t="s">
        <v>888</v>
      </c>
      <c r="C524" s="2" t="s">
        <v>1486</v>
      </c>
      <c r="D524" s="2" t="s">
        <v>1487</v>
      </c>
      <c r="E524" s="2" t="s">
        <v>507</v>
      </c>
      <c r="F524" s="2" t="s">
        <v>892</v>
      </c>
      <c r="G524" s="2"/>
    </row>
    <row r="525" customFormat="false" ht="35.05" hidden="false" customHeight="false" outlineLevel="0" collapsed="false">
      <c r="A525" s="2" t="n">
        <v>524</v>
      </c>
      <c r="B525" s="2" t="s">
        <v>888</v>
      </c>
      <c r="C525" s="2" t="s">
        <v>1488</v>
      </c>
      <c r="D525" s="2" t="s">
        <v>1489</v>
      </c>
      <c r="E525" s="2" t="s">
        <v>507</v>
      </c>
      <c r="F525" s="2" t="s">
        <v>892</v>
      </c>
      <c r="G525" s="2"/>
    </row>
    <row r="526" customFormat="false" ht="23.85" hidden="false" customHeight="false" outlineLevel="0" collapsed="false">
      <c r="A526" s="2" t="n">
        <v>525</v>
      </c>
      <c r="B526" s="2" t="s">
        <v>888</v>
      </c>
      <c r="C526" s="2" t="s">
        <v>1490</v>
      </c>
      <c r="D526" s="2" t="s">
        <v>1491</v>
      </c>
      <c r="E526" s="2" t="s">
        <v>507</v>
      </c>
      <c r="F526" s="2" t="s">
        <v>892</v>
      </c>
      <c r="G526" s="2"/>
    </row>
    <row r="527" customFormat="false" ht="23.85" hidden="false" customHeight="false" outlineLevel="0" collapsed="false">
      <c r="A527" s="2" t="n">
        <v>526</v>
      </c>
      <c r="B527" s="2" t="s">
        <v>888</v>
      </c>
      <c r="C527" s="2" t="s">
        <v>1492</v>
      </c>
      <c r="D527" s="2" t="s">
        <v>1491</v>
      </c>
      <c r="E527" s="2" t="s">
        <v>1493</v>
      </c>
      <c r="F527" s="2" t="s">
        <v>892</v>
      </c>
      <c r="G527" s="2"/>
    </row>
    <row r="528" customFormat="false" ht="68.65" hidden="false" customHeight="false" outlineLevel="0" collapsed="false">
      <c r="A528" s="2" t="n">
        <v>527</v>
      </c>
      <c r="B528" s="2" t="s">
        <v>888</v>
      </c>
      <c r="C528" s="2" t="s">
        <v>1494</v>
      </c>
      <c r="D528" s="2" t="s">
        <v>1495</v>
      </c>
      <c r="E528" s="2" t="s">
        <v>1496</v>
      </c>
      <c r="F528" s="2" t="s">
        <v>892</v>
      </c>
      <c r="G528" s="2"/>
    </row>
    <row r="529" customFormat="false" ht="23.85" hidden="false" customHeight="false" outlineLevel="0" collapsed="false">
      <c r="A529" s="2" t="n">
        <v>528</v>
      </c>
      <c r="B529" s="2" t="s">
        <v>888</v>
      </c>
      <c r="C529" s="2" t="s">
        <v>1497</v>
      </c>
      <c r="D529" s="2" t="s">
        <v>1498</v>
      </c>
      <c r="E529" s="2" t="s">
        <v>1499</v>
      </c>
      <c r="F529" s="2" t="s">
        <v>892</v>
      </c>
      <c r="G529" s="2"/>
    </row>
    <row r="530" customFormat="false" ht="23.85" hidden="false" customHeight="false" outlineLevel="0" collapsed="false">
      <c r="A530" s="2" t="n">
        <v>529</v>
      </c>
      <c r="B530" s="2" t="s">
        <v>888</v>
      </c>
      <c r="C530" s="2" t="s">
        <v>1500</v>
      </c>
      <c r="D530" s="2" t="s">
        <v>1498</v>
      </c>
      <c r="E530" s="2" t="s">
        <v>1501</v>
      </c>
      <c r="F530" s="2" t="s">
        <v>892</v>
      </c>
      <c r="G530" s="2"/>
    </row>
    <row r="531" customFormat="false" ht="23.85" hidden="false" customHeight="false" outlineLevel="0" collapsed="false">
      <c r="A531" s="2" t="n">
        <v>530</v>
      </c>
      <c r="B531" s="2" t="s">
        <v>888</v>
      </c>
      <c r="C531" s="2" t="s">
        <v>1502</v>
      </c>
      <c r="D531" s="2" t="s">
        <v>1503</v>
      </c>
      <c r="E531" s="2" t="s">
        <v>507</v>
      </c>
      <c r="F531" s="2" t="s">
        <v>892</v>
      </c>
      <c r="G531" s="2"/>
    </row>
    <row r="532" customFormat="false" ht="35.05" hidden="false" customHeight="false" outlineLevel="0" collapsed="false">
      <c r="A532" s="2" t="n">
        <v>531</v>
      </c>
      <c r="B532" s="2" t="s">
        <v>888</v>
      </c>
      <c r="C532" s="2" t="s">
        <v>1504</v>
      </c>
      <c r="D532" s="2" t="s">
        <v>1505</v>
      </c>
      <c r="E532" s="2" t="s">
        <v>1506</v>
      </c>
      <c r="F532" s="2" t="s">
        <v>892</v>
      </c>
      <c r="G532" s="2"/>
    </row>
    <row r="533" customFormat="false" ht="46.25" hidden="false" customHeight="false" outlineLevel="0" collapsed="false">
      <c r="A533" s="2" t="n">
        <v>532</v>
      </c>
      <c r="B533" s="2" t="s">
        <v>888</v>
      </c>
      <c r="C533" s="2" t="s">
        <v>1507</v>
      </c>
      <c r="D533" s="2" t="s">
        <v>1508</v>
      </c>
      <c r="E533" s="2" t="s">
        <v>1509</v>
      </c>
      <c r="F533" s="2" t="s">
        <v>892</v>
      </c>
      <c r="G533" s="2"/>
    </row>
    <row r="534" customFormat="false" ht="46.25" hidden="false" customHeight="false" outlineLevel="0" collapsed="false">
      <c r="A534" s="2" t="n">
        <v>533</v>
      </c>
      <c r="B534" s="2" t="s">
        <v>888</v>
      </c>
      <c r="C534" s="2" t="s">
        <v>1510</v>
      </c>
      <c r="D534" s="2" t="s">
        <v>1511</v>
      </c>
      <c r="E534" s="2" t="s">
        <v>1509</v>
      </c>
      <c r="F534" s="2" t="s">
        <v>892</v>
      </c>
      <c r="G534" s="2"/>
    </row>
    <row r="535" customFormat="false" ht="35.05" hidden="false" customHeight="false" outlineLevel="0" collapsed="false">
      <c r="A535" s="2" t="n">
        <v>534</v>
      </c>
      <c r="B535" s="2" t="s">
        <v>888</v>
      </c>
      <c r="C535" s="2" t="s">
        <v>1512</v>
      </c>
      <c r="D535" s="2" t="s">
        <v>1513</v>
      </c>
      <c r="E535" s="2" t="s">
        <v>1514</v>
      </c>
      <c r="F535" s="2" t="s">
        <v>892</v>
      </c>
      <c r="G535" s="2"/>
    </row>
    <row r="536" customFormat="false" ht="35.05" hidden="false" customHeight="false" outlineLevel="0" collapsed="false">
      <c r="A536" s="2" t="n">
        <v>535</v>
      </c>
      <c r="B536" s="2" t="s">
        <v>888</v>
      </c>
      <c r="C536" s="2" t="s">
        <v>1515</v>
      </c>
      <c r="D536" s="2" t="s">
        <v>1516</v>
      </c>
      <c r="E536" s="2" t="s">
        <v>1517</v>
      </c>
      <c r="F536" s="2" t="s">
        <v>892</v>
      </c>
      <c r="G536" s="2"/>
    </row>
    <row r="537" customFormat="false" ht="23.85" hidden="false" customHeight="false" outlineLevel="0" collapsed="false">
      <c r="A537" s="2" t="n">
        <v>536</v>
      </c>
      <c r="B537" s="2" t="s">
        <v>888</v>
      </c>
      <c r="C537" s="2" t="s">
        <v>1518</v>
      </c>
      <c r="D537" s="2" t="s">
        <v>1519</v>
      </c>
      <c r="E537" s="2" t="s">
        <v>507</v>
      </c>
      <c r="F537" s="2" t="s">
        <v>892</v>
      </c>
      <c r="G537" s="2"/>
    </row>
    <row r="538" customFormat="false" ht="23.85" hidden="false" customHeight="false" outlineLevel="0" collapsed="false">
      <c r="A538" s="2" t="n">
        <v>537</v>
      </c>
      <c r="B538" s="2" t="s">
        <v>888</v>
      </c>
      <c r="C538" s="2" t="s">
        <v>1520</v>
      </c>
      <c r="D538" s="2" t="s">
        <v>1498</v>
      </c>
      <c r="E538" s="2" t="s">
        <v>507</v>
      </c>
      <c r="F538" s="2" t="s">
        <v>892</v>
      </c>
      <c r="G538" s="2"/>
    </row>
    <row r="539" customFormat="false" ht="35.05" hidden="false" customHeight="false" outlineLevel="0" collapsed="false">
      <c r="A539" s="2" t="n">
        <v>538</v>
      </c>
      <c r="B539" s="2" t="s">
        <v>888</v>
      </c>
      <c r="C539" s="2" t="s">
        <v>1521</v>
      </c>
      <c r="D539" s="2" t="s">
        <v>1522</v>
      </c>
      <c r="E539" s="2" t="s">
        <v>1523</v>
      </c>
      <c r="F539" s="2" t="s">
        <v>892</v>
      </c>
      <c r="G539" s="2"/>
    </row>
    <row r="540" customFormat="false" ht="35.05" hidden="false" customHeight="false" outlineLevel="0" collapsed="false">
      <c r="A540" s="2" t="n">
        <v>539</v>
      </c>
      <c r="B540" s="2" t="s">
        <v>888</v>
      </c>
      <c r="C540" s="2" t="s">
        <v>1524</v>
      </c>
      <c r="D540" s="2" t="s">
        <v>1525</v>
      </c>
      <c r="E540" s="2" t="s">
        <v>1526</v>
      </c>
      <c r="F540" s="2" t="s">
        <v>892</v>
      </c>
      <c r="G540" s="2"/>
    </row>
    <row r="541" customFormat="false" ht="57.45" hidden="false" customHeight="false" outlineLevel="0" collapsed="false">
      <c r="A541" s="2" t="n">
        <v>540</v>
      </c>
      <c r="B541" s="2" t="s">
        <v>888</v>
      </c>
      <c r="C541" s="2" t="s">
        <v>1527</v>
      </c>
      <c r="D541" s="2" t="s">
        <v>1528</v>
      </c>
      <c r="E541" s="2" t="s">
        <v>1529</v>
      </c>
      <c r="F541" s="2" t="s">
        <v>892</v>
      </c>
      <c r="G541" s="2"/>
    </row>
    <row r="542" customFormat="false" ht="35.05" hidden="false" customHeight="false" outlineLevel="0" collapsed="false">
      <c r="A542" s="2" t="n">
        <v>541</v>
      </c>
      <c r="B542" s="2" t="s">
        <v>888</v>
      </c>
      <c r="C542" s="2" t="s">
        <v>1530</v>
      </c>
      <c r="D542" s="2" t="s">
        <v>1525</v>
      </c>
      <c r="E542" s="2" t="s">
        <v>1531</v>
      </c>
      <c r="F542" s="2" t="s">
        <v>892</v>
      </c>
      <c r="G542" s="2"/>
    </row>
    <row r="543" customFormat="false" ht="23.85" hidden="false" customHeight="false" outlineLevel="0" collapsed="false">
      <c r="A543" s="2" t="n">
        <v>542</v>
      </c>
      <c r="B543" s="2" t="s">
        <v>888</v>
      </c>
      <c r="C543" s="2" t="s">
        <v>1532</v>
      </c>
      <c r="D543" s="2" t="s">
        <v>1505</v>
      </c>
      <c r="E543" s="2" t="s">
        <v>1355</v>
      </c>
      <c r="F543" s="2" t="s">
        <v>892</v>
      </c>
      <c r="G543" s="2"/>
    </row>
    <row r="544" customFormat="false" ht="35.05" hidden="false" customHeight="false" outlineLevel="0" collapsed="false">
      <c r="A544" s="2" t="n">
        <v>543</v>
      </c>
      <c r="B544" s="2" t="s">
        <v>888</v>
      </c>
      <c r="C544" s="2" t="s">
        <v>1533</v>
      </c>
      <c r="D544" s="2" t="s">
        <v>1534</v>
      </c>
      <c r="E544" s="2" t="s">
        <v>507</v>
      </c>
      <c r="F544" s="2" t="s">
        <v>892</v>
      </c>
      <c r="G544" s="2"/>
    </row>
    <row r="545" customFormat="false" ht="35.05" hidden="false" customHeight="false" outlineLevel="0" collapsed="false">
      <c r="A545" s="2" t="n">
        <v>544</v>
      </c>
      <c r="B545" s="2" t="s">
        <v>888</v>
      </c>
      <c r="C545" s="2" t="s">
        <v>1535</v>
      </c>
      <c r="D545" s="2" t="s">
        <v>1536</v>
      </c>
      <c r="E545" s="2" t="s">
        <v>1537</v>
      </c>
      <c r="F545" s="2" t="s">
        <v>892</v>
      </c>
      <c r="G545" s="2"/>
    </row>
    <row r="546" customFormat="false" ht="35.05" hidden="false" customHeight="false" outlineLevel="0" collapsed="false">
      <c r="A546" s="2" t="n">
        <v>545</v>
      </c>
      <c r="B546" s="2" t="s">
        <v>888</v>
      </c>
      <c r="C546" s="2" t="s">
        <v>1538</v>
      </c>
      <c r="D546" s="2" t="s">
        <v>1539</v>
      </c>
      <c r="E546" s="2" t="s">
        <v>1540</v>
      </c>
      <c r="F546" s="2" t="s">
        <v>892</v>
      </c>
      <c r="G546" s="2"/>
    </row>
    <row r="547" customFormat="false" ht="23.85" hidden="false" customHeight="false" outlineLevel="0" collapsed="false">
      <c r="A547" s="2" t="n">
        <v>546</v>
      </c>
      <c r="B547" s="2" t="s">
        <v>888</v>
      </c>
      <c r="C547" s="2" t="s">
        <v>1541</v>
      </c>
      <c r="D547" s="2" t="s">
        <v>1542</v>
      </c>
      <c r="E547" s="2" t="s">
        <v>1543</v>
      </c>
      <c r="F547" s="2" t="s">
        <v>892</v>
      </c>
      <c r="G547" s="2"/>
    </row>
    <row r="548" customFormat="false" ht="35.05" hidden="false" customHeight="false" outlineLevel="0" collapsed="false">
      <c r="A548" s="2" t="n">
        <v>547</v>
      </c>
      <c r="B548" s="2" t="s">
        <v>888</v>
      </c>
      <c r="C548" s="2" t="s">
        <v>1544</v>
      </c>
      <c r="D548" s="2" t="s">
        <v>1545</v>
      </c>
      <c r="E548" s="2" t="s">
        <v>1546</v>
      </c>
      <c r="F548" s="2" t="s">
        <v>892</v>
      </c>
      <c r="G548" s="2"/>
    </row>
    <row r="549" customFormat="false" ht="23.85" hidden="false" customHeight="false" outlineLevel="0" collapsed="false">
      <c r="A549" s="2" t="n">
        <v>548</v>
      </c>
      <c r="B549" s="2" t="s">
        <v>888</v>
      </c>
      <c r="C549" s="2" t="s">
        <v>1547</v>
      </c>
      <c r="D549" s="2" t="s">
        <v>1505</v>
      </c>
      <c r="E549" s="2" t="s">
        <v>507</v>
      </c>
      <c r="F549" s="2" t="s">
        <v>892</v>
      </c>
      <c r="G549" s="2"/>
    </row>
    <row r="550" customFormat="false" ht="23.85" hidden="false" customHeight="false" outlineLevel="0" collapsed="false">
      <c r="A550" s="2" t="n">
        <v>549</v>
      </c>
      <c r="B550" s="2" t="s">
        <v>888</v>
      </c>
      <c r="C550" s="2" t="s">
        <v>1548</v>
      </c>
      <c r="D550" s="2" t="s">
        <v>1505</v>
      </c>
      <c r="E550" s="2" t="s">
        <v>1549</v>
      </c>
      <c r="F550" s="2" t="s">
        <v>892</v>
      </c>
      <c r="G550" s="2"/>
    </row>
    <row r="551" customFormat="false" ht="23.85" hidden="false" customHeight="false" outlineLevel="0" collapsed="false">
      <c r="A551" s="2" t="n">
        <v>550</v>
      </c>
      <c r="B551" s="2" t="s">
        <v>888</v>
      </c>
      <c r="C551" s="2" t="s">
        <v>1550</v>
      </c>
      <c r="D551" s="2" t="s">
        <v>1551</v>
      </c>
      <c r="E551" s="2" t="s">
        <v>1552</v>
      </c>
      <c r="F551" s="2" t="s">
        <v>892</v>
      </c>
      <c r="G551" s="2"/>
    </row>
    <row r="552" customFormat="false" ht="46.25" hidden="false" customHeight="false" outlineLevel="0" collapsed="false">
      <c r="A552" s="2" t="n">
        <v>551</v>
      </c>
      <c r="B552" s="2" t="s">
        <v>888</v>
      </c>
      <c r="C552" s="2" t="s">
        <v>1553</v>
      </c>
      <c r="D552" s="2" t="s">
        <v>1513</v>
      </c>
      <c r="E552" s="2" t="s">
        <v>1554</v>
      </c>
      <c r="F552" s="2" t="s">
        <v>892</v>
      </c>
      <c r="G552" s="2"/>
    </row>
    <row r="553" customFormat="false" ht="23.85" hidden="false" customHeight="false" outlineLevel="0" collapsed="false">
      <c r="A553" s="2" t="n">
        <v>552</v>
      </c>
      <c r="B553" s="2" t="s">
        <v>888</v>
      </c>
      <c r="C553" s="2" t="s">
        <v>1555</v>
      </c>
      <c r="D553" s="2" t="s">
        <v>1556</v>
      </c>
      <c r="E553" s="2" t="s">
        <v>1557</v>
      </c>
      <c r="F553" s="2" t="s">
        <v>892</v>
      </c>
      <c r="G553" s="2"/>
    </row>
    <row r="554" customFormat="false" ht="23.85" hidden="false" customHeight="false" outlineLevel="0" collapsed="false">
      <c r="A554" s="2" t="n">
        <v>553</v>
      </c>
      <c r="B554" s="2" t="s">
        <v>888</v>
      </c>
      <c r="C554" s="2" t="s">
        <v>1558</v>
      </c>
      <c r="D554" s="2" t="s">
        <v>1559</v>
      </c>
      <c r="E554" s="2" t="s">
        <v>1560</v>
      </c>
      <c r="F554" s="2" t="s">
        <v>892</v>
      </c>
      <c r="G554" s="2"/>
    </row>
    <row r="555" customFormat="false" ht="23.85" hidden="false" customHeight="false" outlineLevel="0" collapsed="false">
      <c r="A555" s="2" t="n">
        <v>554</v>
      </c>
      <c r="B555" s="2" t="s">
        <v>888</v>
      </c>
      <c r="C555" s="2" t="s">
        <v>1561</v>
      </c>
      <c r="D555" s="2" t="s">
        <v>1562</v>
      </c>
      <c r="E555" s="2" t="s">
        <v>507</v>
      </c>
      <c r="F555" s="2" t="s">
        <v>892</v>
      </c>
      <c r="G555" s="2"/>
    </row>
    <row r="556" customFormat="false" ht="23.85" hidden="false" customHeight="false" outlineLevel="0" collapsed="false">
      <c r="A556" s="2" t="n">
        <v>555</v>
      </c>
      <c r="B556" s="2" t="s">
        <v>888</v>
      </c>
      <c r="C556" s="2" t="s">
        <v>1563</v>
      </c>
      <c r="D556" s="2" t="s">
        <v>1564</v>
      </c>
      <c r="E556" s="2" t="s">
        <v>507</v>
      </c>
      <c r="F556" s="2" t="s">
        <v>892</v>
      </c>
      <c r="G556" s="2"/>
    </row>
    <row r="557" customFormat="false" ht="23.85" hidden="false" customHeight="false" outlineLevel="0" collapsed="false">
      <c r="A557" s="2" t="n">
        <v>556</v>
      </c>
      <c r="B557" s="2" t="s">
        <v>888</v>
      </c>
      <c r="C557" s="2" t="s">
        <v>1565</v>
      </c>
      <c r="D557" s="2" t="s">
        <v>1566</v>
      </c>
      <c r="E557" s="2" t="s">
        <v>1499</v>
      </c>
      <c r="F557" s="2" t="s">
        <v>892</v>
      </c>
      <c r="G557" s="2"/>
    </row>
    <row r="558" customFormat="false" ht="23.85" hidden="false" customHeight="false" outlineLevel="0" collapsed="false">
      <c r="A558" s="2" t="n">
        <v>557</v>
      </c>
      <c r="B558" s="2" t="s">
        <v>888</v>
      </c>
      <c r="C558" s="2" t="s">
        <v>1567</v>
      </c>
      <c r="D558" s="2" t="s">
        <v>1568</v>
      </c>
      <c r="E558" s="2" t="s">
        <v>1569</v>
      </c>
      <c r="F558" s="2" t="s">
        <v>892</v>
      </c>
      <c r="G558" s="2"/>
    </row>
    <row r="559" customFormat="false" ht="23.85" hidden="false" customHeight="false" outlineLevel="0" collapsed="false">
      <c r="A559" s="2" t="n">
        <v>558</v>
      </c>
      <c r="B559" s="2" t="s">
        <v>888</v>
      </c>
      <c r="C559" s="2" t="s">
        <v>1570</v>
      </c>
      <c r="D559" s="2" t="s">
        <v>1571</v>
      </c>
      <c r="E559" s="2" t="s">
        <v>1493</v>
      </c>
      <c r="F559" s="2" t="s">
        <v>892</v>
      </c>
      <c r="G559" s="2"/>
    </row>
    <row r="560" customFormat="false" ht="23.85" hidden="false" customHeight="false" outlineLevel="0" collapsed="false">
      <c r="A560" s="2" t="n">
        <v>559</v>
      </c>
      <c r="B560" s="2" t="s">
        <v>888</v>
      </c>
      <c r="C560" s="2" t="s">
        <v>1572</v>
      </c>
      <c r="D560" s="2" t="s">
        <v>1573</v>
      </c>
      <c r="E560" s="2" t="s">
        <v>507</v>
      </c>
      <c r="F560" s="2" t="s">
        <v>892</v>
      </c>
      <c r="G560" s="2"/>
    </row>
    <row r="561" customFormat="false" ht="23.85" hidden="false" customHeight="false" outlineLevel="0" collapsed="false">
      <c r="A561" s="2" t="n">
        <v>560</v>
      </c>
      <c r="B561" s="2" t="s">
        <v>888</v>
      </c>
      <c r="C561" s="2" t="s">
        <v>1574</v>
      </c>
      <c r="D561" s="2" t="s">
        <v>1575</v>
      </c>
      <c r="E561" s="2" t="s">
        <v>1576</v>
      </c>
      <c r="F561" s="2" t="s">
        <v>892</v>
      </c>
      <c r="G561" s="2"/>
    </row>
    <row r="562" customFormat="false" ht="23.85" hidden="false" customHeight="false" outlineLevel="0" collapsed="false">
      <c r="A562" s="2" t="n">
        <v>561</v>
      </c>
      <c r="B562" s="2" t="s">
        <v>888</v>
      </c>
      <c r="C562" s="2" t="s">
        <v>1577</v>
      </c>
      <c r="D562" s="2" t="s">
        <v>1575</v>
      </c>
      <c r="E562" s="2" t="s">
        <v>507</v>
      </c>
      <c r="F562" s="2" t="s">
        <v>892</v>
      </c>
      <c r="G562" s="2"/>
    </row>
    <row r="563" customFormat="false" ht="23.85" hidden="false" customHeight="false" outlineLevel="0" collapsed="false">
      <c r="A563" s="2" t="n">
        <v>562</v>
      </c>
      <c r="B563" s="2" t="s">
        <v>888</v>
      </c>
      <c r="C563" s="2" t="s">
        <v>1578</v>
      </c>
      <c r="D563" s="2" t="s">
        <v>1575</v>
      </c>
      <c r="E563" s="2" t="s">
        <v>507</v>
      </c>
      <c r="F563" s="2" t="s">
        <v>892</v>
      </c>
      <c r="G563" s="2"/>
    </row>
    <row r="564" customFormat="false" ht="35.05" hidden="false" customHeight="false" outlineLevel="0" collapsed="false">
      <c r="A564" s="2" t="n">
        <v>563</v>
      </c>
      <c r="B564" s="2" t="s">
        <v>888</v>
      </c>
      <c r="C564" s="2" t="s">
        <v>1579</v>
      </c>
      <c r="D564" s="2" t="s">
        <v>1575</v>
      </c>
      <c r="E564" s="2" t="s">
        <v>1499</v>
      </c>
      <c r="F564" s="2" t="s">
        <v>892</v>
      </c>
      <c r="G564" s="2"/>
    </row>
    <row r="565" customFormat="false" ht="23.85" hidden="false" customHeight="false" outlineLevel="0" collapsed="false">
      <c r="A565" s="2" t="n">
        <v>564</v>
      </c>
      <c r="B565" s="2" t="s">
        <v>888</v>
      </c>
      <c r="C565" s="2" t="s">
        <v>1580</v>
      </c>
      <c r="D565" s="2" t="s">
        <v>1581</v>
      </c>
      <c r="E565" s="2" t="s">
        <v>507</v>
      </c>
      <c r="F565" s="2" t="s">
        <v>892</v>
      </c>
      <c r="G565" s="2"/>
    </row>
    <row r="566" customFormat="false" ht="23.85" hidden="false" customHeight="false" outlineLevel="0" collapsed="false">
      <c r="A566" s="2" t="n">
        <v>565</v>
      </c>
      <c r="B566" s="2" t="s">
        <v>888</v>
      </c>
      <c r="C566" s="2" t="s">
        <v>1582</v>
      </c>
      <c r="D566" s="2" t="s">
        <v>1581</v>
      </c>
      <c r="E566" s="2" t="s">
        <v>507</v>
      </c>
      <c r="F566" s="2" t="s">
        <v>892</v>
      </c>
      <c r="G566" s="2"/>
    </row>
    <row r="567" customFormat="false" ht="35.05" hidden="false" customHeight="false" outlineLevel="0" collapsed="false">
      <c r="A567" s="2" t="n">
        <v>566</v>
      </c>
      <c r="B567" s="2" t="s">
        <v>888</v>
      </c>
      <c r="C567" s="2" t="s">
        <v>1583</v>
      </c>
      <c r="D567" s="2" t="s">
        <v>1584</v>
      </c>
      <c r="E567" s="2" t="s">
        <v>1585</v>
      </c>
      <c r="F567" s="2" t="s">
        <v>892</v>
      </c>
      <c r="G567" s="2"/>
    </row>
    <row r="568" customFormat="false" ht="57.45" hidden="false" customHeight="false" outlineLevel="0" collapsed="false">
      <c r="A568" s="2" t="n">
        <v>567</v>
      </c>
      <c r="B568" s="2" t="s">
        <v>888</v>
      </c>
      <c r="C568" s="2" t="s">
        <v>1586</v>
      </c>
      <c r="D568" s="2" t="s">
        <v>1587</v>
      </c>
      <c r="E568" s="2" t="s">
        <v>1588</v>
      </c>
      <c r="F568" s="2" t="s">
        <v>892</v>
      </c>
      <c r="G568" s="2"/>
    </row>
    <row r="569" customFormat="false" ht="46.25" hidden="false" customHeight="false" outlineLevel="0" collapsed="false">
      <c r="A569" s="2" t="n">
        <v>568</v>
      </c>
      <c r="B569" s="2" t="s">
        <v>888</v>
      </c>
      <c r="C569" s="2" t="s">
        <v>1589</v>
      </c>
      <c r="D569" s="2" t="s">
        <v>1590</v>
      </c>
      <c r="E569" s="2" t="s">
        <v>1591</v>
      </c>
      <c r="F569" s="2" t="s">
        <v>892</v>
      </c>
      <c r="G569" s="2"/>
    </row>
    <row r="570" customFormat="false" ht="46.25" hidden="false" customHeight="false" outlineLevel="0" collapsed="false">
      <c r="A570" s="2" t="n">
        <v>569</v>
      </c>
      <c r="B570" s="2" t="s">
        <v>888</v>
      </c>
      <c r="C570" s="2" t="s">
        <v>1592</v>
      </c>
      <c r="D570" s="2" t="s">
        <v>1590</v>
      </c>
      <c r="E570" s="2" t="s">
        <v>1591</v>
      </c>
      <c r="F570" s="2" t="s">
        <v>892</v>
      </c>
      <c r="G570" s="2"/>
    </row>
    <row r="571" customFormat="false" ht="23.85" hidden="false" customHeight="false" outlineLevel="0" collapsed="false">
      <c r="A571" s="2" t="n">
        <v>570</v>
      </c>
      <c r="B571" s="2" t="s">
        <v>888</v>
      </c>
      <c r="C571" s="2" t="s">
        <v>1593</v>
      </c>
      <c r="D571" s="2" t="s">
        <v>1590</v>
      </c>
      <c r="E571" s="2" t="s">
        <v>507</v>
      </c>
      <c r="F571" s="2" t="s">
        <v>892</v>
      </c>
      <c r="G571" s="2"/>
    </row>
    <row r="572" customFormat="false" ht="35.05" hidden="false" customHeight="false" outlineLevel="0" collapsed="false">
      <c r="A572" s="2" t="n">
        <v>571</v>
      </c>
      <c r="B572" s="2" t="s">
        <v>888</v>
      </c>
      <c r="C572" s="2" t="s">
        <v>1594</v>
      </c>
      <c r="D572" s="2" t="s">
        <v>1595</v>
      </c>
      <c r="E572" s="2" t="s">
        <v>1596</v>
      </c>
      <c r="F572" s="2" t="s">
        <v>892</v>
      </c>
      <c r="G572" s="2"/>
    </row>
  </sheetData>
  <autoFilter ref="A1:G572"/>
  <dataValidations count="1">
    <dataValidation allowBlank="true" errorStyle="stop" operator="between" showDropDown="false" showErrorMessage="false" showInputMessage="false" sqref="G2:G572" type="list">
      <formula1>"real conflict,lane error,acceptable"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22"/>
  </cols>
  <sheetData>
    <row r="1" customFormat="false" ht="15" hidden="false" customHeight="false" outlineLevel="0" collapsed="false">
      <c r="A1" s="1" t="s">
        <v>1</v>
      </c>
      <c r="B1" s="1" t="s">
        <v>1597</v>
      </c>
      <c r="C1" s="1" t="s">
        <v>1598</v>
      </c>
    </row>
    <row r="2" customFormat="false" ht="15" hidden="false" customHeight="false" outlineLevel="0" collapsed="false">
      <c r="A2" s="2" t="s">
        <v>7</v>
      </c>
      <c r="B2" s="2" t="n">
        <f aca="false">COUNTIF(Exceptions!B:B,A2)</f>
        <v>17</v>
      </c>
      <c r="C2" s="2" t="n">
        <f aca="false">COUNTIFS(Exceptions!B:B,A2,Exceptions!G:G,"&lt;&gt;")</f>
        <v>0</v>
      </c>
    </row>
    <row r="3" customFormat="false" ht="15" hidden="false" customHeight="false" outlineLevel="0" collapsed="false">
      <c r="A3" s="2" t="s">
        <v>74</v>
      </c>
      <c r="B3" s="2" t="n">
        <f aca="false">COUNTIF(Exceptions!B:B,A3)</f>
        <v>77</v>
      </c>
      <c r="C3" s="2" t="n">
        <f aca="false">COUNTIFS(Exceptions!B:B,A3,Exceptions!G:G,"&lt;&gt;")</f>
        <v>0</v>
      </c>
    </row>
    <row r="4" customFormat="false" ht="15" hidden="false" customHeight="false" outlineLevel="0" collapsed="false">
      <c r="A4" s="2" t="s">
        <v>356</v>
      </c>
      <c r="B4" s="2" t="n">
        <f aca="false">COUNTIF(Exceptions!B:B,A4)</f>
        <v>37</v>
      </c>
      <c r="C4" s="2" t="n">
        <f aca="false">COUNTIFS(Exceptions!B:B,A4,Exceptions!G:G,"&lt;&gt;")</f>
        <v>0</v>
      </c>
    </row>
    <row r="5" customFormat="false" ht="15" hidden="false" customHeight="false" outlineLevel="0" collapsed="false">
      <c r="A5" s="2" t="s">
        <v>441</v>
      </c>
      <c r="B5" s="2" t="n">
        <f aca="false">COUNTIF(Exceptions!B:B,A5)</f>
        <v>10</v>
      </c>
      <c r="C5" s="2" t="n">
        <f aca="false">COUNTIFS(Exceptions!B:B,A5,Exceptions!G:G,"&lt;&gt;")</f>
        <v>0</v>
      </c>
    </row>
    <row r="6" customFormat="false" ht="15" hidden="false" customHeight="false" outlineLevel="0" collapsed="false">
      <c r="A6" s="2" t="s">
        <v>1599</v>
      </c>
      <c r="B6" s="2" t="n">
        <f aca="false">COUNTIF(Exceptions!B:B,A6)</f>
        <v>0</v>
      </c>
      <c r="C6" s="2" t="n">
        <f aca="false">COUNTIFS(Exceptions!B:B,A6,Exceptions!G:G,"&lt;&gt;")</f>
        <v>0</v>
      </c>
    </row>
    <row r="7" customFormat="false" ht="15" hidden="false" customHeight="false" outlineLevel="0" collapsed="false">
      <c r="A7" s="2" t="s">
        <v>472</v>
      </c>
      <c r="B7" s="2" t="n">
        <f aca="false">COUNTIF(Exceptions!B:B,A7)</f>
        <v>113</v>
      </c>
      <c r="C7" s="2" t="n">
        <f aca="false">COUNTIFS(Exceptions!B:B,A7,Exceptions!G:G,"&lt;&gt;")</f>
        <v>0</v>
      </c>
    </row>
    <row r="8" customFormat="false" ht="15" hidden="false" customHeight="false" outlineLevel="0" collapsed="false">
      <c r="A8" s="2" t="s">
        <v>867</v>
      </c>
      <c r="B8" s="2" t="n">
        <f aca="false">COUNTIF(Exceptions!B:B,A8)</f>
        <v>5</v>
      </c>
      <c r="C8" s="2" t="n">
        <f aca="false">COUNTIFS(Exceptions!B:B,A8,Exceptions!G:G,"&lt;&gt;")</f>
        <v>0</v>
      </c>
    </row>
    <row r="9" customFormat="false" ht="15" hidden="false" customHeight="false" outlineLevel="0" collapsed="false">
      <c r="A9" s="2" t="s">
        <v>888</v>
      </c>
      <c r="B9" s="2" t="n">
        <f aca="false">COUNTIF(Exceptions!B:B,A9)</f>
        <v>312</v>
      </c>
      <c r="C9" s="2" t="n">
        <f aca="false">COUNTIFS(Exceptions!B:B,A9,Exceptions!G:G,"&lt;&gt;")</f>
        <v>0</v>
      </c>
    </row>
    <row r="10" customFormat="false" ht="15" hidden="false" customHeight="false" outlineLevel="0" collapsed="false">
      <c r="A10" s="2" t="s">
        <v>1600</v>
      </c>
      <c r="B10" s="2" t="n">
        <f aca="false">SUM(B2:B9)</f>
        <v>571</v>
      </c>
      <c r="C10" s="2" t="n">
        <f aca="false">SUM(C2:C9)</f>
        <v>0</v>
      </c>
    </row>
    <row r="11" customFormat="false" ht="15" hidden="false" customHeight="false" outlineLevel="0" collapsed="false">
      <c r="A11" s="2"/>
      <c r="B11" s="2"/>
      <c r="C11" s="2"/>
    </row>
    <row r="12" customFormat="false" ht="35.05" hidden="false" customHeight="false" outlineLevel="0" collapsed="false">
      <c r="A12" s="2" t="s">
        <v>1601</v>
      </c>
      <c r="B12" s="2"/>
      <c r="C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22"/>
    <col collapsed="false" customWidth="true" hidden="false" outlineLevel="0" max="4" min="4" style="0" width="26"/>
    <col collapsed="false" customWidth="true" hidden="false" outlineLevel="0" max="5" min="5" style="0" width="40"/>
    <col collapsed="false" customWidth="true" hidden="false" outlineLevel="0" max="6" min="6" style="0" width="20"/>
  </cols>
  <sheetData>
    <row r="1" customFormat="false" ht="15" hidden="false" customHeight="false" outlineLevel="0" collapsed="false">
      <c r="A1" s="1" t="s">
        <v>1602</v>
      </c>
      <c r="B1" s="1" t="s">
        <v>1603</v>
      </c>
      <c r="C1" s="1" t="s">
        <v>1604</v>
      </c>
      <c r="D1" s="1" t="s">
        <v>1605</v>
      </c>
      <c r="E1" s="1" t="s">
        <v>1606</v>
      </c>
      <c r="F1" s="1" t="s">
        <v>1607</v>
      </c>
    </row>
    <row r="2" customFormat="false" ht="23.85" hidden="false" customHeight="false" outlineLevel="0" collapsed="false">
      <c r="A2" s="2" t="s">
        <v>1608</v>
      </c>
      <c r="B2" s="2" t="s">
        <v>1609</v>
      </c>
      <c r="C2" s="2" t="s">
        <v>1610</v>
      </c>
      <c r="D2" s="2" t="s">
        <v>1611</v>
      </c>
      <c r="E2" s="2" t="s">
        <v>1612</v>
      </c>
      <c r="F2" s="2" t="s">
        <v>1613</v>
      </c>
    </row>
    <row r="3" customFormat="false" ht="23.85" hidden="false" customHeight="false" outlineLevel="0" collapsed="false">
      <c r="A3" s="2" t="s">
        <v>1614</v>
      </c>
      <c r="B3" s="2" t="s">
        <v>1615</v>
      </c>
      <c r="C3" s="2" t="s">
        <v>1610</v>
      </c>
      <c r="D3" s="2" t="s">
        <v>1611</v>
      </c>
      <c r="E3" s="2" t="s">
        <v>1616</v>
      </c>
      <c r="F3" s="2" t="s">
        <v>1617</v>
      </c>
    </row>
    <row r="4" customFormat="false" ht="23.85" hidden="false" customHeight="false" outlineLevel="0" collapsed="false">
      <c r="A4" s="2" t="s">
        <v>1618</v>
      </c>
      <c r="B4" s="2" t="s">
        <v>1619</v>
      </c>
      <c r="C4" s="2" t="s">
        <v>1610</v>
      </c>
      <c r="D4" s="2" t="s">
        <v>1611</v>
      </c>
      <c r="E4" s="2" t="s">
        <v>1620</v>
      </c>
      <c r="F4" s="2" t="s">
        <v>1617</v>
      </c>
    </row>
    <row r="5" customFormat="false" ht="23.85" hidden="false" customHeight="false" outlineLevel="0" collapsed="false">
      <c r="A5" s="2" t="s">
        <v>1621</v>
      </c>
      <c r="B5" s="2" t="s">
        <v>1622</v>
      </c>
      <c r="C5" s="2" t="s">
        <v>1610</v>
      </c>
      <c r="D5" s="2" t="s">
        <v>1611</v>
      </c>
      <c r="E5" s="2" t="s">
        <v>1616</v>
      </c>
      <c r="F5" s="2" t="s">
        <v>1617</v>
      </c>
    </row>
    <row r="6" customFormat="false" ht="23.85" hidden="false" customHeight="false" outlineLevel="0" collapsed="false">
      <c r="A6" s="2" t="s">
        <v>1623</v>
      </c>
      <c r="B6" s="2" t="s">
        <v>1624</v>
      </c>
      <c r="C6" s="2" t="s">
        <v>1610</v>
      </c>
      <c r="D6" s="2" t="s">
        <v>1611</v>
      </c>
      <c r="E6" s="2" t="s">
        <v>1625</v>
      </c>
      <c r="F6" s="2" t="s">
        <v>1626</v>
      </c>
    </row>
    <row r="7" customFormat="false" ht="15" hidden="false" customHeight="false" outlineLevel="0" collapsed="false">
      <c r="A7" s="2" t="s">
        <v>1627</v>
      </c>
      <c r="B7" s="2" t="s">
        <v>1628</v>
      </c>
      <c r="C7" s="2" t="s">
        <v>1610</v>
      </c>
      <c r="D7" s="2" t="s">
        <v>1611</v>
      </c>
      <c r="E7" s="2" t="s">
        <v>1629</v>
      </c>
      <c r="F7" s="2" t="s">
        <v>1630</v>
      </c>
    </row>
    <row r="8" customFormat="false" ht="15" hidden="false" customHeight="false" outlineLevel="0" collapsed="false">
      <c r="A8" s="2" t="s">
        <v>1631</v>
      </c>
      <c r="B8" s="2" t="s">
        <v>1632</v>
      </c>
      <c r="C8" s="2" t="s">
        <v>1610</v>
      </c>
      <c r="D8" s="2" t="s">
        <v>1633</v>
      </c>
      <c r="E8" s="2" t="s">
        <v>1629</v>
      </c>
      <c r="F8" s="2" t="s">
        <v>1634</v>
      </c>
    </row>
    <row r="9" customFormat="false" ht="15" hidden="false" customHeight="false" outlineLevel="0" collapsed="false">
      <c r="A9" s="2" t="s">
        <v>1635</v>
      </c>
      <c r="B9" s="2" t="s">
        <v>1636</v>
      </c>
      <c r="C9" s="2" t="s">
        <v>1610</v>
      </c>
      <c r="D9" s="2" t="s">
        <v>1633</v>
      </c>
      <c r="E9" s="2" t="s">
        <v>1629</v>
      </c>
      <c r="F9" s="2" t="s">
        <v>1637</v>
      </c>
    </row>
    <row r="10" customFormat="false" ht="15" hidden="false" customHeight="false" outlineLevel="0" collapsed="false">
      <c r="A10" s="2" t="s">
        <v>1638</v>
      </c>
      <c r="B10" s="2" t="s">
        <v>1639</v>
      </c>
      <c r="C10" s="2" t="s">
        <v>1610</v>
      </c>
      <c r="D10" s="2" t="s">
        <v>1611</v>
      </c>
      <c r="E10" s="2" t="s">
        <v>1629</v>
      </c>
      <c r="F10" s="2" t="s">
        <v>1640</v>
      </c>
    </row>
    <row r="11" customFormat="false" ht="15" hidden="false" customHeight="false" outlineLevel="0" collapsed="false">
      <c r="A11" s="2" t="s">
        <v>1641</v>
      </c>
      <c r="B11" s="2" t="s">
        <v>1642</v>
      </c>
      <c r="C11" s="2" t="s">
        <v>1610</v>
      </c>
      <c r="D11" s="2" t="s">
        <v>1633</v>
      </c>
      <c r="E11" s="2" t="s">
        <v>1629</v>
      </c>
      <c r="F11" s="2" t="s">
        <v>1643</v>
      </c>
    </row>
    <row r="12" customFormat="false" ht="15" hidden="false" customHeight="false" outlineLevel="0" collapsed="false">
      <c r="A12" s="2" t="s">
        <v>1644</v>
      </c>
      <c r="B12" s="2" t="s">
        <v>1645</v>
      </c>
      <c r="C12" s="2" t="s">
        <v>1610</v>
      </c>
      <c r="D12" s="2" t="s">
        <v>1611</v>
      </c>
      <c r="E12" s="2" t="s">
        <v>1629</v>
      </c>
      <c r="F12" s="2" t="s">
        <v>1646</v>
      </c>
    </row>
    <row r="13" customFormat="false" ht="15" hidden="false" customHeight="false" outlineLevel="0" collapsed="false">
      <c r="A13" s="2" t="s">
        <v>1647</v>
      </c>
      <c r="B13" s="2" t="s">
        <v>1648</v>
      </c>
      <c r="C13" s="2" t="s">
        <v>1610</v>
      </c>
      <c r="D13" s="2" t="s">
        <v>1611</v>
      </c>
      <c r="E13" s="2" t="s">
        <v>1629</v>
      </c>
      <c r="F13" s="2"/>
    </row>
    <row r="14" customFormat="false" ht="15" hidden="false" customHeight="false" outlineLevel="0" collapsed="false">
      <c r="A14" s="2" t="s">
        <v>1649</v>
      </c>
      <c r="B14" s="2" t="s">
        <v>1650</v>
      </c>
      <c r="C14" s="2" t="s">
        <v>1610</v>
      </c>
      <c r="D14" s="2" t="s">
        <v>1611</v>
      </c>
      <c r="E14" s="2" t="s">
        <v>1629</v>
      </c>
      <c r="F14" s="2"/>
    </row>
    <row r="15" customFormat="false" ht="15" hidden="false" customHeight="false" outlineLevel="0" collapsed="false">
      <c r="A15" s="2" t="s">
        <v>1651</v>
      </c>
      <c r="B15" s="2" t="s">
        <v>1652</v>
      </c>
      <c r="C15" s="2" t="s">
        <v>1610</v>
      </c>
      <c r="D15" s="2" t="s">
        <v>1611</v>
      </c>
      <c r="E15" s="2" t="s">
        <v>1629</v>
      </c>
      <c r="F15" s="2"/>
    </row>
    <row r="16" customFormat="false" ht="15" hidden="false" customHeight="false" outlineLevel="0" collapsed="false">
      <c r="A16" s="2" t="s">
        <v>1653</v>
      </c>
      <c r="B16" s="2" t="s">
        <v>1652</v>
      </c>
      <c r="C16" s="2" t="s">
        <v>1610</v>
      </c>
      <c r="D16" s="2" t="s">
        <v>1611</v>
      </c>
      <c r="E16" s="2" t="s">
        <v>1629</v>
      </c>
      <c r="F16" s="2"/>
    </row>
    <row r="17" customFormat="false" ht="15" hidden="false" customHeight="false" outlineLevel="0" collapsed="false">
      <c r="A17" s="2" t="s">
        <v>1654</v>
      </c>
      <c r="B17" s="2" t="s">
        <v>1655</v>
      </c>
      <c r="C17" s="2" t="s">
        <v>1610</v>
      </c>
      <c r="D17" s="2" t="s">
        <v>1611</v>
      </c>
      <c r="E17" s="2" t="s">
        <v>1629</v>
      </c>
      <c r="F17" s="2"/>
    </row>
    <row r="18" customFormat="false" ht="15" hidden="false" customHeight="false" outlineLevel="0" collapsed="false">
      <c r="A18" s="2" t="s">
        <v>1656</v>
      </c>
      <c r="B18" s="2" t="s">
        <v>1657</v>
      </c>
      <c r="C18" s="2" t="s">
        <v>1610</v>
      </c>
      <c r="D18" s="2" t="s">
        <v>1611</v>
      </c>
      <c r="E18" s="2" t="s">
        <v>1629</v>
      </c>
      <c r="F18" s="2"/>
    </row>
    <row r="19" customFormat="false" ht="15" hidden="false" customHeight="false" outlineLevel="0" collapsed="false">
      <c r="A19" s="2" t="s">
        <v>1658</v>
      </c>
      <c r="B19" s="2" t="s">
        <v>1659</v>
      </c>
      <c r="C19" s="2" t="s">
        <v>1610</v>
      </c>
      <c r="D19" s="2" t="s">
        <v>1611</v>
      </c>
      <c r="E19" s="2" t="s">
        <v>1629</v>
      </c>
      <c r="F19" s="2"/>
    </row>
    <row r="20" customFormat="false" ht="15" hidden="false" customHeight="false" outlineLevel="0" collapsed="false">
      <c r="A20" s="2" t="s">
        <v>1660</v>
      </c>
      <c r="B20" s="2" t="s">
        <v>1659</v>
      </c>
      <c r="C20" s="2" t="s">
        <v>1610</v>
      </c>
      <c r="D20" s="2" t="s">
        <v>1611</v>
      </c>
      <c r="E20" s="2" t="s">
        <v>1629</v>
      </c>
      <c r="F20" s="2"/>
    </row>
    <row r="21" customFormat="false" ht="15" hidden="false" customHeight="false" outlineLevel="0" collapsed="false">
      <c r="A21" s="2" t="s">
        <v>1661</v>
      </c>
      <c r="B21" s="2" t="s">
        <v>1662</v>
      </c>
      <c r="C21" s="2" t="s">
        <v>1610</v>
      </c>
      <c r="D21" s="2" t="s">
        <v>1611</v>
      </c>
      <c r="E21" s="2" t="s">
        <v>1629</v>
      </c>
      <c r="F21" s="2"/>
    </row>
    <row r="22" customFormat="false" ht="15" hidden="false" customHeight="false" outlineLevel="0" collapsed="false">
      <c r="A22" s="2" t="s">
        <v>1663</v>
      </c>
      <c r="B22" s="2" t="s">
        <v>1664</v>
      </c>
      <c r="C22" s="2" t="s">
        <v>1610</v>
      </c>
      <c r="D22" s="2" t="s">
        <v>1611</v>
      </c>
      <c r="E22" s="2" t="s">
        <v>1629</v>
      </c>
      <c r="F22" s="2"/>
    </row>
    <row r="23" customFormat="false" ht="15" hidden="false" customHeight="false" outlineLevel="0" collapsed="false">
      <c r="A23" s="2" t="s">
        <v>1665</v>
      </c>
      <c r="B23" s="2" t="s">
        <v>1666</v>
      </c>
      <c r="C23" s="2" t="s">
        <v>1610</v>
      </c>
      <c r="D23" s="2" t="s">
        <v>1611</v>
      </c>
      <c r="E23" s="2" t="s">
        <v>1629</v>
      </c>
      <c r="F23" s="2" t="s">
        <v>1667</v>
      </c>
    </row>
    <row r="24" customFormat="false" ht="15" hidden="false" customHeight="false" outlineLevel="0" collapsed="false">
      <c r="A24" s="2" t="s">
        <v>1668</v>
      </c>
      <c r="B24" s="2" t="s">
        <v>1669</v>
      </c>
      <c r="C24" s="2" t="s">
        <v>1610</v>
      </c>
      <c r="D24" s="2" t="s">
        <v>1611</v>
      </c>
      <c r="E24" s="2" t="s">
        <v>1670</v>
      </c>
      <c r="F24" s="2"/>
    </row>
    <row r="25" customFormat="false" ht="15" hidden="false" customHeight="false" outlineLevel="0" collapsed="false">
      <c r="A25" s="2" t="s">
        <v>1671</v>
      </c>
      <c r="B25" s="2" t="s">
        <v>1672</v>
      </c>
      <c r="C25" s="2" t="s">
        <v>1610</v>
      </c>
      <c r="D25" s="2" t="s">
        <v>1611</v>
      </c>
      <c r="E25" s="2" t="s">
        <v>1670</v>
      </c>
      <c r="F25" s="2"/>
    </row>
    <row r="26" customFormat="false" ht="15" hidden="false" customHeight="false" outlineLevel="0" collapsed="false">
      <c r="A26" s="2" t="s">
        <v>1673</v>
      </c>
      <c r="B26" s="2" t="s">
        <v>1674</v>
      </c>
      <c r="C26" s="2" t="s">
        <v>1610</v>
      </c>
      <c r="D26" s="2" t="s">
        <v>1611</v>
      </c>
      <c r="E26" s="2" t="s">
        <v>1670</v>
      </c>
      <c r="F26" s="2"/>
    </row>
    <row r="27" customFormat="false" ht="15" hidden="false" customHeight="false" outlineLevel="0" collapsed="false">
      <c r="A27" s="2" t="s">
        <v>1675</v>
      </c>
      <c r="B27" s="2" t="s">
        <v>1676</v>
      </c>
      <c r="C27" s="2" t="s">
        <v>1610</v>
      </c>
      <c r="D27" s="2" t="s">
        <v>1611</v>
      </c>
      <c r="E27" s="2" t="s">
        <v>1670</v>
      </c>
      <c r="F27" s="2"/>
    </row>
    <row r="28" customFormat="false" ht="23.85" hidden="false" customHeight="false" outlineLevel="0" collapsed="false">
      <c r="A28" s="2" t="s">
        <v>1677</v>
      </c>
      <c r="B28" s="2" t="s">
        <v>1678</v>
      </c>
      <c r="C28" s="2" t="s">
        <v>1610</v>
      </c>
      <c r="D28" s="2" t="s">
        <v>1611</v>
      </c>
      <c r="E28" s="2" t="s">
        <v>1670</v>
      </c>
      <c r="F28" s="2"/>
    </row>
    <row r="29" customFormat="false" ht="15" hidden="false" customHeight="false" outlineLevel="0" collapsed="false">
      <c r="A29" s="2" t="s">
        <v>1679</v>
      </c>
      <c r="B29" s="2" t="s">
        <v>1680</v>
      </c>
      <c r="C29" s="2" t="s">
        <v>1610</v>
      </c>
      <c r="D29" s="2" t="s">
        <v>1611</v>
      </c>
      <c r="E29" s="2" t="s">
        <v>1681</v>
      </c>
      <c r="F29" s="2"/>
    </row>
    <row r="30" customFormat="false" ht="15" hidden="false" customHeight="false" outlineLevel="0" collapsed="false">
      <c r="A30" s="2" t="s">
        <v>1682</v>
      </c>
      <c r="B30" s="2" t="s">
        <v>1683</v>
      </c>
      <c r="C30" s="2" t="s">
        <v>1610</v>
      </c>
      <c r="D30" s="2" t="s">
        <v>1611</v>
      </c>
      <c r="E30" s="2" t="s">
        <v>1681</v>
      </c>
      <c r="F30" s="2"/>
    </row>
    <row r="31" customFormat="false" ht="15" hidden="false" customHeight="false" outlineLevel="0" collapsed="false">
      <c r="A31" s="2" t="s">
        <v>1684</v>
      </c>
      <c r="B31" s="2" t="s">
        <v>1685</v>
      </c>
      <c r="C31" s="2" t="s">
        <v>1610</v>
      </c>
      <c r="D31" s="2" t="s">
        <v>1611</v>
      </c>
      <c r="E31" s="2" t="s">
        <v>1681</v>
      </c>
      <c r="F31" s="2"/>
    </row>
    <row r="32" customFormat="false" ht="15" hidden="false" customHeight="false" outlineLevel="0" collapsed="false">
      <c r="A32" s="2" t="s">
        <v>1686</v>
      </c>
      <c r="B32" s="2" t="s">
        <v>1687</v>
      </c>
      <c r="C32" s="2" t="s">
        <v>1610</v>
      </c>
      <c r="D32" s="2" t="s">
        <v>1611</v>
      </c>
      <c r="E32" s="2" t="s">
        <v>1681</v>
      </c>
      <c r="F32" s="2"/>
    </row>
    <row r="33" customFormat="false" ht="15" hidden="false" customHeight="false" outlineLevel="0" collapsed="false">
      <c r="A33" s="2" t="s">
        <v>1688</v>
      </c>
      <c r="B33" s="2" t="s">
        <v>1689</v>
      </c>
      <c r="C33" s="2" t="s">
        <v>1610</v>
      </c>
      <c r="D33" s="2" t="s">
        <v>1611</v>
      </c>
      <c r="E33" s="2" t="s">
        <v>1625</v>
      </c>
      <c r="F33" s="2"/>
    </row>
    <row r="34" customFormat="false" ht="23.85" hidden="false" customHeight="false" outlineLevel="0" collapsed="false">
      <c r="A34" s="2" t="s">
        <v>1690</v>
      </c>
      <c r="B34" s="2" t="s">
        <v>1691</v>
      </c>
      <c r="C34" s="2" t="s">
        <v>1610</v>
      </c>
      <c r="D34" s="2" t="s">
        <v>1611</v>
      </c>
      <c r="E34" s="2" t="s">
        <v>1629</v>
      </c>
      <c r="F34" s="2"/>
    </row>
    <row r="35" customFormat="false" ht="15" hidden="false" customHeight="false" outlineLevel="0" collapsed="false">
      <c r="A35" s="2" t="s">
        <v>1692</v>
      </c>
      <c r="B35" s="2" t="s">
        <v>1693</v>
      </c>
      <c r="C35" s="2" t="s">
        <v>1610</v>
      </c>
      <c r="D35" s="2" t="s">
        <v>1611</v>
      </c>
      <c r="E35" s="2" t="s">
        <v>1681</v>
      </c>
      <c r="F35" s="2" t="s">
        <v>1694</v>
      </c>
    </row>
    <row r="36" customFormat="false" ht="23.85" hidden="false" customHeight="false" outlineLevel="0" collapsed="false">
      <c r="A36" s="2" t="s">
        <v>1695</v>
      </c>
      <c r="B36" s="2" t="s">
        <v>1696</v>
      </c>
      <c r="C36" s="2" t="s">
        <v>1610</v>
      </c>
      <c r="D36" s="2" t="s">
        <v>1611</v>
      </c>
      <c r="E36" s="2" t="s">
        <v>1629</v>
      </c>
      <c r="F36" s="2"/>
    </row>
    <row r="37" customFormat="false" ht="23.85" hidden="false" customHeight="false" outlineLevel="0" collapsed="false">
      <c r="A37" s="2" t="s">
        <v>1697</v>
      </c>
      <c r="B37" s="2" t="s">
        <v>1698</v>
      </c>
      <c r="C37" s="2" t="s">
        <v>1610</v>
      </c>
      <c r="D37" s="2" t="s">
        <v>1611</v>
      </c>
      <c r="E37" s="2" t="s">
        <v>1629</v>
      </c>
      <c r="F37" s="2" t="s">
        <v>1699</v>
      </c>
    </row>
    <row r="38" customFormat="false" ht="23.85" hidden="false" customHeight="false" outlineLevel="0" collapsed="false">
      <c r="A38" s="2" t="s">
        <v>1700</v>
      </c>
      <c r="B38" s="2" t="s">
        <v>1701</v>
      </c>
      <c r="C38" s="2" t="s">
        <v>1610</v>
      </c>
      <c r="D38" s="2" t="s">
        <v>1611</v>
      </c>
      <c r="E38" s="2" t="s">
        <v>1681</v>
      </c>
      <c r="F38" s="2" t="s">
        <v>1702</v>
      </c>
    </row>
    <row r="39" customFormat="false" ht="15" hidden="false" customHeight="false" outlineLevel="0" collapsed="false">
      <c r="A39" s="2" t="s">
        <v>1703</v>
      </c>
      <c r="B39" s="2" t="s">
        <v>1704</v>
      </c>
      <c r="C39" s="2" t="s">
        <v>1610</v>
      </c>
      <c r="D39" s="2" t="s">
        <v>1611</v>
      </c>
      <c r="E39" s="2" t="s">
        <v>1670</v>
      </c>
      <c r="F39" s="2" t="s">
        <v>1702</v>
      </c>
    </row>
    <row r="40" customFormat="false" ht="15" hidden="false" customHeight="false" outlineLevel="0" collapsed="false">
      <c r="A40" s="2" t="s">
        <v>1705</v>
      </c>
      <c r="B40" s="2" t="s">
        <v>1706</v>
      </c>
      <c r="C40" s="2" t="s">
        <v>1610</v>
      </c>
      <c r="D40" s="2" t="s">
        <v>1611</v>
      </c>
      <c r="E40" s="2" t="s">
        <v>1629</v>
      </c>
      <c r="F40" s="2" t="s">
        <v>1707</v>
      </c>
    </row>
    <row r="41" customFormat="false" ht="23.85" hidden="false" customHeight="false" outlineLevel="0" collapsed="false">
      <c r="A41" s="2" t="s">
        <v>1708</v>
      </c>
      <c r="B41" s="2" t="s">
        <v>1709</v>
      </c>
      <c r="C41" s="2" t="s">
        <v>1610</v>
      </c>
      <c r="D41" s="2" t="s">
        <v>1710</v>
      </c>
      <c r="E41" s="2" t="s">
        <v>1711</v>
      </c>
      <c r="F41" s="2"/>
    </row>
    <row r="42" customFormat="false" ht="23.85" hidden="false" customHeight="false" outlineLevel="0" collapsed="false">
      <c r="A42" s="2" t="s">
        <v>1712</v>
      </c>
      <c r="B42" s="2" t="s">
        <v>1713</v>
      </c>
      <c r="C42" s="2" t="s">
        <v>1610</v>
      </c>
      <c r="D42" s="2" t="s">
        <v>1611</v>
      </c>
      <c r="E42" s="2" t="s">
        <v>1670</v>
      </c>
      <c r="F42" s="2"/>
    </row>
    <row r="43" customFormat="false" ht="15" hidden="false" customHeight="false" outlineLevel="0" collapsed="false">
      <c r="A43" s="2" t="s">
        <v>1714</v>
      </c>
      <c r="B43" s="2" t="s">
        <v>1715</v>
      </c>
      <c r="C43" s="2" t="s">
        <v>1610</v>
      </c>
      <c r="D43" s="2" t="s">
        <v>1611</v>
      </c>
      <c r="E43" s="2" t="s">
        <v>1681</v>
      </c>
      <c r="F43" s="2" t="s">
        <v>1617</v>
      </c>
    </row>
    <row r="44" customFormat="false" ht="15" hidden="false" customHeight="false" outlineLevel="0" collapsed="false">
      <c r="A44" s="2" t="s">
        <v>1716</v>
      </c>
      <c r="B44" s="2" t="s">
        <v>1717</v>
      </c>
      <c r="C44" s="2" t="s">
        <v>1610</v>
      </c>
      <c r="D44" s="2" t="s">
        <v>1611</v>
      </c>
      <c r="E44" s="2" t="s">
        <v>1670</v>
      </c>
      <c r="F44" s="2" t="s">
        <v>1617</v>
      </c>
    </row>
    <row r="45" customFormat="false" ht="23.85" hidden="false" customHeight="false" outlineLevel="0" collapsed="false">
      <c r="A45" s="2" t="s">
        <v>1718</v>
      </c>
      <c r="B45" s="2" t="s">
        <v>1719</v>
      </c>
      <c r="C45" s="2" t="s">
        <v>1610</v>
      </c>
      <c r="D45" s="2" t="s">
        <v>1611</v>
      </c>
      <c r="E45" s="2" t="s">
        <v>1616</v>
      </c>
      <c r="F45" s="2"/>
    </row>
    <row r="46" customFormat="false" ht="15" hidden="false" customHeight="false" outlineLevel="0" collapsed="false">
      <c r="A46" s="2" t="s">
        <v>1720</v>
      </c>
      <c r="B46" s="2" t="s">
        <v>1721</v>
      </c>
      <c r="C46" s="2" t="s">
        <v>1610</v>
      </c>
      <c r="D46" s="2" t="s">
        <v>1611</v>
      </c>
      <c r="E46" s="2" t="s">
        <v>1629</v>
      </c>
      <c r="F46" s="2"/>
    </row>
    <row r="47" customFormat="false" ht="23.85" hidden="false" customHeight="false" outlineLevel="0" collapsed="false">
      <c r="A47" s="2" t="s">
        <v>1722</v>
      </c>
      <c r="B47" s="2" t="s">
        <v>1723</v>
      </c>
      <c r="C47" s="2" t="s">
        <v>1610</v>
      </c>
      <c r="D47" s="2" t="s">
        <v>1611</v>
      </c>
      <c r="E47" s="2" t="s">
        <v>1629</v>
      </c>
      <c r="F47" s="2"/>
    </row>
    <row r="48" customFormat="false" ht="15" hidden="false" customHeight="false" outlineLevel="0" collapsed="false">
      <c r="A48" s="2" t="s">
        <v>1724</v>
      </c>
      <c r="B48" s="2" t="s">
        <v>1725</v>
      </c>
      <c r="C48" s="2" t="s">
        <v>1610</v>
      </c>
      <c r="D48" s="2" t="s">
        <v>1611</v>
      </c>
      <c r="E48" s="2" t="s">
        <v>1629</v>
      </c>
      <c r="F48" s="2"/>
    </row>
    <row r="49" customFormat="false" ht="23.85" hidden="false" customHeight="false" outlineLevel="0" collapsed="false">
      <c r="A49" s="2" t="s">
        <v>1726</v>
      </c>
      <c r="B49" s="2" t="s">
        <v>1727</v>
      </c>
      <c r="C49" s="2" t="s">
        <v>1728</v>
      </c>
      <c r="D49" s="2" t="s">
        <v>1729</v>
      </c>
      <c r="E49" s="2" t="s">
        <v>1629</v>
      </c>
      <c r="F49" s="2" t="s">
        <v>1730</v>
      </c>
    </row>
    <row r="50" customFormat="false" ht="35.05" hidden="false" customHeight="false" outlineLevel="0" collapsed="false">
      <c r="A50" s="2" t="s">
        <v>1731</v>
      </c>
      <c r="B50" s="2" t="s">
        <v>1732</v>
      </c>
      <c r="C50" s="2" t="s">
        <v>1733</v>
      </c>
      <c r="D50" s="2" t="s">
        <v>1734</v>
      </c>
      <c r="E50" s="2" t="s">
        <v>1735</v>
      </c>
      <c r="F50" s="2" t="s">
        <v>1736</v>
      </c>
    </row>
    <row r="51" customFormat="false" ht="23.85" hidden="false" customHeight="false" outlineLevel="0" collapsed="false">
      <c r="A51" s="2" t="s">
        <v>1737</v>
      </c>
      <c r="B51" s="2" t="s">
        <v>1738</v>
      </c>
      <c r="C51" s="2" t="s">
        <v>1733</v>
      </c>
      <c r="D51" s="2" t="s">
        <v>1734</v>
      </c>
      <c r="E51" s="2" t="s">
        <v>1735</v>
      </c>
      <c r="F51" s="2" t="s">
        <v>1739</v>
      </c>
    </row>
    <row r="52" customFormat="false" ht="23.85" hidden="false" customHeight="false" outlineLevel="0" collapsed="false">
      <c r="A52" s="2" t="s">
        <v>1740</v>
      </c>
      <c r="B52" s="2" t="s">
        <v>1741</v>
      </c>
      <c r="C52" s="2" t="s">
        <v>1728</v>
      </c>
      <c r="D52" s="2" t="s">
        <v>1742</v>
      </c>
      <c r="E52" s="2" t="s">
        <v>1743</v>
      </c>
      <c r="F52" s="2" t="s">
        <v>1744</v>
      </c>
    </row>
    <row r="53" customFormat="false" ht="23.85" hidden="false" customHeight="false" outlineLevel="0" collapsed="false">
      <c r="A53" s="2" t="s">
        <v>1745</v>
      </c>
      <c r="B53" s="2" t="s">
        <v>1746</v>
      </c>
      <c r="C53" s="2" t="s">
        <v>1728</v>
      </c>
      <c r="D53" s="2" t="s">
        <v>1742</v>
      </c>
      <c r="E53" s="2" t="s">
        <v>1612</v>
      </c>
      <c r="F53" s="2" t="s">
        <v>1747</v>
      </c>
    </row>
    <row r="54" customFormat="false" ht="23.85" hidden="false" customHeight="false" outlineLevel="0" collapsed="false">
      <c r="A54" s="2" t="s">
        <v>1748</v>
      </c>
      <c r="B54" s="2" t="s">
        <v>1749</v>
      </c>
      <c r="C54" s="2" t="s">
        <v>1728</v>
      </c>
      <c r="D54" s="2" t="s">
        <v>1742</v>
      </c>
      <c r="E54" s="2" t="s">
        <v>1612</v>
      </c>
      <c r="F54" s="2" t="s">
        <v>1750</v>
      </c>
    </row>
    <row r="55" customFormat="false" ht="23.85" hidden="false" customHeight="false" outlineLevel="0" collapsed="false">
      <c r="A55" s="2" t="s">
        <v>1751</v>
      </c>
      <c r="B55" s="2" t="s">
        <v>1752</v>
      </c>
      <c r="C55" s="2" t="s">
        <v>1728</v>
      </c>
      <c r="D55" s="2" t="s">
        <v>1742</v>
      </c>
      <c r="E55" s="2" t="s">
        <v>1612</v>
      </c>
      <c r="F55" s="2" t="s">
        <v>1753</v>
      </c>
    </row>
    <row r="56" customFormat="false" ht="35.05" hidden="false" customHeight="false" outlineLevel="0" collapsed="false">
      <c r="A56" s="2" t="s">
        <v>1754</v>
      </c>
      <c r="B56" s="2" t="s">
        <v>1755</v>
      </c>
      <c r="C56" s="2" t="s">
        <v>1728</v>
      </c>
      <c r="D56" s="2" t="s">
        <v>1742</v>
      </c>
      <c r="E56" s="2" t="s">
        <v>1612</v>
      </c>
      <c r="F56" s="2" t="s">
        <v>1756</v>
      </c>
    </row>
    <row r="57" customFormat="false" ht="35.05" hidden="false" customHeight="false" outlineLevel="0" collapsed="false">
      <c r="A57" s="2" t="s">
        <v>1757</v>
      </c>
      <c r="B57" s="2" t="s">
        <v>1758</v>
      </c>
      <c r="C57" s="2" t="s">
        <v>1728</v>
      </c>
      <c r="D57" s="2" t="s">
        <v>1742</v>
      </c>
      <c r="E57" s="2" t="s">
        <v>1612</v>
      </c>
      <c r="F57" s="2" t="s">
        <v>1750</v>
      </c>
    </row>
    <row r="58" customFormat="false" ht="23.85" hidden="false" customHeight="false" outlineLevel="0" collapsed="false">
      <c r="A58" s="2" t="s">
        <v>1759</v>
      </c>
      <c r="B58" s="2" t="s">
        <v>1760</v>
      </c>
      <c r="C58" s="2" t="s">
        <v>1728</v>
      </c>
      <c r="D58" s="2" t="s">
        <v>1742</v>
      </c>
      <c r="E58" s="2" t="s">
        <v>1612</v>
      </c>
      <c r="F58" s="2" t="s">
        <v>1761</v>
      </c>
    </row>
    <row r="59" customFormat="false" ht="23.85" hidden="false" customHeight="false" outlineLevel="0" collapsed="false">
      <c r="A59" s="2" t="s">
        <v>1762</v>
      </c>
      <c r="B59" s="2" t="s">
        <v>1763</v>
      </c>
      <c r="C59" s="2" t="s">
        <v>1728</v>
      </c>
      <c r="D59" s="2" t="s">
        <v>1742</v>
      </c>
      <c r="E59" s="2" t="s">
        <v>1612</v>
      </c>
      <c r="F59" s="2" t="s">
        <v>1750</v>
      </c>
    </row>
    <row r="60" customFormat="false" ht="23.85" hidden="false" customHeight="false" outlineLevel="0" collapsed="false">
      <c r="A60" s="2" t="s">
        <v>1764</v>
      </c>
      <c r="B60" s="2" t="s">
        <v>1765</v>
      </c>
      <c r="C60" s="2" t="s">
        <v>1728</v>
      </c>
      <c r="D60" s="2" t="s">
        <v>1742</v>
      </c>
      <c r="E60" s="2" t="s">
        <v>1612</v>
      </c>
      <c r="F60" s="2" t="s">
        <v>1750</v>
      </c>
    </row>
    <row r="61" customFormat="false" ht="23.85" hidden="false" customHeight="false" outlineLevel="0" collapsed="false">
      <c r="A61" s="2" t="s">
        <v>1766</v>
      </c>
      <c r="B61" s="2" t="s">
        <v>1767</v>
      </c>
      <c r="C61" s="2" t="s">
        <v>1728</v>
      </c>
      <c r="D61" s="2" t="s">
        <v>1742</v>
      </c>
      <c r="E61" s="2" t="s">
        <v>1612</v>
      </c>
      <c r="F61" s="2" t="s">
        <v>1750</v>
      </c>
    </row>
    <row r="62" customFormat="false" ht="23.85" hidden="false" customHeight="false" outlineLevel="0" collapsed="false">
      <c r="A62" s="2" t="s">
        <v>1768</v>
      </c>
      <c r="B62" s="2" t="s">
        <v>1769</v>
      </c>
      <c r="C62" s="2" t="s">
        <v>1728</v>
      </c>
      <c r="D62" s="2" t="s">
        <v>1770</v>
      </c>
      <c r="E62" s="2" t="s">
        <v>1612</v>
      </c>
      <c r="F62" s="2" t="s">
        <v>1771</v>
      </c>
    </row>
    <row r="63" customFormat="false" ht="23.85" hidden="false" customHeight="false" outlineLevel="0" collapsed="false">
      <c r="A63" s="2" t="s">
        <v>1772</v>
      </c>
      <c r="B63" s="2" t="s">
        <v>1773</v>
      </c>
      <c r="C63" s="2" t="s">
        <v>1728</v>
      </c>
      <c r="D63" s="2" t="s">
        <v>1742</v>
      </c>
      <c r="E63" s="2" t="s">
        <v>1612</v>
      </c>
      <c r="F63" s="2" t="s">
        <v>1774</v>
      </c>
    </row>
    <row r="64" customFormat="false" ht="23.85" hidden="false" customHeight="false" outlineLevel="0" collapsed="false">
      <c r="A64" s="2" t="s">
        <v>1775</v>
      </c>
      <c r="B64" s="2" t="s">
        <v>1776</v>
      </c>
      <c r="C64" s="2" t="s">
        <v>1728</v>
      </c>
      <c r="D64" s="2" t="s">
        <v>1742</v>
      </c>
      <c r="E64" s="2" t="s">
        <v>1612</v>
      </c>
      <c r="F64" s="2" t="s">
        <v>1750</v>
      </c>
    </row>
    <row r="65" customFormat="false" ht="23.85" hidden="false" customHeight="false" outlineLevel="0" collapsed="false">
      <c r="A65" s="2" t="s">
        <v>1777</v>
      </c>
      <c r="B65" s="2" t="s">
        <v>1778</v>
      </c>
      <c r="C65" s="2" t="s">
        <v>1728</v>
      </c>
      <c r="D65" s="2" t="s">
        <v>1779</v>
      </c>
      <c r="E65" s="2" t="s">
        <v>1670</v>
      </c>
      <c r="F65" s="2" t="s">
        <v>1780</v>
      </c>
    </row>
    <row r="66" customFormat="false" ht="23.85" hidden="false" customHeight="false" outlineLevel="0" collapsed="false">
      <c r="A66" s="2" t="s">
        <v>1781</v>
      </c>
      <c r="B66" s="2" t="s">
        <v>1782</v>
      </c>
      <c r="C66" s="2" t="s">
        <v>1728</v>
      </c>
      <c r="D66" s="2" t="s">
        <v>1783</v>
      </c>
      <c r="E66" s="2" t="s">
        <v>1629</v>
      </c>
      <c r="F66" s="2" t="s">
        <v>1784</v>
      </c>
    </row>
    <row r="67" customFormat="false" ht="23.85" hidden="false" customHeight="false" outlineLevel="0" collapsed="false">
      <c r="A67" s="2" t="s">
        <v>1785</v>
      </c>
      <c r="B67" s="2" t="s">
        <v>1786</v>
      </c>
      <c r="C67" s="2" t="s">
        <v>1728</v>
      </c>
      <c r="D67" s="2" t="s">
        <v>1787</v>
      </c>
      <c r="E67" s="2" t="s">
        <v>1629</v>
      </c>
      <c r="F67" s="2" t="s">
        <v>1788</v>
      </c>
    </row>
    <row r="68" customFormat="false" ht="23.85" hidden="false" customHeight="false" outlineLevel="0" collapsed="false">
      <c r="A68" s="2" t="s">
        <v>1789</v>
      </c>
      <c r="B68" s="2" t="s">
        <v>1790</v>
      </c>
      <c r="C68" s="2" t="s">
        <v>1728</v>
      </c>
      <c r="D68" s="2" t="s">
        <v>1791</v>
      </c>
      <c r="E68" s="2" t="s">
        <v>1670</v>
      </c>
      <c r="F68" s="2" t="s">
        <v>1792</v>
      </c>
    </row>
    <row r="69" customFormat="false" ht="35.05" hidden="false" customHeight="false" outlineLevel="0" collapsed="false">
      <c r="A69" s="2" t="s">
        <v>1793</v>
      </c>
      <c r="B69" s="2" t="s">
        <v>1794</v>
      </c>
      <c r="C69" s="2" t="s">
        <v>1728</v>
      </c>
      <c r="D69" s="2" t="s">
        <v>1791</v>
      </c>
      <c r="E69" s="2" t="s">
        <v>1629</v>
      </c>
      <c r="F69" s="2" t="s">
        <v>1795</v>
      </c>
    </row>
    <row r="70" customFormat="false" ht="35.05" hidden="false" customHeight="false" outlineLevel="0" collapsed="false">
      <c r="A70" s="2" t="s">
        <v>1796</v>
      </c>
      <c r="B70" s="2" t="s">
        <v>1797</v>
      </c>
      <c r="C70" s="2" t="s">
        <v>1728</v>
      </c>
      <c r="D70" s="2" t="s">
        <v>1791</v>
      </c>
      <c r="E70" s="2" t="s">
        <v>1629</v>
      </c>
      <c r="F70" s="2" t="s">
        <v>1798</v>
      </c>
    </row>
    <row r="71" customFormat="false" ht="23.85" hidden="false" customHeight="false" outlineLevel="0" collapsed="false">
      <c r="A71" s="2" t="s">
        <v>1799</v>
      </c>
      <c r="B71" s="2" t="s">
        <v>1800</v>
      </c>
      <c r="C71" s="2" t="s">
        <v>1728</v>
      </c>
      <c r="D71" s="2" t="s">
        <v>1791</v>
      </c>
      <c r="E71" s="2" t="s">
        <v>1629</v>
      </c>
      <c r="F71" s="2" t="s">
        <v>1801</v>
      </c>
    </row>
    <row r="72" customFormat="false" ht="23.85" hidden="false" customHeight="false" outlineLevel="0" collapsed="false">
      <c r="A72" s="2" t="s">
        <v>1802</v>
      </c>
      <c r="B72" s="2" t="s">
        <v>1803</v>
      </c>
      <c r="C72" s="2" t="s">
        <v>1728</v>
      </c>
      <c r="D72" s="2" t="s">
        <v>1791</v>
      </c>
      <c r="E72" s="2" t="s">
        <v>1629</v>
      </c>
      <c r="F72" s="2" t="s">
        <v>1637</v>
      </c>
    </row>
    <row r="73" customFormat="false" ht="23.85" hidden="false" customHeight="false" outlineLevel="0" collapsed="false">
      <c r="A73" s="2" t="s">
        <v>1804</v>
      </c>
      <c r="B73" s="2" t="s">
        <v>1805</v>
      </c>
      <c r="C73" s="2" t="s">
        <v>1728</v>
      </c>
      <c r="D73" s="2" t="s">
        <v>1611</v>
      </c>
      <c r="E73" s="2" t="s">
        <v>1629</v>
      </c>
      <c r="F73" s="2" t="s">
        <v>1806</v>
      </c>
    </row>
    <row r="74" customFormat="false" ht="23.85" hidden="false" customHeight="false" outlineLevel="0" collapsed="false">
      <c r="A74" s="2" t="s">
        <v>1807</v>
      </c>
      <c r="B74" s="2" t="s">
        <v>1808</v>
      </c>
      <c r="C74" s="2" t="s">
        <v>1728</v>
      </c>
      <c r="D74" s="2" t="s">
        <v>1729</v>
      </c>
      <c r="E74" s="2" t="s">
        <v>1629</v>
      </c>
      <c r="F74" s="2" t="s">
        <v>1809</v>
      </c>
    </row>
    <row r="75" customFormat="false" ht="23.85" hidden="false" customHeight="false" outlineLevel="0" collapsed="false">
      <c r="A75" s="2" t="s">
        <v>1810</v>
      </c>
      <c r="B75" s="2" t="s">
        <v>1811</v>
      </c>
      <c r="C75" s="2" t="s">
        <v>1728</v>
      </c>
      <c r="D75" s="2" t="s">
        <v>1729</v>
      </c>
      <c r="E75" s="2" t="s">
        <v>1629</v>
      </c>
      <c r="F75" s="2" t="s">
        <v>1812</v>
      </c>
    </row>
    <row r="76" customFormat="false" ht="23.85" hidden="false" customHeight="false" outlineLevel="0" collapsed="false">
      <c r="A76" s="2" t="s">
        <v>1813</v>
      </c>
      <c r="B76" s="2" t="s">
        <v>1814</v>
      </c>
      <c r="C76" s="2" t="s">
        <v>1728</v>
      </c>
      <c r="D76" s="2" t="s">
        <v>1729</v>
      </c>
      <c r="E76" s="2" t="s">
        <v>1629</v>
      </c>
      <c r="F76" s="2"/>
    </row>
    <row r="77" customFormat="false" ht="23.85" hidden="false" customHeight="false" outlineLevel="0" collapsed="false">
      <c r="A77" s="2" t="s">
        <v>1815</v>
      </c>
      <c r="B77" s="2" t="s">
        <v>1816</v>
      </c>
      <c r="C77" s="2" t="s">
        <v>1728</v>
      </c>
      <c r="D77" s="2" t="s">
        <v>1817</v>
      </c>
      <c r="E77" s="2" t="s">
        <v>1629</v>
      </c>
      <c r="F77" s="2" t="s">
        <v>1818</v>
      </c>
    </row>
    <row r="78" customFormat="false" ht="35.05" hidden="false" customHeight="false" outlineLevel="0" collapsed="false">
      <c r="A78" s="2" t="s">
        <v>1819</v>
      </c>
      <c r="B78" s="2" t="s">
        <v>1820</v>
      </c>
      <c r="C78" s="2" t="s">
        <v>1728</v>
      </c>
      <c r="D78" s="2" t="s">
        <v>1817</v>
      </c>
      <c r="E78" s="2" t="s">
        <v>1629</v>
      </c>
      <c r="F78" s="2"/>
    </row>
    <row r="79" customFormat="false" ht="35.05" hidden="false" customHeight="false" outlineLevel="0" collapsed="false">
      <c r="A79" s="2" t="s">
        <v>1821</v>
      </c>
      <c r="B79" s="2" t="s">
        <v>1822</v>
      </c>
      <c r="C79" s="2" t="s">
        <v>1823</v>
      </c>
      <c r="D79" s="2" t="s">
        <v>1824</v>
      </c>
      <c r="E79" s="2" t="s">
        <v>1629</v>
      </c>
      <c r="F79" s="2" t="s">
        <v>1825</v>
      </c>
    </row>
    <row r="80" customFormat="false" ht="35.05" hidden="false" customHeight="false" outlineLevel="0" collapsed="false">
      <c r="A80" s="2" t="s">
        <v>1826</v>
      </c>
      <c r="B80" s="2" t="s">
        <v>1827</v>
      </c>
      <c r="C80" s="2" t="s">
        <v>1728</v>
      </c>
      <c r="D80" s="2" t="s">
        <v>1828</v>
      </c>
      <c r="E80" s="2" t="s">
        <v>1629</v>
      </c>
      <c r="F80" s="2" t="s">
        <v>1829</v>
      </c>
    </row>
    <row r="81" customFormat="false" ht="23.85" hidden="false" customHeight="false" outlineLevel="0" collapsed="false">
      <c r="A81" s="2" t="s">
        <v>1830</v>
      </c>
      <c r="B81" s="2" t="s">
        <v>1831</v>
      </c>
      <c r="C81" s="2" t="s">
        <v>1728</v>
      </c>
      <c r="D81" s="2" t="s">
        <v>1729</v>
      </c>
      <c r="E81" s="2" t="s">
        <v>1629</v>
      </c>
      <c r="F81" s="2" t="s">
        <v>1832</v>
      </c>
    </row>
    <row r="82" customFormat="false" ht="23.85" hidden="false" customHeight="false" outlineLevel="0" collapsed="false">
      <c r="A82" s="2" t="s">
        <v>1833</v>
      </c>
      <c r="B82" s="2" t="s">
        <v>1834</v>
      </c>
      <c r="C82" s="2" t="s">
        <v>1728</v>
      </c>
      <c r="D82" s="2" t="s">
        <v>1729</v>
      </c>
      <c r="E82" s="2" t="s">
        <v>1629</v>
      </c>
      <c r="F82" s="2" t="s">
        <v>1835</v>
      </c>
    </row>
    <row r="83" customFormat="false" ht="23.85" hidden="false" customHeight="false" outlineLevel="0" collapsed="false">
      <c r="A83" s="2" t="s">
        <v>1836</v>
      </c>
      <c r="B83" s="2" t="s">
        <v>1837</v>
      </c>
      <c r="C83" s="2" t="s">
        <v>1728</v>
      </c>
      <c r="D83" s="2" t="s">
        <v>1817</v>
      </c>
      <c r="E83" s="2" t="s">
        <v>1629</v>
      </c>
      <c r="F83" s="2" t="s">
        <v>1838</v>
      </c>
    </row>
    <row r="84" customFormat="false" ht="23.85" hidden="false" customHeight="false" outlineLevel="0" collapsed="false">
      <c r="A84" s="2" t="s">
        <v>1839</v>
      </c>
      <c r="B84" s="2" t="s">
        <v>1840</v>
      </c>
      <c r="C84" s="2" t="s">
        <v>1841</v>
      </c>
      <c r="D84" s="2" t="s">
        <v>1842</v>
      </c>
      <c r="E84" s="2" t="s">
        <v>1612</v>
      </c>
      <c r="F84" s="2" t="s">
        <v>1843</v>
      </c>
    </row>
    <row r="85" customFormat="false" ht="23.85" hidden="false" customHeight="false" outlineLevel="0" collapsed="false">
      <c r="A85" s="2" t="s">
        <v>1844</v>
      </c>
      <c r="B85" s="2" t="s">
        <v>1845</v>
      </c>
      <c r="C85" s="2" t="s">
        <v>1841</v>
      </c>
      <c r="D85" s="2" t="s">
        <v>1842</v>
      </c>
      <c r="E85" s="2" t="s">
        <v>1846</v>
      </c>
      <c r="F85" s="2" t="s">
        <v>1847</v>
      </c>
    </row>
    <row r="86" customFormat="false" ht="23.85" hidden="false" customHeight="false" outlineLevel="0" collapsed="false">
      <c r="A86" s="2" t="s">
        <v>1848</v>
      </c>
      <c r="B86" s="2" t="s">
        <v>1849</v>
      </c>
      <c r="C86" s="2" t="s">
        <v>1850</v>
      </c>
      <c r="D86" s="2" t="s">
        <v>1824</v>
      </c>
      <c r="E86" s="2" t="s">
        <v>1629</v>
      </c>
      <c r="F86" s="2" t="s">
        <v>1851</v>
      </c>
    </row>
    <row r="87" customFormat="false" ht="35.05" hidden="false" customHeight="false" outlineLevel="0" collapsed="false">
      <c r="A87" s="2" t="s">
        <v>1852</v>
      </c>
      <c r="B87" s="2" t="s">
        <v>1853</v>
      </c>
      <c r="C87" s="2" t="s">
        <v>1841</v>
      </c>
      <c r="D87" s="2" t="s">
        <v>1779</v>
      </c>
      <c r="E87" s="2" t="s">
        <v>1629</v>
      </c>
      <c r="F87" s="2" t="s">
        <v>1854</v>
      </c>
    </row>
    <row r="88" customFormat="false" ht="35.05" hidden="false" customHeight="false" outlineLevel="0" collapsed="false">
      <c r="A88" s="2" t="s">
        <v>1855</v>
      </c>
      <c r="B88" s="2" t="s">
        <v>1856</v>
      </c>
      <c r="C88" s="2" t="s">
        <v>1841</v>
      </c>
      <c r="D88" s="2" t="s">
        <v>1779</v>
      </c>
      <c r="E88" s="2" t="s">
        <v>1629</v>
      </c>
      <c r="F88" s="2"/>
    </row>
    <row r="89" customFormat="false" ht="46.25" hidden="false" customHeight="false" outlineLevel="0" collapsed="false">
      <c r="A89" s="2" t="s">
        <v>1857</v>
      </c>
      <c r="B89" s="2" t="s">
        <v>1858</v>
      </c>
      <c r="C89" s="2" t="s">
        <v>1841</v>
      </c>
      <c r="D89" s="2" t="s">
        <v>1859</v>
      </c>
      <c r="E89" s="2" t="s">
        <v>1629</v>
      </c>
      <c r="F89" s="2"/>
    </row>
    <row r="90" customFormat="false" ht="15" hidden="false" customHeight="false" outlineLevel="0" collapsed="false">
      <c r="A90" s="2" t="s">
        <v>1860</v>
      </c>
      <c r="B90" s="2" t="s">
        <v>1861</v>
      </c>
      <c r="C90" s="2" t="s">
        <v>1841</v>
      </c>
      <c r="D90" s="2" t="s">
        <v>1787</v>
      </c>
      <c r="E90" s="2" t="s">
        <v>1629</v>
      </c>
      <c r="F90" s="2" t="s">
        <v>1862</v>
      </c>
    </row>
    <row r="91" customFormat="false" ht="15" hidden="false" customHeight="false" outlineLevel="0" collapsed="false">
      <c r="A91" s="2" t="s">
        <v>1863</v>
      </c>
      <c r="B91" s="2" t="s">
        <v>1864</v>
      </c>
      <c r="C91" s="2" t="s">
        <v>1841</v>
      </c>
      <c r="D91" s="2" t="s">
        <v>1787</v>
      </c>
      <c r="E91" s="2" t="s">
        <v>1629</v>
      </c>
      <c r="F91" s="2" t="s">
        <v>1862</v>
      </c>
    </row>
    <row r="92" customFormat="false" ht="23.85" hidden="false" customHeight="false" outlineLevel="0" collapsed="false">
      <c r="A92" s="2" t="s">
        <v>1865</v>
      </c>
      <c r="B92" s="2" t="s">
        <v>1866</v>
      </c>
      <c r="C92" s="2" t="s">
        <v>1841</v>
      </c>
      <c r="D92" s="2" t="s">
        <v>1787</v>
      </c>
      <c r="E92" s="2" t="s">
        <v>1629</v>
      </c>
      <c r="F92" s="2" t="s">
        <v>1867</v>
      </c>
    </row>
    <row r="93" customFormat="false" ht="15" hidden="false" customHeight="false" outlineLevel="0" collapsed="false">
      <c r="A93" s="2" t="s">
        <v>1868</v>
      </c>
      <c r="B93" s="2" t="s">
        <v>1869</v>
      </c>
      <c r="C93" s="2" t="s">
        <v>1841</v>
      </c>
      <c r="D93" s="2" t="s">
        <v>1787</v>
      </c>
      <c r="E93" s="2" t="s">
        <v>1629</v>
      </c>
      <c r="F93" s="2" t="s">
        <v>1870</v>
      </c>
    </row>
    <row r="94" customFormat="false" ht="35.05" hidden="false" customHeight="false" outlineLevel="0" collapsed="false">
      <c r="A94" s="2" t="s">
        <v>1871</v>
      </c>
      <c r="B94" s="2" t="s">
        <v>1872</v>
      </c>
      <c r="C94" s="2" t="s">
        <v>1841</v>
      </c>
      <c r="D94" s="2" t="s">
        <v>1873</v>
      </c>
      <c r="E94" s="2" t="s">
        <v>1629</v>
      </c>
      <c r="F94" s="2" t="s">
        <v>1874</v>
      </c>
    </row>
    <row r="95" customFormat="false" ht="46.25" hidden="false" customHeight="false" outlineLevel="0" collapsed="false">
      <c r="A95" s="2" t="s">
        <v>1875</v>
      </c>
      <c r="B95" s="2" t="s">
        <v>1876</v>
      </c>
      <c r="C95" s="2" t="s">
        <v>1841</v>
      </c>
      <c r="D95" s="2" t="s">
        <v>1877</v>
      </c>
      <c r="E95" s="2" t="s">
        <v>1629</v>
      </c>
      <c r="F95" s="2"/>
    </row>
    <row r="96" customFormat="false" ht="15" hidden="false" customHeight="false" outlineLevel="0" collapsed="false">
      <c r="A96" s="2" t="s">
        <v>1878</v>
      </c>
      <c r="B96" s="2" t="s">
        <v>1879</v>
      </c>
      <c r="C96" s="2" t="s">
        <v>1841</v>
      </c>
      <c r="D96" s="2" t="s">
        <v>1880</v>
      </c>
      <c r="E96" s="2" t="s">
        <v>1629</v>
      </c>
      <c r="F96" s="2" t="s">
        <v>1881</v>
      </c>
    </row>
    <row r="97" customFormat="false" ht="15" hidden="false" customHeight="false" outlineLevel="0" collapsed="false">
      <c r="A97" s="2" t="s">
        <v>1882</v>
      </c>
      <c r="B97" s="2" t="s">
        <v>1883</v>
      </c>
      <c r="C97" s="2" t="s">
        <v>1841</v>
      </c>
      <c r="D97" s="2" t="s">
        <v>1884</v>
      </c>
      <c r="E97" s="2" t="s">
        <v>1629</v>
      </c>
      <c r="F97" s="2" t="s">
        <v>1885</v>
      </c>
    </row>
    <row r="98" customFormat="false" ht="35.05" hidden="false" customHeight="false" outlineLevel="0" collapsed="false">
      <c r="A98" s="2" t="s">
        <v>1886</v>
      </c>
      <c r="B98" s="2" t="s">
        <v>1887</v>
      </c>
      <c r="C98" s="2" t="s">
        <v>1841</v>
      </c>
      <c r="D98" s="2" t="s">
        <v>1842</v>
      </c>
      <c r="E98" s="2" t="s">
        <v>1612</v>
      </c>
      <c r="F98" s="2" t="s">
        <v>1888</v>
      </c>
    </row>
    <row r="99" customFormat="false" ht="23.85" hidden="false" customHeight="false" outlineLevel="0" collapsed="false">
      <c r="A99" s="2" t="s">
        <v>1889</v>
      </c>
      <c r="B99" s="2" t="s">
        <v>1890</v>
      </c>
      <c r="C99" s="2" t="s">
        <v>1891</v>
      </c>
      <c r="D99" s="2" t="s">
        <v>1824</v>
      </c>
      <c r="E99" s="2" t="s">
        <v>1629</v>
      </c>
      <c r="F99" s="2"/>
    </row>
    <row r="100" customFormat="false" ht="15" hidden="false" customHeight="false" outlineLevel="0" collapsed="false">
      <c r="A100" s="2" t="s">
        <v>1892</v>
      </c>
      <c r="B100" s="2" t="s">
        <v>1893</v>
      </c>
      <c r="C100" s="2" t="s">
        <v>1891</v>
      </c>
      <c r="D100" s="2" t="s">
        <v>1824</v>
      </c>
      <c r="E100" s="2" t="s">
        <v>1629</v>
      </c>
      <c r="F100" s="2"/>
    </row>
    <row r="101" customFormat="false" ht="15" hidden="false" customHeight="false" outlineLevel="0" collapsed="false">
      <c r="A101" s="2" t="s">
        <v>1894</v>
      </c>
      <c r="B101" s="2" t="s">
        <v>1895</v>
      </c>
      <c r="C101" s="2" t="s">
        <v>1891</v>
      </c>
      <c r="D101" s="2" t="s">
        <v>1824</v>
      </c>
      <c r="E101" s="2" t="s">
        <v>1629</v>
      </c>
      <c r="F101" s="2"/>
    </row>
    <row r="102" customFormat="false" ht="23.85" hidden="false" customHeight="false" outlineLevel="0" collapsed="false">
      <c r="A102" s="2" t="s">
        <v>1896</v>
      </c>
      <c r="B102" s="2" t="s">
        <v>1897</v>
      </c>
      <c r="C102" s="2" t="s">
        <v>1891</v>
      </c>
      <c r="D102" s="2" t="s">
        <v>1742</v>
      </c>
      <c r="E102" s="2" t="s">
        <v>1629</v>
      </c>
      <c r="F102" s="2" t="s">
        <v>1898</v>
      </c>
    </row>
    <row r="103" customFormat="false" ht="23.85" hidden="false" customHeight="false" outlineLevel="0" collapsed="false">
      <c r="A103" s="2" t="s">
        <v>1899</v>
      </c>
      <c r="B103" s="2" t="s">
        <v>1900</v>
      </c>
      <c r="C103" s="2" t="s">
        <v>1891</v>
      </c>
      <c r="D103" s="2" t="s">
        <v>1742</v>
      </c>
      <c r="E103" s="2" t="s">
        <v>1612</v>
      </c>
      <c r="F103" s="2" t="s">
        <v>1901</v>
      </c>
    </row>
    <row r="104" customFormat="false" ht="23.85" hidden="false" customHeight="false" outlineLevel="0" collapsed="false">
      <c r="A104" s="2" t="s">
        <v>1902</v>
      </c>
      <c r="B104" s="2" t="s">
        <v>1903</v>
      </c>
      <c r="C104" s="2" t="s">
        <v>1891</v>
      </c>
      <c r="D104" s="2" t="s">
        <v>1791</v>
      </c>
      <c r="E104" s="2" t="s">
        <v>1629</v>
      </c>
      <c r="F104" s="2" t="s">
        <v>1904</v>
      </c>
    </row>
    <row r="105" customFormat="false" ht="23.85" hidden="false" customHeight="false" outlineLevel="0" collapsed="false">
      <c r="A105" s="2" t="s">
        <v>1905</v>
      </c>
      <c r="B105" s="2" t="s">
        <v>1906</v>
      </c>
      <c r="C105" s="2" t="s">
        <v>1891</v>
      </c>
      <c r="D105" s="2" t="s">
        <v>1791</v>
      </c>
      <c r="E105" s="2" t="s">
        <v>1629</v>
      </c>
      <c r="F105" s="2" t="s">
        <v>1792</v>
      </c>
    </row>
    <row r="106" customFormat="false" ht="23.85" hidden="false" customHeight="false" outlineLevel="0" collapsed="false">
      <c r="A106" s="2" t="s">
        <v>1907</v>
      </c>
      <c r="B106" s="2" t="s">
        <v>1908</v>
      </c>
      <c r="C106" s="2" t="s">
        <v>1891</v>
      </c>
      <c r="D106" s="2" t="s">
        <v>1791</v>
      </c>
      <c r="E106" s="2" t="s">
        <v>1629</v>
      </c>
      <c r="F106" s="2" t="s">
        <v>1909</v>
      </c>
    </row>
    <row r="107" customFormat="false" ht="23.85" hidden="false" customHeight="false" outlineLevel="0" collapsed="false">
      <c r="A107" s="2" t="s">
        <v>1910</v>
      </c>
      <c r="B107" s="2" t="s">
        <v>1911</v>
      </c>
      <c r="C107" s="2" t="s">
        <v>1891</v>
      </c>
      <c r="D107" s="2" t="s">
        <v>1791</v>
      </c>
      <c r="E107" s="2" t="s">
        <v>1629</v>
      </c>
      <c r="F107" s="2" t="s">
        <v>1912</v>
      </c>
    </row>
    <row r="108" customFormat="false" ht="23.85" hidden="false" customHeight="false" outlineLevel="0" collapsed="false">
      <c r="A108" s="2" t="s">
        <v>1913</v>
      </c>
      <c r="B108" s="2" t="s">
        <v>1914</v>
      </c>
      <c r="C108" s="2" t="s">
        <v>1891</v>
      </c>
      <c r="D108" s="2" t="s">
        <v>1915</v>
      </c>
      <c r="E108" s="2" t="s">
        <v>1629</v>
      </c>
      <c r="F108" s="2"/>
    </row>
    <row r="109" customFormat="false" ht="23.85" hidden="false" customHeight="false" outlineLevel="0" collapsed="false">
      <c r="A109" s="2" t="s">
        <v>1916</v>
      </c>
      <c r="B109" s="2" t="s">
        <v>1917</v>
      </c>
      <c r="C109" s="2" t="s">
        <v>1891</v>
      </c>
      <c r="D109" s="2" t="s">
        <v>1915</v>
      </c>
      <c r="E109" s="2" t="s">
        <v>1629</v>
      </c>
      <c r="F109" s="2" t="s">
        <v>1918</v>
      </c>
    </row>
    <row r="110" customFormat="false" ht="23.85" hidden="false" customHeight="false" outlineLevel="0" collapsed="false">
      <c r="A110" s="2" t="s">
        <v>1919</v>
      </c>
      <c r="B110" s="2" t="s">
        <v>1920</v>
      </c>
      <c r="C110" s="2" t="s">
        <v>1891</v>
      </c>
      <c r="D110" s="2" t="s">
        <v>1921</v>
      </c>
      <c r="E110" s="2" t="s">
        <v>1629</v>
      </c>
      <c r="F110" s="2" t="s">
        <v>1922</v>
      </c>
    </row>
    <row r="111" customFormat="false" ht="23.85" hidden="false" customHeight="false" outlineLevel="0" collapsed="false">
      <c r="A111" s="2" t="s">
        <v>1923</v>
      </c>
      <c r="B111" s="2" t="s">
        <v>1924</v>
      </c>
      <c r="C111" s="2" t="s">
        <v>1891</v>
      </c>
      <c r="D111" s="2" t="s">
        <v>1921</v>
      </c>
      <c r="E111" s="2" t="s">
        <v>1846</v>
      </c>
      <c r="F111" s="2" t="s">
        <v>1925</v>
      </c>
    </row>
    <row r="112" customFormat="false" ht="35.05" hidden="false" customHeight="false" outlineLevel="0" collapsed="false">
      <c r="A112" s="2" t="s">
        <v>1926</v>
      </c>
      <c r="B112" s="2" t="s">
        <v>1927</v>
      </c>
      <c r="C112" s="2" t="s">
        <v>1891</v>
      </c>
      <c r="D112" s="2" t="s">
        <v>1779</v>
      </c>
      <c r="E112" s="2" t="s">
        <v>1629</v>
      </c>
      <c r="F112" s="2" t="s">
        <v>1928</v>
      </c>
    </row>
    <row r="113" customFormat="false" ht="23.85" hidden="false" customHeight="false" outlineLevel="0" collapsed="false">
      <c r="A113" s="2" t="s">
        <v>1929</v>
      </c>
      <c r="B113" s="2" t="s">
        <v>1930</v>
      </c>
      <c r="C113" s="2" t="s">
        <v>1891</v>
      </c>
      <c r="D113" s="2" t="s">
        <v>1779</v>
      </c>
      <c r="E113" s="2" t="s">
        <v>1629</v>
      </c>
      <c r="F113" s="2" t="s">
        <v>1931</v>
      </c>
    </row>
    <row r="114" customFormat="false" ht="23.85" hidden="false" customHeight="false" outlineLevel="0" collapsed="false">
      <c r="A114" s="2" t="s">
        <v>1932</v>
      </c>
      <c r="B114" s="2" t="s">
        <v>1933</v>
      </c>
      <c r="C114" s="2" t="s">
        <v>1891</v>
      </c>
      <c r="D114" s="2" t="s">
        <v>1934</v>
      </c>
      <c r="E114" s="2" t="s">
        <v>1612</v>
      </c>
      <c r="F114" s="2" t="s">
        <v>1935</v>
      </c>
    </row>
    <row r="115" customFormat="false" ht="15" hidden="false" customHeight="false" outlineLevel="0" collapsed="false">
      <c r="A115" s="2" t="s">
        <v>1936</v>
      </c>
      <c r="B115" s="2" t="s">
        <v>1937</v>
      </c>
      <c r="C115" s="2" t="s">
        <v>1938</v>
      </c>
      <c r="D115" s="2" t="s">
        <v>1611</v>
      </c>
      <c r="E115" s="2" t="s">
        <v>1670</v>
      </c>
      <c r="F115" s="2" t="s">
        <v>1939</v>
      </c>
    </row>
    <row r="116" customFormat="false" ht="23.85" hidden="false" customHeight="false" outlineLevel="0" collapsed="false">
      <c r="A116" s="2" t="s">
        <v>1940</v>
      </c>
      <c r="B116" s="2" t="s">
        <v>1941</v>
      </c>
      <c r="C116" s="2" t="s">
        <v>1938</v>
      </c>
      <c r="D116" s="2" t="s">
        <v>1742</v>
      </c>
      <c r="E116" s="2" t="s">
        <v>1612</v>
      </c>
      <c r="F116" s="2" t="s">
        <v>1942</v>
      </c>
    </row>
    <row r="117" customFormat="false" ht="23.85" hidden="false" customHeight="false" outlineLevel="0" collapsed="false">
      <c r="A117" s="2" t="s">
        <v>1943</v>
      </c>
      <c r="B117" s="2" t="s">
        <v>1944</v>
      </c>
      <c r="C117" s="2" t="s">
        <v>1938</v>
      </c>
      <c r="D117" s="2" t="s">
        <v>1710</v>
      </c>
      <c r="E117" s="2" t="s">
        <v>1735</v>
      </c>
      <c r="F117" s="2" t="s">
        <v>1945</v>
      </c>
    </row>
    <row r="118" customFormat="false" ht="23.85" hidden="false" customHeight="false" outlineLevel="0" collapsed="false">
      <c r="A118" s="2" t="s">
        <v>1946</v>
      </c>
      <c r="B118" s="2" t="s">
        <v>1947</v>
      </c>
      <c r="C118" s="2" t="s">
        <v>1938</v>
      </c>
      <c r="D118" s="2" t="s">
        <v>1710</v>
      </c>
      <c r="E118" s="2" t="s">
        <v>1612</v>
      </c>
      <c r="F118" s="2" t="s">
        <v>1948</v>
      </c>
    </row>
    <row r="119" customFormat="false" ht="23.85" hidden="false" customHeight="false" outlineLevel="0" collapsed="false">
      <c r="A119" s="2" t="s">
        <v>1949</v>
      </c>
      <c r="B119" s="2" t="s">
        <v>1950</v>
      </c>
      <c r="C119" s="2" t="s">
        <v>1938</v>
      </c>
      <c r="D119" s="2" t="s">
        <v>1710</v>
      </c>
      <c r="E119" s="2" t="s">
        <v>1846</v>
      </c>
      <c r="F119" s="2" t="s">
        <v>1951</v>
      </c>
    </row>
    <row r="120" customFormat="false" ht="15" hidden="false" customHeight="false" outlineLevel="0" collapsed="false">
      <c r="A120" s="2" t="s">
        <v>1952</v>
      </c>
      <c r="B120" s="2" t="s">
        <v>1953</v>
      </c>
      <c r="C120" s="2" t="s">
        <v>1938</v>
      </c>
      <c r="D120" s="2" t="s">
        <v>1729</v>
      </c>
      <c r="E120" s="2" t="s">
        <v>1629</v>
      </c>
      <c r="F120" s="2" t="s">
        <v>1954</v>
      </c>
    </row>
    <row r="121" customFormat="false" ht="15" hidden="false" customHeight="false" outlineLevel="0" collapsed="false">
      <c r="A121" s="2" t="s">
        <v>1955</v>
      </c>
      <c r="B121" s="2" t="s">
        <v>1956</v>
      </c>
      <c r="C121" s="2" t="s">
        <v>1938</v>
      </c>
      <c r="D121" s="2" t="s">
        <v>1611</v>
      </c>
      <c r="E121" s="2" t="s">
        <v>1629</v>
      </c>
      <c r="F121" s="2"/>
    </row>
    <row r="122" customFormat="false" ht="23.85" hidden="false" customHeight="false" outlineLevel="0" collapsed="false">
      <c r="A122" s="2" t="s">
        <v>1957</v>
      </c>
      <c r="B122" s="2" t="s">
        <v>1958</v>
      </c>
      <c r="C122" s="2" t="s">
        <v>1938</v>
      </c>
      <c r="D122" s="2" t="s">
        <v>1611</v>
      </c>
      <c r="E122" s="2" t="s">
        <v>1629</v>
      </c>
      <c r="F122" s="2" t="s">
        <v>1959</v>
      </c>
    </row>
    <row r="123" customFormat="false" ht="23.85" hidden="false" customHeight="false" outlineLevel="0" collapsed="false">
      <c r="A123" s="2" t="s">
        <v>1960</v>
      </c>
      <c r="B123" s="2" t="s">
        <v>1961</v>
      </c>
      <c r="C123" s="2" t="s">
        <v>1938</v>
      </c>
      <c r="D123" s="2" t="s">
        <v>1611</v>
      </c>
      <c r="E123" s="2" t="s">
        <v>1629</v>
      </c>
      <c r="F123" s="2"/>
    </row>
    <row r="124" customFormat="false" ht="23.85" hidden="false" customHeight="false" outlineLevel="0" collapsed="false">
      <c r="A124" s="2" t="s">
        <v>1962</v>
      </c>
      <c r="B124" s="2" t="s">
        <v>1963</v>
      </c>
      <c r="C124" s="2" t="s">
        <v>1938</v>
      </c>
      <c r="D124" s="2" t="s">
        <v>1611</v>
      </c>
      <c r="E124" s="2" t="s">
        <v>1629</v>
      </c>
      <c r="F1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2026-09-30T14:53:49Z</dcterms:created>
  <dc:creator>openpyxl</dc:creator>
  <dc:description/>
  <dc:language>en-US</dc:language>
  <cp:lastModifiedBy/>
  <dcterms:modified xsi:type="dcterms:W3CDTF">2026-09-30T14:53:49Z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