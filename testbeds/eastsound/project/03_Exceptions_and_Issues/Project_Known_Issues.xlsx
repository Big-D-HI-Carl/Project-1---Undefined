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Method Issues" sheetId="2" state="visible" r:id="rId4"/>
    <sheet name="Lane Method Items" sheetId="3" state="visible" r:id="rId5"/>
    <sheet name="Decisions" sheetId="4" state="visible" r:id="rId6"/>
    <sheet name="Settled" sheetId="5" state="visible" r:id="rId7"/>
  </sheets>
  <definedNames>
    <definedName function="false" hidden="true" localSheetId="3" name="_xlnm._FilterDatabase" vbProcedure="false">Decisions!$A$1:$L$140</definedName>
    <definedName function="false" hidden="true" localSheetId="2" name="_xlnm._FilterDatabase" vbProcedure="false">'Lane Method Items'!$A$1:$F$62</definedName>
    <definedName function="false" hidden="true" localSheetId="1" name="_xlnm._FilterDatabase" vbProcedure="false">'Method Issues'!$A$1:$G$32</definedName>
    <definedName function="false" hidden="true" localSheetId="4" name="_xlnm._FilterDatabase" vbProcedure="false">Settled!$A$1:$D$18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<sst xmlns="http://schemas.openxmlformats.org/spreadsheetml/2006/main" count="1983" uniqueCount="925">
  <si>
    <t xml:space="preserve">Project Known Issues — Eastsound WWTP Upgrade Phase I (five lanes combined)</t>
  </si>
  <si>
    <t xml:space="preserve">Measure</t>
  </si>
  <si>
    <t xml:space="preserve">Value (formula)</t>
  </si>
  <si>
    <t xml:space="preserve">Method themes (combined)</t>
  </si>
  <si>
    <t xml:space="preserve">Lane method items</t>
  </si>
  <si>
    <t xml:space="preserve">Lane method items not mapped to a theme</t>
  </si>
  <si>
    <t xml:space="preserve">Themes with no Issues Log entry</t>
  </si>
  <si>
    <t xml:space="preserve">Open document decisions</t>
  </si>
  <si>
    <t xml:space="preserve">Decisions with no Issues Log entry</t>
  </si>
  <si>
    <t xml:space="preserve">Decisions that are also Exception Report rows</t>
  </si>
  <si>
    <t xml:space="preserve">Settled or record-only items</t>
  </si>
  <si>
    <t xml:space="preserve">Open decisions — Civil &amp; Site</t>
  </si>
  <si>
    <t xml:space="preserve">Open decisions — Process &amp; Mechanical</t>
  </si>
  <si>
    <t xml:space="preserve">Open decisions — Electrical &amp; Controls</t>
  </si>
  <si>
    <t xml:space="preserve">Open decisions — Structural &amp; Building</t>
  </si>
  <si>
    <t xml:space="preserve">Open decisions — Contract &amp; General</t>
  </si>
  <si>
    <t xml:space="preserve">Theme</t>
  </si>
  <si>
    <t xml:space="preserve">Combined issue</t>
  </si>
  <si>
    <t xml:space="preserve">Lane items</t>
  </si>
  <si>
    <t xml:space="preserve">Fix (proposed)</t>
  </si>
  <si>
    <t xml:space="preserve">Owner</t>
  </si>
  <si>
    <t xml:space="preserve">Status</t>
  </si>
  <si>
    <t xml:space="preserve">Issues Log #</t>
  </si>
  <si>
    <t xml:space="preserve">T01</t>
  </si>
  <si>
    <t xml:space="preserve">Drawing images too coarse (about 80 dpi) for small text</t>
  </si>
  <si>
    <t xml:space="preserve">Structural &amp; Building:Known 1; Civil &amp; Site:K-03</t>
  </si>
  <si>
    <t xml:space="preserve">Native PDFs via SharePoint; re-run the S/A visual pass and re-tag</t>
  </si>
  <si>
    <t xml:space="preserve">SharePoint</t>
  </si>
  <si>
    <t xml:space="preserve">Deferred</t>
  </si>
  <si>
    <t xml:space="preserve">#10, #54</t>
  </si>
  <si>
    <t xml:space="preserve">T02</t>
  </si>
  <si>
    <t xml:space="preserve">S-sheet pages have no text layer</t>
  </si>
  <si>
    <t xml:space="preserve">Structural &amp; Building:Known 2</t>
  </si>
  <si>
    <t xml:space="preserve">OCR native PDFs; stage text beside each page</t>
  </si>
  <si>
    <t xml:space="preserve">Open</t>
  </si>
  <si>
    <t xml:space="preserve">#60</t>
  </si>
  <si>
    <t xml:space="preserve">T03</t>
  </si>
  <si>
    <t xml:space="preserve">Library files named .pdf are not PDFs</t>
  </si>
  <si>
    <t xml:space="preserve">Structural &amp; Building:Known 3; Contract &amp; General:W10</t>
  </si>
  <si>
    <t xml:space="preserve">Open-as-bundle and split-by-header steps in the crawl prompt; detect format by content at ingest</t>
  </si>
  <si>
    <t xml:space="preserve">Setup</t>
  </si>
  <si>
    <t xml:space="preserve">Worked around</t>
  </si>
  <si>
    <t xml:space="preserve">#61</t>
  </si>
  <si>
    <t xml:space="preserve">T04</t>
  </si>
  <si>
    <t xml:space="preserve">Spec text from other projects; pointers to sections, sheets and attachments that do not exist</t>
  </si>
  <si>
    <t xml:space="preserve">Structural &amp; Building:Known 4; Contract &amp; General:W5</t>
  </si>
  <si>
    <t xml:space="preserve">Check every named structure, sheet and section against 01/02; never create rows from misses</t>
  </si>
  <si>
    <t xml:space="preserve">Composer</t>
  </si>
  <si>
    <t xml:space="preserve">#52, #62</t>
  </si>
  <si>
    <t xml:space="preserve">T05</t>
  </si>
  <si>
    <t xml:space="preserve">Upstream index statement contradicted by the source (01 log #12)</t>
  </si>
  <si>
    <t xml:space="preserve">Structural &amp; Building:Known 5</t>
  </si>
  <si>
    <t xml:space="preserve">Setup amends 01; crawl rule to log index corrections</t>
  </si>
  <si>
    <t xml:space="preserve">#51</t>
  </si>
  <si>
    <t xml:space="preserve">T06</t>
  </si>
  <si>
    <t xml:space="preserve">Addendum changed drawings but not the matching spec text</t>
  </si>
  <si>
    <t xml:space="preserve">Structural &amp; Building:Known 6</t>
  </si>
  <si>
    <t xml:space="preserve">Supersession search step for every attribute Add. 4 changes</t>
  </si>
  <si>
    <t xml:space="preserve">#63</t>
  </si>
  <si>
    <t xml:space="preserve">T07</t>
  </si>
  <si>
    <t xml:space="preserve">Weakest-tag rule: the bid item basis pulls every row to Inferred</t>
  </si>
  <si>
    <t xml:space="preserve">Structural &amp; Building:Known 7; Contract &amp; General:W3; Civil &amp; Site:K-01; Process &amp; Mechanical:Test-bed 1; Process &amp; Mechanical:Test-bed 7</t>
  </si>
  <si>
    <t xml:space="preserve">Separate Bid Item basis / classification confidence column</t>
  </si>
  <si>
    <t xml:space="preserve">#12</t>
  </si>
  <si>
    <t xml:space="preserve">T08</t>
  </si>
  <si>
    <t xml:space="preserve">Submittal and Testing Y/N: source rule, third value, drawing-note and cross-lane requirements</t>
  </si>
  <si>
    <t xml:space="preserve">Structural &amp; Building:Known 8; Contract &amp; General:W8; Civil &amp; Site:CS-37; Civil &amp; Site:K-09; Process &amp; Mechanical:Test-bed 6; Electrical &amp; Controls:Method 6</t>
  </si>
  <si>
    <t xml:space="preserve">Y / N / Not stated with a basis qualifier; owning lane sets the flag</t>
  </si>
  <si>
    <t xml:space="preserve">#13</t>
  </si>
  <si>
    <t xml:space="preserve">T09</t>
  </si>
  <si>
    <t xml:space="preserve">Testing/Startup column undefined</t>
  </si>
  <si>
    <t xml:space="preserve">Structural &amp; Building:Known 9</t>
  </si>
  <si>
    <t xml:space="preserve">Define the column or split it</t>
  </si>
  <si>
    <t xml:space="preserve">#64</t>
  </si>
  <si>
    <t xml:space="preserve">T10</t>
  </si>
  <si>
    <t xml:space="preserve">No quantity or unit column</t>
  </si>
  <si>
    <t xml:space="preserve">Structural &amp; Building:Known 10</t>
  </si>
  <si>
    <t xml:space="preserve">Add Qty and Unit columns</t>
  </si>
  <si>
    <t xml:space="preserve">#65</t>
  </si>
  <si>
    <t xml:space="preserve">T11</t>
  </si>
  <si>
    <t xml:space="preserve">Spec-only rows have no Drawing Sheets value</t>
  </si>
  <si>
    <t xml:space="preserve">Structural &amp; Building:Known 11</t>
  </si>
  <si>
    <t xml:space="preserve">Allow "(reference only)" sheets or a Referenced Sheets column</t>
  </si>
  <si>
    <t xml:space="preserve">#66</t>
  </si>
  <si>
    <t xml:space="preserve">T12</t>
  </si>
  <si>
    <t xml:space="preserve">Tag naming: free-text PROPOSED tags, sheet-scoped and duplicate printed IDs</t>
  </si>
  <si>
    <t xml:space="preserve">Structural &amp; Building:Known 12; Electrical &amp; Controls:Method 3; Civil &amp; Site:K-06; Process &amp; Mechanical:Test-bed 4</t>
  </si>
  <si>
    <t xml:space="preserve">Naming rule or shared tag registry; tag-harvest pass; crosswalk before combining</t>
  </si>
  <si>
    <t xml:space="preserve">Composer / Setup</t>
  </si>
  <si>
    <t xml:space="preserve">#2, #5</t>
  </si>
  <si>
    <t xml:space="preserve">T13</t>
  </si>
  <si>
    <t xml:space="preserve">Owning lane lives in Notes, not a column</t>
  </si>
  <si>
    <t xml:space="preserve">Structural &amp; Building:Known 13</t>
  </si>
  <si>
    <t xml:space="preserve">Add an Owning Lane column</t>
  </si>
  <si>
    <t xml:space="preserve">#67</t>
  </si>
  <si>
    <t xml:space="preserve">T14</t>
  </si>
  <si>
    <t xml:space="preserve">Row granularity uneven (components vs package rows; roll-ups; category rows)</t>
  </si>
  <si>
    <t xml:space="preserve">Structural &amp; Building:Known 14; Contract &amp; General:W9; Electrical &amp; Controls:Method 5</t>
  </si>
  <si>
    <t xml:space="preserve">One split rule in the schema</t>
  </si>
  <si>
    <t xml:space="preserve">#68</t>
  </si>
  <si>
    <t xml:space="preserve">T15</t>
  </si>
  <si>
    <t xml:space="preserve">Area names uncontrolled</t>
  </si>
  <si>
    <t xml:space="preserve">Structural &amp; Building:Known 15</t>
  </si>
  <si>
    <t xml:space="preserve">Controlled Area list from 01</t>
  </si>
  <si>
    <t xml:space="preserve">#7</t>
  </si>
  <si>
    <t xml:space="preserve">T16</t>
  </si>
  <si>
    <t xml:space="preserve">Issue references by position; lane issue numbers not stable</t>
  </si>
  <si>
    <t xml:space="preserve">Structural &amp; Building:Known 16; Electrical &amp; Controls:Method 4</t>
  </si>
  <si>
    <t xml:space="preserve">Permanent issue IDs; cite by ID and title</t>
  </si>
  <si>
    <t xml:space="preserve">#6, #69</t>
  </si>
  <si>
    <t xml:space="preserve">T17</t>
  </si>
  <si>
    <t xml:space="preserve">Wiki Tags mix printed references with by-subject links; appendices linked only by subject</t>
  </si>
  <si>
    <t xml:space="preserve">Structural &amp; Building:Known 17; Contract &amp; General:W6</t>
  </si>
  <si>
    <t xml:space="preserve">Split Tags into Cited and Related by subject</t>
  </si>
  <si>
    <t xml:space="preserve">#70</t>
  </si>
  <si>
    <t xml:space="preserve">T18</t>
  </si>
  <si>
    <t xml:space="preserve">Notation and encoding (UTF-8 without BOM; ft/in vs marks)</t>
  </si>
  <si>
    <t xml:space="preserve">Structural &amp; Building:Known 18; Process &amp; Mechanical:Test-bed 8</t>
  </si>
  <si>
    <t xml:space="preserve">xlsx view for people, CSV for machines; one dimension notation</t>
  </si>
  <si>
    <t xml:space="preserve">#71</t>
  </si>
  <si>
    <t xml:space="preserve">T19</t>
  </si>
  <si>
    <t xml:space="preserve">Per-turn tool budget ended turns before saves</t>
  </si>
  <si>
    <t xml:space="preserve">Structural &amp; Building:Known 19; Process &amp; Mechanical:Test-bed 5</t>
  </si>
  <si>
    <t xml:space="preserve">Save first; batches of about 8 units; reserve the last calls</t>
  </si>
  <si>
    <t xml:space="preserve">All threads</t>
  </si>
  <si>
    <t xml:space="preserve">#1, #72</t>
  </si>
  <si>
    <t xml:space="preserve">T20</t>
  </si>
  <si>
    <t xml:space="preserve">Visual pass drives the cost</t>
  </si>
  <si>
    <t xml:space="preserve">Structural &amp; Building:Known 20</t>
  </si>
  <si>
    <t xml:space="preserve">Native text layers; pre-rendered standard crops</t>
  </si>
  <si>
    <t xml:space="preserve">Setup / SharePoint</t>
  </si>
  <si>
    <t xml:space="preserve">#73</t>
  </si>
  <si>
    <t xml:space="preserve">T21</t>
  </si>
  <si>
    <t xml:space="preserve">The crawl needs a code sandbox</t>
  </si>
  <si>
    <t xml:space="preserve">Structural &amp; Building:Known 21</t>
  </si>
  <si>
    <t xml:space="preserve">Setup stages splits and crops so crawl threads only read</t>
  </si>
  <si>
    <t xml:space="preserve">#74</t>
  </si>
  <si>
    <t xml:space="preserve">T22</t>
  </si>
  <si>
    <t xml:space="preserve">Existence and absence checks need a full-text search</t>
  </si>
  <si>
    <t xml:space="preserve">Structural &amp; Building:Known 22; Contract &amp; General:W7</t>
  </si>
  <si>
    <t xml:space="preserve">Cross-reference and absence index in 02</t>
  </si>
  <si>
    <t xml:space="preserve">#75</t>
  </si>
  <si>
    <t xml:space="preserve">T23</t>
  </si>
  <si>
    <t xml:space="preserve">Concurrent sessions wrote the same working folder</t>
  </si>
  <si>
    <t xml:space="preserve">Contract &amp; General:W1; Contract &amp; General:W2</t>
  </si>
  <si>
    <t xml:space="preserve">One folder per session; lock with session ID, heartbeat and content hash</t>
  </si>
  <si>
    <t xml:space="preserve">#76</t>
  </si>
  <si>
    <t xml:space="preserve">T24</t>
  </si>
  <si>
    <t xml:space="preserve">Duplicate spec text double-counts requirements</t>
  </si>
  <si>
    <t xml:space="preserve">Contract &amp; General:W4</t>
  </si>
  <si>
    <t xml:space="preserve">Duplicate-body check; key requirements to the primary copy</t>
  </si>
  <si>
    <t xml:space="preserve">#77</t>
  </si>
  <si>
    <t xml:space="preserve">T25</t>
  </si>
  <si>
    <t xml:space="preserve">Lane-wide requirements sit as prose, not Requirements rows</t>
  </si>
  <si>
    <t xml:space="preserve">Contract &amp; General:W11</t>
  </si>
  <si>
    <t xml:space="preserve">Crawl writes Requirements rows</t>
  </si>
  <si>
    <t xml:space="preserve">#14</t>
  </si>
  <si>
    <t xml:space="preserve">T26</t>
  </si>
  <si>
    <t xml:space="preserve">Read method misses image-only content; text layer pairs tags wrongly</t>
  </si>
  <si>
    <t xml:space="preserve">Electrical &amp; Controls:Method 1; Electrical &amp; Controls:Method 2; Civil &amp; Site:CS-05; Civil &amp; Site:CS-11; Process &amp; Mechanical:Test-bed 3</t>
  </si>
  <si>
    <t xml:space="preserve">"Text + Visual" read method; image governs pairings</t>
  </si>
  <si>
    <t xml:space="preserve">#11</t>
  </si>
  <si>
    <t xml:space="preserve">T27</t>
  </si>
  <si>
    <t xml:space="preserve">Partial reads: long sections scanned by key terms; Appendix C read by section</t>
  </si>
  <si>
    <t xml:space="preserve">Electrical &amp; Controls:Method 7; Civil &amp; Site:K-04</t>
  </si>
  <si>
    <t xml:space="preserve">Decide whether key-term scanning meets the standard</t>
  </si>
  <si>
    <t xml:space="preserve">Owner (Carl)</t>
  </si>
  <si>
    <t xml:space="preserve">Open — owner decision</t>
  </si>
  <si>
    <t xml:space="preserve">#78</t>
  </si>
  <si>
    <t xml:space="preserve">T28</t>
  </si>
  <si>
    <t xml:space="preserve">Tagging conventions to ratify (conflicted-attribute placement; WSDOT tag placement)</t>
  </si>
  <si>
    <t xml:space="preserve">Electrical &amp; Controls:Method 8; Civil &amp; Site:K-02</t>
  </si>
  <si>
    <t xml:space="preserve">Composer ratifies one convention each</t>
  </si>
  <si>
    <t xml:space="preserve">#79</t>
  </si>
  <si>
    <t xml:space="preserve">T29</t>
  </si>
  <si>
    <t xml:space="preserve">Inferred links and "New" status in the Civil &amp; Site Ledger</t>
  </si>
  <si>
    <t xml:space="preserve">Civil &amp; Site:K-07; Civil &amp; Site:K-08</t>
  </si>
  <si>
    <t xml:space="preserve">Confirm at Merge or by RFI where disputed</t>
  </si>
  <si>
    <t xml:space="preserve">Merge</t>
  </si>
  <si>
    <t xml:space="preserve">Logged</t>
  </si>
  <si>
    <t xml:space="preserve">#80</t>
  </si>
  <si>
    <t xml:space="preserve">T30</t>
  </si>
  <si>
    <t xml:space="preserve">Cross-lane items kept in Issues, not the Ledger</t>
  </si>
  <si>
    <t xml:space="preserve">Civil &amp; Site:K-05</t>
  </si>
  <si>
    <t xml:space="preserve">Merge pulls them from Issues</t>
  </si>
  <si>
    <t xml:space="preserve">Done in Merge</t>
  </si>
  <si>
    <t xml:space="preserve">#23</t>
  </si>
  <si>
    <t xml:space="preserve">T31</t>
  </si>
  <si>
    <t xml:space="preserve">Schema column 14 name ("Tag level" in 03 vs the CSV header)</t>
  </si>
  <si>
    <t xml:space="preserve">Process &amp; Mechanical:Test-bed 2</t>
  </si>
  <si>
    <t xml:space="preserve">Align 03 with the schema file</t>
  </si>
  <si>
    <t xml:space="preserve">#81</t>
  </si>
  <si>
    <t xml:space="preserve">Lane</t>
  </si>
  <si>
    <t xml:space="preserve">Lane ID</t>
  </si>
  <si>
    <t xml:space="preserve">Item</t>
  </si>
  <si>
    <t xml:space="preserve">Severity</t>
  </si>
  <si>
    <t xml:space="preserve">Contract &amp; General</t>
  </si>
  <si>
    <t xml:space="preserve">W1</t>
  </si>
  <si>
    <t xml:space="preserve">Two sessions wrote the same working folder: duplicate ledger tags and diverging Issue numbers</t>
  </si>
  <si>
    <t xml:space="preserve">W2</t>
  </si>
  <si>
    <t xml:space="preserve">The lock's release rule (no file changed for 10+ minutes) relies on file timestamps, but notes 250 and 290 were rewritten by the other writer while still showing this session's original write time</t>
  </si>
  <si>
    <t xml:space="preserve">W3</t>
  </si>
  <si>
    <t xml:space="preserve">The weakest-tag rule leaves 0 of 49 rows Verified — bid item, area and discipline mappings are nearly always Inferred</t>
  </si>
  <si>
    <t xml:space="preserve">W4</t>
  </si>
  <si>
    <t xml:space="preserve">Duplicate text double-counts requirements (00 73 00 insert copy; 01 66 00 = 01 60 00; leakage test and barrier clauses twice)</t>
  </si>
  <si>
    <t xml:space="preserve">W5</t>
  </si>
  <si>
    <t xml:space="preserve">Checklist lines point to sections and attachments that don't exist</t>
  </si>
  <si>
    <t xml:space="preserve">W6</t>
  </si>
  <si>
    <t xml:space="preserve">Appendices are never cited by name, so citation-following orphans them</t>
  </si>
  <si>
    <t xml:space="preserve">W7</t>
  </si>
  <si>
    <t xml:space="preserve">Proving absence ("the contract has no Ecology change-order step") needed a full-text search; the Wiki and Ledger can't answer it — a design gap under the retrieval rule</t>
  </si>
  <si>
    <t xml:space="preserve">W8</t>
  </si>
  <si>
    <t xml:space="preserve">Submittal and Testing Y come from category clauses ("all equipment") mapped to rows, not from items named in the text</t>
  </si>
  <si>
    <t xml:space="preserve">W9</t>
  </si>
  <si>
    <t xml:space="preserve">Component granularity is mixed: Train 3 basins, clarifier, 2W wet well and DO/pH sensors have their own rows; mixers, air lift pumps and valves stay in the package row</t>
  </si>
  <si>
    <t xml:space="preserve">W10</t>
  </si>
  <si>
    <t xml:space="preserve">File types don't match extensions: the main spec .pdf is plain text; Add. 4 and the QA plan .pdf are page bundles (text plus image per page)</t>
  </si>
  <si>
    <t xml:space="preserve">W11</t>
  </si>
  <si>
    <t xml:space="preserve">Lane-wide requirements (AIS, wages, O&amp;M, record drawings, testing split, commissioning days) sit as prose in Issues §3, not as rows in `Requirements_Schema.csv`</t>
  </si>
  <si>
    <t xml:space="preserve">Electrical &amp; Controls</t>
  </si>
  <si>
    <t xml:space="preserve">Method 1</t>
  </si>
  <si>
    <t xml:space="preserve">Read method in 01 misses image-only content</t>
  </si>
  <si>
    <t xml:space="preserve">Method 2</t>
  </si>
  <si>
    <t xml:space="preserve">Text-layer order pairs tags wrongly</t>
  </si>
  <si>
    <t xml:space="preserve">Method 3</t>
  </si>
  <si>
    <t xml:space="preserve">PROPOSED tags assigned before the one-line was read</t>
  </si>
  <si>
    <t xml:space="preserve">Method 4</t>
  </si>
  <si>
    <t xml:space="preserve">Issue numbers are not stable</t>
  </si>
  <si>
    <t xml:space="preserve">Method 5</t>
  </si>
  <si>
    <t xml:space="preserve">Raceway runs are one roll-up row</t>
  </si>
  <si>
    <t xml:space="preserve">Method 6</t>
  </si>
  <si>
    <t xml:space="preserve">Submittal and Testing columns are blank for other-lane equipment</t>
  </si>
  <si>
    <t xml:space="preserve">Method 7</t>
  </si>
  <si>
    <t xml:space="preserve">Long spec sections were scanned, not read line by line</t>
  </si>
  <si>
    <t xml:space="preserve">Method 8</t>
  </si>
  <si>
    <t xml:space="preserve">Where a conflicted attribute is tagged</t>
  </si>
  <si>
    <t xml:space="preserve">Civil &amp; Site</t>
  </si>
  <si>
    <t xml:space="preserve">CS-05</t>
  </si>
  <si>
    <t xml:space="preserve">G0.2 is flagged Text (832 body characters) but its legend descriptions and abbreviation list exist only in the page image (plans_1 p.2).</t>
  </si>
  <si>
    <t xml:space="preserve">CS-11</t>
  </si>
  <si>
    <t xml:space="preserve">C1.3, C1.4, C1.5 and C2.4 pass the Text threshold on about 300 characters of UV equipment block labels; C1.5 elevations and C2.4 trench drains are graphics-only</t>
  </si>
  <si>
    <t xml:space="preserve">CS-37</t>
  </si>
  <si>
    <t xml:space="preserve">Submittal and Testing/Startup columns follow spec sections only, so drawing-note and reference-document requirements show N: C0.5 demolition plan, G0.3 and Appe</t>
  </si>
  <si>
    <t xml:space="preserve">K-01</t>
  </si>
  <si>
    <t xml:space="preserve">No Ledger row can reach Verified</t>
  </si>
  <si>
    <t xml:space="preserve">K-02</t>
  </si>
  <si>
    <t xml:space="preserve">WSDOT tag placement</t>
  </si>
  <si>
    <t xml:space="preserve">K-03</t>
  </si>
  <si>
    <t xml:space="preserve">Image legibility</t>
  </si>
  <si>
    <t xml:space="preserve">K-04</t>
  </si>
  <si>
    <t xml:space="preserve">Appendix C read by section</t>
  </si>
  <si>
    <t xml:space="preserve">K-05</t>
  </si>
  <si>
    <t xml:space="preserve">Cross-lane items kept out of the Ledger</t>
  </si>
  <si>
    <t xml:space="preserve">K-06</t>
  </si>
  <si>
    <t xml:space="preserve">Sheet-scoped tags</t>
  </si>
  <si>
    <t xml:space="preserve">K-07</t>
  </si>
  <si>
    <t xml:space="preserve">Inferred links in the Ledger</t>
  </si>
  <si>
    <t xml:space="preserve">K-08</t>
  </si>
  <si>
    <t xml:space="preserve">'New' status mostly Inferred</t>
  </si>
  <si>
    <t xml:space="preserve">K-09</t>
  </si>
  <si>
    <t xml:space="preserve">Flags on cross-lane rows</t>
  </si>
  <si>
    <t xml:space="preserve">Process &amp; Mechanical</t>
  </si>
  <si>
    <t xml:space="preserve">Test-bed 1</t>
  </si>
  <si>
    <t xml:space="preserve">Weakest-tag rule vs 04</t>
  </si>
  <si>
    <t xml:space="preserve">Test-bed 2</t>
  </si>
  <si>
    <t xml:space="preserve">Schema column name</t>
  </si>
  <si>
    <t xml:space="preserve">Test-bed 3</t>
  </si>
  <si>
    <t xml:space="preserve">Read Method gap</t>
  </si>
  <si>
    <t xml:space="preserve">Test-bed 4</t>
  </si>
  <si>
    <t xml:space="preserve">Duplicate IDs</t>
  </si>
  <si>
    <t xml:space="preserve">Test-bed 5</t>
  </si>
  <si>
    <t xml:space="preserve">Tool budget</t>
  </si>
  <si>
    <t xml:space="preserve">Test-bed 6</t>
  </si>
  <si>
    <t xml:space="preserve">Y/N convention</t>
  </si>
  <si>
    <t xml:space="preserve">Test-bed 7</t>
  </si>
  <si>
    <t xml:space="preserve">Instrument bid items</t>
  </si>
  <si>
    <t xml:space="preserve">Test-bed 8</t>
  </si>
  <si>
    <t xml:space="preserve">CSV encoding</t>
  </si>
  <si>
    <t xml:space="preserve">Structural &amp; Building</t>
  </si>
  <si>
    <t xml:space="preserve">Known 1</t>
  </si>
  <si>
    <t xml:space="preserve">Drawing images too coarse for small text</t>
  </si>
  <si>
    <t xml:space="preserve">High</t>
  </si>
  <si>
    <t xml:space="preserve">Known 2</t>
  </si>
  <si>
    <t xml:space="preserve">S sheets have no text layer</t>
  </si>
  <si>
    <t xml:space="preserve">Medium</t>
  </si>
  <si>
    <t xml:space="preserve">Known 3</t>
  </si>
  <si>
    <t xml:space="preserve">Low</t>
  </si>
  <si>
    <t xml:space="preserve">Known 4</t>
  </si>
  <si>
    <t xml:space="preserve">Spec text carried over from other projects</t>
  </si>
  <si>
    <t xml:space="preserve">Known 5</t>
  </si>
  <si>
    <t xml:space="preserve">Upstream index statement contradicted by the source</t>
  </si>
  <si>
    <t xml:space="preserve">Known 6</t>
  </si>
  <si>
    <t xml:space="preserve">Addendum changed the drawings but not the matching spec text</t>
  </si>
  <si>
    <t xml:space="preserve">Known 7</t>
  </si>
  <si>
    <t xml:space="preserve">The bid item drags every row down to Inferred</t>
  </si>
  <si>
    <t xml:space="preserve">Known 8</t>
  </si>
  <si>
    <t xml:space="preserve">Y/N columns need a third value and a source rule</t>
  </si>
  <si>
    <t xml:space="preserve">Known 9</t>
  </si>
  <si>
    <t xml:space="preserve">"Testing/Startup" is undefined</t>
  </si>
  <si>
    <t xml:space="preserve">Known 10</t>
  </si>
  <si>
    <t xml:space="preserve">Known 11</t>
  </si>
  <si>
    <t xml:space="preserve">Spec-only items have no Drawing Sheets value</t>
  </si>
  <si>
    <t xml:space="preserve">Known 12</t>
  </si>
  <si>
    <t xml:space="preserve">Free-text PROPOSED tags won't match across lanes</t>
  </si>
  <si>
    <t xml:space="preserve">Known 13</t>
  </si>
  <si>
    <t xml:space="preserve">Cross-lane owner lives in Notes</t>
  </si>
  <si>
    <t xml:space="preserve">Known 14</t>
  </si>
  <si>
    <t xml:space="preserve">Row granularity is uneven</t>
  </si>
  <si>
    <t xml:space="preserve">Known 15</t>
  </si>
  <si>
    <t xml:space="preserve">Area names go beyond sheet titles</t>
  </si>
  <si>
    <t xml:space="preserve">Known 16</t>
  </si>
  <si>
    <t xml:space="preserve">Issue references use list positions</t>
  </si>
  <si>
    <t xml:space="preserve">Known 17</t>
  </si>
  <si>
    <t xml:space="preserve">Wiki tags mix printed references with by-subject links</t>
  </si>
  <si>
    <t xml:space="preserve">Known 18</t>
  </si>
  <si>
    <t xml:space="preserve">Notation and encoding</t>
  </si>
  <si>
    <t xml:space="preserve">Known 19</t>
  </si>
  <si>
    <t xml:space="preserve">Per-turn tool budget</t>
  </si>
  <si>
    <t xml:space="preserve">Known 20</t>
  </si>
  <si>
    <t xml:space="preserve">The visual pass drives the cost</t>
  </si>
  <si>
    <t xml:space="preserve">Known 21</t>
  </si>
  <si>
    <t xml:space="preserve">The process needs a code sandbox</t>
  </si>
  <si>
    <t xml:space="preserve">Known 22</t>
  </si>
  <si>
    <t xml:space="preserve">Existence checks needed a whole-file search</t>
  </si>
  <si>
    <t xml:space="preserve">#</t>
  </si>
  <si>
    <t xml:space="preserve">Issue</t>
  </si>
  <si>
    <t xml:space="preserve">Type</t>
  </si>
  <si>
    <t xml:space="preserve">Priority</t>
  </si>
  <si>
    <t xml:space="preserve">Impact</t>
  </si>
  <si>
    <t xml:space="preserve">Resolver</t>
  </si>
  <si>
    <t xml:space="preserve">Needed</t>
  </si>
  <si>
    <t xml:space="preserve">Exception Report #</t>
  </si>
  <si>
    <t xml:space="preserve">1.1</t>
  </si>
  <si>
    <t xml:space="preserve">Bid deadline: 10:00 AM vs 2:00 PM PST, Feb 8, 2023</t>
  </si>
  <si>
    <t xml:space="preserve">Conflict</t>
  </si>
  <si>
    <t xml:space="preserve">Bid phase only</t>
  </si>
  <si>
    <t xml:space="preserve">Addenda 1–3 or Owner confirmation</t>
  </si>
  <si>
    <t xml:space="preserve">—</t>
  </si>
  <si>
    <t xml:space="preserve">#86</t>
  </si>
  <si>
    <t xml:space="preserve">1.2</t>
  </si>
  <si>
    <t xml:space="preserve">Add. 4 is dated Feb 9, 2023, one day after the stated bid opening</t>
  </si>
  <si>
    <t xml:space="preserve">Bid phase; addenda completeness</t>
  </si>
  <si>
    <t xml:space="preserve">Setup / Owner</t>
  </si>
  <si>
    <t xml:space="preserve">Addenda 1–3 or the bid tabulation</t>
  </si>
  <si>
    <t xml:space="preserve">1.3</t>
  </si>
  <si>
    <t xml:space="preserve">Contract signing window: 10 working days vs 10 calendar days</t>
  </si>
  <si>
    <t xml:space="preserve">Award</t>
  </si>
  <si>
    <t xml:space="preserve">Owner/Engineer</t>
  </si>
  <si>
    <t xml:space="preserve">Clarification</t>
  </si>
  <si>
    <t xml:space="preserve">1.4</t>
  </si>
  <si>
    <t xml:space="preserve">Bid hold: award within 45 days vs acceptance within 60 days</t>
  </si>
  <si>
    <t xml:space="preserve">Clarification (moot after award)</t>
  </si>
  <si>
    <t xml:space="preserve">1.5</t>
  </si>
  <si>
    <t xml:space="preserve">Subcontractor list: all within 1 hour vs steel and rebar installers within 48 hours</t>
  </si>
  <si>
    <t xml:space="preserve">Confirmation (low impact)</t>
  </si>
  <si>
    <t xml:space="preserve">1.6</t>
  </si>
  <si>
    <t xml:space="preserve">DBE forms and Bidders List: with the bid vs within 1 hour after bid time</t>
  </si>
  <si>
    <t xml:space="preserve">Clarification — 00 53 00 states both timings, so its precedence clause can't settle it</t>
  </si>
  <si>
    <t xml:space="preserve">1.8</t>
  </si>
  <si>
    <t xml:space="preserve">Liquidated damages: General Conditions sum per calendar day vs LD = 0.15C/T per working day under WSDOT 1-08.9</t>
  </si>
  <si>
    <t xml:space="preserve">Construction — cost exposure</t>
  </si>
  <si>
    <t xml:space="preserve">Ruling on day basis and amount; General Conditions and WSDOT 1-08.9 not staged</t>
  </si>
  <si>
    <t xml:space="preserve">1.9</t>
  </si>
  <si>
    <t xml:space="preserve">County permit: approved June 2022 vs "currently processing" (Building Permit #21-0385)</t>
  </si>
  <si>
    <t xml:space="preserve">Before mobilization</t>
  </si>
  <si>
    <t xml:space="preserve">Current permit status</t>
  </si>
  <si>
    <t xml:space="preserve">1.11</t>
  </si>
  <si>
    <t xml:space="preserve">Guarantee: one year from Substantial Completion vs one year after District acceptance of all work</t>
  </si>
  <si>
    <t xml:space="preserve">Closeout — warranty and bond dates</t>
  </si>
  <si>
    <t xml:space="preserve">Ruling</t>
  </si>
  <si>
    <t xml:space="preserve">1.14</t>
  </si>
  <si>
    <t xml:space="preserve">Contractor qualifications: with the bid vs within 24 hours of opening</t>
  </si>
  <si>
    <t xml:space="preserve">Confirmation</t>
  </si>
  <si>
    <t xml:space="preserve">1.16</t>
  </si>
  <si>
    <t xml:space="preserve">Field office is optional, but the schedule and records must be kept there</t>
  </si>
  <si>
    <t xml:space="preserve">Mobilization — general conditions cost</t>
  </si>
  <si>
    <t xml:space="preserve">Whether a field office is required</t>
  </si>
  <si>
    <t xml:space="preserve">1.17</t>
  </si>
  <si>
    <t xml:space="preserve">Substitution requests: 10 days after the Agreement vs 30 days after the Contract Date; PDF vs six copies</t>
  </si>
  <si>
    <t xml:space="preserve">Early procurement</t>
  </si>
  <si>
    <t xml:space="preserve">Last day and format</t>
  </si>
  <si>
    <t xml:space="preserve">1.19</t>
  </si>
  <si>
    <t xml:space="preserve">Temporary facilities out before the Substantial Completion request vs at completion or Final Completion</t>
  </si>
  <si>
    <t xml:space="preserve">Closeout — demob timing</t>
  </si>
  <si>
    <t xml:space="preserve">SC 19 governs temporary pump and process equipment (Inferred); power, water and restrooms stay open</t>
  </si>
  <si>
    <t xml:space="preserve">#245</t>
  </si>
  <si>
    <t xml:space="preserve">1.20</t>
  </si>
  <si>
    <t xml:space="preserve">Energy code: 2015 WSEC named vs the edition in effect on the bid date</t>
  </si>
  <si>
    <t xml:space="preserve">Closeout — Blower Building documents</t>
  </si>
  <si>
    <t xml:space="preserve">Engineer</t>
  </si>
  <si>
    <t xml:space="preserve">Edition used for design and permit #21-0385 (external, not staged)</t>
  </si>
  <si>
    <t xml:space="preserve">1.21</t>
  </si>
  <si>
    <t xml:space="preserve">Dewatering start-up: "a minimum of one (2) days" per supplier</t>
  </si>
  <si>
    <t xml:space="preserve">Commissioning</t>
  </si>
  <si>
    <t xml:space="preserve">1 or 2 days</t>
  </si>
  <si>
    <t xml:space="preserve">#190, #246</t>
  </si>
  <si>
    <t xml:space="preserve">1.26</t>
  </si>
  <si>
    <t xml:space="preserve">QA plan requires Ecology review of significant change orders; the contract has no such step</t>
  </si>
  <si>
    <t xml:space="preserve">Change management</t>
  </si>
  <si>
    <t xml:space="preserve">Funding-agreement requirement (not staged)</t>
  </si>
  <si>
    <t xml:space="preserve">1.10</t>
  </si>
  <si>
    <t xml:space="preserve">Pre-construction meeting: within 2 weeks of award notice vs after NTP</t>
  </si>
  <si>
    <t xml:space="preserve">SC 13 governs — SC 2 (p.88) ranks Supplemental Conditions above Technical Specifications, and Division 01 sits under the Part 3 Technical Specifications divider (p.122, per 02)</t>
  </si>
  <si>
    <t xml:space="preserve">Working answer — confirm</t>
  </si>
  <si>
    <t xml:space="preserve">1.12</t>
  </si>
  <si>
    <t xml:space="preserve">Schedule and Schedule of Values due dates</t>
  </si>
  <si>
    <t xml:space="preserve">SC 16 governs: CPM schedule at the pre-construction meeting; Schedule of Values within 10 working days of NTP</t>
  </si>
  <si>
    <t xml:space="preserve">1.15</t>
  </si>
  <si>
    <t xml:space="preserve">WSDOT and APWA standard specifications: "latest edition" vs 2022 Edition</t>
  </si>
  <si>
    <t xml:space="preserve">2022 governs; whether 2022 was the edition in effect on the bid date is Unresolved (external, not staged)</t>
  </si>
  <si>
    <t xml:space="preserve">1.23</t>
  </si>
  <si>
    <t xml:space="preserve">Progress meetings: weekly with the Owner presiding vs monthly with the Engineer conducting</t>
  </si>
  <si>
    <t xml:space="preserve">01 31 00 governs — the QA plan is not a Contract Document</t>
  </si>
  <si>
    <t xml:space="preserve">1.24</t>
  </si>
  <si>
    <t xml:space="preserve">Earthwork sieve analyses: Owner's lab vs Contractor's QC lab</t>
  </si>
  <si>
    <t xml:space="preserve">01 45 00 governs; cost follows 01 45 00</t>
  </si>
  <si>
    <t xml:space="preserve">2.1</t>
  </si>
  <si>
    <t xml:space="preserve">Section 00 22 13 Supplemental Bidder Responsibility Criteria is cited but not in the manual</t>
  </si>
  <si>
    <t xml:space="preserve">Missing information</t>
  </si>
  <si>
    <t xml:space="preserve">Bid phase</t>
  </si>
  <si>
    <t xml:space="preserve">2.2</t>
  </si>
  <si>
    <t xml:space="preserve">DBE forms 6100-3 and 6100-4 are not bound; the pointers to Appendix G and to 00 73 00 Attachments 6–7 are wrong</t>
  </si>
  <si>
    <t xml:space="preserve">Owner / Setup</t>
  </si>
  <si>
    <t xml:space="preserve">2.3</t>
  </si>
  <si>
    <t xml:space="preserve">EO 11246 "covered area" left as a placeholder</t>
  </si>
  <si>
    <t xml:space="preserve">Subcontract flow-down</t>
  </si>
  <si>
    <t xml:space="preserve">Owner / Commerce</t>
  </si>
  <si>
    <t xml:space="preserve">2.4</t>
  </si>
  <si>
    <t xml:space="preserve">Federal wage decision: Appendix E (WA20220057 Mod. 4, 12/23/2022, Heavy) is taken as the determination; whether it was current at bid opening, and whether a Building decision is also needed, are open</t>
  </si>
  <si>
    <t xml:space="preserve">Payroll compliance</t>
  </si>
  <si>
    <t xml:space="preserve">Open (partly closed)</t>
  </si>
  <si>
    <t xml:space="preserve">2.5</t>
  </si>
  <si>
    <t xml:space="preserve">Sections cited but not in the manual: 00 25 13, 00 43 36, 00 45 14, 01 30 00, 00 72 00, "00 73 00a"</t>
  </si>
  <si>
    <t xml:space="preserve">Bid phase and closeout</t>
  </si>
  <si>
    <t xml:space="preserve">2.6</t>
  </si>
  <si>
    <t xml:space="preserve">"General Conditions" are not in the library; the WSDOT Standard Specifications appear to serve (Inferred)</t>
  </si>
  <si>
    <t xml:space="preserve">Contract-wide</t>
  </si>
  <si>
    <t xml:space="preserve">#248</t>
  </si>
  <si>
    <t xml:space="preserve">2.7</t>
  </si>
  <si>
    <t xml:space="preserve">The funding inserts (00 53 00, 00 54 00) are not ranked in the SC 2 order of precedence</t>
  </si>
  <si>
    <t xml:space="preserve">2.8</t>
  </si>
  <si>
    <t xml:space="preserve">Commissioning skips ¶1.08–1.09; no start-up paragraph for the generators, ATS, MCC, PLC panel, 480V service or influent sampler</t>
  </si>
  <si>
    <t xml:space="preserve">Engineer; Electrical &amp; Controls</t>
  </si>
  <si>
    <t xml:space="preserve">#249</t>
  </si>
  <si>
    <t xml:space="preserve">2.9</t>
  </si>
  <si>
    <t xml:space="preserve">Appendices D, E and I are never cited by name in Divisions 00–01; links run by subject</t>
  </si>
  <si>
    <t xml:space="preserve">Crawl design</t>
  </si>
  <si>
    <t xml:space="preserve">Setup / Composer</t>
  </si>
  <si>
    <t xml:space="preserve">Design note</t>
  </si>
  <si>
    <t xml:space="preserve">2.10</t>
  </si>
  <si>
    <t xml:space="preserve">QA plan cites WAC 173-351 for Contractor quality control, unlike its WAC 173-240 basis elsewhere</t>
  </si>
  <si>
    <t xml:space="preserve">Record / QA</t>
  </si>
  <si>
    <t xml:space="preserve">Issues #4</t>
  </si>
  <si>
    <t xml:space="preserve">Service load vs the 225 kVA utility transformer</t>
  </si>
  <si>
    <t xml:space="preserve">Conflict (Engineer decision)</t>
  </si>
  <si>
    <t xml:space="preserve">Utility coordination; service sizing</t>
  </si>
  <si>
    <t xml:space="preserve">Engineer (RFI); OPALCO coordination per 26 05 00 ¶3.03 (main spec p.279)</t>
  </si>
  <si>
    <t xml:space="preserve">Reconcile the MDP schedule with the load calculation and confirm the transformer size with OPALCO.</t>
  </si>
  <si>
    <t xml:space="preserve">Unresolved</t>
  </si>
  <si>
    <t xml:space="preserve">#84</t>
  </si>
  <si>
    <t xml:space="preserve">Issues #2</t>
  </si>
  <si>
    <t xml:space="preserve">Influent pump starters: IPS panel or MCC</t>
  </si>
  <si>
    <t xml:space="preserve">Procurement — MCC units, IPS panel content, feeder routing; bears on the Add. 4 Clarification 4 MCC section count</t>
  </si>
  <si>
    <t xml:space="preserve">Engineer (RFI)</t>
  </si>
  <si>
    <t xml:space="preserve">Confirm where the influent pump starters sit.</t>
  </si>
  <si>
    <t xml:space="preserve">Issues #14</t>
  </si>
  <si>
    <t xml:space="preserve">Dewatering ventilation: continuous or only during dewatering, and how the fans are controlled</t>
  </si>
  <si>
    <t xml:space="preserve">Code and area classification; controls</t>
  </si>
  <si>
    <t xml:space="preserve">Confirm continuous vs dewatering-only ventilation (it sets the E0.4 classification) and the fan control scheme. Related: airflow (item 20) and panel feed (item 8).</t>
  </si>
  <si>
    <t xml:space="preserve">#26, #196, #248</t>
  </si>
  <si>
    <t xml:space="preserve">Issues #7</t>
  </si>
  <si>
    <t xml:space="preserve">Level transducer ranges (0–15 psi vs 0–15 ft) and the digester intrinsic safety barrier</t>
  </si>
  <si>
    <t xml:space="preserve">Procurement (instrument range); controls</t>
  </si>
  <si>
    <t xml:space="preserve">Confirm both ranges and whether the digester barrier is required.</t>
  </si>
  <si>
    <t xml:space="preserve">#58</t>
  </si>
  <si>
    <t xml:space="preserve">Issues #9</t>
  </si>
  <si>
    <t xml:space="preserve">Backup high-level floats start the wrong-size pumps</t>
  </si>
  <si>
    <t xml:space="preserve">Controls (hardwired backup sequence)</t>
  </si>
  <si>
    <t xml:space="preserve">Confirm which pump each high-level float starts.</t>
  </si>
  <si>
    <t xml:space="preserve">#40</t>
  </si>
  <si>
    <t xml:space="preserve">Issues #12</t>
  </si>
  <si>
    <t xml:space="preserve">Low-level float on the E10.1 detail only</t>
  </si>
  <si>
    <t xml:space="preserve">Procurement (minor)</t>
  </si>
  <si>
    <t xml:space="preserve">Confirm whether a low-level float is required (it would add a float, a PLC input and a barrier).</t>
  </si>
  <si>
    <t xml:space="preserve">Issues #13</t>
  </si>
  <si>
    <t xml:space="preserve">Effluent meter vault: Class I Div 2 or unclassified</t>
  </si>
  <si>
    <t xml:space="preserve">Installation and code (seal-offs, wiring method)</t>
  </si>
  <si>
    <t xml:space="preserve">Confirm the wiring method at the effluent vault.</t>
  </si>
  <si>
    <t xml:space="preserve">Issues #11</t>
  </si>
  <si>
    <t xml:space="preserve">Ventilation control panel fed from LP1 or LP2</t>
  </si>
  <si>
    <t xml:space="preserve">Installation (circuit source and run length)</t>
  </si>
  <si>
    <t xml:space="preserve">Confirm the source panel and circuit.</t>
  </si>
  <si>
    <t xml:space="preserve">Issues #1</t>
  </si>
  <si>
    <t xml:space="preserve">Blower Building raceway concealment in a metal building</t>
  </si>
  <si>
    <t xml:space="preserve">Installation (raceway method in the Blower Building)</t>
  </si>
  <si>
    <t xml:space="preserve">Engineer (RFI); cross-lane Structural &amp; Building</t>
  </si>
  <si>
    <t xml:space="preserve">Confirm how Blower Building raceway is concealed or run.</t>
  </si>
  <si>
    <t xml:space="preserve">#192</t>
  </si>
  <si>
    <t xml:space="preserve">Issues #3</t>
  </si>
  <si>
    <t xml:space="preserve">2W pump tags and conduit count</t>
  </si>
  <si>
    <t xml:space="preserve">Documentation; installation (one or two conduits)</t>
  </si>
  <si>
    <t xml:space="preserve">Confirm the tags and shared vs separate conduit.</t>
  </si>
  <si>
    <t xml:space="preserve">#45, #193</t>
  </si>
  <si>
    <t xml:space="preserve">Issues #10</t>
  </si>
  <si>
    <t xml:space="preserve">Influent pump 2 input list</t>
  </si>
  <si>
    <t xml:space="preserve">Controls; documentation</t>
  </si>
  <si>
    <t xml:space="preserve">Engineer or system integrator</t>
  </si>
  <si>
    <t xml:space="preserve">Corrected pump 2 input list.</t>
  </si>
  <si>
    <t xml:space="preserve">Issues #6</t>
  </si>
  <si>
    <t xml:space="preserve">Main PLC input numbering on E7.3</t>
  </si>
  <si>
    <t xml:space="preserve">Corrected numbering and confirmed card count.</t>
  </si>
  <si>
    <t xml:space="preserve">Issues #19</t>
  </si>
  <si>
    <t xml:space="preserve">Temporary generator rating</t>
  </si>
  <si>
    <t xml:space="preserve">Bid and pricing</t>
  </si>
  <si>
    <t xml:space="preserve">Engineer (bidder question)</t>
  </si>
  <si>
    <t xml:space="preserve">Required rating at 480Y/277V, runtime or refuel expectation, and rental duration.</t>
  </si>
  <si>
    <t xml:space="preserve">#14, #198</t>
  </si>
  <si>
    <t xml:space="preserve">Issues #18</t>
  </si>
  <si>
    <t xml:space="preserve">Train 1 and 2 future provisions</t>
  </si>
  <si>
    <t xml:space="preserve">Bid and pricing; MCC section count</t>
  </si>
  <si>
    <t xml:space="preserve">State whether Phase I furnishes the MCC units, feeders and PLC inputs for Trains 1 and 2.</t>
  </si>
  <si>
    <t xml:space="preserve">#197</t>
  </si>
  <si>
    <t xml:space="preserve">#39, #84</t>
  </si>
  <si>
    <t xml:space="preserve">Issues #17</t>
  </si>
  <si>
    <t xml:space="preserve">UV-area pole light has no circuit</t>
  </si>
  <si>
    <t xml:space="preserve">Installation</t>
  </si>
  <si>
    <t xml:space="preserve">Panel and circuit for the pole light and its receptacle.</t>
  </si>
  <si>
    <t xml:space="preserve">Issues #20</t>
  </si>
  <si>
    <t xml:space="preserve">Three items with no governing Division 26 section</t>
  </si>
  <si>
    <t xml:space="preserve">Procurement (who furnishes); Ledger Submittal/Testing columns</t>
  </si>
  <si>
    <t xml:space="preserve">Engineer or Merge</t>
  </si>
  <si>
    <t xml:space="preserve">Name the governing specification or furnisher for each.</t>
  </si>
  <si>
    <t xml:space="preserve">#199</t>
  </si>
  <si>
    <t xml:space="preserve">Temporary generator bid item</t>
  </si>
  <si>
    <t xml:space="preserve">Bid item flag</t>
  </si>
  <si>
    <t xml:space="preserve">Owner and Engineer (flag already in 02 Merge item 1, 03, 04 Bid Item #18)</t>
  </si>
  <si>
    <t xml:space="preserve">Settle which bid item carries the temporary generator.</t>
  </si>
  <si>
    <t xml:space="preserve">Permanent generator bid item</t>
  </si>
  <si>
    <t xml:space="preserve">Owner and Engineer (flag already in 03 and 04 Other bid-item conflicts #1)</t>
  </si>
  <si>
    <t xml:space="preserve">Settle the bid item.</t>
  </si>
  <si>
    <t xml:space="preserve">Issues #22</t>
  </si>
  <si>
    <t xml:space="preserve">Generator pad: civil or structural</t>
  </si>
  <si>
    <t xml:space="preserve">Cross-lane conflict</t>
  </si>
  <si>
    <t xml:space="preserve">Scope split</t>
  </si>
  <si>
    <t xml:space="preserve">Merge — Civil &amp; Site; Structural &amp; Building</t>
  </si>
  <si>
    <t xml:space="preserve">Confirm which sheet governs and carry the rebar bond.</t>
  </si>
  <si>
    <t xml:space="preserve">#201</t>
  </si>
  <si>
    <t xml:space="preserve">Issues #26</t>
  </si>
  <si>
    <t xml:space="preserve">Dewatering fan airflow for 6 air changes per hour</t>
  </si>
  <si>
    <t xml:space="preserve">Code and area classification</t>
  </si>
  <si>
    <t xml:space="preserve">Merge — Process &amp; Mechanical (23 34 00)</t>
  </si>
  <si>
    <t xml:space="preserve">Fan cfm and building volume from Process &amp; Mechanical.</t>
  </si>
  <si>
    <t xml:space="preserve">#205</t>
  </si>
  <si>
    <t xml:space="preserve">Issues #27</t>
  </si>
  <si>
    <t xml:space="preserve">2W hot box re-orientation</t>
  </si>
  <si>
    <t xml:space="preserve">Installation (conduit, heat trace)</t>
  </si>
  <si>
    <t xml:space="preserve">Merge — Civil &amp; Site</t>
  </si>
  <si>
    <t xml:space="preserve">Which hot box moves, and any conduit or heat-trace changes for this lane.</t>
  </si>
  <si>
    <t xml:space="preserve">#206</t>
  </si>
  <si>
    <t xml:space="preserve">Issues #32</t>
  </si>
  <si>
    <t xml:space="preserve">Who installs the Owner-furnished samplers</t>
  </si>
  <si>
    <t xml:space="preserve">Merge — Process &amp; Mechanical</t>
  </si>
  <si>
    <t xml:space="preserve">Assign the installation to a lane.</t>
  </si>
  <si>
    <t xml:space="preserve">#13, #211</t>
  </si>
  <si>
    <t xml:space="preserve">CS-13</t>
  </si>
  <si>
    <t xml:space="preserve">Buried valve list doesn't agree</t>
  </si>
  <si>
    <t xml:space="preserve">Valve and marker counts and valve types for procurement.</t>
  </si>
  <si>
    <t xml:space="preserve">Governing valve list and marker count.</t>
  </si>
  <si>
    <t xml:space="preserve">#177</t>
  </si>
  <si>
    <t xml:space="preserve">#82</t>
  </si>
  <si>
    <t xml:space="preserve">CS-15</t>
  </si>
  <si>
    <t xml:space="preserve">Train 2 and Train 3 flow meter isolation valves: type and count</t>
  </si>
  <si>
    <t xml:space="preserve">2 vs 4 valves; gate vs plug.</t>
  </si>
  <si>
    <t xml:space="preserve">Valve type and count at each vault.</t>
  </si>
  <si>
    <t xml:space="preserve">CS-16</t>
  </si>
  <si>
    <t xml:space="preserve">Flow meter vault pipe labeled both force main and gravity</t>
  </si>
  <si>
    <t xml:space="preserve">Pipe class, fittings and test pressure through the vaults.</t>
  </si>
  <si>
    <t xml:space="preserve">Service and pipe class.</t>
  </si>
  <si>
    <t xml:space="preserve">CS-29</t>
  </si>
  <si>
    <t xml:space="preserve">Buried pipe materials on C1.3 differ from Division 33</t>
  </si>
  <si>
    <t xml:space="preserve">Pipe material procurement for five lines; Add. 4 changed only ID 10.</t>
  </si>
  <si>
    <t xml:space="preserve">Material for IDs 12, 15, 19, 20, 21.</t>
  </si>
  <si>
    <t xml:space="preserve">#85, #93, #94, #159</t>
  </si>
  <si>
    <t xml:space="preserve">CS-35</t>
  </si>
  <si>
    <t xml:space="preserve">Storm drain SD-1 material not stated; cover looks shallow</t>
  </si>
  <si>
    <t xml:space="preserve">Possible DI pipe and CDF encasement not shown on the drawings (cover estimate Inferred; pipe OD not stated).</t>
  </si>
  <si>
    <t xml:space="preserve">SD-1 material and any CDF.</t>
  </si>
  <si>
    <t xml:space="preserve">CS-31</t>
  </si>
  <si>
    <t xml:space="preserve">Footing drain pipe type</t>
  </si>
  <si>
    <t xml:space="preserve">Drain pipe and envelope material for the retaining wall and structures.</t>
  </si>
  <si>
    <t xml:space="preserve">Pipe type and envelope.</t>
  </si>
  <si>
    <t xml:space="preserve">CS-33</t>
  </si>
  <si>
    <t xml:space="preserve">Groundwater elevation in NAVD88; drawings on NGVD 1929</t>
  </si>
  <si>
    <t xml:space="preserve">Dewatering design: 31 23 19 requires dewatering 2 ft below structure bases, which can't be checked without a datum conversion.</t>
  </si>
  <si>
    <t xml:space="preserve">Engineer or surveyor (RFI)</t>
  </si>
  <si>
    <t xml:space="preserve">NAVD88–NGVD29 conversion for the site.</t>
  </si>
  <si>
    <t xml:space="preserve">CS-23</t>
  </si>
  <si>
    <t xml:space="preserve">Native material in trench backfill</t>
  </si>
  <si>
    <t xml:space="preserve">Import vs reuse of native soil; haul-off quantities.</t>
  </si>
  <si>
    <t xml:space="preserve">Engineer (RFI); Contract &amp; General for precedence (00 73 00)</t>
  </si>
  <si>
    <t xml:space="preserve">Governing requirement, plus the order-of-precedence clause.</t>
  </si>
  <si>
    <t xml:space="preserve">#138, #140, #152, #248</t>
  </si>
  <si>
    <t xml:space="preserve">CS-24</t>
  </si>
  <si>
    <t xml:space="preserve">Trench compaction targets</t>
  </si>
  <si>
    <t xml:space="preserve">QA acceptance criteria for density testing (31 20 00).</t>
  </si>
  <si>
    <t xml:space="preserve">Compaction targets by zone.</t>
  </si>
  <si>
    <t xml:space="preserve">CS-25</t>
  </si>
  <si>
    <t xml:space="preserve">Pay basis for dewatering and construction stormwater</t>
  </si>
  <si>
    <t xml:space="preserve">Which bid item carries dewatering and stormwater management.</t>
  </si>
  <si>
    <t xml:space="preserve">Pay item.</t>
  </si>
  <si>
    <t xml:space="preserve">#69, #153</t>
  </si>
  <si>
    <t xml:space="preserve">CS-32</t>
  </si>
  <si>
    <t xml:space="preserve">Who provides construction staking</t>
  </si>
  <si>
    <t xml:space="preserve">Survey cost and responsibility.</t>
  </si>
  <si>
    <t xml:space="preserve">Contract &amp; General (00 73 00, Supplementary Conditions No. 7, cited by G0.3)</t>
  </si>
  <si>
    <t xml:space="preserve">Responsible party.</t>
  </si>
  <si>
    <t xml:space="preserve">#154</t>
  </si>
  <si>
    <t xml:space="preserve">#49, #82</t>
  </si>
  <si>
    <t xml:space="preserve">CS-09</t>
  </si>
  <si>
    <t xml:space="preserve">Plant drain pump station isn't defined in this lane</t>
  </si>
  <si>
    <t xml:space="preserve">Possible scope gap; demolition of SSMH 1286 waits on it.</t>
  </si>
  <si>
    <t xml:space="preserve">Engineer (RFI); Process &amp; Mechanical via Merge</t>
  </si>
  <si>
    <t xml:space="preserve">Sheet, tag and force main for the plant drain pump station.</t>
  </si>
  <si>
    <t xml:space="preserve">#37, #151, #222</t>
  </si>
  <si>
    <t xml:space="preserve">CS-27</t>
  </si>
  <si>
    <t xml:space="preserve">Stabilized construction entrance type</t>
  </si>
  <si>
    <t xml:space="preserve">Temporary works cost and submittal.</t>
  </si>
  <si>
    <t xml:space="preserve">Whether plates replace or add to the spall entrance.</t>
  </si>
  <si>
    <t xml:space="preserve">CS-28</t>
  </si>
  <si>
    <t xml:space="preserve">Tracer wire spec, spacing and scope</t>
  </si>
  <si>
    <t xml:space="preserve">Wire procurement and which pipes get it.</t>
  </si>
  <si>
    <t xml:space="preserve">Governing wire spec and scope.</t>
  </si>
  <si>
    <t xml:space="preserve">CS-19</t>
  </si>
  <si>
    <t xml:space="preserve">Yard hydrant detail and post hydrant size/location</t>
  </si>
  <si>
    <t xml:space="preserve">Hydrant type, accessories and hoses (33 31 00 ¶2.01 J–K).</t>
  </si>
  <si>
    <t xml:space="preserve">Engineer (RFI); C1.1 (unavailable) may show it</t>
  </si>
  <si>
    <t xml:space="preserve">Detail per location; post hydrant size and location.</t>
  </si>
  <si>
    <t xml:space="preserve">CS-34</t>
  </si>
  <si>
    <t xml:space="preserve">Groundwater log has no well ID or reference elevation</t>
  </si>
  <si>
    <t xml:space="preserve">Seasonal-high groundwater elevation for dewatering; pairs with CS-33.</t>
  </si>
  <si>
    <t xml:space="preserve">Well ID and reference elevation.</t>
  </si>
  <si>
    <t xml:space="preserve">CS-01</t>
  </si>
  <si>
    <t xml:space="preserve">Catch basin removed under C0.5 Keyed Note 9 not identified</t>
  </si>
  <si>
    <t xml:space="preserve">Demolition scope and tie-ins.</t>
  </si>
  <si>
    <t xml:space="preserve">Engineer (RFI); C2.1/C2.3 (unavailable) may show it</t>
  </si>
  <si>
    <t xml:space="preserve">Structure ID.</t>
  </si>
  <si>
    <t xml:space="preserve">CS-14</t>
  </si>
  <si>
    <t xml:space="preserve">Valve schedule points to the wrong location sheets</t>
  </si>
  <si>
    <t xml:space="preserve">Wrong reference only.</t>
  </si>
  <si>
    <t xml:space="preserve">Correct sheet reference.</t>
  </si>
  <si>
    <t xml:space="preserve">CS-17</t>
  </si>
  <si>
    <t xml:space="preserve">Yard hydrant detail points to the storm sheet</t>
  </si>
  <si>
    <t xml:space="preserve">Correct sheet reference (C1.3 Inferred).</t>
  </si>
  <si>
    <t xml:space="preserve">CS-18</t>
  </si>
  <si>
    <t xml:space="preserve">'Section 15051' cited but not in the manual</t>
  </si>
  <si>
    <t xml:space="preserve">Pipe coding and identification requirement undefined.</t>
  </si>
  <si>
    <t xml:space="preserve">Governing section.</t>
  </si>
  <si>
    <t xml:space="preserve">CS-22</t>
  </si>
  <si>
    <t xml:space="preserve">Spec cross-references to sections that don't exist</t>
  </si>
  <si>
    <t xml:space="preserve">Submittal and QC procedures point nowhere; intended sections look like 01 33 00, 01 45 00, 05 50 00, 03 30 00, 09 90 00 (Inferred); no match for 22 10 00.</t>
  </si>
  <si>
    <t xml:space="preserve">Confirmed section numbers.</t>
  </si>
  <si>
    <t xml:space="preserve">CS-26</t>
  </si>
  <si>
    <t xml:space="preserve">Landscaping text names features not on this project</t>
  </si>
  <si>
    <t xml:space="preserve">Restoration area definition.</t>
  </si>
  <si>
    <t xml:space="preserve">Confirmed restoration areas.</t>
  </si>
  <si>
    <t xml:space="preserve">CS-30</t>
  </si>
  <si>
    <t xml:space="preserve">Fire hydrant detail not in the library</t>
  </si>
  <si>
    <t xml:space="preserve">Only matters if a new fire hydrant is in scope.</t>
  </si>
  <si>
    <t xml:space="preserve">Engineer / Setup</t>
  </si>
  <si>
    <t xml:space="preserve">Stage Detail W-1 or confirm no new hydrant.</t>
  </si>
  <si>
    <t xml:space="preserve">Issue 1</t>
  </si>
  <si>
    <t xml:space="preserve">Anoxic basin labeled "Train #4 (Proposed)"</t>
  </si>
  <si>
    <t xml:space="preserve">Engineer to confirm label</t>
  </si>
  <si>
    <t xml:space="preserve">#83</t>
  </si>
  <si>
    <t xml:space="preserve">Issue 2</t>
  </si>
  <si>
    <t xml:space="preserve">Train 3 zone volumes</t>
  </si>
  <si>
    <t xml:space="preserve">Confirm; this is the process-guarantee basis (¶1.05 C)</t>
  </si>
  <si>
    <t xml:space="preserve">#181, #248</t>
  </si>
  <si>
    <t xml:space="preserve">Issue 3</t>
  </si>
  <si>
    <t xml:space="preserve">Recycle airlift count, location and direction</t>
  </si>
  <si>
    <t xml:space="preserve">Confirm count, compartment and direction</t>
  </si>
  <si>
    <t xml:space="preserve">Issue 4</t>
  </si>
  <si>
    <t xml:space="preserve">Clarifier side water depth</t>
  </si>
  <si>
    <t xml:space="preserve">Confirm the depth behind the G0.7 overflow rates</t>
  </si>
  <si>
    <t xml:space="preserve">Issue 5</t>
  </si>
  <si>
    <t xml:space="preserve">Wall height and freeboard (low)</t>
  </si>
  <si>
    <t xml:space="preserve">Confirm</t>
  </si>
  <si>
    <t xml:space="preserve">Issue 6</t>
  </si>
  <si>
    <t xml:space="preserve">Air totals (low)</t>
  </si>
  <si>
    <t xml:space="preserve">None unless blower sizing is tight</t>
  </si>
  <si>
    <t xml:space="preserve">Issue 8</t>
  </si>
  <si>
    <t xml:space="preserve">Experience clause names the wrong aeration type</t>
  </si>
  <si>
    <t xml:space="preserve">Confirm; this sets who qualifies for Equipment Alternate B</t>
  </si>
  <si>
    <t xml:space="preserve">Issue 9</t>
  </si>
  <si>
    <t xml:space="preserve">Stainless alternates scope (missing)</t>
  </si>
  <si>
    <t xml:space="preserve">Needs 00 24 13 ¶18–19 (Contract &amp; General) and the 04 Item 18 resolution</t>
  </si>
  <si>
    <t xml:space="preserve">#182</t>
  </si>
  <si>
    <t xml:space="preserve">Issue 10</t>
  </si>
  <si>
    <t xml:space="preserve">Recycle pipe size at IE 10.57</t>
  </si>
  <si>
    <t xml:space="preserve">Confirm size</t>
  </si>
  <si>
    <t xml:space="preserve">Issue 30</t>
  </si>
  <si>
    <t xml:space="preserve">Mixers specified in two sections</t>
  </si>
  <si>
    <t xml:space="preserve">Confirm supplier for mixers, masts and davits, and whether Items 18/19 and Alternate B apply</t>
  </si>
  <si>
    <t xml:space="preserve">#32</t>
  </si>
  <si>
    <t xml:space="preserve">Issue 7</t>
  </si>
  <si>
    <t xml:space="preserve">Splitter "3-way" vs four chambers (low)</t>
  </si>
  <si>
    <t xml:space="preserve">Unresolved (label)</t>
  </si>
  <si>
    <t xml:space="preserve">Issue 40</t>
  </si>
  <si>
    <t xml:space="preserve">Splitter has no spec section (missing)</t>
  </si>
  <si>
    <t xml:space="preserve">Name the governing section or confirm the note governs; add submittal and test requirements</t>
  </si>
  <si>
    <t xml:space="preserve">#75, #103</t>
  </si>
  <si>
    <t xml:space="preserve">Issue 11</t>
  </si>
  <si>
    <t xml:space="preserve">Pipe brace refers to a sheet not in the set (missing)</t>
  </si>
  <si>
    <t xml:space="preserve">Confirm 7/C7.2 governs or issue M4.1</t>
  </si>
  <si>
    <t xml:space="preserve">Issue 12</t>
  </si>
  <si>
    <t xml:space="preserve">2W air gap reference and float-controlled valve (missing)</t>
  </si>
  <si>
    <t xml:space="preserve">Fix the sheet reference; identify the fill valve (Civil &amp; Site C1.3; Electrical &amp; Controls)</t>
  </si>
  <si>
    <t xml:space="preserve">#183</t>
  </si>
  <si>
    <t xml:space="preserve">Issue 26</t>
  </si>
  <si>
    <t xml:space="preserve">2W relief valves</t>
  </si>
  <si>
    <t xml:space="preserve">Confirm number, location and set points</t>
  </si>
  <si>
    <t xml:space="preserve">Issue 39</t>
  </si>
  <si>
    <t xml:space="preserve">2W wet well inlet size</t>
  </si>
  <si>
    <t xml:space="preserve">Confirm fill line size</t>
  </si>
  <si>
    <t xml:space="preserve">Issue 13</t>
  </si>
  <si>
    <t xml:space="preserve">UV modules and lamps</t>
  </si>
  <si>
    <t xml:space="preserve">Confirm G0.7 is superseded</t>
  </si>
  <si>
    <t xml:space="preserve">Issue 15</t>
  </si>
  <si>
    <t xml:space="preserve">Final effluent size</t>
  </si>
  <si>
    <t xml:space="preserve">Confirm size and material</t>
  </si>
  <si>
    <t xml:space="preserve">#92</t>
  </si>
  <si>
    <t xml:space="preserve">Issue 17</t>
  </si>
  <si>
    <t xml:space="preserve">Digester sludge line sizes</t>
  </si>
  <si>
    <t xml:space="preserve">Confirm both sizes</t>
  </si>
  <si>
    <t xml:space="preserve">#90</t>
  </si>
  <si>
    <t xml:space="preserve">Issue 18</t>
  </si>
  <si>
    <t xml:space="preserve">Sludge flow meter location</t>
  </si>
  <si>
    <t xml:space="preserve">Confirm meters, service and sizes (Electrical &amp; Controls)</t>
  </si>
  <si>
    <t xml:space="preserve">#43, #184</t>
  </si>
  <si>
    <t xml:space="preserve">Issue 32</t>
  </si>
  <si>
    <t xml:space="preserve">UV dose units (low)</t>
  </si>
  <si>
    <t xml:space="preserve">Issue 33</t>
  </si>
  <si>
    <t xml:space="preserve">UV monitor panel distance (low)</t>
  </si>
  <si>
    <t xml:space="preserve">Confirm location</t>
  </si>
  <si>
    <t xml:space="preserve">#55</t>
  </si>
  <si>
    <t xml:space="preserve">Issue 14</t>
  </si>
  <si>
    <t xml:space="preserve">C6.1 cites a spec section that does not exist</t>
  </si>
  <si>
    <t xml:space="preserve">Confirm 41 12 13</t>
  </si>
  <si>
    <t xml:space="preserve">Issue 16</t>
  </si>
  <si>
    <t xml:space="preserve">Dry vs emulsion polymer</t>
  </si>
  <si>
    <t xml:space="preserve">Confirm polymer type</t>
  </si>
  <si>
    <t xml:space="preserve">Issue 22</t>
  </si>
  <si>
    <t xml:space="preserve">Screw conveyor count</t>
  </si>
  <si>
    <t xml:space="preserve">Confirm number, inlets, length and angle</t>
  </si>
  <si>
    <t xml:space="preserve">Issue 31</t>
  </si>
  <si>
    <t xml:space="preserve">Ball valve material</t>
  </si>
  <si>
    <t xml:space="preserve">Confirm material</t>
  </si>
  <si>
    <t xml:space="preserve">Unresolved (precedence rule is in the General Conditions)</t>
  </si>
  <si>
    <t xml:space="preserve">#188</t>
  </si>
  <si>
    <t xml:space="preserve">Issue 36</t>
  </si>
  <si>
    <t xml:space="preserve">Who controls the digested sludge pump</t>
  </si>
  <si>
    <t xml:space="preserve">Electrical &amp; Controls to define the interface (26 80 00 ¶3.09 H)</t>
  </si>
  <si>
    <t xml:space="preserve">Add. 4 governs VFD location; controlling PLC Unresolved</t>
  </si>
  <si>
    <t xml:space="preserve">#61, #189</t>
  </si>
  <si>
    <t xml:space="preserve">Issue 37</t>
  </si>
  <si>
    <t xml:space="preserve">No press field start-up or training (missing)</t>
  </si>
  <si>
    <t xml:space="preserve">Confirm 01 91 00 covers it or add requirements</t>
  </si>
  <si>
    <t xml:space="preserve">Issue 38</t>
  </si>
  <si>
    <t xml:space="preserve">Potable water for flocculator breather (missing)</t>
  </si>
  <si>
    <t xml:space="preserve">Confirm water source and backflow protection</t>
  </si>
  <si>
    <t xml:space="preserve">#191</t>
  </si>
  <si>
    <t xml:space="preserve">Issue 41</t>
  </si>
  <si>
    <t xml:space="preserve">Carbon feed location, product and storage (missing)</t>
  </si>
  <si>
    <t xml:space="preserve">Locate the system; specify storage and piping</t>
  </si>
  <si>
    <t xml:space="preserve">Issue 21</t>
  </si>
  <si>
    <t xml:space="preserve">Sludge pump capacity (low)</t>
  </si>
  <si>
    <t xml:space="preserve">None unless the selection is at its limit</t>
  </si>
  <si>
    <t xml:space="preserve">Issue 24</t>
  </si>
  <si>
    <t xml:space="preserve">Blower design pressure (low)</t>
  </si>
  <si>
    <t xml:space="preserve">Confirm system pressure</t>
  </si>
  <si>
    <t xml:space="preserve">Issue 25</t>
  </si>
  <si>
    <t xml:space="preserve">Wall fan control (low)</t>
  </si>
  <si>
    <t xml:space="preserve">Confirm; cross-check E9.3</t>
  </si>
  <si>
    <t xml:space="preserve">#26, #186, #196</t>
  </si>
  <si>
    <t xml:space="preserve">Issue 20</t>
  </si>
  <si>
    <t xml:space="preserve">Launder cover section carries sludge pump text</t>
  </si>
  <si>
    <t xml:space="preserve">Confirm 10 73 05 ¶3.01 A is void</t>
  </si>
  <si>
    <t xml:space="preserve">Add. 4 governs the VFD text (Add. 4 p.1 General, Inferred); deletion Unresolved</t>
  </si>
  <si>
    <t xml:space="preserve">Issue 23</t>
  </si>
  <si>
    <t xml:space="preserve">Wrong submittal section (low)</t>
  </si>
  <si>
    <t xml:space="preserve">Issue 27</t>
  </si>
  <si>
    <t xml:space="preserve">Wrong painting section (low)</t>
  </si>
  <si>
    <t xml:space="preserve">#187, #244</t>
  </si>
  <si>
    <t xml:space="preserve">Issue 28</t>
  </si>
  <si>
    <t xml:space="preserve">Globe valve material (low)</t>
  </si>
  <si>
    <t xml:space="preserve">Issue 29</t>
  </si>
  <si>
    <t xml:space="preserve">Polymer flow units and section reference (low)</t>
  </si>
  <si>
    <t xml:space="preserve">Confirm flow range and section</t>
  </si>
  <si>
    <t xml:space="preserve">Issue 34</t>
  </si>
  <si>
    <t xml:space="preserve">Analyzer called "pumps" (low)</t>
  </si>
  <si>
    <t xml:space="preserve">Issue 35</t>
  </si>
  <si>
    <t xml:space="preserve">"22 13 16" cited twice (low)</t>
  </si>
  <si>
    <t xml:space="preserve">§1 #1</t>
  </si>
  <si>
    <t xml:space="preserve">S2.2 mat slab reinforcing: two "typical for mat slabs this plan" callouts</t>
  </si>
  <si>
    <t xml:space="preserve">Engineer to state which spacing applies to the UV basin and digester mats</t>
  </si>
  <si>
    <t xml:space="preserve">Unresolved — same sheet, no addendum</t>
  </si>
  <si>
    <t xml:space="preserve">#85</t>
  </si>
  <si>
    <t xml:space="preserve">§1 #2</t>
  </si>
  <si>
    <t xml:space="preserve">Train 3 lap length for Grade 75 bars</t>
  </si>
  <si>
    <t xml:space="preserve">Engineer to give Grade 75 lap lengths or confirm Grade 60 values govern</t>
  </si>
  <si>
    <t xml:space="preserve">Unresolved — both base; Add. 4 reissue of S4.1 leaves Detail 3 unchanged</t>
  </si>
  <si>
    <t xml:space="preserve">§1 #3</t>
  </si>
  <si>
    <t xml:space="preserve">Add. 4 reissue revision entries (index vs source)</t>
  </si>
  <si>
    <t xml:space="preserve">Setup thread to amend 01 log #12 (S-sheet supersession is readable from the revision block)</t>
  </si>
  <si>
    <t xml:space="preserve">Source governs; index statement is partly wrong for S sheets</t>
  </si>
  <si>
    <t xml:space="preserve">#217</t>
  </si>
  <si>
    <t xml:space="preserve">#51, #85</t>
  </si>
  <si>
    <t xml:space="preserve">§1 #4</t>
  </si>
  <si>
    <t xml:space="preserve">Moist-cure duration</t>
  </si>
  <si>
    <t xml:space="preserve">Engineer to confirm cure duration for tanks, walls, lids and pads (schedule driver)</t>
  </si>
  <si>
    <t xml:space="preserve">Unresolved — same section</t>
  </si>
  <si>
    <t xml:space="preserve">§1 #5</t>
  </si>
  <si>
    <t xml:space="preserve">Influent Pump Station hatch</t>
  </si>
  <si>
    <t xml:space="preserve">Engineer to confirm hatch size and load rating</t>
  </si>
  <si>
    <t xml:space="preserve">Unresolved — same section; station drawing C4.1 is Process &amp; Mechanical lane</t>
  </si>
  <si>
    <t xml:space="preserve">#218</t>
  </si>
  <si>
    <t xml:space="preserve">§1 #6</t>
  </si>
  <si>
    <t xml:space="preserve">Handrail and guardrail material</t>
  </si>
  <si>
    <t xml:space="preserve">Engineer confirmation</t>
  </si>
  <si>
    <t xml:space="preserve">Unresolved; likely 05 52 00 as the dedicated section (Inferred)</t>
  </si>
  <si>
    <t xml:space="preserve">#34, #219</t>
  </si>
  <si>
    <t xml:space="preserve">§1 #7</t>
  </si>
  <si>
    <t xml:space="preserve">Grating type and support angles at UV basin and digester</t>
  </si>
  <si>
    <t xml:space="preserve">Engineer to confirm grating type over the digester and the support-angle material</t>
  </si>
  <si>
    <t xml:space="preserve">#57, #220</t>
  </si>
  <si>
    <t xml:space="preserve">§1 #8</t>
  </si>
  <si>
    <t xml:space="preserve">Blower Building interior insulation and finish assembly</t>
  </si>
  <si>
    <t xml:space="preserve">Architect or engineer to state where each assembly applies (walls vs roof)</t>
  </si>
  <si>
    <t xml:space="preserve">§1 #9</t>
  </si>
  <si>
    <t xml:space="preserve">Lockset type and keying standard</t>
  </si>
  <si>
    <t xml:space="preserve">Owner to confirm keying standard; engineer to confirm lockset type</t>
  </si>
  <si>
    <t xml:space="preserve">Unresolved; Part 4 schedule likely governs as more specific (Inferred)</t>
  </si>
  <si>
    <t xml:space="preserve">§2 #1</t>
  </si>
  <si>
    <t xml:space="preserve">Door 101B height</t>
  </si>
  <si>
    <t xml:space="preserve">Native A1.1 or engineer confirmation</t>
  </si>
  <si>
    <t xml:space="preserve">§2 #2</t>
  </si>
  <si>
    <t xml:space="preserve">Bid Item 9 — Structural Concrete (Extra Work, approx. 10 CY)</t>
  </si>
  <si>
    <t xml:space="preserve">Contract &amp; General lane or Merge to state what Item 9 pays for</t>
  </si>
  <si>
    <t xml:space="preserve">#133, #221</t>
  </si>
  <si>
    <t xml:space="preserve">§2 #3</t>
  </si>
  <si>
    <t xml:space="preserve">Which structures are "hydraulic structures"</t>
  </si>
  <si>
    <t xml:space="preserve">Engineer confirmation of the hydraulic-structure list</t>
  </si>
  <si>
    <t xml:space="preserve">Inferred</t>
  </si>
  <si>
    <t xml:space="preserve">§2 #4</t>
  </si>
  <si>
    <t xml:space="preserve">Identity of the "Drain Pump Station"</t>
  </si>
  <si>
    <t xml:space="preserve">Civil &amp; Site or Process &amp; Mechanical lane / Merge to identify the station and its civil sheet</t>
  </si>
  <si>
    <t xml:space="preserve">#37, #222</t>
  </si>
  <si>
    <t xml:space="preserve">§2 #5</t>
  </si>
  <si>
    <t xml:space="preserve">Generator on S2.4 — permanent or temporary</t>
  </si>
  <si>
    <t xml:space="preserve">Electrical &amp; Controls lane / Merge to tie the slab to the permanent standby generator or the temporary back-up generator</t>
  </si>
  <si>
    <t xml:space="preserve">#65, #223</t>
  </si>
  <si>
    <t xml:space="preserve">§2 #6</t>
  </si>
  <si>
    <t xml:space="preserve">S2.3 perimeter grade beam bar size</t>
  </si>
  <si>
    <t xml:space="preserve">Native S2.3 (Add. 4 reissue)</t>
  </si>
  <si>
    <t xml:space="preserve">§2 #7</t>
  </si>
  <si>
    <t xml:space="preserve">Structures named in 03 30 00 but not in the sheet titles</t>
  </si>
  <si>
    <t xml:space="preserve">Engineer to confirm the structures the formwork submittal and broom finish apply to</t>
  </si>
  <si>
    <t xml:space="preserve">#258</t>
  </si>
  <si>
    <t xml:space="preserve">§2 #8</t>
  </si>
  <si>
    <t xml:space="preserve">Section 04 60 00 (grouting) does not exist</t>
  </si>
  <si>
    <t xml:space="preserve">Engineer to name the governing grout requirement (03 40 00 ¶2.02 F and 05 50 00 ¶2.01 E.7–8 are candidates — Inferred)</t>
  </si>
  <si>
    <t xml:space="preserve">§2 #9</t>
  </si>
  <si>
    <t xml:space="preserve">No spec coverage for footing-perimeter XPS and EIFS</t>
  </si>
  <si>
    <t xml:space="preserve">Engineer or architect to add or point to a section for R-10 XPS and Dryvit EIFS</t>
  </si>
  <si>
    <t xml:space="preserve">§2 #10</t>
  </si>
  <si>
    <t xml:space="preserve">WSDOT references (external, not staged)</t>
  </si>
  <si>
    <t xml:space="preserve">Stage the cited WSDOT sections or accept by reference</t>
  </si>
  <si>
    <t xml:space="preserve">Unresolved: external reference, not staged</t>
  </si>
  <si>
    <t xml:space="preserve">§2 #11</t>
  </si>
  <si>
    <t xml:space="preserve">Door hardware group assignment</t>
  </si>
  <si>
    <t xml:space="preserve">Confirm group per door on the hardware schedule submittal</t>
  </si>
  <si>
    <t xml:space="preserve">§2 #12</t>
  </si>
  <si>
    <t xml:space="preserve">Sheet C8.1 (exterior door stop detail)</t>
  </si>
  <si>
    <t xml:space="preserve">Engineer to issue or delete the reference</t>
  </si>
  <si>
    <t xml:space="preserve">#52, #85</t>
  </si>
  <si>
    <t xml:space="preserve">§2 #13</t>
  </si>
  <si>
    <t xml:space="preserve">Blower Building painting reference</t>
  </si>
  <si>
    <t xml:space="preserve">Engineer to state the paint system for the other Blower Building surfaces, e.g., the painted exposed-structure ceiling on A1.1</t>
  </si>
  <si>
    <t xml:space="preserve">§2 #14</t>
  </si>
  <si>
    <t xml:space="preserve">Blower Building floor sealer</t>
  </si>
  <si>
    <t xml:space="preserve">Engineer to name the floor sealer product and confirm it with the damp-cure requirement</t>
  </si>
  <si>
    <t xml:space="preserve">Basis</t>
  </si>
  <si>
    <t xml:space="preserve">1.7</t>
  </si>
  <si>
    <t xml:space="preserve">Stale page numbers in 00 43 93 for the 00 53 00 attachments; content located</t>
  </si>
  <si>
    <t xml:space="preserve">Record only — Verified</t>
  </si>
  <si>
    <t xml:space="preserve">1.13</t>
  </si>
  <si>
    <t xml:space="preserve">00 73 00 pp.98–121 repeat the 00 53 00 Ecology insert word for word (99.8% word match)</t>
  </si>
  <si>
    <t xml:space="preserve">1.18</t>
  </si>
  <si>
    <t xml:space="preserve">01 66 00 body is the 01 60 00 text word for word</t>
  </si>
  <si>
    <t xml:space="preserve">1.22</t>
  </si>
  <si>
    <t xml:space="preserve">Clean water leakage test list is repeated with different names</t>
  </si>
  <si>
    <t xml:space="preserve">1.25</t>
  </si>
  <si>
    <t xml:space="preserve">QA plan labels the construction phase "October 2022 – April 2024"; its own list runs to Oct 16, 2024</t>
  </si>
  <si>
    <t xml:space="preserve">Record only — Verified (SC 15 governs — Inferred)</t>
  </si>
  <si>
    <t xml:space="preserve">Issues #16</t>
  </si>
  <si>
    <t xml:space="preserve">Existing 208V utility transformer: the Utility removes it (26 05 00 ¶3.03 F.1.a, main spec p.279) — Issues #16.</t>
  </si>
  <si>
    <t xml:space="preserve">Settled (lane)</t>
  </si>
  <si>
    <t xml:space="preserve">Train 1 flow meter: "future project – not in this project"; Phase I provides transmitter space only (E10.2 item 2, plans_12 p.7).</t>
  </si>
  <si>
    <t xml:space="preserve">Issues #8</t>
  </si>
  <si>
    <t xml:space="preserve">MCC length: Add. 4 p.1 Clarification 4 (eight 20-in sections, 160 in) governs over the seven sections, 140 in, on E9.1; the added section contents are left to the contractor layout (E9.1 general note 1) — Issues #8.</t>
  </si>
  <si>
    <t xml:space="preserve">Flow meter model: Add. 4 p.2 (26 80 00 ¶2.04 D) Promag W400 governs over L400; E4.1, E4.3, E5.1 and E10.2 already show W400.</t>
  </si>
  <si>
    <t xml:space="preserve">Sludge and 2W pump VFDs: Add. 4 p.2 (22 13 36 and 43 22 10 ¶2.01 A) puts them in the MCC under PLC control; E6.1 and E9.1 already match.</t>
  </si>
  <si>
    <t xml:space="preserve">VFD speed control: over Ethernet, no analog speed wiring (E9.2 key note 2, plans_12 p.4); E7.7 has no analog speed outputs.</t>
  </si>
  <si>
    <t xml:space="preserve">Issues #15</t>
  </si>
  <si>
    <t xml:space="preserve">26 80 00 repeats ¶2.01 and ¶2.02 after ¶2.05; cite those paragraphs by page (pp.357, 367, 370) — Issues #15.</t>
  </si>
  <si>
    <t xml:space="preserve">Running headers: 26 36 00 reads "26 30 00" (02 log item 4) and 26 80 00 reads "INSTRUMENTATION AND CONTROL" (02 log item 6); body section numbers govern.</t>
  </si>
  <si>
    <t xml:space="preserve">Sheet titles that differ from the cover index (E0.4, E1.1, E3.1, E5.1, E8.2) are carried in the 01 log; the A1.1/A1.2 relocation of the MCC and main PLC panel belongs to the Structural &amp; Building stack (cited flags).</t>
  </si>
  <si>
    <t xml:space="preserve">CS-06</t>
  </si>
  <si>
    <t xml:space="preserve">Pipe ID 10: base 2-in Sch. 80 PVC (plans_3Part-1 p.1) changed to 3-in HDPE by Add. 4 (Add. 4 p.7). Add. 4 governs; Ledger uses the Add. 4 value. (Verified-Visual)</t>
  </si>
  <si>
    <t xml:space="preserve">Closed (lane)</t>
  </si>
  <si>
    <t xml:space="preserve">CS-12</t>
  </si>
  <si>
    <t xml:space="preserve">C2.5 fence height mark reads 6" (plans_3Part-8 p.1); 02 83 00 ¶1.01 A says all chain-link fence is 6 ft plus barbed wire, 7 ft total (main spec p.163). Carried as 6 ft — Inferred; confirm on the native PDF. (Inferred)</t>
  </si>
  <si>
    <t xml:space="preserve">Issue 19</t>
  </si>
  <si>
    <t xml:space="preserve">Building separation</t>
  </si>
  <si>
    <t xml:space="preserve">Settled: Add. 4 governs (C6.3 not reissued)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</si>
</sst>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6"/>
  </cols>
  <sheetData>
    <row r="1" customFormat="false" ht="16.1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2" t="s">
        <v>2</v>
      </c>
    </row>
    <row r="4" customFormat="false" ht="15" hidden="false" customHeight="false" outlineLevel="0" collapsed="false">
      <c r="A4" s="3" t="s">
        <v>3</v>
      </c>
      <c r="B4" s="3" t="n">
        <f aca="false">COUNTA('Method Issues'!A:A)-1</f>
        <v>31</v>
      </c>
    </row>
    <row r="5" customFormat="false" ht="15" hidden="false" customHeight="false" outlineLevel="0" collapsed="false">
      <c r="A5" s="3" t="s">
        <v>4</v>
      </c>
      <c r="B5" s="3" t="n">
        <f aca="false">COUNTA('Lane Method Items'!A:A)-1</f>
        <v>61</v>
      </c>
    </row>
    <row r="6" customFormat="false" ht="15" hidden="false" customHeight="false" outlineLevel="0" collapsed="false">
      <c r="A6" s="3" t="s">
        <v>5</v>
      </c>
      <c r="B6" s="3" t="n">
        <f aca="false">COUNTIF('Lane Method Items'!E:E,"UNMAPPED")</f>
        <v>0</v>
      </c>
    </row>
    <row r="7" customFormat="false" ht="15" hidden="false" customHeight="false" outlineLevel="0" collapsed="false">
      <c r="A7" s="3" t="s">
        <v>6</v>
      </c>
      <c r="B7" s="3" t="n">
        <f aca="false">COUNTIF('Method Issues'!G:G,"—")</f>
        <v>0</v>
      </c>
    </row>
    <row r="8" customFormat="false" ht="15" hidden="false" customHeight="false" outlineLevel="0" collapsed="false">
      <c r="A8" s="3" t="s">
        <v>7</v>
      </c>
      <c r="B8" s="3" t="n">
        <f aca="false">COUNTA(Decisions!A:A)-1</f>
        <v>139</v>
      </c>
    </row>
    <row r="9" customFormat="false" ht="15" hidden="false" customHeight="false" outlineLevel="0" collapsed="false">
      <c r="A9" s="3" t="s">
        <v>8</v>
      </c>
      <c r="B9" s="3" t="n">
        <f aca="false">COUNTIF(Decisions!L:L,"—")</f>
        <v>0</v>
      </c>
    </row>
    <row r="10" customFormat="false" ht="15" hidden="false" customHeight="false" outlineLevel="0" collapsed="false">
      <c r="A10" s="3" t="s">
        <v>9</v>
      </c>
      <c r="B10" s="3" t="n">
        <f aca="false">COUNTIF(Decisions!K:K,"#*")</f>
        <v>46</v>
      </c>
    </row>
    <row r="11" customFormat="false" ht="15" hidden="false" customHeight="false" outlineLevel="0" collapsed="false">
      <c r="A11" s="3" t="s">
        <v>10</v>
      </c>
      <c r="B11" s="3" t="n">
        <f aca="false">COUNTA(Settled!A:A)-1</f>
        <v>17</v>
      </c>
    </row>
    <row r="12" customFormat="false" ht="15" hidden="false" customHeight="false" outlineLevel="0" collapsed="false">
      <c r="A12" s="3" t="s">
        <v>11</v>
      </c>
      <c r="B12" s="3" t="n">
        <f aca="false">COUNTIF(Decisions!B:B,"Civil &amp; Site")</f>
        <v>23</v>
      </c>
    </row>
    <row r="13" customFormat="false" ht="15" hidden="false" customHeight="false" outlineLevel="0" collapsed="false">
      <c r="A13" s="3" t="s">
        <v>12</v>
      </c>
      <c r="B13" s="3" t="n">
        <f aca="false">COUNTIF(Decisions!B:B,"Process &amp; Mechanical")</f>
        <v>40</v>
      </c>
    </row>
    <row r="14" customFormat="false" ht="15" hidden="false" customHeight="false" outlineLevel="0" collapsed="false">
      <c r="A14" s="3" t="s">
        <v>13</v>
      </c>
      <c r="B14" s="3" t="n">
        <f aca="false">COUNTIF(Decisions!B:B,"Electrical &amp; Controls")</f>
        <v>22</v>
      </c>
    </row>
    <row r="15" customFormat="false" ht="15" hidden="false" customHeight="false" outlineLevel="0" collapsed="false">
      <c r="A15" s="3" t="s">
        <v>14</v>
      </c>
      <c r="B15" s="3" t="n">
        <f aca="false">COUNTIF(Decisions!B:B,"Structural &amp; Building")</f>
        <v>23</v>
      </c>
    </row>
    <row r="16" customFormat="false" ht="15" hidden="false" customHeight="false" outlineLevel="0" collapsed="false">
      <c r="A16" s="3" t="s">
        <v>15</v>
      </c>
      <c r="B16" s="3" t="n">
        <f aca="false">COUNTIF(Decisions!B:B,"Contract &amp; General")</f>
        <v>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50"/>
    <col collapsed="false" customWidth="true" hidden="false" outlineLevel="0" max="4" min="3" style="0" width="46"/>
    <col collapsed="false" customWidth="true" hidden="false" outlineLevel="0" max="6" min="5" style="0" width="16"/>
    <col collapsed="false" customWidth="true" hidden="false" outlineLevel="0" max="7" min="7" style="0" width="14"/>
  </cols>
  <sheetData>
    <row r="1" customFormat="false" ht="15" hidden="false" customHeight="false" outlineLevel="0" collapsed="false">
      <c r="A1" s="4" t="s">
        <v>16</v>
      </c>
      <c r="B1" s="4" t="s">
        <v>17</v>
      </c>
      <c r="C1" s="4" t="s">
        <v>18</v>
      </c>
      <c r="D1" s="4" t="s">
        <v>19</v>
      </c>
      <c r="E1" s="4" t="s">
        <v>20</v>
      </c>
      <c r="F1" s="4" t="s">
        <v>21</v>
      </c>
      <c r="G1" s="4" t="s">
        <v>22</v>
      </c>
    </row>
    <row r="2" customFormat="false" ht="22.35" hidden="false" customHeight="false" outlineLevel="0" collapsed="false">
      <c r="A2" s="5" t="s">
        <v>23</v>
      </c>
      <c r="B2" s="5" t="s">
        <v>24</v>
      </c>
      <c r="C2" s="5" t="s">
        <v>25</v>
      </c>
      <c r="D2" s="5" t="s">
        <v>26</v>
      </c>
      <c r="E2" s="5" t="s">
        <v>27</v>
      </c>
      <c r="F2" s="5" t="s">
        <v>28</v>
      </c>
      <c r="G2" s="5" t="s">
        <v>29</v>
      </c>
    </row>
    <row r="3" customFormat="false" ht="15" hidden="false" customHeight="false" outlineLevel="0" collapsed="false">
      <c r="A3" s="5" t="s">
        <v>30</v>
      </c>
      <c r="B3" s="5" t="s">
        <v>31</v>
      </c>
      <c r="C3" s="5" t="s">
        <v>32</v>
      </c>
      <c r="D3" s="5" t="s">
        <v>33</v>
      </c>
      <c r="E3" s="5" t="s">
        <v>27</v>
      </c>
      <c r="F3" s="5" t="s">
        <v>34</v>
      </c>
      <c r="G3" s="5" t="s">
        <v>35</v>
      </c>
    </row>
    <row r="4" customFormat="false" ht="22.35" hidden="false" customHeight="false" outlineLevel="0" collapsed="false">
      <c r="A4" s="5" t="s">
        <v>36</v>
      </c>
      <c r="B4" s="5" t="s">
        <v>37</v>
      </c>
      <c r="C4" s="5" t="s">
        <v>38</v>
      </c>
      <c r="D4" s="5" t="s">
        <v>39</v>
      </c>
      <c r="E4" s="5" t="s">
        <v>40</v>
      </c>
      <c r="F4" s="5" t="s">
        <v>41</v>
      </c>
      <c r="G4" s="5" t="s">
        <v>42</v>
      </c>
    </row>
    <row r="5" customFormat="false" ht="22.35" hidden="false" customHeight="false" outlineLevel="0" collapsed="false">
      <c r="A5" s="5" t="s">
        <v>43</v>
      </c>
      <c r="B5" s="5" t="s">
        <v>44</v>
      </c>
      <c r="C5" s="5" t="s">
        <v>45</v>
      </c>
      <c r="D5" s="5" t="s">
        <v>46</v>
      </c>
      <c r="E5" s="5" t="s">
        <v>47</v>
      </c>
      <c r="F5" s="5" t="s">
        <v>34</v>
      </c>
      <c r="G5" s="5" t="s">
        <v>48</v>
      </c>
    </row>
    <row r="6" customFormat="false" ht="15" hidden="false" customHeight="false" outlineLevel="0" collapsed="false">
      <c r="A6" s="5" t="s">
        <v>49</v>
      </c>
      <c r="B6" s="5" t="s">
        <v>50</v>
      </c>
      <c r="C6" s="5" t="s">
        <v>51</v>
      </c>
      <c r="D6" s="5" t="s">
        <v>52</v>
      </c>
      <c r="E6" s="5" t="s">
        <v>40</v>
      </c>
      <c r="F6" s="5" t="s">
        <v>34</v>
      </c>
      <c r="G6" s="5" t="s">
        <v>53</v>
      </c>
    </row>
    <row r="7" customFormat="false" ht="15" hidden="false" customHeight="false" outlineLevel="0" collapsed="false">
      <c r="A7" s="5" t="s">
        <v>54</v>
      </c>
      <c r="B7" s="5" t="s">
        <v>55</v>
      </c>
      <c r="C7" s="5" t="s">
        <v>56</v>
      </c>
      <c r="D7" s="5" t="s">
        <v>57</v>
      </c>
      <c r="E7" s="5" t="s">
        <v>47</v>
      </c>
      <c r="F7" s="5" t="s">
        <v>41</v>
      </c>
      <c r="G7" s="5" t="s">
        <v>58</v>
      </c>
    </row>
    <row r="8" customFormat="false" ht="32.8" hidden="false" customHeight="false" outlineLevel="0" collapsed="false">
      <c r="A8" s="5" t="s">
        <v>59</v>
      </c>
      <c r="B8" s="5" t="s">
        <v>60</v>
      </c>
      <c r="C8" s="5" t="s">
        <v>61</v>
      </c>
      <c r="D8" s="5" t="s">
        <v>62</v>
      </c>
      <c r="E8" s="5" t="s">
        <v>47</v>
      </c>
      <c r="F8" s="5" t="s">
        <v>34</v>
      </c>
      <c r="G8" s="5" t="s">
        <v>63</v>
      </c>
    </row>
    <row r="9" customFormat="false" ht="32.8" hidden="false" customHeight="false" outlineLevel="0" collapsed="false">
      <c r="A9" s="5" t="s">
        <v>64</v>
      </c>
      <c r="B9" s="5" t="s">
        <v>65</v>
      </c>
      <c r="C9" s="5" t="s">
        <v>66</v>
      </c>
      <c r="D9" s="5" t="s">
        <v>67</v>
      </c>
      <c r="E9" s="5" t="s">
        <v>47</v>
      </c>
      <c r="F9" s="5" t="s">
        <v>34</v>
      </c>
      <c r="G9" s="5" t="s">
        <v>68</v>
      </c>
    </row>
    <row r="10" customFormat="false" ht="15" hidden="false" customHeight="false" outlineLevel="0" collapsed="false">
      <c r="A10" s="5" t="s">
        <v>69</v>
      </c>
      <c r="B10" s="5" t="s">
        <v>70</v>
      </c>
      <c r="C10" s="5" t="s">
        <v>71</v>
      </c>
      <c r="D10" s="5" t="s">
        <v>72</v>
      </c>
      <c r="E10" s="5" t="s">
        <v>47</v>
      </c>
      <c r="F10" s="5" t="s">
        <v>34</v>
      </c>
      <c r="G10" s="5" t="s">
        <v>73</v>
      </c>
    </row>
    <row r="11" customFormat="false" ht="15" hidden="false" customHeight="false" outlineLevel="0" collapsed="false">
      <c r="A11" s="5" t="s">
        <v>74</v>
      </c>
      <c r="B11" s="5" t="s">
        <v>75</v>
      </c>
      <c r="C11" s="5" t="s">
        <v>76</v>
      </c>
      <c r="D11" s="5" t="s">
        <v>77</v>
      </c>
      <c r="E11" s="5" t="s">
        <v>47</v>
      </c>
      <c r="F11" s="5" t="s">
        <v>34</v>
      </c>
      <c r="G11" s="5" t="s">
        <v>78</v>
      </c>
    </row>
    <row r="12" customFormat="false" ht="22.35" hidden="false" customHeight="false" outlineLevel="0" collapsed="false">
      <c r="A12" s="5" t="s">
        <v>79</v>
      </c>
      <c r="B12" s="5" t="s">
        <v>80</v>
      </c>
      <c r="C12" s="5" t="s">
        <v>81</v>
      </c>
      <c r="D12" s="5" t="s">
        <v>82</v>
      </c>
      <c r="E12" s="5" t="s">
        <v>47</v>
      </c>
      <c r="F12" s="5" t="s">
        <v>34</v>
      </c>
      <c r="G12" s="5" t="s">
        <v>83</v>
      </c>
    </row>
    <row r="13" customFormat="false" ht="22.35" hidden="false" customHeight="false" outlineLevel="0" collapsed="false">
      <c r="A13" s="5" t="s">
        <v>84</v>
      </c>
      <c r="B13" s="5" t="s">
        <v>85</v>
      </c>
      <c r="C13" s="5" t="s">
        <v>86</v>
      </c>
      <c r="D13" s="5" t="s">
        <v>87</v>
      </c>
      <c r="E13" s="5" t="s">
        <v>88</v>
      </c>
      <c r="F13" s="5" t="s">
        <v>34</v>
      </c>
      <c r="G13" s="5" t="s">
        <v>89</v>
      </c>
    </row>
    <row r="14" customFormat="false" ht="15" hidden="false" customHeight="false" outlineLevel="0" collapsed="false">
      <c r="A14" s="5" t="s">
        <v>90</v>
      </c>
      <c r="B14" s="5" t="s">
        <v>91</v>
      </c>
      <c r="C14" s="5" t="s">
        <v>92</v>
      </c>
      <c r="D14" s="5" t="s">
        <v>93</v>
      </c>
      <c r="E14" s="5" t="s">
        <v>47</v>
      </c>
      <c r="F14" s="5" t="s">
        <v>34</v>
      </c>
      <c r="G14" s="5" t="s">
        <v>94</v>
      </c>
    </row>
    <row r="15" customFormat="false" ht="22.35" hidden="false" customHeight="false" outlineLevel="0" collapsed="false">
      <c r="A15" s="5" t="s">
        <v>95</v>
      </c>
      <c r="B15" s="5" t="s">
        <v>96</v>
      </c>
      <c r="C15" s="5" t="s">
        <v>97</v>
      </c>
      <c r="D15" s="5" t="s">
        <v>98</v>
      </c>
      <c r="E15" s="5" t="s">
        <v>47</v>
      </c>
      <c r="F15" s="5" t="s">
        <v>34</v>
      </c>
      <c r="G15" s="5" t="s">
        <v>99</v>
      </c>
    </row>
    <row r="16" customFormat="false" ht="15" hidden="false" customHeight="false" outlineLevel="0" collapsed="false">
      <c r="A16" s="5" t="s">
        <v>100</v>
      </c>
      <c r="B16" s="5" t="s">
        <v>101</v>
      </c>
      <c r="C16" s="5" t="s">
        <v>102</v>
      </c>
      <c r="D16" s="5" t="s">
        <v>103</v>
      </c>
      <c r="E16" s="5" t="s">
        <v>40</v>
      </c>
      <c r="F16" s="5" t="s">
        <v>34</v>
      </c>
      <c r="G16" s="5" t="s">
        <v>104</v>
      </c>
    </row>
    <row r="17" customFormat="false" ht="22.35" hidden="false" customHeight="false" outlineLevel="0" collapsed="false">
      <c r="A17" s="5" t="s">
        <v>105</v>
      </c>
      <c r="B17" s="5" t="s">
        <v>106</v>
      </c>
      <c r="C17" s="5" t="s">
        <v>107</v>
      </c>
      <c r="D17" s="5" t="s">
        <v>108</v>
      </c>
      <c r="E17" s="5" t="s">
        <v>47</v>
      </c>
      <c r="F17" s="5" t="s">
        <v>34</v>
      </c>
      <c r="G17" s="5" t="s">
        <v>109</v>
      </c>
    </row>
    <row r="18" customFormat="false" ht="22.35" hidden="false" customHeight="false" outlineLevel="0" collapsed="false">
      <c r="A18" s="5" t="s">
        <v>110</v>
      </c>
      <c r="B18" s="5" t="s">
        <v>111</v>
      </c>
      <c r="C18" s="5" t="s">
        <v>112</v>
      </c>
      <c r="D18" s="5" t="s">
        <v>113</v>
      </c>
      <c r="E18" s="5" t="s">
        <v>47</v>
      </c>
      <c r="F18" s="5" t="s">
        <v>34</v>
      </c>
      <c r="G18" s="5" t="s">
        <v>114</v>
      </c>
    </row>
    <row r="19" customFormat="false" ht="22.35" hidden="false" customHeight="false" outlineLevel="0" collapsed="false">
      <c r="A19" s="5" t="s">
        <v>115</v>
      </c>
      <c r="B19" s="5" t="s">
        <v>116</v>
      </c>
      <c r="C19" s="5" t="s">
        <v>117</v>
      </c>
      <c r="D19" s="5" t="s">
        <v>118</v>
      </c>
      <c r="E19" s="5" t="s">
        <v>47</v>
      </c>
      <c r="F19" s="5" t="s">
        <v>41</v>
      </c>
      <c r="G19" s="5" t="s">
        <v>119</v>
      </c>
    </row>
    <row r="20" customFormat="false" ht="22.35" hidden="false" customHeight="false" outlineLevel="0" collapsed="false">
      <c r="A20" s="5" t="s">
        <v>120</v>
      </c>
      <c r="B20" s="5" t="s">
        <v>121</v>
      </c>
      <c r="C20" s="5" t="s">
        <v>122</v>
      </c>
      <c r="D20" s="5" t="s">
        <v>123</v>
      </c>
      <c r="E20" s="5" t="s">
        <v>124</v>
      </c>
      <c r="F20" s="5" t="s">
        <v>41</v>
      </c>
      <c r="G20" s="5" t="s">
        <v>125</v>
      </c>
    </row>
    <row r="21" customFormat="false" ht="15" hidden="false" customHeight="false" outlineLevel="0" collapsed="false">
      <c r="A21" s="5" t="s">
        <v>126</v>
      </c>
      <c r="B21" s="5" t="s">
        <v>127</v>
      </c>
      <c r="C21" s="5" t="s">
        <v>128</v>
      </c>
      <c r="D21" s="5" t="s">
        <v>129</v>
      </c>
      <c r="E21" s="5" t="s">
        <v>130</v>
      </c>
      <c r="F21" s="5" t="s">
        <v>34</v>
      </c>
      <c r="G21" s="5" t="s">
        <v>131</v>
      </c>
    </row>
    <row r="22" customFormat="false" ht="15" hidden="false" customHeight="false" outlineLevel="0" collapsed="false">
      <c r="A22" s="5" t="s">
        <v>132</v>
      </c>
      <c r="B22" s="5" t="s">
        <v>133</v>
      </c>
      <c r="C22" s="5" t="s">
        <v>134</v>
      </c>
      <c r="D22" s="5" t="s">
        <v>135</v>
      </c>
      <c r="E22" s="5" t="s">
        <v>40</v>
      </c>
      <c r="F22" s="5" t="s">
        <v>34</v>
      </c>
      <c r="G22" s="5" t="s">
        <v>136</v>
      </c>
    </row>
    <row r="23" customFormat="false" ht="15" hidden="false" customHeight="false" outlineLevel="0" collapsed="false">
      <c r="A23" s="5" t="s">
        <v>137</v>
      </c>
      <c r="B23" s="5" t="s">
        <v>138</v>
      </c>
      <c r="C23" s="5" t="s">
        <v>139</v>
      </c>
      <c r="D23" s="5" t="s">
        <v>140</v>
      </c>
      <c r="E23" s="5" t="s">
        <v>40</v>
      </c>
      <c r="F23" s="5" t="s">
        <v>34</v>
      </c>
      <c r="G23" s="5" t="s">
        <v>141</v>
      </c>
    </row>
    <row r="24" customFormat="false" ht="22.35" hidden="false" customHeight="false" outlineLevel="0" collapsed="false">
      <c r="A24" s="5" t="s">
        <v>142</v>
      </c>
      <c r="B24" s="5" t="s">
        <v>143</v>
      </c>
      <c r="C24" s="5" t="s">
        <v>144</v>
      </c>
      <c r="D24" s="5" t="s">
        <v>145</v>
      </c>
      <c r="E24" s="5" t="s">
        <v>124</v>
      </c>
      <c r="F24" s="5" t="s">
        <v>41</v>
      </c>
      <c r="G24" s="5" t="s">
        <v>146</v>
      </c>
    </row>
    <row r="25" customFormat="false" ht="15" hidden="false" customHeight="false" outlineLevel="0" collapsed="false">
      <c r="A25" s="5" t="s">
        <v>147</v>
      </c>
      <c r="B25" s="5" t="s">
        <v>148</v>
      </c>
      <c r="C25" s="5" t="s">
        <v>149</v>
      </c>
      <c r="D25" s="5" t="s">
        <v>150</v>
      </c>
      <c r="E25" s="5" t="s">
        <v>47</v>
      </c>
      <c r="F25" s="5" t="s">
        <v>34</v>
      </c>
      <c r="G25" s="5" t="s">
        <v>151</v>
      </c>
    </row>
    <row r="26" customFormat="false" ht="15" hidden="false" customHeight="false" outlineLevel="0" collapsed="false">
      <c r="A26" s="5" t="s">
        <v>152</v>
      </c>
      <c r="B26" s="5" t="s">
        <v>153</v>
      </c>
      <c r="C26" s="5" t="s">
        <v>154</v>
      </c>
      <c r="D26" s="5" t="s">
        <v>155</v>
      </c>
      <c r="E26" s="5" t="s">
        <v>47</v>
      </c>
      <c r="F26" s="5" t="s">
        <v>34</v>
      </c>
      <c r="G26" s="5" t="s">
        <v>156</v>
      </c>
    </row>
    <row r="27" customFormat="false" ht="32.8" hidden="false" customHeight="false" outlineLevel="0" collapsed="false">
      <c r="A27" s="5" t="s">
        <v>157</v>
      </c>
      <c r="B27" s="5" t="s">
        <v>158</v>
      </c>
      <c r="C27" s="5" t="s">
        <v>159</v>
      </c>
      <c r="D27" s="5" t="s">
        <v>160</v>
      </c>
      <c r="E27" s="5" t="s">
        <v>40</v>
      </c>
      <c r="F27" s="5" t="s">
        <v>34</v>
      </c>
      <c r="G27" s="5" t="s">
        <v>161</v>
      </c>
    </row>
    <row r="28" customFormat="false" ht="22.35" hidden="false" customHeight="false" outlineLevel="0" collapsed="false">
      <c r="A28" s="5" t="s">
        <v>162</v>
      </c>
      <c r="B28" s="5" t="s">
        <v>163</v>
      </c>
      <c r="C28" s="5" t="s">
        <v>164</v>
      </c>
      <c r="D28" s="5" t="s">
        <v>165</v>
      </c>
      <c r="E28" s="5" t="s">
        <v>166</v>
      </c>
      <c r="F28" s="5" t="s">
        <v>167</v>
      </c>
      <c r="G28" s="5" t="s">
        <v>168</v>
      </c>
    </row>
    <row r="29" customFormat="false" ht="22.35" hidden="false" customHeight="false" outlineLevel="0" collapsed="false">
      <c r="A29" s="5" t="s">
        <v>169</v>
      </c>
      <c r="B29" s="5" t="s">
        <v>170</v>
      </c>
      <c r="C29" s="5" t="s">
        <v>171</v>
      </c>
      <c r="D29" s="5" t="s">
        <v>172</v>
      </c>
      <c r="E29" s="5" t="s">
        <v>47</v>
      </c>
      <c r="F29" s="5" t="s">
        <v>34</v>
      </c>
      <c r="G29" s="5" t="s">
        <v>173</v>
      </c>
    </row>
    <row r="30" customFormat="false" ht="15" hidden="false" customHeight="false" outlineLevel="0" collapsed="false">
      <c r="A30" s="5" t="s">
        <v>174</v>
      </c>
      <c r="B30" s="5" t="s">
        <v>175</v>
      </c>
      <c r="C30" s="5" t="s">
        <v>176</v>
      </c>
      <c r="D30" s="5" t="s">
        <v>177</v>
      </c>
      <c r="E30" s="5" t="s">
        <v>178</v>
      </c>
      <c r="F30" s="5" t="s">
        <v>179</v>
      </c>
      <c r="G30" s="5" t="s">
        <v>180</v>
      </c>
    </row>
    <row r="31" customFormat="false" ht="15" hidden="false" customHeight="false" outlineLevel="0" collapsed="false">
      <c r="A31" s="5" t="s">
        <v>181</v>
      </c>
      <c r="B31" s="5" t="s">
        <v>182</v>
      </c>
      <c r="C31" s="5" t="s">
        <v>183</v>
      </c>
      <c r="D31" s="5" t="s">
        <v>184</v>
      </c>
      <c r="E31" s="5" t="s">
        <v>178</v>
      </c>
      <c r="F31" s="5" t="s">
        <v>185</v>
      </c>
      <c r="G31" s="5" t="s">
        <v>186</v>
      </c>
    </row>
    <row r="32" customFormat="false" ht="15" hidden="false" customHeight="false" outlineLevel="0" collapsed="false">
      <c r="A32" s="5" t="s">
        <v>187</v>
      </c>
      <c r="B32" s="5" t="s">
        <v>188</v>
      </c>
      <c r="C32" s="5" t="s">
        <v>189</v>
      </c>
      <c r="D32" s="5" t="s">
        <v>190</v>
      </c>
      <c r="E32" s="5" t="s">
        <v>40</v>
      </c>
      <c r="F32" s="5" t="s">
        <v>179</v>
      </c>
      <c r="G32" s="5" t="s">
        <v>191</v>
      </c>
    </row>
  </sheetData>
  <autoFilter ref="A1:G3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2"/>
    <col collapsed="false" customWidth="true" hidden="false" outlineLevel="0" max="3" min="3" style="0" width="60"/>
    <col collapsed="false" customWidth="true" hidden="false" outlineLevel="0" max="4" min="4" style="0" width="10"/>
    <col collapsed="false" customWidth="true" hidden="false" outlineLevel="0" max="5" min="5" style="0" width="8"/>
    <col collapsed="false" customWidth="true" hidden="false" outlineLevel="0" max="6" min="6" style="0" width="14"/>
  </cols>
  <sheetData>
    <row r="1" customFormat="false" ht="15" hidden="false" customHeight="false" outlineLevel="0" collapsed="false">
      <c r="A1" s="4" t="s">
        <v>192</v>
      </c>
      <c r="B1" s="4" t="s">
        <v>193</v>
      </c>
      <c r="C1" s="4" t="s">
        <v>194</v>
      </c>
      <c r="D1" s="4" t="s">
        <v>195</v>
      </c>
      <c r="E1" s="4" t="s">
        <v>16</v>
      </c>
      <c r="F1" s="4" t="s">
        <v>22</v>
      </c>
    </row>
    <row r="2" customFormat="false" ht="22.35" hidden="false" customHeight="false" outlineLevel="0" collapsed="false">
      <c r="A2" s="5" t="s">
        <v>196</v>
      </c>
      <c r="B2" s="5" t="s">
        <v>197</v>
      </c>
      <c r="C2" s="5" t="s">
        <v>198</v>
      </c>
      <c r="D2" s="5"/>
      <c r="E2" s="5" t="s">
        <v>142</v>
      </c>
      <c r="F2" s="5" t="s">
        <v>146</v>
      </c>
    </row>
    <row r="3" customFormat="false" ht="32.8" hidden="false" customHeight="false" outlineLevel="0" collapsed="false">
      <c r="A3" s="5" t="s">
        <v>196</v>
      </c>
      <c r="B3" s="5" t="s">
        <v>199</v>
      </c>
      <c r="C3" s="5" t="s">
        <v>200</v>
      </c>
      <c r="D3" s="5"/>
      <c r="E3" s="5" t="s">
        <v>142</v>
      </c>
      <c r="F3" s="5" t="s">
        <v>146</v>
      </c>
    </row>
    <row r="4" customFormat="false" ht="22.35" hidden="false" customHeight="false" outlineLevel="0" collapsed="false">
      <c r="A4" s="5" t="s">
        <v>196</v>
      </c>
      <c r="B4" s="5" t="s">
        <v>201</v>
      </c>
      <c r="C4" s="5" t="s">
        <v>202</v>
      </c>
      <c r="D4" s="5"/>
      <c r="E4" s="5" t="s">
        <v>59</v>
      </c>
      <c r="F4" s="5" t="s">
        <v>63</v>
      </c>
    </row>
    <row r="5" customFormat="false" ht="22.35" hidden="false" customHeight="false" outlineLevel="0" collapsed="false">
      <c r="A5" s="5" t="s">
        <v>196</v>
      </c>
      <c r="B5" s="5" t="s">
        <v>203</v>
      </c>
      <c r="C5" s="5" t="s">
        <v>204</v>
      </c>
      <c r="D5" s="5"/>
      <c r="E5" s="5" t="s">
        <v>147</v>
      </c>
      <c r="F5" s="5" t="s">
        <v>151</v>
      </c>
    </row>
    <row r="6" customFormat="false" ht="15" hidden="false" customHeight="false" outlineLevel="0" collapsed="false">
      <c r="A6" s="5" t="s">
        <v>196</v>
      </c>
      <c r="B6" s="5" t="s">
        <v>205</v>
      </c>
      <c r="C6" s="5" t="s">
        <v>206</v>
      </c>
      <c r="D6" s="5"/>
      <c r="E6" s="5" t="s">
        <v>43</v>
      </c>
      <c r="F6" s="5" t="s">
        <v>48</v>
      </c>
    </row>
    <row r="7" customFormat="false" ht="15" hidden="false" customHeight="false" outlineLevel="0" collapsed="false">
      <c r="A7" s="5" t="s">
        <v>196</v>
      </c>
      <c r="B7" s="5" t="s">
        <v>207</v>
      </c>
      <c r="C7" s="5" t="s">
        <v>208</v>
      </c>
      <c r="D7" s="5"/>
      <c r="E7" s="5" t="s">
        <v>110</v>
      </c>
      <c r="F7" s="5" t="s">
        <v>114</v>
      </c>
    </row>
    <row r="8" customFormat="false" ht="32.8" hidden="false" customHeight="false" outlineLevel="0" collapsed="false">
      <c r="A8" s="5" t="s">
        <v>196</v>
      </c>
      <c r="B8" s="5" t="s">
        <v>209</v>
      </c>
      <c r="C8" s="5" t="s">
        <v>210</v>
      </c>
      <c r="D8" s="5"/>
      <c r="E8" s="5" t="s">
        <v>137</v>
      </c>
      <c r="F8" s="5" t="s">
        <v>141</v>
      </c>
    </row>
    <row r="9" customFormat="false" ht="22.35" hidden="false" customHeight="false" outlineLevel="0" collapsed="false">
      <c r="A9" s="5" t="s">
        <v>196</v>
      </c>
      <c r="B9" s="5" t="s">
        <v>211</v>
      </c>
      <c r="C9" s="5" t="s">
        <v>212</v>
      </c>
      <c r="D9" s="5"/>
      <c r="E9" s="5" t="s">
        <v>64</v>
      </c>
      <c r="F9" s="5" t="s">
        <v>68</v>
      </c>
    </row>
    <row r="10" customFormat="false" ht="32.8" hidden="false" customHeight="false" outlineLevel="0" collapsed="false">
      <c r="A10" s="5" t="s">
        <v>196</v>
      </c>
      <c r="B10" s="5" t="s">
        <v>213</v>
      </c>
      <c r="C10" s="5" t="s">
        <v>214</v>
      </c>
      <c r="D10" s="5"/>
      <c r="E10" s="5" t="s">
        <v>95</v>
      </c>
      <c r="F10" s="5" t="s">
        <v>99</v>
      </c>
    </row>
    <row r="11" customFormat="false" ht="22.35" hidden="false" customHeight="false" outlineLevel="0" collapsed="false">
      <c r="A11" s="5" t="s">
        <v>196</v>
      </c>
      <c r="B11" s="5" t="s">
        <v>215</v>
      </c>
      <c r="C11" s="5" t="s">
        <v>216</v>
      </c>
      <c r="D11" s="5"/>
      <c r="E11" s="5" t="s">
        <v>36</v>
      </c>
      <c r="F11" s="5" t="s">
        <v>42</v>
      </c>
    </row>
    <row r="12" customFormat="false" ht="32.8" hidden="false" customHeight="false" outlineLevel="0" collapsed="false">
      <c r="A12" s="5" t="s">
        <v>196</v>
      </c>
      <c r="B12" s="5" t="s">
        <v>217</v>
      </c>
      <c r="C12" s="5" t="s">
        <v>218</v>
      </c>
      <c r="D12" s="5"/>
      <c r="E12" s="5" t="s">
        <v>152</v>
      </c>
      <c r="F12" s="5" t="s">
        <v>156</v>
      </c>
    </row>
    <row r="13" customFormat="false" ht="15" hidden="false" customHeight="false" outlineLevel="0" collapsed="false">
      <c r="A13" s="5" t="s">
        <v>219</v>
      </c>
      <c r="B13" s="5" t="s">
        <v>220</v>
      </c>
      <c r="C13" s="5" t="s">
        <v>221</v>
      </c>
      <c r="D13" s="5"/>
      <c r="E13" s="5" t="s">
        <v>157</v>
      </c>
      <c r="F13" s="5" t="s">
        <v>161</v>
      </c>
    </row>
    <row r="14" customFormat="false" ht="15" hidden="false" customHeight="false" outlineLevel="0" collapsed="false">
      <c r="A14" s="5" t="s">
        <v>219</v>
      </c>
      <c r="B14" s="5" t="s">
        <v>222</v>
      </c>
      <c r="C14" s="5" t="s">
        <v>223</v>
      </c>
      <c r="D14" s="5"/>
      <c r="E14" s="5" t="s">
        <v>157</v>
      </c>
      <c r="F14" s="5" t="s">
        <v>161</v>
      </c>
    </row>
    <row r="15" customFormat="false" ht="15" hidden="false" customHeight="false" outlineLevel="0" collapsed="false">
      <c r="A15" s="5" t="s">
        <v>219</v>
      </c>
      <c r="B15" s="5" t="s">
        <v>224</v>
      </c>
      <c r="C15" s="5" t="s">
        <v>225</v>
      </c>
      <c r="D15" s="5"/>
      <c r="E15" s="5" t="s">
        <v>84</v>
      </c>
      <c r="F15" s="5" t="s">
        <v>89</v>
      </c>
    </row>
    <row r="16" customFormat="false" ht="15" hidden="false" customHeight="false" outlineLevel="0" collapsed="false">
      <c r="A16" s="5" t="s">
        <v>219</v>
      </c>
      <c r="B16" s="5" t="s">
        <v>226</v>
      </c>
      <c r="C16" s="5" t="s">
        <v>227</v>
      </c>
      <c r="D16" s="5"/>
      <c r="E16" s="5" t="s">
        <v>105</v>
      </c>
      <c r="F16" s="5" t="s">
        <v>109</v>
      </c>
    </row>
    <row r="17" customFormat="false" ht="15" hidden="false" customHeight="false" outlineLevel="0" collapsed="false">
      <c r="A17" s="5" t="s">
        <v>219</v>
      </c>
      <c r="B17" s="5" t="s">
        <v>228</v>
      </c>
      <c r="C17" s="5" t="s">
        <v>229</v>
      </c>
      <c r="D17" s="5"/>
      <c r="E17" s="5" t="s">
        <v>95</v>
      </c>
      <c r="F17" s="5" t="s">
        <v>99</v>
      </c>
    </row>
    <row r="18" customFormat="false" ht="15" hidden="false" customHeight="false" outlineLevel="0" collapsed="false">
      <c r="A18" s="5" t="s">
        <v>219</v>
      </c>
      <c r="B18" s="5" t="s">
        <v>230</v>
      </c>
      <c r="C18" s="5" t="s">
        <v>231</v>
      </c>
      <c r="D18" s="5"/>
      <c r="E18" s="5" t="s">
        <v>64</v>
      </c>
      <c r="F18" s="5" t="s">
        <v>68</v>
      </c>
    </row>
    <row r="19" customFormat="false" ht="15" hidden="false" customHeight="false" outlineLevel="0" collapsed="false">
      <c r="A19" s="5" t="s">
        <v>219</v>
      </c>
      <c r="B19" s="5" t="s">
        <v>232</v>
      </c>
      <c r="C19" s="5" t="s">
        <v>233</v>
      </c>
      <c r="D19" s="5"/>
      <c r="E19" s="5" t="s">
        <v>162</v>
      </c>
      <c r="F19" s="5" t="s">
        <v>168</v>
      </c>
    </row>
    <row r="20" customFormat="false" ht="15" hidden="false" customHeight="false" outlineLevel="0" collapsed="false">
      <c r="A20" s="5" t="s">
        <v>219</v>
      </c>
      <c r="B20" s="5" t="s">
        <v>234</v>
      </c>
      <c r="C20" s="5" t="s">
        <v>235</v>
      </c>
      <c r="D20" s="5"/>
      <c r="E20" s="5" t="s">
        <v>169</v>
      </c>
      <c r="F20" s="5" t="s">
        <v>173</v>
      </c>
    </row>
    <row r="21" customFormat="false" ht="22.35" hidden="false" customHeight="false" outlineLevel="0" collapsed="false">
      <c r="A21" s="5" t="s">
        <v>236</v>
      </c>
      <c r="B21" s="5" t="s">
        <v>237</v>
      </c>
      <c r="C21" s="5" t="s">
        <v>238</v>
      </c>
      <c r="D21" s="5"/>
      <c r="E21" s="5" t="s">
        <v>157</v>
      </c>
      <c r="F21" s="5" t="s">
        <v>161</v>
      </c>
    </row>
    <row r="22" customFormat="false" ht="32.8" hidden="false" customHeight="false" outlineLevel="0" collapsed="false">
      <c r="A22" s="5" t="s">
        <v>236</v>
      </c>
      <c r="B22" s="5" t="s">
        <v>239</v>
      </c>
      <c r="C22" s="5" t="s">
        <v>240</v>
      </c>
      <c r="D22" s="5"/>
      <c r="E22" s="5" t="s">
        <v>157</v>
      </c>
      <c r="F22" s="5" t="s">
        <v>161</v>
      </c>
    </row>
    <row r="23" customFormat="false" ht="32.8" hidden="false" customHeight="false" outlineLevel="0" collapsed="false">
      <c r="A23" s="5" t="s">
        <v>236</v>
      </c>
      <c r="B23" s="5" t="s">
        <v>241</v>
      </c>
      <c r="C23" s="5" t="s">
        <v>242</v>
      </c>
      <c r="D23" s="5"/>
      <c r="E23" s="5" t="s">
        <v>64</v>
      </c>
      <c r="F23" s="5" t="s">
        <v>68</v>
      </c>
    </row>
    <row r="24" customFormat="false" ht="15" hidden="false" customHeight="false" outlineLevel="0" collapsed="false">
      <c r="A24" s="5" t="s">
        <v>236</v>
      </c>
      <c r="B24" s="5" t="s">
        <v>243</v>
      </c>
      <c r="C24" s="5" t="s">
        <v>244</v>
      </c>
      <c r="D24" s="5"/>
      <c r="E24" s="5" t="s">
        <v>59</v>
      </c>
      <c r="F24" s="5" t="s">
        <v>63</v>
      </c>
    </row>
    <row r="25" customFormat="false" ht="15" hidden="false" customHeight="false" outlineLevel="0" collapsed="false">
      <c r="A25" s="5" t="s">
        <v>236</v>
      </c>
      <c r="B25" s="5" t="s">
        <v>245</v>
      </c>
      <c r="C25" s="5" t="s">
        <v>246</v>
      </c>
      <c r="D25" s="5"/>
      <c r="E25" s="5" t="s">
        <v>169</v>
      </c>
      <c r="F25" s="5" t="s">
        <v>173</v>
      </c>
    </row>
    <row r="26" customFormat="false" ht="15" hidden="false" customHeight="false" outlineLevel="0" collapsed="false">
      <c r="A26" s="5" t="s">
        <v>236</v>
      </c>
      <c r="B26" s="5" t="s">
        <v>247</v>
      </c>
      <c r="C26" s="5" t="s">
        <v>248</v>
      </c>
      <c r="D26" s="5"/>
      <c r="E26" s="5" t="s">
        <v>23</v>
      </c>
      <c r="F26" s="5" t="s">
        <v>29</v>
      </c>
    </row>
    <row r="27" customFormat="false" ht="15" hidden="false" customHeight="false" outlineLevel="0" collapsed="false">
      <c r="A27" s="5" t="s">
        <v>236</v>
      </c>
      <c r="B27" s="5" t="s">
        <v>249</v>
      </c>
      <c r="C27" s="5" t="s">
        <v>250</v>
      </c>
      <c r="D27" s="5"/>
      <c r="E27" s="5" t="s">
        <v>162</v>
      </c>
      <c r="F27" s="5" t="s">
        <v>168</v>
      </c>
    </row>
    <row r="28" customFormat="false" ht="15" hidden="false" customHeight="false" outlineLevel="0" collapsed="false">
      <c r="A28" s="5" t="s">
        <v>236</v>
      </c>
      <c r="B28" s="5" t="s">
        <v>251</v>
      </c>
      <c r="C28" s="5" t="s">
        <v>252</v>
      </c>
      <c r="D28" s="5"/>
      <c r="E28" s="5" t="s">
        <v>181</v>
      </c>
      <c r="F28" s="5" t="s">
        <v>186</v>
      </c>
    </row>
    <row r="29" customFormat="false" ht="15" hidden="false" customHeight="false" outlineLevel="0" collapsed="false">
      <c r="A29" s="5" t="s">
        <v>236</v>
      </c>
      <c r="B29" s="5" t="s">
        <v>253</v>
      </c>
      <c r="C29" s="5" t="s">
        <v>254</v>
      </c>
      <c r="D29" s="5"/>
      <c r="E29" s="5" t="s">
        <v>84</v>
      </c>
      <c r="F29" s="5" t="s">
        <v>89</v>
      </c>
    </row>
    <row r="30" customFormat="false" ht="15" hidden="false" customHeight="false" outlineLevel="0" collapsed="false">
      <c r="A30" s="5" t="s">
        <v>236</v>
      </c>
      <c r="B30" s="5" t="s">
        <v>255</v>
      </c>
      <c r="C30" s="5" t="s">
        <v>256</v>
      </c>
      <c r="D30" s="5"/>
      <c r="E30" s="5" t="s">
        <v>174</v>
      </c>
      <c r="F30" s="5" t="s">
        <v>180</v>
      </c>
    </row>
    <row r="31" customFormat="false" ht="15" hidden="false" customHeight="false" outlineLevel="0" collapsed="false">
      <c r="A31" s="5" t="s">
        <v>236</v>
      </c>
      <c r="B31" s="5" t="s">
        <v>257</v>
      </c>
      <c r="C31" s="5" t="s">
        <v>258</v>
      </c>
      <c r="D31" s="5"/>
      <c r="E31" s="5" t="s">
        <v>174</v>
      </c>
      <c r="F31" s="5" t="s">
        <v>180</v>
      </c>
    </row>
    <row r="32" customFormat="false" ht="15" hidden="false" customHeight="false" outlineLevel="0" collapsed="false">
      <c r="A32" s="5" t="s">
        <v>236</v>
      </c>
      <c r="B32" s="5" t="s">
        <v>259</v>
      </c>
      <c r="C32" s="5" t="s">
        <v>260</v>
      </c>
      <c r="D32" s="5"/>
      <c r="E32" s="5" t="s">
        <v>64</v>
      </c>
      <c r="F32" s="5" t="s">
        <v>68</v>
      </c>
    </row>
    <row r="33" customFormat="false" ht="15" hidden="false" customHeight="false" outlineLevel="0" collapsed="false">
      <c r="A33" s="5" t="s">
        <v>261</v>
      </c>
      <c r="B33" s="5" t="s">
        <v>262</v>
      </c>
      <c r="C33" s="5" t="s">
        <v>263</v>
      </c>
      <c r="D33" s="5"/>
      <c r="E33" s="5" t="s">
        <v>59</v>
      </c>
      <c r="F33" s="5" t="s">
        <v>63</v>
      </c>
    </row>
    <row r="34" customFormat="false" ht="15" hidden="false" customHeight="false" outlineLevel="0" collapsed="false">
      <c r="A34" s="5" t="s">
        <v>261</v>
      </c>
      <c r="B34" s="5" t="s">
        <v>264</v>
      </c>
      <c r="C34" s="5" t="s">
        <v>265</v>
      </c>
      <c r="D34" s="5"/>
      <c r="E34" s="5" t="s">
        <v>187</v>
      </c>
      <c r="F34" s="5" t="s">
        <v>191</v>
      </c>
    </row>
    <row r="35" customFormat="false" ht="15" hidden="false" customHeight="false" outlineLevel="0" collapsed="false">
      <c r="A35" s="5" t="s">
        <v>261</v>
      </c>
      <c r="B35" s="5" t="s">
        <v>266</v>
      </c>
      <c r="C35" s="5" t="s">
        <v>267</v>
      </c>
      <c r="D35" s="5"/>
      <c r="E35" s="5" t="s">
        <v>157</v>
      </c>
      <c r="F35" s="5" t="s">
        <v>161</v>
      </c>
    </row>
    <row r="36" customFormat="false" ht="15" hidden="false" customHeight="false" outlineLevel="0" collapsed="false">
      <c r="A36" s="5" t="s">
        <v>261</v>
      </c>
      <c r="B36" s="5" t="s">
        <v>268</v>
      </c>
      <c r="C36" s="5" t="s">
        <v>269</v>
      </c>
      <c r="D36" s="5"/>
      <c r="E36" s="5" t="s">
        <v>84</v>
      </c>
      <c r="F36" s="5" t="s">
        <v>89</v>
      </c>
    </row>
    <row r="37" customFormat="false" ht="15" hidden="false" customHeight="false" outlineLevel="0" collapsed="false">
      <c r="A37" s="5" t="s">
        <v>261</v>
      </c>
      <c r="B37" s="5" t="s">
        <v>270</v>
      </c>
      <c r="C37" s="5" t="s">
        <v>271</v>
      </c>
      <c r="D37" s="5"/>
      <c r="E37" s="5" t="s">
        <v>120</v>
      </c>
      <c r="F37" s="5" t="s">
        <v>125</v>
      </c>
    </row>
    <row r="38" customFormat="false" ht="15" hidden="false" customHeight="false" outlineLevel="0" collapsed="false">
      <c r="A38" s="5" t="s">
        <v>261</v>
      </c>
      <c r="B38" s="5" t="s">
        <v>272</v>
      </c>
      <c r="C38" s="5" t="s">
        <v>273</v>
      </c>
      <c r="D38" s="5"/>
      <c r="E38" s="5" t="s">
        <v>64</v>
      </c>
      <c r="F38" s="5" t="s">
        <v>68</v>
      </c>
    </row>
    <row r="39" customFormat="false" ht="15" hidden="false" customHeight="false" outlineLevel="0" collapsed="false">
      <c r="A39" s="5" t="s">
        <v>261</v>
      </c>
      <c r="B39" s="5" t="s">
        <v>274</v>
      </c>
      <c r="C39" s="5" t="s">
        <v>275</v>
      </c>
      <c r="D39" s="5"/>
      <c r="E39" s="5" t="s">
        <v>59</v>
      </c>
      <c r="F39" s="5" t="s">
        <v>63</v>
      </c>
    </row>
    <row r="40" customFormat="false" ht="15" hidden="false" customHeight="false" outlineLevel="0" collapsed="false">
      <c r="A40" s="5" t="s">
        <v>261</v>
      </c>
      <c r="B40" s="5" t="s">
        <v>276</v>
      </c>
      <c r="C40" s="5" t="s">
        <v>277</v>
      </c>
      <c r="D40" s="5"/>
      <c r="E40" s="5" t="s">
        <v>115</v>
      </c>
      <c r="F40" s="5" t="s">
        <v>119</v>
      </c>
    </row>
    <row r="41" customFormat="false" ht="15" hidden="false" customHeight="false" outlineLevel="0" collapsed="false">
      <c r="A41" s="5" t="s">
        <v>278</v>
      </c>
      <c r="B41" s="5" t="s">
        <v>279</v>
      </c>
      <c r="C41" s="5" t="s">
        <v>280</v>
      </c>
      <c r="D41" s="5" t="s">
        <v>281</v>
      </c>
      <c r="E41" s="5" t="s">
        <v>23</v>
      </c>
      <c r="F41" s="5" t="s">
        <v>29</v>
      </c>
    </row>
    <row r="42" customFormat="false" ht="15" hidden="false" customHeight="false" outlineLevel="0" collapsed="false">
      <c r="A42" s="5" t="s">
        <v>278</v>
      </c>
      <c r="B42" s="5" t="s">
        <v>282</v>
      </c>
      <c r="C42" s="5" t="s">
        <v>283</v>
      </c>
      <c r="D42" s="5" t="s">
        <v>284</v>
      </c>
      <c r="E42" s="5" t="s">
        <v>30</v>
      </c>
      <c r="F42" s="5" t="s">
        <v>35</v>
      </c>
    </row>
    <row r="43" customFormat="false" ht="15" hidden="false" customHeight="false" outlineLevel="0" collapsed="false">
      <c r="A43" s="5" t="s">
        <v>278</v>
      </c>
      <c r="B43" s="5" t="s">
        <v>285</v>
      </c>
      <c r="C43" s="5" t="s">
        <v>37</v>
      </c>
      <c r="D43" s="5" t="s">
        <v>286</v>
      </c>
      <c r="E43" s="5" t="s">
        <v>36</v>
      </c>
      <c r="F43" s="5" t="s">
        <v>42</v>
      </c>
    </row>
    <row r="44" customFormat="false" ht="15" hidden="false" customHeight="false" outlineLevel="0" collapsed="false">
      <c r="A44" s="5" t="s">
        <v>278</v>
      </c>
      <c r="B44" s="5" t="s">
        <v>287</v>
      </c>
      <c r="C44" s="5" t="s">
        <v>288</v>
      </c>
      <c r="D44" s="5" t="s">
        <v>284</v>
      </c>
      <c r="E44" s="5" t="s">
        <v>43</v>
      </c>
      <c r="F44" s="5" t="s">
        <v>48</v>
      </c>
    </row>
    <row r="45" customFormat="false" ht="15" hidden="false" customHeight="false" outlineLevel="0" collapsed="false">
      <c r="A45" s="5" t="s">
        <v>278</v>
      </c>
      <c r="B45" s="5" t="s">
        <v>289</v>
      </c>
      <c r="C45" s="5" t="s">
        <v>290</v>
      </c>
      <c r="D45" s="5" t="s">
        <v>286</v>
      </c>
      <c r="E45" s="5" t="s">
        <v>49</v>
      </c>
      <c r="F45" s="5" t="s">
        <v>53</v>
      </c>
    </row>
    <row r="46" customFormat="false" ht="15" hidden="false" customHeight="false" outlineLevel="0" collapsed="false">
      <c r="A46" s="5" t="s">
        <v>278</v>
      </c>
      <c r="B46" s="5" t="s">
        <v>291</v>
      </c>
      <c r="C46" s="5" t="s">
        <v>292</v>
      </c>
      <c r="D46" s="5" t="s">
        <v>286</v>
      </c>
      <c r="E46" s="5" t="s">
        <v>54</v>
      </c>
      <c r="F46" s="5" t="s">
        <v>58</v>
      </c>
    </row>
    <row r="47" customFormat="false" ht="15" hidden="false" customHeight="false" outlineLevel="0" collapsed="false">
      <c r="A47" s="5" t="s">
        <v>278</v>
      </c>
      <c r="B47" s="5" t="s">
        <v>293</v>
      </c>
      <c r="C47" s="5" t="s">
        <v>294</v>
      </c>
      <c r="D47" s="5" t="s">
        <v>281</v>
      </c>
      <c r="E47" s="5" t="s">
        <v>59</v>
      </c>
      <c r="F47" s="5" t="s">
        <v>63</v>
      </c>
    </row>
    <row r="48" customFormat="false" ht="15" hidden="false" customHeight="false" outlineLevel="0" collapsed="false">
      <c r="A48" s="5" t="s">
        <v>278</v>
      </c>
      <c r="B48" s="5" t="s">
        <v>295</v>
      </c>
      <c r="C48" s="5" t="s">
        <v>296</v>
      </c>
      <c r="D48" s="5" t="s">
        <v>284</v>
      </c>
      <c r="E48" s="5" t="s">
        <v>64</v>
      </c>
      <c r="F48" s="5" t="s">
        <v>68</v>
      </c>
    </row>
    <row r="49" customFormat="false" ht="15" hidden="false" customHeight="false" outlineLevel="0" collapsed="false">
      <c r="A49" s="5" t="s">
        <v>278</v>
      </c>
      <c r="B49" s="5" t="s">
        <v>297</v>
      </c>
      <c r="C49" s="5" t="s">
        <v>298</v>
      </c>
      <c r="D49" s="5" t="s">
        <v>284</v>
      </c>
      <c r="E49" s="5" t="s">
        <v>69</v>
      </c>
      <c r="F49" s="5" t="s">
        <v>73</v>
      </c>
    </row>
    <row r="50" customFormat="false" ht="15" hidden="false" customHeight="false" outlineLevel="0" collapsed="false">
      <c r="A50" s="5" t="s">
        <v>278</v>
      </c>
      <c r="B50" s="5" t="s">
        <v>299</v>
      </c>
      <c r="C50" s="5" t="s">
        <v>75</v>
      </c>
      <c r="D50" s="5" t="s">
        <v>284</v>
      </c>
      <c r="E50" s="5" t="s">
        <v>74</v>
      </c>
      <c r="F50" s="5" t="s">
        <v>78</v>
      </c>
    </row>
    <row r="51" customFormat="false" ht="15" hidden="false" customHeight="false" outlineLevel="0" collapsed="false">
      <c r="A51" s="5" t="s">
        <v>278</v>
      </c>
      <c r="B51" s="5" t="s">
        <v>300</v>
      </c>
      <c r="C51" s="5" t="s">
        <v>301</v>
      </c>
      <c r="D51" s="5" t="s">
        <v>286</v>
      </c>
      <c r="E51" s="5" t="s">
        <v>79</v>
      </c>
      <c r="F51" s="5" t="s">
        <v>83</v>
      </c>
    </row>
    <row r="52" customFormat="false" ht="15" hidden="false" customHeight="false" outlineLevel="0" collapsed="false">
      <c r="A52" s="5" t="s">
        <v>278</v>
      </c>
      <c r="B52" s="5" t="s">
        <v>302</v>
      </c>
      <c r="C52" s="5" t="s">
        <v>303</v>
      </c>
      <c r="D52" s="5" t="s">
        <v>281</v>
      </c>
      <c r="E52" s="5" t="s">
        <v>84</v>
      </c>
      <c r="F52" s="5" t="s">
        <v>89</v>
      </c>
    </row>
    <row r="53" customFormat="false" ht="15" hidden="false" customHeight="false" outlineLevel="0" collapsed="false">
      <c r="A53" s="5" t="s">
        <v>278</v>
      </c>
      <c r="B53" s="5" t="s">
        <v>304</v>
      </c>
      <c r="C53" s="5" t="s">
        <v>305</v>
      </c>
      <c r="D53" s="5" t="s">
        <v>286</v>
      </c>
      <c r="E53" s="5" t="s">
        <v>90</v>
      </c>
      <c r="F53" s="5" t="s">
        <v>94</v>
      </c>
    </row>
    <row r="54" customFormat="false" ht="15" hidden="false" customHeight="false" outlineLevel="0" collapsed="false">
      <c r="A54" s="5" t="s">
        <v>278</v>
      </c>
      <c r="B54" s="5" t="s">
        <v>306</v>
      </c>
      <c r="C54" s="5" t="s">
        <v>307</v>
      </c>
      <c r="D54" s="5" t="s">
        <v>286</v>
      </c>
      <c r="E54" s="5" t="s">
        <v>95</v>
      </c>
      <c r="F54" s="5" t="s">
        <v>99</v>
      </c>
    </row>
    <row r="55" customFormat="false" ht="15" hidden="false" customHeight="false" outlineLevel="0" collapsed="false">
      <c r="A55" s="5" t="s">
        <v>278</v>
      </c>
      <c r="B55" s="5" t="s">
        <v>308</v>
      </c>
      <c r="C55" s="5" t="s">
        <v>309</v>
      </c>
      <c r="D55" s="5" t="s">
        <v>286</v>
      </c>
      <c r="E55" s="5" t="s">
        <v>100</v>
      </c>
      <c r="F55" s="5" t="s">
        <v>104</v>
      </c>
    </row>
    <row r="56" customFormat="false" ht="15" hidden="false" customHeight="false" outlineLevel="0" collapsed="false">
      <c r="A56" s="5" t="s">
        <v>278</v>
      </c>
      <c r="B56" s="5" t="s">
        <v>310</v>
      </c>
      <c r="C56" s="5" t="s">
        <v>311</v>
      </c>
      <c r="D56" s="5" t="s">
        <v>284</v>
      </c>
      <c r="E56" s="5" t="s">
        <v>105</v>
      </c>
      <c r="F56" s="5" t="s">
        <v>109</v>
      </c>
    </row>
    <row r="57" customFormat="false" ht="15" hidden="false" customHeight="false" outlineLevel="0" collapsed="false">
      <c r="A57" s="5" t="s">
        <v>278</v>
      </c>
      <c r="B57" s="5" t="s">
        <v>312</v>
      </c>
      <c r="C57" s="5" t="s">
        <v>313</v>
      </c>
      <c r="D57" s="5" t="s">
        <v>286</v>
      </c>
      <c r="E57" s="5" t="s">
        <v>110</v>
      </c>
      <c r="F57" s="5" t="s">
        <v>114</v>
      </c>
    </row>
    <row r="58" customFormat="false" ht="15" hidden="false" customHeight="false" outlineLevel="0" collapsed="false">
      <c r="A58" s="5" t="s">
        <v>278</v>
      </c>
      <c r="B58" s="5" t="s">
        <v>314</v>
      </c>
      <c r="C58" s="5" t="s">
        <v>315</v>
      </c>
      <c r="D58" s="5" t="s">
        <v>286</v>
      </c>
      <c r="E58" s="5" t="s">
        <v>115</v>
      </c>
      <c r="F58" s="5" t="s">
        <v>119</v>
      </c>
    </row>
    <row r="59" customFormat="false" ht="15" hidden="false" customHeight="false" outlineLevel="0" collapsed="false">
      <c r="A59" s="5" t="s">
        <v>278</v>
      </c>
      <c r="B59" s="5" t="s">
        <v>316</v>
      </c>
      <c r="C59" s="5" t="s">
        <v>317</v>
      </c>
      <c r="D59" s="5" t="s">
        <v>284</v>
      </c>
      <c r="E59" s="5" t="s">
        <v>120</v>
      </c>
      <c r="F59" s="5" t="s">
        <v>125</v>
      </c>
    </row>
    <row r="60" customFormat="false" ht="15" hidden="false" customHeight="false" outlineLevel="0" collapsed="false">
      <c r="A60" s="5" t="s">
        <v>278</v>
      </c>
      <c r="B60" s="5" t="s">
        <v>318</v>
      </c>
      <c r="C60" s="5" t="s">
        <v>319</v>
      </c>
      <c r="D60" s="5" t="s">
        <v>284</v>
      </c>
      <c r="E60" s="5" t="s">
        <v>126</v>
      </c>
      <c r="F60" s="5" t="s">
        <v>131</v>
      </c>
    </row>
    <row r="61" customFormat="false" ht="15" hidden="false" customHeight="false" outlineLevel="0" collapsed="false">
      <c r="A61" s="5" t="s">
        <v>278</v>
      </c>
      <c r="B61" s="5" t="s">
        <v>320</v>
      </c>
      <c r="C61" s="5" t="s">
        <v>321</v>
      </c>
      <c r="D61" s="5" t="s">
        <v>284</v>
      </c>
      <c r="E61" s="5" t="s">
        <v>132</v>
      </c>
      <c r="F61" s="5" t="s">
        <v>136</v>
      </c>
    </row>
    <row r="62" customFormat="false" ht="15" hidden="false" customHeight="false" outlineLevel="0" collapsed="false">
      <c r="A62" s="5" t="s">
        <v>278</v>
      </c>
      <c r="B62" s="5" t="s">
        <v>322</v>
      </c>
      <c r="C62" s="5" t="s">
        <v>323</v>
      </c>
      <c r="D62" s="5" t="s">
        <v>286</v>
      </c>
      <c r="E62" s="5" t="s">
        <v>137</v>
      </c>
      <c r="F62" s="5" t="s">
        <v>141</v>
      </c>
    </row>
  </sheetData>
  <autoFilter ref="A1:F6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8"/>
    <col collapsed="false" customWidth="true" hidden="false" outlineLevel="0" max="3" min="3" style="0" width="10"/>
    <col collapsed="false" customWidth="true" hidden="false" outlineLevel="0" max="4" min="4" style="0" width="44"/>
    <col collapsed="false" customWidth="true" hidden="false" outlineLevel="0" max="5" min="5" style="0" width="16"/>
    <col collapsed="false" customWidth="true" hidden="false" outlineLevel="0" max="6" min="6" style="0" width="9"/>
    <col collapsed="false" customWidth="true" hidden="false" outlineLevel="0" max="7" min="7" style="0" width="26"/>
    <col collapsed="false" customWidth="true" hidden="false" outlineLevel="0" max="8" min="8" style="0" width="18"/>
    <col collapsed="false" customWidth="true" hidden="false" outlineLevel="0" max="9" min="9" style="0" width="40"/>
    <col collapsed="false" customWidth="true" hidden="false" outlineLevel="0" max="11" min="10" style="0" width="16"/>
    <col collapsed="false" customWidth="true" hidden="false" outlineLevel="0" max="12" min="12" style="0" width="14"/>
  </cols>
  <sheetData>
    <row r="1" customFormat="false" ht="23.85" hidden="false" customHeight="false" outlineLevel="0" collapsed="false">
      <c r="A1" s="4" t="s">
        <v>324</v>
      </c>
      <c r="B1" s="4" t="s">
        <v>192</v>
      </c>
      <c r="C1" s="4" t="s">
        <v>193</v>
      </c>
      <c r="D1" s="4" t="s">
        <v>325</v>
      </c>
      <c r="E1" s="4" t="s">
        <v>326</v>
      </c>
      <c r="F1" s="4" t="s">
        <v>327</v>
      </c>
      <c r="G1" s="4" t="s">
        <v>328</v>
      </c>
      <c r="H1" s="4" t="s">
        <v>329</v>
      </c>
      <c r="I1" s="4" t="s">
        <v>330</v>
      </c>
      <c r="J1" s="4" t="s">
        <v>21</v>
      </c>
      <c r="K1" s="4" t="s">
        <v>331</v>
      </c>
      <c r="L1" s="4" t="s">
        <v>22</v>
      </c>
    </row>
    <row r="2" customFormat="false" ht="15" hidden="false" customHeight="false" outlineLevel="0" collapsed="false">
      <c r="A2" s="5" t="n">
        <v>1</v>
      </c>
      <c r="B2" s="5" t="s">
        <v>196</v>
      </c>
      <c r="C2" s="5" t="s">
        <v>332</v>
      </c>
      <c r="D2" s="5" t="s">
        <v>333</v>
      </c>
      <c r="E2" s="5" t="s">
        <v>334</v>
      </c>
      <c r="F2" s="5"/>
      <c r="G2" s="5" t="s">
        <v>335</v>
      </c>
      <c r="H2" s="5" t="s">
        <v>20</v>
      </c>
      <c r="I2" s="5" t="s">
        <v>336</v>
      </c>
      <c r="J2" s="5" t="s">
        <v>34</v>
      </c>
      <c r="K2" s="5" t="s">
        <v>337</v>
      </c>
      <c r="L2" s="5" t="s">
        <v>338</v>
      </c>
    </row>
    <row r="3" customFormat="false" ht="22.35" hidden="false" customHeight="false" outlineLevel="0" collapsed="false">
      <c r="A3" s="5" t="n">
        <v>2</v>
      </c>
      <c r="B3" s="5" t="s">
        <v>196</v>
      </c>
      <c r="C3" s="5" t="s">
        <v>339</v>
      </c>
      <c r="D3" s="5" t="s">
        <v>340</v>
      </c>
      <c r="E3" s="5" t="s">
        <v>334</v>
      </c>
      <c r="F3" s="5"/>
      <c r="G3" s="5" t="s">
        <v>341</v>
      </c>
      <c r="H3" s="5" t="s">
        <v>342</v>
      </c>
      <c r="I3" s="5" t="s">
        <v>343</v>
      </c>
      <c r="J3" s="5" t="s">
        <v>34</v>
      </c>
      <c r="K3" s="5" t="s">
        <v>337</v>
      </c>
      <c r="L3" s="5" t="s">
        <v>338</v>
      </c>
    </row>
    <row r="4" customFormat="false" ht="22.35" hidden="false" customHeight="false" outlineLevel="0" collapsed="false">
      <c r="A4" s="5" t="n">
        <v>3</v>
      </c>
      <c r="B4" s="5" t="s">
        <v>196</v>
      </c>
      <c r="C4" s="5" t="s">
        <v>344</v>
      </c>
      <c r="D4" s="5" t="s">
        <v>345</v>
      </c>
      <c r="E4" s="5" t="s">
        <v>334</v>
      </c>
      <c r="F4" s="5"/>
      <c r="G4" s="5" t="s">
        <v>346</v>
      </c>
      <c r="H4" s="5" t="s">
        <v>347</v>
      </c>
      <c r="I4" s="5" t="s">
        <v>348</v>
      </c>
      <c r="J4" s="5" t="s">
        <v>34</v>
      </c>
      <c r="K4" s="5" t="s">
        <v>337</v>
      </c>
      <c r="L4" s="5" t="s">
        <v>338</v>
      </c>
    </row>
    <row r="5" customFormat="false" ht="22.35" hidden="false" customHeight="false" outlineLevel="0" collapsed="false">
      <c r="A5" s="5" t="n">
        <v>4</v>
      </c>
      <c r="B5" s="5" t="s">
        <v>196</v>
      </c>
      <c r="C5" s="5" t="s">
        <v>349</v>
      </c>
      <c r="D5" s="5" t="s">
        <v>350</v>
      </c>
      <c r="E5" s="5" t="s">
        <v>334</v>
      </c>
      <c r="F5" s="5"/>
      <c r="G5" s="5" t="s">
        <v>335</v>
      </c>
      <c r="H5" s="5" t="s">
        <v>20</v>
      </c>
      <c r="I5" s="5" t="s">
        <v>351</v>
      </c>
      <c r="J5" s="5" t="s">
        <v>34</v>
      </c>
      <c r="K5" s="5" t="s">
        <v>337</v>
      </c>
      <c r="L5" s="5" t="s">
        <v>338</v>
      </c>
    </row>
    <row r="6" customFormat="false" ht="22.35" hidden="false" customHeight="false" outlineLevel="0" collapsed="false">
      <c r="A6" s="5" t="n">
        <v>5</v>
      </c>
      <c r="B6" s="5" t="s">
        <v>196</v>
      </c>
      <c r="C6" s="5" t="s">
        <v>352</v>
      </c>
      <c r="D6" s="5" t="s">
        <v>353</v>
      </c>
      <c r="E6" s="5" t="s">
        <v>334</v>
      </c>
      <c r="F6" s="5"/>
      <c r="G6" s="5" t="s">
        <v>335</v>
      </c>
      <c r="H6" s="5" t="s">
        <v>20</v>
      </c>
      <c r="I6" s="5" t="s">
        <v>354</v>
      </c>
      <c r="J6" s="5" t="s">
        <v>34</v>
      </c>
      <c r="K6" s="5" t="s">
        <v>337</v>
      </c>
      <c r="L6" s="5" t="s">
        <v>338</v>
      </c>
    </row>
    <row r="7" customFormat="false" ht="22.35" hidden="false" customHeight="false" outlineLevel="0" collapsed="false">
      <c r="A7" s="5" t="n">
        <v>6</v>
      </c>
      <c r="B7" s="5" t="s">
        <v>196</v>
      </c>
      <c r="C7" s="5" t="s">
        <v>355</v>
      </c>
      <c r="D7" s="5" t="s">
        <v>356</v>
      </c>
      <c r="E7" s="5" t="s">
        <v>334</v>
      </c>
      <c r="F7" s="5"/>
      <c r="G7" s="5" t="s">
        <v>335</v>
      </c>
      <c r="H7" s="5" t="s">
        <v>20</v>
      </c>
      <c r="I7" s="5" t="s">
        <v>357</v>
      </c>
      <c r="J7" s="5" t="s">
        <v>34</v>
      </c>
      <c r="K7" s="5" t="s">
        <v>337</v>
      </c>
      <c r="L7" s="5" t="s">
        <v>338</v>
      </c>
    </row>
    <row r="8" customFormat="false" ht="32.8" hidden="false" customHeight="false" outlineLevel="0" collapsed="false">
      <c r="A8" s="5" t="n">
        <v>7</v>
      </c>
      <c r="B8" s="5" t="s">
        <v>196</v>
      </c>
      <c r="C8" s="5" t="s">
        <v>358</v>
      </c>
      <c r="D8" s="5" t="s">
        <v>359</v>
      </c>
      <c r="E8" s="5" t="s">
        <v>334</v>
      </c>
      <c r="F8" s="5"/>
      <c r="G8" s="5" t="s">
        <v>360</v>
      </c>
      <c r="H8" s="5" t="s">
        <v>347</v>
      </c>
      <c r="I8" s="5" t="s">
        <v>361</v>
      </c>
      <c r="J8" s="5" t="s">
        <v>34</v>
      </c>
      <c r="K8" s="5" t="s">
        <v>337</v>
      </c>
      <c r="L8" s="5" t="s">
        <v>338</v>
      </c>
    </row>
    <row r="9" customFormat="false" ht="22.35" hidden="false" customHeight="false" outlineLevel="0" collapsed="false">
      <c r="A9" s="5" t="n">
        <v>8</v>
      </c>
      <c r="B9" s="5" t="s">
        <v>196</v>
      </c>
      <c r="C9" s="5" t="s">
        <v>362</v>
      </c>
      <c r="D9" s="5" t="s">
        <v>363</v>
      </c>
      <c r="E9" s="5" t="s">
        <v>334</v>
      </c>
      <c r="F9" s="5"/>
      <c r="G9" s="5" t="s">
        <v>364</v>
      </c>
      <c r="H9" s="5" t="s">
        <v>20</v>
      </c>
      <c r="I9" s="5" t="s">
        <v>365</v>
      </c>
      <c r="J9" s="5" t="s">
        <v>34</v>
      </c>
      <c r="K9" s="5" t="s">
        <v>337</v>
      </c>
      <c r="L9" s="5" t="s">
        <v>338</v>
      </c>
    </row>
    <row r="10" customFormat="false" ht="22.35" hidden="false" customHeight="false" outlineLevel="0" collapsed="false">
      <c r="A10" s="5" t="n">
        <v>9</v>
      </c>
      <c r="B10" s="5" t="s">
        <v>196</v>
      </c>
      <c r="C10" s="5" t="s">
        <v>366</v>
      </c>
      <c r="D10" s="5" t="s">
        <v>367</v>
      </c>
      <c r="E10" s="5" t="s">
        <v>334</v>
      </c>
      <c r="F10" s="5"/>
      <c r="G10" s="5" t="s">
        <v>368</v>
      </c>
      <c r="H10" s="5" t="s">
        <v>347</v>
      </c>
      <c r="I10" s="5" t="s">
        <v>369</v>
      </c>
      <c r="J10" s="5" t="s">
        <v>34</v>
      </c>
      <c r="K10" s="5" t="s">
        <v>337</v>
      </c>
      <c r="L10" s="5" t="s">
        <v>338</v>
      </c>
    </row>
    <row r="11" customFormat="false" ht="22.35" hidden="false" customHeight="false" outlineLevel="0" collapsed="false">
      <c r="A11" s="5" t="n">
        <v>10</v>
      </c>
      <c r="B11" s="5" t="s">
        <v>196</v>
      </c>
      <c r="C11" s="5" t="s">
        <v>370</v>
      </c>
      <c r="D11" s="5" t="s">
        <v>371</v>
      </c>
      <c r="E11" s="5" t="s">
        <v>334</v>
      </c>
      <c r="F11" s="5"/>
      <c r="G11" s="5" t="s">
        <v>335</v>
      </c>
      <c r="H11" s="5" t="s">
        <v>20</v>
      </c>
      <c r="I11" s="5" t="s">
        <v>372</v>
      </c>
      <c r="J11" s="5" t="s">
        <v>34</v>
      </c>
      <c r="K11" s="5" t="s">
        <v>337</v>
      </c>
      <c r="L11" s="5" t="s">
        <v>338</v>
      </c>
    </row>
    <row r="12" customFormat="false" ht="22.35" hidden="false" customHeight="false" outlineLevel="0" collapsed="false">
      <c r="A12" s="5" t="n">
        <v>11</v>
      </c>
      <c r="B12" s="5" t="s">
        <v>196</v>
      </c>
      <c r="C12" s="5" t="s">
        <v>373</v>
      </c>
      <c r="D12" s="5" t="s">
        <v>374</v>
      </c>
      <c r="E12" s="5" t="s">
        <v>334</v>
      </c>
      <c r="F12" s="5"/>
      <c r="G12" s="5" t="s">
        <v>375</v>
      </c>
      <c r="H12" s="5" t="s">
        <v>20</v>
      </c>
      <c r="I12" s="5" t="s">
        <v>376</v>
      </c>
      <c r="J12" s="5" t="s">
        <v>34</v>
      </c>
      <c r="K12" s="5" t="s">
        <v>337</v>
      </c>
      <c r="L12" s="5" t="s">
        <v>338</v>
      </c>
    </row>
    <row r="13" customFormat="false" ht="22.35" hidden="false" customHeight="false" outlineLevel="0" collapsed="false">
      <c r="A13" s="5" t="n">
        <v>12</v>
      </c>
      <c r="B13" s="5" t="s">
        <v>196</v>
      </c>
      <c r="C13" s="5" t="s">
        <v>377</v>
      </c>
      <c r="D13" s="5" t="s">
        <v>378</v>
      </c>
      <c r="E13" s="5" t="s">
        <v>334</v>
      </c>
      <c r="F13" s="5"/>
      <c r="G13" s="5" t="s">
        <v>379</v>
      </c>
      <c r="H13" s="5" t="s">
        <v>20</v>
      </c>
      <c r="I13" s="5" t="s">
        <v>380</v>
      </c>
      <c r="J13" s="5" t="s">
        <v>34</v>
      </c>
      <c r="K13" s="5" t="s">
        <v>337</v>
      </c>
      <c r="L13" s="5" t="s">
        <v>338</v>
      </c>
    </row>
    <row r="14" customFormat="false" ht="32.8" hidden="false" customHeight="false" outlineLevel="0" collapsed="false">
      <c r="A14" s="5" t="n">
        <v>13</v>
      </c>
      <c r="B14" s="5" t="s">
        <v>196</v>
      </c>
      <c r="C14" s="5" t="s">
        <v>381</v>
      </c>
      <c r="D14" s="5" t="s">
        <v>382</v>
      </c>
      <c r="E14" s="5" t="s">
        <v>334</v>
      </c>
      <c r="F14" s="5"/>
      <c r="G14" s="5" t="s">
        <v>383</v>
      </c>
      <c r="H14" s="5" t="s">
        <v>20</v>
      </c>
      <c r="I14" s="5" t="s">
        <v>384</v>
      </c>
      <c r="J14" s="5" t="s">
        <v>34</v>
      </c>
      <c r="K14" s="5" t="s">
        <v>385</v>
      </c>
      <c r="L14" s="5" t="s">
        <v>338</v>
      </c>
    </row>
    <row r="15" customFormat="false" ht="22.35" hidden="false" customHeight="false" outlineLevel="0" collapsed="false">
      <c r="A15" s="5" t="n">
        <v>14</v>
      </c>
      <c r="B15" s="5" t="s">
        <v>196</v>
      </c>
      <c r="C15" s="5" t="s">
        <v>386</v>
      </c>
      <c r="D15" s="5" t="s">
        <v>387</v>
      </c>
      <c r="E15" s="5" t="s">
        <v>334</v>
      </c>
      <c r="F15" s="5"/>
      <c r="G15" s="5" t="s">
        <v>388</v>
      </c>
      <c r="H15" s="5" t="s">
        <v>389</v>
      </c>
      <c r="I15" s="5" t="s">
        <v>390</v>
      </c>
      <c r="J15" s="5" t="s">
        <v>34</v>
      </c>
      <c r="K15" s="5" t="s">
        <v>337</v>
      </c>
      <c r="L15" s="5" t="s">
        <v>338</v>
      </c>
    </row>
    <row r="16" customFormat="false" ht="22.35" hidden="false" customHeight="false" outlineLevel="0" collapsed="false">
      <c r="A16" s="5" t="n">
        <v>15</v>
      </c>
      <c r="B16" s="5" t="s">
        <v>196</v>
      </c>
      <c r="C16" s="5" t="s">
        <v>391</v>
      </c>
      <c r="D16" s="5" t="s">
        <v>392</v>
      </c>
      <c r="E16" s="5" t="s">
        <v>334</v>
      </c>
      <c r="F16" s="5"/>
      <c r="G16" s="5" t="s">
        <v>393</v>
      </c>
      <c r="H16" s="5" t="s">
        <v>389</v>
      </c>
      <c r="I16" s="5" t="s">
        <v>394</v>
      </c>
      <c r="J16" s="5" t="s">
        <v>34</v>
      </c>
      <c r="K16" s="5" t="s">
        <v>395</v>
      </c>
      <c r="L16" s="5" t="s">
        <v>338</v>
      </c>
    </row>
    <row r="17" customFormat="false" ht="22.35" hidden="false" customHeight="false" outlineLevel="0" collapsed="false">
      <c r="A17" s="5" t="n">
        <v>16</v>
      </c>
      <c r="B17" s="5" t="s">
        <v>196</v>
      </c>
      <c r="C17" s="5" t="s">
        <v>396</v>
      </c>
      <c r="D17" s="5" t="s">
        <v>397</v>
      </c>
      <c r="E17" s="5" t="s">
        <v>334</v>
      </c>
      <c r="F17" s="5"/>
      <c r="G17" s="5" t="s">
        <v>398</v>
      </c>
      <c r="H17" s="5" t="s">
        <v>20</v>
      </c>
      <c r="I17" s="5" t="s">
        <v>399</v>
      </c>
      <c r="J17" s="5" t="s">
        <v>34</v>
      </c>
      <c r="K17" s="5" t="s">
        <v>337</v>
      </c>
      <c r="L17" s="5" t="s">
        <v>338</v>
      </c>
    </row>
    <row r="18" customFormat="false" ht="43.25" hidden="false" customHeight="false" outlineLevel="0" collapsed="false">
      <c r="A18" s="5" t="n">
        <v>17</v>
      </c>
      <c r="B18" s="5" t="s">
        <v>196</v>
      </c>
      <c r="C18" s="5" t="s">
        <v>400</v>
      </c>
      <c r="D18" s="5" t="s">
        <v>401</v>
      </c>
      <c r="E18" s="5" t="s">
        <v>334</v>
      </c>
      <c r="F18" s="5"/>
      <c r="G18" s="5"/>
      <c r="H18" s="5" t="s">
        <v>347</v>
      </c>
      <c r="I18" s="5" t="s">
        <v>402</v>
      </c>
      <c r="J18" s="5" t="s">
        <v>403</v>
      </c>
      <c r="K18" s="5" t="s">
        <v>337</v>
      </c>
      <c r="L18" s="5" t="s">
        <v>338</v>
      </c>
    </row>
    <row r="19" customFormat="false" ht="32.8" hidden="false" customHeight="false" outlineLevel="0" collapsed="false">
      <c r="A19" s="5" t="n">
        <v>18</v>
      </c>
      <c r="B19" s="5" t="s">
        <v>196</v>
      </c>
      <c r="C19" s="5" t="s">
        <v>404</v>
      </c>
      <c r="D19" s="5" t="s">
        <v>405</v>
      </c>
      <c r="E19" s="5" t="s">
        <v>334</v>
      </c>
      <c r="F19" s="5"/>
      <c r="G19" s="5"/>
      <c r="H19" s="5" t="s">
        <v>347</v>
      </c>
      <c r="I19" s="5" t="s">
        <v>406</v>
      </c>
      <c r="J19" s="5" t="s">
        <v>403</v>
      </c>
      <c r="K19" s="5" t="s">
        <v>337</v>
      </c>
      <c r="L19" s="5" t="s">
        <v>338</v>
      </c>
    </row>
    <row r="20" customFormat="false" ht="22.35" hidden="false" customHeight="false" outlineLevel="0" collapsed="false">
      <c r="A20" s="5" t="n">
        <v>19</v>
      </c>
      <c r="B20" s="5" t="s">
        <v>196</v>
      </c>
      <c r="C20" s="5" t="s">
        <v>407</v>
      </c>
      <c r="D20" s="5" t="s">
        <v>408</v>
      </c>
      <c r="E20" s="5" t="s">
        <v>334</v>
      </c>
      <c r="F20" s="5"/>
      <c r="G20" s="5"/>
      <c r="H20" s="5" t="s">
        <v>347</v>
      </c>
      <c r="I20" s="5" t="s">
        <v>409</v>
      </c>
      <c r="J20" s="5" t="s">
        <v>403</v>
      </c>
      <c r="K20" s="5" t="s">
        <v>337</v>
      </c>
      <c r="L20" s="5" t="s">
        <v>338</v>
      </c>
    </row>
    <row r="21" customFormat="false" ht="22.35" hidden="false" customHeight="false" outlineLevel="0" collapsed="false">
      <c r="A21" s="5" t="n">
        <v>20</v>
      </c>
      <c r="B21" s="5" t="s">
        <v>196</v>
      </c>
      <c r="C21" s="5" t="s">
        <v>410</v>
      </c>
      <c r="D21" s="5" t="s">
        <v>411</v>
      </c>
      <c r="E21" s="5" t="s">
        <v>334</v>
      </c>
      <c r="F21" s="5"/>
      <c r="G21" s="5"/>
      <c r="H21" s="5" t="s">
        <v>347</v>
      </c>
      <c r="I21" s="5" t="s">
        <v>412</v>
      </c>
      <c r="J21" s="5" t="s">
        <v>403</v>
      </c>
      <c r="K21" s="5" t="s">
        <v>337</v>
      </c>
      <c r="L21" s="5" t="s">
        <v>338</v>
      </c>
    </row>
    <row r="22" customFormat="false" ht="22.35" hidden="false" customHeight="false" outlineLevel="0" collapsed="false">
      <c r="A22" s="5" t="n">
        <v>21</v>
      </c>
      <c r="B22" s="5" t="s">
        <v>196</v>
      </c>
      <c r="C22" s="5" t="s">
        <v>413</v>
      </c>
      <c r="D22" s="5" t="s">
        <v>414</v>
      </c>
      <c r="E22" s="5" t="s">
        <v>334</v>
      </c>
      <c r="F22" s="5"/>
      <c r="G22" s="5"/>
      <c r="H22" s="5" t="s">
        <v>347</v>
      </c>
      <c r="I22" s="5" t="s">
        <v>415</v>
      </c>
      <c r="J22" s="5" t="s">
        <v>403</v>
      </c>
      <c r="K22" s="5" t="s">
        <v>337</v>
      </c>
      <c r="L22" s="5" t="s">
        <v>338</v>
      </c>
    </row>
    <row r="23" customFormat="false" ht="22.35" hidden="false" customHeight="false" outlineLevel="0" collapsed="false">
      <c r="A23" s="5" t="n">
        <v>22</v>
      </c>
      <c r="B23" s="5" t="s">
        <v>196</v>
      </c>
      <c r="C23" s="5" t="s">
        <v>416</v>
      </c>
      <c r="D23" s="5" t="s">
        <v>417</v>
      </c>
      <c r="E23" s="5" t="s">
        <v>418</v>
      </c>
      <c r="F23" s="5"/>
      <c r="G23" s="5" t="s">
        <v>419</v>
      </c>
      <c r="H23" s="5" t="s">
        <v>347</v>
      </c>
      <c r="I23" s="5"/>
      <c r="J23" s="5" t="s">
        <v>34</v>
      </c>
      <c r="K23" s="5" t="s">
        <v>337</v>
      </c>
      <c r="L23" s="5" t="s">
        <v>338</v>
      </c>
    </row>
    <row r="24" customFormat="false" ht="22.35" hidden="false" customHeight="false" outlineLevel="0" collapsed="false">
      <c r="A24" s="5" t="n">
        <v>23</v>
      </c>
      <c r="B24" s="5" t="s">
        <v>196</v>
      </c>
      <c r="C24" s="5" t="s">
        <v>420</v>
      </c>
      <c r="D24" s="5" t="s">
        <v>421</v>
      </c>
      <c r="E24" s="5" t="s">
        <v>418</v>
      </c>
      <c r="F24" s="5"/>
      <c r="G24" s="5" t="s">
        <v>419</v>
      </c>
      <c r="H24" s="5" t="s">
        <v>422</v>
      </c>
      <c r="I24" s="5"/>
      <c r="J24" s="5" t="s">
        <v>34</v>
      </c>
      <c r="K24" s="5" t="s">
        <v>337</v>
      </c>
      <c r="L24" s="5" t="s">
        <v>338</v>
      </c>
    </row>
    <row r="25" customFormat="false" ht="15" hidden="false" customHeight="false" outlineLevel="0" collapsed="false">
      <c r="A25" s="5" t="n">
        <v>24</v>
      </c>
      <c r="B25" s="5" t="s">
        <v>196</v>
      </c>
      <c r="C25" s="5" t="s">
        <v>423</v>
      </c>
      <c r="D25" s="5" t="s">
        <v>424</v>
      </c>
      <c r="E25" s="5" t="s">
        <v>418</v>
      </c>
      <c r="F25" s="5"/>
      <c r="G25" s="5" t="s">
        <v>425</v>
      </c>
      <c r="H25" s="5" t="s">
        <v>426</v>
      </c>
      <c r="I25" s="5"/>
      <c r="J25" s="5" t="s">
        <v>34</v>
      </c>
      <c r="K25" s="5" t="s">
        <v>337</v>
      </c>
      <c r="L25" s="5" t="s">
        <v>338</v>
      </c>
    </row>
    <row r="26" customFormat="false" ht="43.25" hidden="false" customHeight="false" outlineLevel="0" collapsed="false">
      <c r="A26" s="5" t="n">
        <v>25</v>
      </c>
      <c r="B26" s="5" t="s">
        <v>196</v>
      </c>
      <c r="C26" s="5" t="s">
        <v>427</v>
      </c>
      <c r="D26" s="5" t="s">
        <v>428</v>
      </c>
      <c r="E26" s="5" t="s">
        <v>418</v>
      </c>
      <c r="F26" s="5"/>
      <c r="G26" s="5" t="s">
        <v>429</v>
      </c>
      <c r="H26" s="5" t="s">
        <v>426</v>
      </c>
      <c r="I26" s="5"/>
      <c r="J26" s="5" t="s">
        <v>430</v>
      </c>
      <c r="K26" s="5" t="s">
        <v>337</v>
      </c>
      <c r="L26" s="5" t="s">
        <v>338</v>
      </c>
    </row>
    <row r="27" customFormat="false" ht="22.35" hidden="false" customHeight="false" outlineLevel="0" collapsed="false">
      <c r="A27" s="5" t="n">
        <v>26</v>
      </c>
      <c r="B27" s="5" t="s">
        <v>196</v>
      </c>
      <c r="C27" s="5" t="s">
        <v>431</v>
      </c>
      <c r="D27" s="5" t="s">
        <v>432</v>
      </c>
      <c r="E27" s="5" t="s">
        <v>418</v>
      </c>
      <c r="F27" s="5"/>
      <c r="G27" s="5" t="s">
        <v>433</v>
      </c>
      <c r="H27" s="5" t="s">
        <v>389</v>
      </c>
      <c r="I27" s="5"/>
      <c r="J27" s="5" t="s">
        <v>34</v>
      </c>
      <c r="K27" s="5" t="s">
        <v>337</v>
      </c>
      <c r="L27" s="5" t="s">
        <v>338</v>
      </c>
    </row>
    <row r="28" customFormat="false" ht="22.35" hidden="false" customHeight="false" outlineLevel="0" collapsed="false">
      <c r="A28" s="5" t="n">
        <v>27</v>
      </c>
      <c r="B28" s="5" t="s">
        <v>196</v>
      </c>
      <c r="C28" s="5" t="s">
        <v>434</v>
      </c>
      <c r="D28" s="5" t="s">
        <v>435</v>
      </c>
      <c r="E28" s="5" t="s">
        <v>418</v>
      </c>
      <c r="F28" s="5"/>
      <c r="G28" s="5" t="s">
        <v>436</v>
      </c>
      <c r="H28" s="5" t="s">
        <v>342</v>
      </c>
      <c r="I28" s="5"/>
      <c r="J28" s="5" t="s">
        <v>34</v>
      </c>
      <c r="K28" s="5" t="s">
        <v>437</v>
      </c>
      <c r="L28" s="5" t="s">
        <v>338</v>
      </c>
    </row>
    <row r="29" customFormat="false" ht="22.35" hidden="false" customHeight="false" outlineLevel="0" collapsed="false">
      <c r="A29" s="5" t="n">
        <v>28</v>
      </c>
      <c r="B29" s="5" t="s">
        <v>196</v>
      </c>
      <c r="C29" s="5" t="s">
        <v>438</v>
      </c>
      <c r="D29" s="5" t="s">
        <v>439</v>
      </c>
      <c r="E29" s="5" t="s">
        <v>418</v>
      </c>
      <c r="F29" s="5"/>
      <c r="G29" s="5" t="s">
        <v>436</v>
      </c>
      <c r="H29" s="5" t="s">
        <v>347</v>
      </c>
      <c r="I29" s="5"/>
      <c r="J29" s="5" t="s">
        <v>34</v>
      </c>
      <c r="K29" s="5" t="s">
        <v>337</v>
      </c>
      <c r="L29" s="5" t="s">
        <v>338</v>
      </c>
    </row>
    <row r="30" customFormat="false" ht="32.8" hidden="false" customHeight="false" outlineLevel="0" collapsed="false">
      <c r="A30" s="5" t="n">
        <v>29</v>
      </c>
      <c r="B30" s="5" t="s">
        <v>196</v>
      </c>
      <c r="C30" s="5" t="s">
        <v>440</v>
      </c>
      <c r="D30" s="5" t="s">
        <v>441</v>
      </c>
      <c r="E30" s="5" t="s">
        <v>418</v>
      </c>
      <c r="F30" s="5"/>
      <c r="G30" s="5" t="s">
        <v>393</v>
      </c>
      <c r="H30" s="5" t="s">
        <v>442</v>
      </c>
      <c r="I30" s="5"/>
      <c r="J30" s="5" t="s">
        <v>34</v>
      </c>
      <c r="K30" s="5" t="s">
        <v>443</v>
      </c>
      <c r="L30" s="5" t="s">
        <v>338</v>
      </c>
    </row>
    <row r="31" customFormat="false" ht="22.35" hidden="false" customHeight="false" outlineLevel="0" collapsed="false">
      <c r="A31" s="5" t="n">
        <v>30</v>
      </c>
      <c r="B31" s="5" t="s">
        <v>196</v>
      </c>
      <c r="C31" s="5" t="s">
        <v>444</v>
      </c>
      <c r="D31" s="5" t="s">
        <v>445</v>
      </c>
      <c r="E31" s="5" t="s">
        <v>418</v>
      </c>
      <c r="F31" s="5"/>
      <c r="G31" s="5" t="s">
        <v>446</v>
      </c>
      <c r="H31" s="5" t="s">
        <v>447</v>
      </c>
      <c r="I31" s="5"/>
      <c r="J31" s="5" t="s">
        <v>448</v>
      </c>
      <c r="K31" s="5" t="s">
        <v>337</v>
      </c>
      <c r="L31" s="5" t="s">
        <v>338</v>
      </c>
    </row>
    <row r="32" customFormat="false" ht="22.35" hidden="false" customHeight="false" outlineLevel="0" collapsed="false">
      <c r="A32" s="5" t="n">
        <v>31</v>
      </c>
      <c r="B32" s="5" t="s">
        <v>196</v>
      </c>
      <c r="C32" s="5" t="s">
        <v>449</v>
      </c>
      <c r="D32" s="5" t="s">
        <v>450</v>
      </c>
      <c r="E32" s="5" t="s">
        <v>418</v>
      </c>
      <c r="F32" s="5"/>
      <c r="G32" s="5" t="s">
        <v>451</v>
      </c>
      <c r="H32" s="5" t="s">
        <v>389</v>
      </c>
      <c r="I32" s="5"/>
      <c r="J32" s="5" t="s">
        <v>34</v>
      </c>
      <c r="K32" s="5" t="s">
        <v>337</v>
      </c>
      <c r="L32" s="5" t="s">
        <v>338</v>
      </c>
    </row>
    <row r="33" customFormat="false" ht="43.25" hidden="false" customHeight="false" outlineLevel="0" collapsed="false">
      <c r="A33" s="5" t="n">
        <v>32</v>
      </c>
      <c r="B33" s="5" t="s">
        <v>219</v>
      </c>
      <c r="C33" s="5" t="s">
        <v>452</v>
      </c>
      <c r="D33" s="5" t="s">
        <v>453</v>
      </c>
      <c r="E33" s="5" t="s">
        <v>454</v>
      </c>
      <c r="F33" s="5"/>
      <c r="G33" s="5" t="s">
        <v>455</v>
      </c>
      <c r="H33" s="5" t="s">
        <v>456</v>
      </c>
      <c r="I33" s="5" t="s">
        <v>457</v>
      </c>
      <c r="J33" s="5" t="s">
        <v>458</v>
      </c>
      <c r="K33" s="5" t="s">
        <v>337</v>
      </c>
      <c r="L33" s="5" t="s">
        <v>459</v>
      </c>
    </row>
    <row r="34" customFormat="false" ht="43.25" hidden="false" customHeight="false" outlineLevel="0" collapsed="false">
      <c r="A34" s="5" t="n">
        <v>33</v>
      </c>
      <c r="B34" s="5" t="s">
        <v>219</v>
      </c>
      <c r="C34" s="5" t="s">
        <v>460</v>
      </c>
      <c r="D34" s="5" t="s">
        <v>461</v>
      </c>
      <c r="E34" s="5" t="s">
        <v>454</v>
      </c>
      <c r="F34" s="5"/>
      <c r="G34" s="5" t="s">
        <v>462</v>
      </c>
      <c r="H34" s="5" t="s">
        <v>463</v>
      </c>
      <c r="I34" s="5" t="s">
        <v>464</v>
      </c>
      <c r="J34" s="5" t="s">
        <v>458</v>
      </c>
      <c r="K34" s="5" t="s">
        <v>337</v>
      </c>
      <c r="L34" s="5" t="s">
        <v>459</v>
      </c>
    </row>
    <row r="35" customFormat="false" ht="43.25" hidden="false" customHeight="false" outlineLevel="0" collapsed="false">
      <c r="A35" s="5" t="n">
        <v>34</v>
      </c>
      <c r="B35" s="5" t="s">
        <v>219</v>
      </c>
      <c r="C35" s="5" t="s">
        <v>465</v>
      </c>
      <c r="D35" s="5" t="s">
        <v>466</v>
      </c>
      <c r="E35" s="5" t="s">
        <v>454</v>
      </c>
      <c r="F35" s="5"/>
      <c r="G35" s="5" t="s">
        <v>467</v>
      </c>
      <c r="H35" s="5" t="s">
        <v>463</v>
      </c>
      <c r="I35" s="5" t="s">
        <v>468</v>
      </c>
      <c r="J35" s="5" t="s">
        <v>458</v>
      </c>
      <c r="K35" s="5" t="s">
        <v>469</v>
      </c>
      <c r="L35" s="5" t="s">
        <v>459</v>
      </c>
    </row>
    <row r="36" customFormat="false" ht="22.35" hidden="false" customHeight="false" outlineLevel="0" collapsed="false">
      <c r="A36" s="5" t="n">
        <v>35</v>
      </c>
      <c r="B36" s="5" t="s">
        <v>219</v>
      </c>
      <c r="C36" s="5" t="s">
        <v>470</v>
      </c>
      <c r="D36" s="5" t="s">
        <v>471</v>
      </c>
      <c r="E36" s="5" t="s">
        <v>454</v>
      </c>
      <c r="F36" s="5"/>
      <c r="G36" s="5" t="s">
        <v>472</v>
      </c>
      <c r="H36" s="5" t="s">
        <v>463</v>
      </c>
      <c r="I36" s="5" t="s">
        <v>473</v>
      </c>
      <c r="J36" s="5" t="s">
        <v>458</v>
      </c>
      <c r="K36" s="5" t="s">
        <v>474</v>
      </c>
      <c r="L36" s="5" t="s">
        <v>459</v>
      </c>
    </row>
    <row r="37" customFormat="false" ht="22.35" hidden="false" customHeight="false" outlineLevel="0" collapsed="false">
      <c r="A37" s="5" t="n">
        <v>36</v>
      </c>
      <c r="B37" s="5" t="s">
        <v>219</v>
      </c>
      <c r="C37" s="5" t="s">
        <v>475</v>
      </c>
      <c r="D37" s="5" t="s">
        <v>476</v>
      </c>
      <c r="E37" s="5" t="s">
        <v>454</v>
      </c>
      <c r="F37" s="5"/>
      <c r="G37" s="5" t="s">
        <v>477</v>
      </c>
      <c r="H37" s="5" t="s">
        <v>463</v>
      </c>
      <c r="I37" s="5" t="s">
        <v>478</v>
      </c>
      <c r="J37" s="5" t="s">
        <v>458</v>
      </c>
      <c r="K37" s="5" t="s">
        <v>479</v>
      </c>
      <c r="L37" s="5" t="s">
        <v>459</v>
      </c>
    </row>
    <row r="38" customFormat="false" ht="22.35" hidden="false" customHeight="false" outlineLevel="0" collapsed="false">
      <c r="A38" s="5" t="n">
        <v>37</v>
      </c>
      <c r="B38" s="5" t="s">
        <v>219</v>
      </c>
      <c r="C38" s="5" t="s">
        <v>480</v>
      </c>
      <c r="D38" s="5" t="s">
        <v>481</v>
      </c>
      <c r="E38" s="5" t="s">
        <v>454</v>
      </c>
      <c r="F38" s="5"/>
      <c r="G38" s="5" t="s">
        <v>482</v>
      </c>
      <c r="H38" s="5" t="s">
        <v>463</v>
      </c>
      <c r="I38" s="5" t="s">
        <v>483</v>
      </c>
      <c r="J38" s="5" t="s">
        <v>458</v>
      </c>
      <c r="K38" s="5" t="s">
        <v>337</v>
      </c>
      <c r="L38" s="5" t="s">
        <v>459</v>
      </c>
    </row>
    <row r="39" customFormat="false" ht="22.35" hidden="false" customHeight="false" outlineLevel="0" collapsed="false">
      <c r="A39" s="5" t="n">
        <v>38</v>
      </c>
      <c r="B39" s="5" t="s">
        <v>219</v>
      </c>
      <c r="C39" s="5" t="s">
        <v>484</v>
      </c>
      <c r="D39" s="5" t="s">
        <v>485</v>
      </c>
      <c r="E39" s="5" t="s">
        <v>454</v>
      </c>
      <c r="F39" s="5"/>
      <c r="G39" s="5" t="s">
        <v>486</v>
      </c>
      <c r="H39" s="5" t="s">
        <v>463</v>
      </c>
      <c r="I39" s="5" t="s">
        <v>487</v>
      </c>
      <c r="J39" s="5" t="s">
        <v>458</v>
      </c>
      <c r="K39" s="5" t="s">
        <v>337</v>
      </c>
      <c r="L39" s="5" t="s">
        <v>459</v>
      </c>
    </row>
    <row r="40" customFormat="false" ht="22.35" hidden="false" customHeight="false" outlineLevel="0" collapsed="false">
      <c r="A40" s="5" t="n">
        <v>39</v>
      </c>
      <c r="B40" s="5" t="s">
        <v>219</v>
      </c>
      <c r="C40" s="5" t="s">
        <v>488</v>
      </c>
      <c r="D40" s="5" t="s">
        <v>489</v>
      </c>
      <c r="E40" s="5" t="s">
        <v>454</v>
      </c>
      <c r="F40" s="5"/>
      <c r="G40" s="5" t="s">
        <v>490</v>
      </c>
      <c r="H40" s="5" t="s">
        <v>463</v>
      </c>
      <c r="I40" s="5" t="s">
        <v>491</v>
      </c>
      <c r="J40" s="5" t="s">
        <v>458</v>
      </c>
      <c r="K40" s="5" t="s">
        <v>337</v>
      </c>
      <c r="L40" s="5" t="s">
        <v>459</v>
      </c>
    </row>
    <row r="41" customFormat="false" ht="32.8" hidden="false" customHeight="false" outlineLevel="0" collapsed="false">
      <c r="A41" s="5" t="n">
        <v>40</v>
      </c>
      <c r="B41" s="5" t="s">
        <v>219</v>
      </c>
      <c r="C41" s="5" t="s">
        <v>492</v>
      </c>
      <c r="D41" s="5" t="s">
        <v>493</v>
      </c>
      <c r="E41" s="5" t="s">
        <v>454</v>
      </c>
      <c r="F41" s="5"/>
      <c r="G41" s="5" t="s">
        <v>494</v>
      </c>
      <c r="H41" s="5" t="s">
        <v>495</v>
      </c>
      <c r="I41" s="5" t="s">
        <v>496</v>
      </c>
      <c r="J41" s="5" t="s">
        <v>458</v>
      </c>
      <c r="K41" s="5" t="s">
        <v>497</v>
      </c>
      <c r="L41" s="5" t="s">
        <v>459</v>
      </c>
    </row>
    <row r="42" customFormat="false" ht="22.35" hidden="false" customHeight="false" outlineLevel="0" collapsed="false">
      <c r="A42" s="5" t="n">
        <v>41</v>
      </c>
      <c r="B42" s="5" t="s">
        <v>219</v>
      </c>
      <c r="C42" s="5" t="s">
        <v>498</v>
      </c>
      <c r="D42" s="5" t="s">
        <v>499</v>
      </c>
      <c r="E42" s="5" t="s">
        <v>454</v>
      </c>
      <c r="F42" s="5"/>
      <c r="G42" s="5" t="s">
        <v>500</v>
      </c>
      <c r="H42" s="5" t="s">
        <v>463</v>
      </c>
      <c r="I42" s="5" t="s">
        <v>501</v>
      </c>
      <c r="J42" s="5" t="s">
        <v>458</v>
      </c>
      <c r="K42" s="5" t="s">
        <v>502</v>
      </c>
      <c r="L42" s="5" t="s">
        <v>459</v>
      </c>
    </row>
    <row r="43" customFormat="false" ht="22.35" hidden="false" customHeight="false" outlineLevel="0" collapsed="false">
      <c r="A43" s="5" t="n">
        <v>42</v>
      </c>
      <c r="B43" s="5" t="s">
        <v>219</v>
      </c>
      <c r="C43" s="5" t="s">
        <v>503</v>
      </c>
      <c r="D43" s="5" t="s">
        <v>504</v>
      </c>
      <c r="E43" s="5" t="s">
        <v>454</v>
      </c>
      <c r="F43" s="5"/>
      <c r="G43" s="5" t="s">
        <v>505</v>
      </c>
      <c r="H43" s="5" t="s">
        <v>506</v>
      </c>
      <c r="I43" s="5" t="s">
        <v>507</v>
      </c>
      <c r="J43" s="5" t="s">
        <v>458</v>
      </c>
      <c r="K43" s="5" t="s">
        <v>337</v>
      </c>
      <c r="L43" s="5" t="s">
        <v>459</v>
      </c>
    </row>
    <row r="44" customFormat="false" ht="22.35" hidden="false" customHeight="false" outlineLevel="0" collapsed="false">
      <c r="A44" s="5" t="n">
        <v>43</v>
      </c>
      <c r="B44" s="5" t="s">
        <v>219</v>
      </c>
      <c r="C44" s="5" t="s">
        <v>508</v>
      </c>
      <c r="D44" s="5" t="s">
        <v>509</v>
      </c>
      <c r="E44" s="5" t="s">
        <v>454</v>
      </c>
      <c r="F44" s="5"/>
      <c r="G44" s="5" t="s">
        <v>505</v>
      </c>
      <c r="H44" s="5" t="s">
        <v>506</v>
      </c>
      <c r="I44" s="5" t="s">
        <v>510</v>
      </c>
      <c r="J44" s="5" t="s">
        <v>458</v>
      </c>
      <c r="K44" s="5" t="s">
        <v>337</v>
      </c>
      <c r="L44" s="5" t="s">
        <v>459</v>
      </c>
    </row>
    <row r="45" customFormat="false" ht="22.35" hidden="false" customHeight="false" outlineLevel="0" collapsed="false">
      <c r="A45" s="5" t="n">
        <v>44</v>
      </c>
      <c r="B45" s="5" t="s">
        <v>219</v>
      </c>
      <c r="C45" s="5" t="s">
        <v>511</v>
      </c>
      <c r="D45" s="5" t="s">
        <v>512</v>
      </c>
      <c r="E45" s="5" t="s">
        <v>418</v>
      </c>
      <c r="F45" s="5"/>
      <c r="G45" s="5" t="s">
        <v>513</v>
      </c>
      <c r="H45" s="5" t="s">
        <v>514</v>
      </c>
      <c r="I45" s="5" t="s">
        <v>515</v>
      </c>
      <c r="J45" s="5" t="s">
        <v>458</v>
      </c>
      <c r="K45" s="5" t="s">
        <v>516</v>
      </c>
      <c r="L45" s="5" t="s">
        <v>459</v>
      </c>
    </row>
    <row r="46" customFormat="false" ht="22.35" hidden="false" customHeight="false" outlineLevel="0" collapsed="false">
      <c r="A46" s="5" t="n">
        <v>45</v>
      </c>
      <c r="B46" s="5" t="s">
        <v>219</v>
      </c>
      <c r="C46" s="5" t="s">
        <v>517</v>
      </c>
      <c r="D46" s="5" t="s">
        <v>518</v>
      </c>
      <c r="E46" s="5" t="s">
        <v>418</v>
      </c>
      <c r="F46" s="5"/>
      <c r="G46" s="5" t="s">
        <v>519</v>
      </c>
      <c r="H46" s="5" t="s">
        <v>514</v>
      </c>
      <c r="I46" s="5" t="s">
        <v>520</v>
      </c>
      <c r="J46" s="5" t="s">
        <v>458</v>
      </c>
      <c r="K46" s="5" t="s">
        <v>521</v>
      </c>
      <c r="L46" s="5" t="s">
        <v>522</v>
      </c>
    </row>
    <row r="47" customFormat="false" ht="15" hidden="false" customHeight="false" outlineLevel="0" collapsed="false">
      <c r="A47" s="5" t="n">
        <v>46</v>
      </c>
      <c r="B47" s="5" t="s">
        <v>219</v>
      </c>
      <c r="C47" s="5" t="s">
        <v>523</v>
      </c>
      <c r="D47" s="5" t="s">
        <v>524</v>
      </c>
      <c r="E47" s="5" t="s">
        <v>418</v>
      </c>
      <c r="F47" s="5"/>
      <c r="G47" s="5" t="s">
        <v>525</v>
      </c>
      <c r="H47" s="5" t="s">
        <v>463</v>
      </c>
      <c r="I47" s="5" t="s">
        <v>526</v>
      </c>
      <c r="J47" s="5" t="s">
        <v>458</v>
      </c>
      <c r="K47" s="5" t="s">
        <v>337</v>
      </c>
      <c r="L47" s="5" t="s">
        <v>459</v>
      </c>
    </row>
    <row r="48" customFormat="false" ht="22.35" hidden="false" customHeight="false" outlineLevel="0" collapsed="false">
      <c r="A48" s="5" t="n">
        <v>47</v>
      </c>
      <c r="B48" s="5" t="s">
        <v>219</v>
      </c>
      <c r="C48" s="5" t="s">
        <v>527</v>
      </c>
      <c r="D48" s="5" t="s">
        <v>528</v>
      </c>
      <c r="E48" s="5" t="s">
        <v>418</v>
      </c>
      <c r="F48" s="5"/>
      <c r="G48" s="5" t="s">
        <v>529</v>
      </c>
      <c r="H48" s="5" t="s">
        <v>530</v>
      </c>
      <c r="I48" s="5" t="s">
        <v>531</v>
      </c>
      <c r="J48" s="5" t="s">
        <v>458</v>
      </c>
      <c r="K48" s="5" t="s">
        <v>532</v>
      </c>
      <c r="L48" s="5" t="s">
        <v>459</v>
      </c>
    </row>
    <row r="49" customFormat="false" ht="43.25" hidden="false" customHeight="false" outlineLevel="0" collapsed="false">
      <c r="A49" s="5" t="n">
        <v>48</v>
      </c>
      <c r="B49" s="5" t="s">
        <v>219</v>
      </c>
      <c r="C49" s="5" t="s">
        <v>312</v>
      </c>
      <c r="D49" s="5" t="s">
        <v>533</v>
      </c>
      <c r="E49" s="5" t="s">
        <v>534</v>
      </c>
      <c r="F49" s="5"/>
      <c r="G49" s="5" t="s">
        <v>513</v>
      </c>
      <c r="H49" s="5" t="s">
        <v>535</v>
      </c>
      <c r="I49" s="5" t="s">
        <v>536</v>
      </c>
      <c r="J49" s="5" t="s">
        <v>458</v>
      </c>
      <c r="K49" s="5" t="s">
        <v>337</v>
      </c>
      <c r="L49" s="5" t="s">
        <v>459</v>
      </c>
    </row>
    <row r="50" customFormat="false" ht="43.25" hidden="false" customHeight="false" outlineLevel="0" collapsed="false">
      <c r="A50" s="5" t="n">
        <v>49</v>
      </c>
      <c r="B50" s="5" t="s">
        <v>219</v>
      </c>
      <c r="C50" s="5" t="s">
        <v>314</v>
      </c>
      <c r="D50" s="5" t="s">
        <v>537</v>
      </c>
      <c r="E50" s="5" t="s">
        <v>534</v>
      </c>
      <c r="F50" s="5"/>
      <c r="G50" s="5" t="s">
        <v>513</v>
      </c>
      <c r="H50" s="5" t="s">
        <v>538</v>
      </c>
      <c r="I50" s="5" t="s">
        <v>539</v>
      </c>
      <c r="J50" s="5" t="s">
        <v>458</v>
      </c>
      <c r="K50" s="5" t="s">
        <v>337</v>
      </c>
      <c r="L50" s="5" t="s">
        <v>459</v>
      </c>
    </row>
    <row r="51" customFormat="false" ht="22.35" hidden="false" customHeight="false" outlineLevel="0" collapsed="false">
      <c r="A51" s="5" t="n">
        <v>50</v>
      </c>
      <c r="B51" s="5" t="s">
        <v>219</v>
      </c>
      <c r="C51" s="5" t="s">
        <v>540</v>
      </c>
      <c r="D51" s="5" t="s">
        <v>541</v>
      </c>
      <c r="E51" s="5" t="s">
        <v>542</v>
      </c>
      <c r="F51" s="5"/>
      <c r="G51" s="5" t="s">
        <v>543</v>
      </c>
      <c r="H51" s="5" t="s">
        <v>544</v>
      </c>
      <c r="I51" s="5" t="s">
        <v>545</v>
      </c>
      <c r="J51" s="5" t="s">
        <v>458</v>
      </c>
      <c r="K51" s="5" t="s">
        <v>546</v>
      </c>
      <c r="L51" s="5" t="s">
        <v>459</v>
      </c>
    </row>
    <row r="52" customFormat="false" ht="22.35" hidden="false" customHeight="false" outlineLevel="0" collapsed="false">
      <c r="A52" s="5" t="n">
        <v>51</v>
      </c>
      <c r="B52" s="5" t="s">
        <v>219</v>
      </c>
      <c r="C52" s="5" t="s">
        <v>547</v>
      </c>
      <c r="D52" s="5" t="s">
        <v>548</v>
      </c>
      <c r="E52" s="5" t="s">
        <v>542</v>
      </c>
      <c r="F52" s="5"/>
      <c r="G52" s="5" t="s">
        <v>549</v>
      </c>
      <c r="H52" s="5" t="s">
        <v>550</v>
      </c>
      <c r="I52" s="5" t="s">
        <v>551</v>
      </c>
      <c r="J52" s="5" t="s">
        <v>458</v>
      </c>
      <c r="K52" s="5" t="s">
        <v>552</v>
      </c>
      <c r="L52" s="5" t="s">
        <v>459</v>
      </c>
    </row>
    <row r="53" customFormat="false" ht="22.35" hidden="false" customHeight="false" outlineLevel="0" collapsed="false">
      <c r="A53" s="5" t="n">
        <v>52</v>
      </c>
      <c r="B53" s="5" t="s">
        <v>219</v>
      </c>
      <c r="C53" s="5" t="s">
        <v>553</v>
      </c>
      <c r="D53" s="5" t="s">
        <v>554</v>
      </c>
      <c r="E53" s="5" t="s">
        <v>542</v>
      </c>
      <c r="F53" s="5"/>
      <c r="G53" s="5" t="s">
        <v>555</v>
      </c>
      <c r="H53" s="5" t="s">
        <v>556</v>
      </c>
      <c r="I53" s="5" t="s">
        <v>557</v>
      </c>
      <c r="J53" s="5" t="s">
        <v>458</v>
      </c>
      <c r="K53" s="5" t="s">
        <v>558</v>
      </c>
      <c r="L53" s="5" t="s">
        <v>459</v>
      </c>
    </row>
    <row r="54" customFormat="false" ht="22.35" hidden="false" customHeight="false" outlineLevel="0" collapsed="false">
      <c r="A54" s="5" t="n">
        <v>53</v>
      </c>
      <c r="B54" s="5" t="s">
        <v>219</v>
      </c>
      <c r="C54" s="5" t="s">
        <v>559</v>
      </c>
      <c r="D54" s="5" t="s">
        <v>560</v>
      </c>
      <c r="E54" s="5" t="s">
        <v>542</v>
      </c>
      <c r="F54" s="5"/>
      <c r="G54" s="5" t="s">
        <v>543</v>
      </c>
      <c r="H54" s="5" t="s">
        <v>561</v>
      </c>
      <c r="I54" s="5" t="s">
        <v>562</v>
      </c>
      <c r="J54" s="5" t="s">
        <v>458</v>
      </c>
      <c r="K54" s="5" t="s">
        <v>563</v>
      </c>
      <c r="L54" s="5" t="s">
        <v>459</v>
      </c>
    </row>
    <row r="55" customFormat="false" ht="22.35" hidden="false" customHeight="false" outlineLevel="0" collapsed="false">
      <c r="A55" s="5" t="n">
        <v>54</v>
      </c>
      <c r="B55" s="5" t="s">
        <v>236</v>
      </c>
      <c r="C55" s="5" t="s">
        <v>564</v>
      </c>
      <c r="D55" s="5" t="s">
        <v>565</v>
      </c>
      <c r="E55" s="5" t="s">
        <v>334</v>
      </c>
      <c r="F55" s="5" t="s">
        <v>281</v>
      </c>
      <c r="G55" s="5" t="s">
        <v>566</v>
      </c>
      <c r="H55" s="5" t="s">
        <v>463</v>
      </c>
      <c r="I55" s="5" t="s">
        <v>567</v>
      </c>
      <c r="J55" s="5" t="s">
        <v>458</v>
      </c>
      <c r="K55" s="5" t="s">
        <v>568</v>
      </c>
      <c r="L55" s="5" t="s">
        <v>569</v>
      </c>
    </row>
    <row r="56" customFormat="false" ht="22.35" hidden="false" customHeight="false" outlineLevel="0" collapsed="false">
      <c r="A56" s="5" t="n">
        <v>55</v>
      </c>
      <c r="B56" s="5" t="s">
        <v>236</v>
      </c>
      <c r="C56" s="5" t="s">
        <v>570</v>
      </c>
      <c r="D56" s="5" t="s">
        <v>571</v>
      </c>
      <c r="E56" s="5" t="s">
        <v>334</v>
      </c>
      <c r="F56" s="5" t="s">
        <v>281</v>
      </c>
      <c r="G56" s="5" t="s">
        <v>572</v>
      </c>
      <c r="H56" s="5" t="s">
        <v>463</v>
      </c>
      <c r="I56" s="5" t="s">
        <v>573</v>
      </c>
      <c r="J56" s="5" t="s">
        <v>458</v>
      </c>
      <c r="K56" s="5" t="s">
        <v>337</v>
      </c>
      <c r="L56" s="5" t="s">
        <v>569</v>
      </c>
    </row>
    <row r="57" customFormat="false" ht="22.35" hidden="false" customHeight="false" outlineLevel="0" collapsed="false">
      <c r="A57" s="5" t="n">
        <v>56</v>
      </c>
      <c r="B57" s="5" t="s">
        <v>236</v>
      </c>
      <c r="C57" s="5" t="s">
        <v>574</v>
      </c>
      <c r="D57" s="5" t="s">
        <v>575</v>
      </c>
      <c r="E57" s="5" t="s">
        <v>334</v>
      </c>
      <c r="F57" s="5" t="s">
        <v>281</v>
      </c>
      <c r="G57" s="5" t="s">
        <v>576</v>
      </c>
      <c r="H57" s="5" t="s">
        <v>463</v>
      </c>
      <c r="I57" s="5" t="s">
        <v>577</v>
      </c>
      <c r="J57" s="5" t="s">
        <v>458</v>
      </c>
      <c r="K57" s="5" t="s">
        <v>191</v>
      </c>
      <c r="L57" s="5" t="s">
        <v>569</v>
      </c>
    </row>
    <row r="58" customFormat="false" ht="22.35" hidden="false" customHeight="false" outlineLevel="0" collapsed="false">
      <c r="A58" s="5" t="n">
        <v>57</v>
      </c>
      <c r="B58" s="5" t="s">
        <v>236</v>
      </c>
      <c r="C58" s="5" t="s">
        <v>578</v>
      </c>
      <c r="D58" s="5" t="s">
        <v>579</v>
      </c>
      <c r="E58" s="5" t="s">
        <v>334</v>
      </c>
      <c r="F58" s="5" t="s">
        <v>281</v>
      </c>
      <c r="G58" s="5" t="s">
        <v>580</v>
      </c>
      <c r="H58" s="5" t="s">
        <v>463</v>
      </c>
      <c r="I58" s="5" t="s">
        <v>581</v>
      </c>
      <c r="J58" s="5" t="s">
        <v>458</v>
      </c>
      <c r="K58" s="5" t="s">
        <v>582</v>
      </c>
      <c r="L58" s="5" t="s">
        <v>569</v>
      </c>
    </row>
    <row r="59" customFormat="false" ht="43.25" hidden="false" customHeight="false" outlineLevel="0" collapsed="false">
      <c r="A59" s="5" t="n">
        <v>58</v>
      </c>
      <c r="B59" s="5" t="s">
        <v>236</v>
      </c>
      <c r="C59" s="5" t="s">
        <v>583</v>
      </c>
      <c r="D59" s="5" t="s">
        <v>584</v>
      </c>
      <c r="E59" s="5" t="s">
        <v>418</v>
      </c>
      <c r="F59" s="5" t="s">
        <v>281</v>
      </c>
      <c r="G59" s="5" t="s">
        <v>585</v>
      </c>
      <c r="H59" s="5" t="s">
        <v>463</v>
      </c>
      <c r="I59" s="5" t="s">
        <v>586</v>
      </c>
      <c r="J59" s="5" t="s">
        <v>458</v>
      </c>
      <c r="K59" s="5" t="s">
        <v>337</v>
      </c>
      <c r="L59" s="5" t="s">
        <v>569</v>
      </c>
    </row>
    <row r="60" customFormat="false" ht="32.8" hidden="false" customHeight="false" outlineLevel="0" collapsed="false">
      <c r="A60" s="5" t="n">
        <v>59</v>
      </c>
      <c r="B60" s="5" t="s">
        <v>236</v>
      </c>
      <c r="C60" s="5" t="s">
        <v>587</v>
      </c>
      <c r="D60" s="5" t="s">
        <v>588</v>
      </c>
      <c r="E60" s="5" t="s">
        <v>334</v>
      </c>
      <c r="F60" s="5" t="s">
        <v>281</v>
      </c>
      <c r="G60" s="5" t="s">
        <v>589</v>
      </c>
      <c r="H60" s="5" t="s">
        <v>463</v>
      </c>
      <c r="I60" s="5" t="s">
        <v>590</v>
      </c>
      <c r="J60" s="5" t="s">
        <v>458</v>
      </c>
      <c r="K60" s="5" t="s">
        <v>337</v>
      </c>
      <c r="L60" s="5" t="s">
        <v>569</v>
      </c>
    </row>
    <row r="61" customFormat="false" ht="53.7" hidden="false" customHeight="false" outlineLevel="0" collapsed="false">
      <c r="A61" s="5" t="n">
        <v>60</v>
      </c>
      <c r="B61" s="5" t="s">
        <v>236</v>
      </c>
      <c r="C61" s="5" t="s">
        <v>591</v>
      </c>
      <c r="D61" s="5" t="s">
        <v>592</v>
      </c>
      <c r="E61" s="5" t="s">
        <v>334</v>
      </c>
      <c r="F61" s="5" t="s">
        <v>281</v>
      </c>
      <c r="G61" s="5" t="s">
        <v>593</v>
      </c>
      <c r="H61" s="5" t="s">
        <v>594</v>
      </c>
      <c r="I61" s="5" t="s">
        <v>595</v>
      </c>
      <c r="J61" s="5" t="s">
        <v>458</v>
      </c>
      <c r="K61" s="5" t="s">
        <v>337</v>
      </c>
      <c r="L61" s="5" t="s">
        <v>569</v>
      </c>
    </row>
    <row r="62" customFormat="false" ht="32.8" hidden="false" customHeight="false" outlineLevel="0" collapsed="false">
      <c r="A62" s="5" t="n">
        <v>61</v>
      </c>
      <c r="B62" s="5" t="s">
        <v>236</v>
      </c>
      <c r="C62" s="5" t="s">
        <v>596</v>
      </c>
      <c r="D62" s="5" t="s">
        <v>597</v>
      </c>
      <c r="E62" s="5" t="s">
        <v>334</v>
      </c>
      <c r="F62" s="5" t="s">
        <v>281</v>
      </c>
      <c r="G62" s="5" t="s">
        <v>598</v>
      </c>
      <c r="H62" s="5" t="s">
        <v>599</v>
      </c>
      <c r="I62" s="5" t="s">
        <v>600</v>
      </c>
      <c r="J62" s="5" t="s">
        <v>458</v>
      </c>
      <c r="K62" s="5" t="s">
        <v>601</v>
      </c>
      <c r="L62" s="5" t="s">
        <v>569</v>
      </c>
    </row>
    <row r="63" customFormat="false" ht="22.35" hidden="false" customHeight="false" outlineLevel="0" collapsed="false">
      <c r="A63" s="5" t="n">
        <v>62</v>
      </c>
      <c r="B63" s="5" t="s">
        <v>236</v>
      </c>
      <c r="C63" s="5" t="s">
        <v>602</v>
      </c>
      <c r="D63" s="5" t="s">
        <v>603</v>
      </c>
      <c r="E63" s="5" t="s">
        <v>334</v>
      </c>
      <c r="F63" s="5" t="s">
        <v>281</v>
      </c>
      <c r="G63" s="5" t="s">
        <v>604</v>
      </c>
      <c r="H63" s="5" t="s">
        <v>463</v>
      </c>
      <c r="I63" s="5" t="s">
        <v>605</v>
      </c>
      <c r="J63" s="5" t="s">
        <v>458</v>
      </c>
      <c r="K63" s="5" t="s">
        <v>337</v>
      </c>
      <c r="L63" s="5" t="s">
        <v>569</v>
      </c>
    </row>
    <row r="64" customFormat="false" ht="22.35" hidden="false" customHeight="false" outlineLevel="0" collapsed="false">
      <c r="A64" s="5" t="n">
        <v>63</v>
      </c>
      <c r="B64" s="5" t="s">
        <v>236</v>
      </c>
      <c r="C64" s="5" t="s">
        <v>606</v>
      </c>
      <c r="D64" s="5" t="s">
        <v>607</v>
      </c>
      <c r="E64" s="5" t="s">
        <v>334</v>
      </c>
      <c r="F64" s="5" t="s">
        <v>281</v>
      </c>
      <c r="G64" s="5" t="s">
        <v>608</v>
      </c>
      <c r="H64" s="5" t="s">
        <v>196</v>
      </c>
      <c r="I64" s="5" t="s">
        <v>609</v>
      </c>
      <c r="J64" s="5" t="s">
        <v>458</v>
      </c>
      <c r="K64" s="5" t="s">
        <v>610</v>
      </c>
      <c r="L64" s="5" t="s">
        <v>569</v>
      </c>
    </row>
    <row r="65" customFormat="false" ht="43.25" hidden="false" customHeight="false" outlineLevel="0" collapsed="false">
      <c r="A65" s="5" t="n">
        <v>64</v>
      </c>
      <c r="B65" s="5" t="s">
        <v>236</v>
      </c>
      <c r="C65" s="5" t="s">
        <v>611</v>
      </c>
      <c r="D65" s="5" t="s">
        <v>612</v>
      </c>
      <c r="E65" s="5" t="s">
        <v>334</v>
      </c>
      <c r="F65" s="5" t="s">
        <v>281</v>
      </c>
      <c r="G65" s="5" t="s">
        <v>613</v>
      </c>
      <c r="H65" s="5" t="s">
        <v>614</v>
      </c>
      <c r="I65" s="5" t="s">
        <v>615</v>
      </c>
      <c r="J65" s="5" t="s">
        <v>458</v>
      </c>
      <c r="K65" s="5" t="s">
        <v>616</v>
      </c>
      <c r="L65" s="5" t="s">
        <v>617</v>
      </c>
    </row>
    <row r="66" customFormat="false" ht="32.8" hidden="false" customHeight="false" outlineLevel="0" collapsed="false">
      <c r="A66" s="5" t="n">
        <v>65</v>
      </c>
      <c r="B66" s="5" t="s">
        <v>236</v>
      </c>
      <c r="C66" s="5" t="s">
        <v>618</v>
      </c>
      <c r="D66" s="5" t="s">
        <v>619</v>
      </c>
      <c r="E66" s="5" t="s">
        <v>418</v>
      </c>
      <c r="F66" s="5" t="s">
        <v>281</v>
      </c>
      <c r="G66" s="5" t="s">
        <v>620</v>
      </c>
      <c r="H66" s="5" t="s">
        <v>621</v>
      </c>
      <c r="I66" s="5" t="s">
        <v>622</v>
      </c>
      <c r="J66" s="5" t="s">
        <v>458</v>
      </c>
      <c r="K66" s="5" t="s">
        <v>623</v>
      </c>
      <c r="L66" s="5" t="s">
        <v>569</v>
      </c>
    </row>
    <row r="67" customFormat="false" ht="22.35" hidden="false" customHeight="false" outlineLevel="0" collapsed="false">
      <c r="A67" s="5" t="n">
        <v>66</v>
      </c>
      <c r="B67" s="5" t="s">
        <v>236</v>
      </c>
      <c r="C67" s="5" t="s">
        <v>624</v>
      </c>
      <c r="D67" s="5" t="s">
        <v>625</v>
      </c>
      <c r="E67" s="5" t="s">
        <v>334</v>
      </c>
      <c r="F67" s="5" t="s">
        <v>284</v>
      </c>
      <c r="G67" s="5" t="s">
        <v>626</v>
      </c>
      <c r="H67" s="5" t="s">
        <v>463</v>
      </c>
      <c r="I67" s="5" t="s">
        <v>627</v>
      </c>
      <c r="J67" s="5" t="s">
        <v>458</v>
      </c>
      <c r="K67" s="5" t="s">
        <v>337</v>
      </c>
      <c r="L67" s="5" t="s">
        <v>569</v>
      </c>
    </row>
    <row r="68" customFormat="false" ht="22.35" hidden="false" customHeight="false" outlineLevel="0" collapsed="false">
      <c r="A68" s="5" t="n">
        <v>67</v>
      </c>
      <c r="B68" s="5" t="s">
        <v>236</v>
      </c>
      <c r="C68" s="5" t="s">
        <v>628</v>
      </c>
      <c r="D68" s="5" t="s">
        <v>629</v>
      </c>
      <c r="E68" s="5" t="s">
        <v>334</v>
      </c>
      <c r="F68" s="5" t="s">
        <v>284</v>
      </c>
      <c r="G68" s="5" t="s">
        <v>630</v>
      </c>
      <c r="H68" s="5" t="s">
        <v>463</v>
      </c>
      <c r="I68" s="5" t="s">
        <v>631</v>
      </c>
      <c r="J68" s="5" t="s">
        <v>458</v>
      </c>
      <c r="K68" s="5" t="s">
        <v>337</v>
      </c>
      <c r="L68" s="5" t="s">
        <v>569</v>
      </c>
    </row>
    <row r="69" customFormat="false" ht="32.8" hidden="false" customHeight="false" outlineLevel="0" collapsed="false">
      <c r="A69" s="5" t="n">
        <v>68</v>
      </c>
      <c r="B69" s="5" t="s">
        <v>236</v>
      </c>
      <c r="C69" s="5" t="s">
        <v>632</v>
      </c>
      <c r="D69" s="5" t="s">
        <v>633</v>
      </c>
      <c r="E69" s="5" t="s">
        <v>418</v>
      </c>
      <c r="F69" s="5" t="s">
        <v>284</v>
      </c>
      <c r="G69" s="5" t="s">
        <v>634</v>
      </c>
      <c r="H69" s="5" t="s">
        <v>635</v>
      </c>
      <c r="I69" s="5" t="s">
        <v>636</v>
      </c>
      <c r="J69" s="5" t="s">
        <v>458</v>
      </c>
      <c r="K69" s="5" t="s">
        <v>337</v>
      </c>
      <c r="L69" s="5" t="s">
        <v>569</v>
      </c>
    </row>
    <row r="70" customFormat="false" ht="32.8" hidden="false" customHeight="false" outlineLevel="0" collapsed="false">
      <c r="A70" s="5" t="n">
        <v>69</v>
      </c>
      <c r="B70" s="5" t="s">
        <v>236</v>
      </c>
      <c r="C70" s="5" t="s">
        <v>637</v>
      </c>
      <c r="D70" s="5" t="s">
        <v>638</v>
      </c>
      <c r="E70" s="5" t="s">
        <v>418</v>
      </c>
      <c r="F70" s="5" t="s">
        <v>284</v>
      </c>
      <c r="G70" s="5" t="s">
        <v>639</v>
      </c>
      <c r="H70" s="5" t="s">
        <v>463</v>
      </c>
      <c r="I70" s="5" t="s">
        <v>640</v>
      </c>
      <c r="J70" s="5" t="s">
        <v>458</v>
      </c>
      <c r="K70" s="5" t="s">
        <v>337</v>
      </c>
      <c r="L70" s="5" t="s">
        <v>569</v>
      </c>
    </row>
    <row r="71" customFormat="false" ht="43.25" hidden="false" customHeight="false" outlineLevel="0" collapsed="false">
      <c r="A71" s="5" t="n">
        <v>70</v>
      </c>
      <c r="B71" s="5" t="s">
        <v>236</v>
      </c>
      <c r="C71" s="5" t="s">
        <v>641</v>
      </c>
      <c r="D71" s="5" t="s">
        <v>642</v>
      </c>
      <c r="E71" s="5" t="s">
        <v>418</v>
      </c>
      <c r="F71" s="5" t="s">
        <v>284</v>
      </c>
      <c r="G71" s="5" t="s">
        <v>643</v>
      </c>
      <c r="H71" s="5" t="s">
        <v>644</v>
      </c>
      <c r="I71" s="5" t="s">
        <v>645</v>
      </c>
      <c r="J71" s="5" t="s">
        <v>458</v>
      </c>
      <c r="K71" s="5" t="s">
        <v>337</v>
      </c>
      <c r="L71" s="5" t="s">
        <v>569</v>
      </c>
    </row>
    <row r="72" customFormat="false" ht="15" hidden="false" customHeight="false" outlineLevel="0" collapsed="false">
      <c r="A72" s="5" t="n">
        <v>71</v>
      </c>
      <c r="B72" s="5" t="s">
        <v>236</v>
      </c>
      <c r="C72" s="5" t="s">
        <v>646</v>
      </c>
      <c r="D72" s="5" t="s">
        <v>647</v>
      </c>
      <c r="E72" s="5" t="s">
        <v>334</v>
      </c>
      <c r="F72" s="5" t="s">
        <v>286</v>
      </c>
      <c r="G72" s="5" t="s">
        <v>648</v>
      </c>
      <c r="H72" s="5" t="s">
        <v>389</v>
      </c>
      <c r="I72" s="5" t="s">
        <v>649</v>
      </c>
      <c r="J72" s="5" t="s">
        <v>458</v>
      </c>
      <c r="K72" s="5" t="s">
        <v>337</v>
      </c>
      <c r="L72" s="5" t="s">
        <v>569</v>
      </c>
    </row>
    <row r="73" customFormat="false" ht="15" hidden="false" customHeight="false" outlineLevel="0" collapsed="false">
      <c r="A73" s="5" t="n">
        <v>72</v>
      </c>
      <c r="B73" s="5" t="s">
        <v>236</v>
      </c>
      <c r="C73" s="5" t="s">
        <v>650</v>
      </c>
      <c r="D73" s="5" t="s">
        <v>651</v>
      </c>
      <c r="E73" s="5" t="s">
        <v>334</v>
      </c>
      <c r="F73" s="5" t="s">
        <v>286</v>
      </c>
      <c r="G73" s="5" t="s">
        <v>648</v>
      </c>
      <c r="H73" s="5" t="s">
        <v>389</v>
      </c>
      <c r="I73" s="5" t="s">
        <v>652</v>
      </c>
      <c r="J73" s="5" t="s">
        <v>458</v>
      </c>
      <c r="K73" s="5" t="s">
        <v>337</v>
      </c>
      <c r="L73" s="5" t="s">
        <v>569</v>
      </c>
    </row>
    <row r="74" customFormat="false" ht="22.35" hidden="false" customHeight="false" outlineLevel="0" collapsed="false">
      <c r="A74" s="5" t="n">
        <v>73</v>
      </c>
      <c r="B74" s="5" t="s">
        <v>236</v>
      </c>
      <c r="C74" s="5" t="s">
        <v>653</v>
      </c>
      <c r="D74" s="5" t="s">
        <v>654</v>
      </c>
      <c r="E74" s="5" t="s">
        <v>418</v>
      </c>
      <c r="F74" s="5" t="s">
        <v>286</v>
      </c>
      <c r="G74" s="5" t="s">
        <v>655</v>
      </c>
      <c r="H74" s="5" t="s">
        <v>389</v>
      </c>
      <c r="I74" s="5" t="s">
        <v>656</v>
      </c>
      <c r="J74" s="5" t="s">
        <v>458</v>
      </c>
      <c r="K74" s="5" t="s">
        <v>337</v>
      </c>
      <c r="L74" s="5" t="s">
        <v>569</v>
      </c>
    </row>
    <row r="75" customFormat="false" ht="53.7" hidden="false" customHeight="false" outlineLevel="0" collapsed="false">
      <c r="A75" s="5" t="n">
        <v>74</v>
      </c>
      <c r="B75" s="5" t="s">
        <v>236</v>
      </c>
      <c r="C75" s="5" t="s">
        <v>657</v>
      </c>
      <c r="D75" s="5" t="s">
        <v>658</v>
      </c>
      <c r="E75" s="5" t="s">
        <v>418</v>
      </c>
      <c r="F75" s="5" t="s">
        <v>286</v>
      </c>
      <c r="G75" s="5" t="s">
        <v>659</v>
      </c>
      <c r="H75" s="5" t="s">
        <v>389</v>
      </c>
      <c r="I75" s="5" t="s">
        <v>660</v>
      </c>
      <c r="J75" s="5" t="s">
        <v>458</v>
      </c>
      <c r="K75" s="5" t="s">
        <v>337</v>
      </c>
      <c r="L75" s="5" t="s">
        <v>569</v>
      </c>
    </row>
    <row r="76" customFormat="false" ht="15" hidden="false" customHeight="false" outlineLevel="0" collapsed="false">
      <c r="A76" s="5" t="n">
        <v>75</v>
      </c>
      <c r="B76" s="5" t="s">
        <v>236</v>
      </c>
      <c r="C76" s="5" t="s">
        <v>661</v>
      </c>
      <c r="D76" s="5" t="s">
        <v>662</v>
      </c>
      <c r="E76" s="5" t="s">
        <v>334</v>
      </c>
      <c r="F76" s="5" t="s">
        <v>286</v>
      </c>
      <c r="G76" s="5" t="s">
        <v>663</v>
      </c>
      <c r="H76" s="5" t="s">
        <v>389</v>
      </c>
      <c r="I76" s="5" t="s">
        <v>664</v>
      </c>
      <c r="J76" s="5" t="s">
        <v>458</v>
      </c>
      <c r="K76" s="5" t="s">
        <v>337</v>
      </c>
      <c r="L76" s="5" t="s">
        <v>569</v>
      </c>
    </row>
    <row r="77" customFormat="false" ht="22.35" hidden="false" customHeight="false" outlineLevel="0" collapsed="false">
      <c r="A77" s="5" t="n">
        <v>76</v>
      </c>
      <c r="B77" s="5" t="s">
        <v>236</v>
      </c>
      <c r="C77" s="5" t="s">
        <v>665</v>
      </c>
      <c r="D77" s="5" t="s">
        <v>666</v>
      </c>
      <c r="E77" s="5" t="s">
        <v>418</v>
      </c>
      <c r="F77" s="5" t="s">
        <v>286</v>
      </c>
      <c r="G77" s="5" t="s">
        <v>667</v>
      </c>
      <c r="H77" s="5" t="s">
        <v>668</v>
      </c>
      <c r="I77" s="5" t="s">
        <v>669</v>
      </c>
      <c r="J77" s="5" t="s">
        <v>458</v>
      </c>
      <c r="K77" s="5" t="s">
        <v>337</v>
      </c>
      <c r="L77" s="5" t="s">
        <v>569</v>
      </c>
    </row>
    <row r="78" customFormat="false" ht="15" hidden="false" customHeight="false" outlineLevel="0" collapsed="false">
      <c r="A78" s="5" t="n">
        <v>77</v>
      </c>
      <c r="B78" s="5" t="s">
        <v>261</v>
      </c>
      <c r="C78" s="5" t="s">
        <v>670</v>
      </c>
      <c r="D78" s="5" t="s">
        <v>671</v>
      </c>
      <c r="E78" s="5" t="s">
        <v>334</v>
      </c>
      <c r="F78" s="5"/>
      <c r="G78" s="5"/>
      <c r="H78" s="5" t="s">
        <v>389</v>
      </c>
      <c r="I78" s="5" t="s">
        <v>672</v>
      </c>
      <c r="J78" s="5" t="s">
        <v>458</v>
      </c>
      <c r="K78" s="5" t="s">
        <v>337</v>
      </c>
      <c r="L78" s="5" t="s">
        <v>673</v>
      </c>
    </row>
    <row r="79" customFormat="false" ht="22.35" hidden="false" customHeight="false" outlineLevel="0" collapsed="false">
      <c r="A79" s="5" t="n">
        <v>78</v>
      </c>
      <c r="B79" s="5" t="s">
        <v>261</v>
      </c>
      <c r="C79" s="5" t="s">
        <v>674</v>
      </c>
      <c r="D79" s="5" t="s">
        <v>675</v>
      </c>
      <c r="E79" s="5" t="s">
        <v>334</v>
      </c>
      <c r="F79" s="5"/>
      <c r="G79" s="5"/>
      <c r="H79" s="5" t="s">
        <v>389</v>
      </c>
      <c r="I79" s="5" t="s">
        <v>676</v>
      </c>
      <c r="J79" s="5" t="s">
        <v>458</v>
      </c>
      <c r="K79" s="5" t="s">
        <v>677</v>
      </c>
      <c r="L79" s="5" t="s">
        <v>673</v>
      </c>
    </row>
    <row r="80" customFormat="false" ht="15" hidden="false" customHeight="false" outlineLevel="0" collapsed="false">
      <c r="A80" s="5" t="n">
        <v>79</v>
      </c>
      <c r="B80" s="5" t="s">
        <v>261</v>
      </c>
      <c r="C80" s="5" t="s">
        <v>678</v>
      </c>
      <c r="D80" s="5" t="s">
        <v>679</v>
      </c>
      <c r="E80" s="5" t="s">
        <v>334</v>
      </c>
      <c r="F80" s="5"/>
      <c r="G80" s="5"/>
      <c r="H80" s="5" t="s">
        <v>389</v>
      </c>
      <c r="I80" s="5" t="s">
        <v>680</v>
      </c>
      <c r="J80" s="5" t="s">
        <v>458</v>
      </c>
      <c r="K80" s="5" t="s">
        <v>337</v>
      </c>
      <c r="L80" s="5" t="s">
        <v>673</v>
      </c>
    </row>
    <row r="81" customFormat="false" ht="15" hidden="false" customHeight="false" outlineLevel="0" collapsed="false">
      <c r="A81" s="5" t="n">
        <v>80</v>
      </c>
      <c r="B81" s="5" t="s">
        <v>261</v>
      </c>
      <c r="C81" s="5" t="s">
        <v>681</v>
      </c>
      <c r="D81" s="5" t="s">
        <v>682</v>
      </c>
      <c r="E81" s="5" t="s">
        <v>334</v>
      </c>
      <c r="F81" s="5"/>
      <c r="G81" s="5"/>
      <c r="H81" s="5" t="s">
        <v>389</v>
      </c>
      <c r="I81" s="5" t="s">
        <v>683</v>
      </c>
      <c r="J81" s="5" t="s">
        <v>458</v>
      </c>
      <c r="K81" s="5" t="s">
        <v>337</v>
      </c>
      <c r="L81" s="5" t="s">
        <v>673</v>
      </c>
    </row>
    <row r="82" customFormat="false" ht="15" hidden="false" customHeight="false" outlineLevel="0" collapsed="false">
      <c r="A82" s="5" t="n">
        <v>81</v>
      </c>
      <c r="B82" s="5" t="s">
        <v>261</v>
      </c>
      <c r="C82" s="5" t="s">
        <v>684</v>
      </c>
      <c r="D82" s="5" t="s">
        <v>685</v>
      </c>
      <c r="E82" s="5" t="s">
        <v>334</v>
      </c>
      <c r="F82" s="5" t="s">
        <v>286</v>
      </c>
      <c r="G82" s="5"/>
      <c r="H82" s="5" t="s">
        <v>389</v>
      </c>
      <c r="I82" s="5" t="s">
        <v>686</v>
      </c>
      <c r="J82" s="5" t="s">
        <v>458</v>
      </c>
      <c r="K82" s="5" t="s">
        <v>337</v>
      </c>
      <c r="L82" s="5" t="s">
        <v>673</v>
      </c>
    </row>
    <row r="83" customFormat="false" ht="15" hidden="false" customHeight="false" outlineLevel="0" collapsed="false">
      <c r="A83" s="5" t="n">
        <v>82</v>
      </c>
      <c r="B83" s="5" t="s">
        <v>261</v>
      </c>
      <c r="C83" s="5" t="s">
        <v>687</v>
      </c>
      <c r="D83" s="5" t="s">
        <v>688</v>
      </c>
      <c r="E83" s="5" t="s">
        <v>334</v>
      </c>
      <c r="F83" s="5" t="s">
        <v>286</v>
      </c>
      <c r="G83" s="5"/>
      <c r="H83" s="5" t="s">
        <v>389</v>
      </c>
      <c r="I83" s="5" t="s">
        <v>689</v>
      </c>
      <c r="J83" s="5" t="s">
        <v>458</v>
      </c>
      <c r="K83" s="5" t="s">
        <v>337</v>
      </c>
      <c r="L83" s="5" t="s">
        <v>673</v>
      </c>
    </row>
    <row r="84" customFormat="false" ht="22.35" hidden="false" customHeight="false" outlineLevel="0" collapsed="false">
      <c r="A84" s="5" t="n">
        <v>83</v>
      </c>
      <c r="B84" s="5" t="s">
        <v>261</v>
      </c>
      <c r="C84" s="5" t="s">
        <v>690</v>
      </c>
      <c r="D84" s="5" t="s">
        <v>691</v>
      </c>
      <c r="E84" s="5" t="s">
        <v>334</v>
      </c>
      <c r="F84" s="5"/>
      <c r="G84" s="5"/>
      <c r="H84" s="5" t="s">
        <v>389</v>
      </c>
      <c r="I84" s="5" t="s">
        <v>692</v>
      </c>
      <c r="J84" s="5" t="s">
        <v>458</v>
      </c>
      <c r="K84" s="5" t="s">
        <v>337</v>
      </c>
      <c r="L84" s="5" t="s">
        <v>673</v>
      </c>
    </row>
    <row r="85" customFormat="false" ht="22.35" hidden="false" customHeight="false" outlineLevel="0" collapsed="false">
      <c r="A85" s="5" t="n">
        <v>84</v>
      </c>
      <c r="B85" s="5" t="s">
        <v>261</v>
      </c>
      <c r="C85" s="5" t="s">
        <v>693</v>
      </c>
      <c r="D85" s="5" t="s">
        <v>694</v>
      </c>
      <c r="E85" s="5" t="s">
        <v>418</v>
      </c>
      <c r="F85" s="5"/>
      <c r="G85" s="5"/>
      <c r="H85" s="5" t="s">
        <v>389</v>
      </c>
      <c r="I85" s="5" t="s">
        <v>695</v>
      </c>
      <c r="J85" s="5" t="s">
        <v>458</v>
      </c>
      <c r="K85" s="5" t="s">
        <v>696</v>
      </c>
      <c r="L85" s="5" t="s">
        <v>673</v>
      </c>
    </row>
    <row r="86" customFormat="false" ht="15" hidden="false" customHeight="false" outlineLevel="0" collapsed="false">
      <c r="A86" s="5" t="n">
        <v>85</v>
      </c>
      <c r="B86" s="5" t="s">
        <v>261</v>
      </c>
      <c r="C86" s="5" t="s">
        <v>697</v>
      </c>
      <c r="D86" s="5" t="s">
        <v>698</v>
      </c>
      <c r="E86" s="5" t="s">
        <v>334</v>
      </c>
      <c r="F86" s="5"/>
      <c r="G86" s="5"/>
      <c r="H86" s="5" t="s">
        <v>389</v>
      </c>
      <c r="I86" s="5" t="s">
        <v>699</v>
      </c>
      <c r="J86" s="5" t="s">
        <v>458</v>
      </c>
      <c r="K86" s="5" t="s">
        <v>337</v>
      </c>
      <c r="L86" s="5" t="s">
        <v>673</v>
      </c>
    </row>
    <row r="87" customFormat="false" ht="22.35" hidden="false" customHeight="false" outlineLevel="0" collapsed="false">
      <c r="A87" s="5" t="n">
        <v>86</v>
      </c>
      <c r="B87" s="5" t="s">
        <v>261</v>
      </c>
      <c r="C87" s="5" t="s">
        <v>700</v>
      </c>
      <c r="D87" s="5" t="s">
        <v>701</v>
      </c>
      <c r="E87" s="5" t="s">
        <v>334</v>
      </c>
      <c r="F87" s="5"/>
      <c r="G87" s="5"/>
      <c r="H87" s="5" t="s">
        <v>389</v>
      </c>
      <c r="I87" s="5" t="s">
        <v>702</v>
      </c>
      <c r="J87" s="5" t="s">
        <v>458</v>
      </c>
      <c r="K87" s="5" t="s">
        <v>703</v>
      </c>
      <c r="L87" s="5" t="s">
        <v>673</v>
      </c>
    </row>
    <row r="88" customFormat="false" ht="15" hidden="false" customHeight="false" outlineLevel="0" collapsed="false">
      <c r="A88" s="5" t="n">
        <v>87</v>
      </c>
      <c r="B88" s="5" t="s">
        <v>261</v>
      </c>
      <c r="C88" s="5" t="s">
        <v>704</v>
      </c>
      <c r="D88" s="5" t="s">
        <v>705</v>
      </c>
      <c r="E88" s="5" t="s">
        <v>334</v>
      </c>
      <c r="F88" s="5" t="s">
        <v>286</v>
      </c>
      <c r="G88" s="5"/>
      <c r="H88" s="5" t="s">
        <v>389</v>
      </c>
      <c r="I88" s="5" t="s">
        <v>686</v>
      </c>
      <c r="J88" s="5" t="s">
        <v>706</v>
      </c>
      <c r="K88" s="5" t="s">
        <v>337</v>
      </c>
      <c r="L88" s="5" t="s">
        <v>673</v>
      </c>
    </row>
    <row r="89" customFormat="false" ht="22.35" hidden="false" customHeight="false" outlineLevel="0" collapsed="false">
      <c r="A89" s="5" t="n">
        <v>88</v>
      </c>
      <c r="B89" s="5" t="s">
        <v>261</v>
      </c>
      <c r="C89" s="5" t="s">
        <v>707</v>
      </c>
      <c r="D89" s="5" t="s">
        <v>708</v>
      </c>
      <c r="E89" s="5" t="s">
        <v>418</v>
      </c>
      <c r="F89" s="5"/>
      <c r="G89" s="5"/>
      <c r="H89" s="5" t="s">
        <v>389</v>
      </c>
      <c r="I89" s="5" t="s">
        <v>709</v>
      </c>
      <c r="J89" s="5" t="s">
        <v>458</v>
      </c>
      <c r="K89" s="5" t="s">
        <v>710</v>
      </c>
      <c r="L89" s="5" t="s">
        <v>673</v>
      </c>
    </row>
    <row r="90" customFormat="false" ht="15" hidden="false" customHeight="false" outlineLevel="0" collapsed="false">
      <c r="A90" s="5" t="n">
        <v>89</v>
      </c>
      <c r="B90" s="5" t="s">
        <v>261</v>
      </c>
      <c r="C90" s="5" t="s">
        <v>711</v>
      </c>
      <c r="D90" s="5" t="s">
        <v>712</v>
      </c>
      <c r="E90" s="5" t="s">
        <v>418</v>
      </c>
      <c r="F90" s="5"/>
      <c r="G90" s="5"/>
      <c r="H90" s="5" t="s">
        <v>389</v>
      </c>
      <c r="I90" s="5" t="s">
        <v>713</v>
      </c>
      <c r="J90" s="5" t="s">
        <v>458</v>
      </c>
      <c r="K90" s="5" t="s">
        <v>337</v>
      </c>
      <c r="L90" s="5" t="s">
        <v>673</v>
      </c>
    </row>
    <row r="91" customFormat="false" ht="22.35" hidden="false" customHeight="false" outlineLevel="0" collapsed="false">
      <c r="A91" s="5" t="n">
        <v>90</v>
      </c>
      <c r="B91" s="5" t="s">
        <v>261</v>
      </c>
      <c r="C91" s="5" t="s">
        <v>714</v>
      </c>
      <c r="D91" s="5" t="s">
        <v>715</v>
      </c>
      <c r="E91" s="5" t="s">
        <v>418</v>
      </c>
      <c r="F91" s="5"/>
      <c r="G91" s="5"/>
      <c r="H91" s="5" t="s">
        <v>389</v>
      </c>
      <c r="I91" s="5" t="s">
        <v>716</v>
      </c>
      <c r="J91" s="5" t="s">
        <v>458</v>
      </c>
      <c r="K91" s="5" t="s">
        <v>717</v>
      </c>
      <c r="L91" s="5" t="s">
        <v>673</v>
      </c>
    </row>
    <row r="92" customFormat="false" ht="15" hidden="false" customHeight="false" outlineLevel="0" collapsed="false">
      <c r="A92" s="5" t="n">
        <v>91</v>
      </c>
      <c r="B92" s="5" t="s">
        <v>261</v>
      </c>
      <c r="C92" s="5" t="s">
        <v>718</v>
      </c>
      <c r="D92" s="5" t="s">
        <v>719</v>
      </c>
      <c r="E92" s="5" t="s">
        <v>334</v>
      </c>
      <c r="F92" s="5"/>
      <c r="G92" s="5"/>
      <c r="H92" s="5" t="s">
        <v>389</v>
      </c>
      <c r="I92" s="5" t="s">
        <v>720</v>
      </c>
      <c r="J92" s="5" t="s">
        <v>458</v>
      </c>
      <c r="K92" s="5" t="s">
        <v>337</v>
      </c>
      <c r="L92" s="5" t="s">
        <v>673</v>
      </c>
    </row>
    <row r="93" customFormat="false" ht="15" hidden="false" customHeight="false" outlineLevel="0" collapsed="false">
      <c r="A93" s="5" t="n">
        <v>92</v>
      </c>
      <c r="B93" s="5" t="s">
        <v>261</v>
      </c>
      <c r="C93" s="5" t="s">
        <v>721</v>
      </c>
      <c r="D93" s="5" t="s">
        <v>722</v>
      </c>
      <c r="E93" s="5" t="s">
        <v>334</v>
      </c>
      <c r="F93" s="5"/>
      <c r="G93" s="5"/>
      <c r="H93" s="5" t="s">
        <v>389</v>
      </c>
      <c r="I93" s="5" t="s">
        <v>723</v>
      </c>
      <c r="J93" s="5" t="s">
        <v>458</v>
      </c>
      <c r="K93" s="5" t="s">
        <v>337</v>
      </c>
      <c r="L93" s="5" t="s">
        <v>673</v>
      </c>
    </row>
    <row r="94" customFormat="false" ht="15" hidden="false" customHeight="false" outlineLevel="0" collapsed="false">
      <c r="A94" s="5" t="n">
        <v>93</v>
      </c>
      <c r="B94" s="5" t="s">
        <v>261</v>
      </c>
      <c r="C94" s="5" t="s">
        <v>724</v>
      </c>
      <c r="D94" s="5" t="s">
        <v>725</v>
      </c>
      <c r="E94" s="5" t="s">
        <v>334</v>
      </c>
      <c r="F94" s="5"/>
      <c r="G94" s="5"/>
      <c r="H94" s="5" t="s">
        <v>389</v>
      </c>
      <c r="I94" s="5" t="s">
        <v>726</v>
      </c>
      <c r="J94" s="5" t="s">
        <v>458</v>
      </c>
      <c r="K94" s="5" t="s">
        <v>337</v>
      </c>
      <c r="L94" s="5" t="s">
        <v>673</v>
      </c>
    </row>
    <row r="95" customFormat="false" ht="15" hidden="false" customHeight="false" outlineLevel="0" collapsed="false">
      <c r="A95" s="5" t="n">
        <v>94</v>
      </c>
      <c r="B95" s="5" t="s">
        <v>261</v>
      </c>
      <c r="C95" s="5" t="s">
        <v>727</v>
      </c>
      <c r="D95" s="5" t="s">
        <v>728</v>
      </c>
      <c r="E95" s="5" t="s">
        <v>334</v>
      </c>
      <c r="F95" s="5"/>
      <c r="G95" s="5"/>
      <c r="H95" s="5" t="s">
        <v>389</v>
      </c>
      <c r="I95" s="5" t="s">
        <v>729</v>
      </c>
      <c r="J95" s="5" t="s">
        <v>458</v>
      </c>
      <c r="K95" s="5" t="s">
        <v>730</v>
      </c>
      <c r="L95" s="5" t="s">
        <v>673</v>
      </c>
    </row>
    <row r="96" customFormat="false" ht="15" hidden="false" customHeight="false" outlineLevel="0" collapsed="false">
      <c r="A96" s="5" t="n">
        <v>95</v>
      </c>
      <c r="B96" s="5" t="s">
        <v>261</v>
      </c>
      <c r="C96" s="5" t="s">
        <v>731</v>
      </c>
      <c r="D96" s="5" t="s">
        <v>732</v>
      </c>
      <c r="E96" s="5" t="s">
        <v>334</v>
      </c>
      <c r="F96" s="5"/>
      <c r="G96" s="5"/>
      <c r="H96" s="5" t="s">
        <v>389</v>
      </c>
      <c r="I96" s="5" t="s">
        <v>733</v>
      </c>
      <c r="J96" s="5" t="s">
        <v>458</v>
      </c>
      <c r="K96" s="5" t="s">
        <v>734</v>
      </c>
      <c r="L96" s="5" t="s">
        <v>673</v>
      </c>
    </row>
    <row r="97" customFormat="false" ht="22.35" hidden="false" customHeight="false" outlineLevel="0" collapsed="false">
      <c r="A97" s="5" t="n">
        <v>96</v>
      </c>
      <c r="B97" s="5" t="s">
        <v>261</v>
      </c>
      <c r="C97" s="5" t="s">
        <v>735</v>
      </c>
      <c r="D97" s="5" t="s">
        <v>736</v>
      </c>
      <c r="E97" s="5" t="s">
        <v>334</v>
      </c>
      <c r="F97" s="5"/>
      <c r="G97" s="5"/>
      <c r="H97" s="5" t="s">
        <v>389</v>
      </c>
      <c r="I97" s="5" t="s">
        <v>737</v>
      </c>
      <c r="J97" s="5" t="s">
        <v>458</v>
      </c>
      <c r="K97" s="5" t="s">
        <v>738</v>
      </c>
      <c r="L97" s="5" t="s">
        <v>673</v>
      </c>
    </row>
    <row r="98" customFormat="false" ht="15" hidden="false" customHeight="false" outlineLevel="0" collapsed="false">
      <c r="A98" s="5" t="n">
        <v>97</v>
      </c>
      <c r="B98" s="5" t="s">
        <v>261</v>
      </c>
      <c r="C98" s="5" t="s">
        <v>739</v>
      </c>
      <c r="D98" s="5" t="s">
        <v>740</v>
      </c>
      <c r="E98" s="5" t="s">
        <v>334</v>
      </c>
      <c r="F98" s="5" t="s">
        <v>286</v>
      </c>
      <c r="G98" s="5"/>
      <c r="H98" s="5" t="s">
        <v>389</v>
      </c>
      <c r="I98" s="5" t="s">
        <v>686</v>
      </c>
      <c r="J98" s="5" t="s">
        <v>706</v>
      </c>
      <c r="K98" s="5" t="s">
        <v>337</v>
      </c>
      <c r="L98" s="5" t="s">
        <v>673</v>
      </c>
    </row>
    <row r="99" customFormat="false" ht="15" hidden="false" customHeight="false" outlineLevel="0" collapsed="false">
      <c r="A99" s="5" t="n">
        <v>98</v>
      </c>
      <c r="B99" s="5" t="s">
        <v>261</v>
      </c>
      <c r="C99" s="5" t="s">
        <v>741</v>
      </c>
      <c r="D99" s="5" t="s">
        <v>742</v>
      </c>
      <c r="E99" s="5" t="s">
        <v>334</v>
      </c>
      <c r="F99" s="5" t="s">
        <v>286</v>
      </c>
      <c r="G99" s="5"/>
      <c r="H99" s="5" t="s">
        <v>389</v>
      </c>
      <c r="I99" s="5" t="s">
        <v>743</v>
      </c>
      <c r="J99" s="5" t="s">
        <v>458</v>
      </c>
      <c r="K99" s="5" t="s">
        <v>744</v>
      </c>
      <c r="L99" s="5" t="s">
        <v>673</v>
      </c>
    </row>
    <row r="100" customFormat="false" ht="15" hidden="false" customHeight="false" outlineLevel="0" collapsed="false">
      <c r="A100" s="5" t="n">
        <v>99</v>
      </c>
      <c r="B100" s="5" t="s">
        <v>261</v>
      </c>
      <c r="C100" s="5" t="s">
        <v>745</v>
      </c>
      <c r="D100" s="5" t="s">
        <v>746</v>
      </c>
      <c r="E100" s="5" t="s">
        <v>334</v>
      </c>
      <c r="F100" s="5"/>
      <c r="G100" s="5"/>
      <c r="H100" s="5" t="s">
        <v>389</v>
      </c>
      <c r="I100" s="5" t="s">
        <v>747</v>
      </c>
      <c r="J100" s="5" t="s">
        <v>458</v>
      </c>
      <c r="K100" s="5" t="s">
        <v>337</v>
      </c>
      <c r="L100" s="5" t="s">
        <v>673</v>
      </c>
    </row>
    <row r="101" customFormat="false" ht="15" hidden="false" customHeight="false" outlineLevel="0" collapsed="false">
      <c r="A101" s="5" t="n">
        <v>100</v>
      </c>
      <c r="B101" s="5" t="s">
        <v>261</v>
      </c>
      <c r="C101" s="5" t="s">
        <v>748</v>
      </c>
      <c r="D101" s="5" t="s">
        <v>749</v>
      </c>
      <c r="E101" s="5" t="s">
        <v>334</v>
      </c>
      <c r="F101" s="5"/>
      <c r="G101" s="5"/>
      <c r="H101" s="5" t="s">
        <v>389</v>
      </c>
      <c r="I101" s="5" t="s">
        <v>750</v>
      </c>
      <c r="J101" s="5" t="s">
        <v>458</v>
      </c>
      <c r="K101" s="5" t="s">
        <v>337</v>
      </c>
      <c r="L101" s="5" t="s">
        <v>673</v>
      </c>
    </row>
    <row r="102" customFormat="false" ht="15" hidden="false" customHeight="false" outlineLevel="0" collapsed="false">
      <c r="A102" s="5" t="n">
        <v>101</v>
      </c>
      <c r="B102" s="5" t="s">
        <v>261</v>
      </c>
      <c r="C102" s="5" t="s">
        <v>751</v>
      </c>
      <c r="D102" s="5" t="s">
        <v>752</v>
      </c>
      <c r="E102" s="5" t="s">
        <v>334</v>
      </c>
      <c r="F102" s="5"/>
      <c r="G102" s="5"/>
      <c r="H102" s="5" t="s">
        <v>389</v>
      </c>
      <c r="I102" s="5" t="s">
        <v>753</v>
      </c>
      <c r="J102" s="5" t="s">
        <v>458</v>
      </c>
      <c r="K102" s="5" t="s">
        <v>337</v>
      </c>
      <c r="L102" s="5" t="s">
        <v>673</v>
      </c>
    </row>
    <row r="103" customFormat="false" ht="43.25" hidden="false" customHeight="false" outlineLevel="0" collapsed="false">
      <c r="A103" s="5" t="n">
        <v>102</v>
      </c>
      <c r="B103" s="5" t="s">
        <v>261</v>
      </c>
      <c r="C103" s="5" t="s">
        <v>754</v>
      </c>
      <c r="D103" s="5" t="s">
        <v>755</v>
      </c>
      <c r="E103" s="5" t="s">
        <v>334</v>
      </c>
      <c r="F103" s="5"/>
      <c r="G103" s="5"/>
      <c r="H103" s="5" t="s">
        <v>389</v>
      </c>
      <c r="I103" s="5" t="s">
        <v>756</v>
      </c>
      <c r="J103" s="5" t="s">
        <v>757</v>
      </c>
      <c r="K103" s="5" t="s">
        <v>758</v>
      </c>
      <c r="L103" s="5" t="s">
        <v>673</v>
      </c>
    </row>
    <row r="104" customFormat="false" ht="32.8" hidden="false" customHeight="false" outlineLevel="0" collapsed="false">
      <c r="A104" s="5" t="n">
        <v>103</v>
      </c>
      <c r="B104" s="5" t="s">
        <v>261</v>
      </c>
      <c r="C104" s="5" t="s">
        <v>759</v>
      </c>
      <c r="D104" s="5" t="s">
        <v>760</v>
      </c>
      <c r="E104" s="5" t="s">
        <v>334</v>
      </c>
      <c r="F104" s="5"/>
      <c r="G104" s="5"/>
      <c r="H104" s="5" t="s">
        <v>389</v>
      </c>
      <c r="I104" s="5" t="s">
        <v>761</v>
      </c>
      <c r="J104" s="5" t="s">
        <v>762</v>
      </c>
      <c r="K104" s="5" t="s">
        <v>763</v>
      </c>
      <c r="L104" s="5" t="s">
        <v>673</v>
      </c>
    </row>
    <row r="105" customFormat="false" ht="15" hidden="false" customHeight="false" outlineLevel="0" collapsed="false">
      <c r="A105" s="5" t="n">
        <v>104</v>
      </c>
      <c r="B105" s="5" t="s">
        <v>261</v>
      </c>
      <c r="C105" s="5" t="s">
        <v>764</v>
      </c>
      <c r="D105" s="5" t="s">
        <v>765</v>
      </c>
      <c r="E105" s="5" t="s">
        <v>418</v>
      </c>
      <c r="F105" s="5"/>
      <c r="G105" s="5"/>
      <c r="H105" s="5" t="s">
        <v>389</v>
      </c>
      <c r="I105" s="5" t="s">
        <v>766</v>
      </c>
      <c r="J105" s="5" t="s">
        <v>458</v>
      </c>
      <c r="K105" s="5" t="s">
        <v>395</v>
      </c>
      <c r="L105" s="5" t="s">
        <v>673</v>
      </c>
    </row>
    <row r="106" customFormat="false" ht="15" hidden="false" customHeight="false" outlineLevel="0" collapsed="false">
      <c r="A106" s="5" t="n">
        <v>105</v>
      </c>
      <c r="B106" s="5" t="s">
        <v>261</v>
      </c>
      <c r="C106" s="5" t="s">
        <v>767</v>
      </c>
      <c r="D106" s="5" t="s">
        <v>768</v>
      </c>
      <c r="E106" s="5" t="s">
        <v>418</v>
      </c>
      <c r="F106" s="5"/>
      <c r="G106" s="5"/>
      <c r="H106" s="5" t="s">
        <v>389</v>
      </c>
      <c r="I106" s="5" t="s">
        <v>769</v>
      </c>
      <c r="J106" s="5" t="s">
        <v>458</v>
      </c>
      <c r="K106" s="5" t="s">
        <v>770</v>
      </c>
      <c r="L106" s="5" t="s">
        <v>673</v>
      </c>
    </row>
    <row r="107" customFormat="false" ht="15" hidden="false" customHeight="false" outlineLevel="0" collapsed="false">
      <c r="A107" s="5" t="n">
        <v>106</v>
      </c>
      <c r="B107" s="5" t="s">
        <v>261</v>
      </c>
      <c r="C107" s="5" t="s">
        <v>771</v>
      </c>
      <c r="D107" s="5" t="s">
        <v>772</v>
      </c>
      <c r="E107" s="5" t="s">
        <v>418</v>
      </c>
      <c r="F107" s="5"/>
      <c r="G107" s="5"/>
      <c r="H107" s="5" t="s">
        <v>389</v>
      </c>
      <c r="I107" s="5" t="s">
        <v>773</v>
      </c>
      <c r="J107" s="5" t="s">
        <v>458</v>
      </c>
      <c r="K107" s="5" t="s">
        <v>337</v>
      </c>
      <c r="L107" s="5" t="s">
        <v>673</v>
      </c>
    </row>
    <row r="108" customFormat="false" ht="15" hidden="false" customHeight="false" outlineLevel="0" collapsed="false">
      <c r="A108" s="5" t="n">
        <v>107</v>
      </c>
      <c r="B108" s="5" t="s">
        <v>261</v>
      </c>
      <c r="C108" s="5" t="s">
        <v>774</v>
      </c>
      <c r="D108" s="5" t="s">
        <v>775</v>
      </c>
      <c r="E108" s="5" t="s">
        <v>334</v>
      </c>
      <c r="F108" s="5" t="s">
        <v>286</v>
      </c>
      <c r="G108" s="5"/>
      <c r="H108" s="5" t="s">
        <v>389</v>
      </c>
      <c r="I108" s="5" t="s">
        <v>776</v>
      </c>
      <c r="J108" s="5" t="s">
        <v>458</v>
      </c>
      <c r="K108" s="5" t="s">
        <v>337</v>
      </c>
      <c r="L108" s="5" t="s">
        <v>673</v>
      </c>
    </row>
    <row r="109" customFormat="false" ht="15" hidden="false" customHeight="false" outlineLevel="0" collapsed="false">
      <c r="A109" s="5" t="n">
        <v>108</v>
      </c>
      <c r="B109" s="5" t="s">
        <v>261</v>
      </c>
      <c r="C109" s="5" t="s">
        <v>777</v>
      </c>
      <c r="D109" s="5" t="s">
        <v>778</v>
      </c>
      <c r="E109" s="5" t="s">
        <v>334</v>
      </c>
      <c r="F109" s="5" t="s">
        <v>286</v>
      </c>
      <c r="G109" s="5"/>
      <c r="H109" s="5" t="s">
        <v>389</v>
      </c>
      <c r="I109" s="5" t="s">
        <v>779</v>
      </c>
      <c r="J109" s="5" t="s">
        <v>458</v>
      </c>
      <c r="K109" s="5" t="s">
        <v>337</v>
      </c>
      <c r="L109" s="5" t="s">
        <v>673</v>
      </c>
    </row>
    <row r="110" customFormat="false" ht="15" hidden="false" customHeight="false" outlineLevel="0" collapsed="false">
      <c r="A110" s="5" t="n">
        <v>109</v>
      </c>
      <c r="B110" s="5" t="s">
        <v>261</v>
      </c>
      <c r="C110" s="5" t="s">
        <v>780</v>
      </c>
      <c r="D110" s="5" t="s">
        <v>781</v>
      </c>
      <c r="E110" s="5" t="s">
        <v>334</v>
      </c>
      <c r="F110" s="5" t="s">
        <v>286</v>
      </c>
      <c r="G110" s="5"/>
      <c r="H110" s="5" t="s">
        <v>389</v>
      </c>
      <c r="I110" s="5" t="s">
        <v>782</v>
      </c>
      <c r="J110" s="5" t="s">
        <v>458</v>
      </c>
      <c r="K110" s="5" t="s">
        <v>783</v>
      </c>
      <c r="L110" s="5" t="s">
        <v>673</v>
      </c>
    </row>
    <row r="111" customFormat="false" ht="43.25" hidden="false" customHeight="false" outlineLevel="0" collapsed="false">
      <c r="A111" s="5" t="n">
        <v>110</v>
      </c>
      <c r="B111" s="5" t="s">
        <v>261</v>
      </c>
      <c r="C111" s="5" t="s">
        <v>784</v>
      </c>
      <c r="D111" s="5" t="s">
        <v>785</v>
      </c>
      <c r="E111" s="5" t="s">
        <v>334</v>
      </c>
      <c r="F111" s="5"/>
      <c r="G111" s="5"/>
      <c r="H111" s="5" t="s">
        <v>389</v>
      </c>
      <c r="I111" s="5" t="s">
        <v>786</v>
      </c>
      <c r="J111" s="5" t="s">
        <v>787</v>
      </c>
      <c r="K111" s="5" t="s">
        <v>337</v>
      </c>
      <c r="L111" s="5" t="s">
        <v>673</v>
      </c>
    </row>
    <row r="112" customFormat="false" ht="15" hidden="false" customHeight="false" outlineLevel="0" collapsed="false">
      <c r="A112" s="5" t="n">
        <v>111</v>
      </c>
      <c r="B112" s="5" t="s">
        <v>261</v>
      </c>
      <c r="C112" s="5" t="s">
        <v>788</v>
      </c>
      <c r="D112" s="5" t="s">
        <v>789</v>
      </c>
      <c r="E112" s="5" t="s">
        <v>334</v>
      </c>
      <c r="F112" s="5" t="s">
        <v>286</v>
      </c>
      <c r="G112" s="5"/>
      <c r="H112" s="5" t="s">
        <v>389</v>
      </c>
      <c r="I112" s="5" t="s">
        <v>686</v>
      </c>
      <c r="J112" s="5" t="s">
        <v>458</v>
      </c>
      <c r="K112" s="5" t="s">
        <v>337</v>
      </c>
      <c r="L112" s="5" t="s">
        <v>673</v>
      </c>
    </row>
    <row r="113" customFormat="false" ht="15" hidden="false" customHeight="false" outlineLevel="0" collapsed="false">
      <c r="A113" s="5" t="n">
        <v>112</v>
      </c>
      <c r="B113" s="5" t="s">
        <v>261</v>
      </c>
      <c r="C113" s="5" t="s">
        <v>790</v>
      </c>
      <c r="D113" s="5" t="s">
        <v>791</v>
      </c>
      <c r="E113" s="5" t="s">
        <v>334</v>
      </c>
      <c r="F113" s="5" t="s">
        <v>286</v>
      </c>
      <c r="G113" s="5"/>
      <c r="H113" s="5" t="s">
        <v>389</v>
      </c>
      <c r="I113" s="5" t="s">
        <v>686</v>
      </c>
      <c r="J113" s="5" t="s">
        <v>458</v>
      </c>
      <c r="K113" s="5" t="s">
        <v>792</v>
      </c>
      <c r="L113" s="5" t="s">
        <v>673</v>
      </c>
    </row>
    <row r="114" customFormat="false" ht="15" hidden="false" customHeight="false" outlineLevel="0" collapsed="false">
      <c r="A114" s="5" t="n">
        <v>113</v>
      </c>
      <c r="B114" s="5" t="s">
        <v>261</v>
      </c>
      <c r="C114" s="5" t="s">
        <v>793</v>
      </c>
      <c r="D114" s="5" t="s">
        <v>794</v>
      </c>
      <c r="E114" s="5" t="s">
        <v>334</v>
      </c>
      <c r="F114" s="5" t="s">
        <v>286</v>
      </c>
      <c r="G114" s="5"/>
      <c r="H114" s="5" t="s">
        <v>389</v>
      </c>
      <c r="I114" s="5" t="s">
        <v>686</v>
      </c>
      <c r="J114" s="5" t="s">
        <v>458</v>
      </c>
      <c r="K114" s="5" t="s">
        <v>337</v>
      </c>
      <c r="L114" s="5" t="s">
        <v>673</v>
      </c>
    </row>
    <row r="115" customFormat="false" ht="15" hidden="false" customHeight="false" outlineLevel="0" collapsed="false">
      <c r="A115" s="5" t="n">
        <v>114</v>
      </c>
      <c r="B115" s="5" t="s">
        <v>261</v>
      </c>
      <c r="C115" s="5" t="s">
        <v>795</v>
      </c>
      <c r="D115" s="5" t="s">
        <v>796</v>
      </c>
      <c r="E115" s="5" t="s">
        <v>334</v>
      </c>
      <c r="F115" s="5" t="s">
        <v>286</v>
      </c>
      <c r="G115" s="5"/>
      <c r="H115" s="5" t="s">
        <v>389</v>
      </c>
      <c r="I115" s="5" t="s">
        <v>797</v>
      </c>
      <c r="J115" s="5" t="s">
        <v>458</v>
      </c>
      <c r="K115" s="5" t="s">
        <v>337</v>
      </c>
      <c r="L115" s="5" t="s">
        <v>673</v>
      </c>
    </row>
    <row r="116" customFormat="false" ht="15" hidden="false" customHeight="false" outlineLevel="0" collapsed="false">
      <c r="A116" s="5" t="n">
        <v>115</v>
      </c>
      <c r="B116" s="5" t="s">
        <v>261</v>
      </c>
      <c r="C116" s="5" t="s">
        <v>798</v>
      </c>
      <c r="D116" s="5" t="s">
        <v>799</v>
      </c>
      <c r="E116" s="5" t="s">
        <v>334</v>
      </c>
      <c r="F116" s="5" t="s">
        <v>286</v>
      </c>
      <c r="G116" s="5"/>
      <c r="H116" s="5" t="s">
        <v>389</v>
      </c>
      <c r="I116" s="5" t="s">
        <v>686</v>
      </c>
      <c r="J116" s="5" t="s">
        <v>458</v>
      </c>
      <c r="K116" s="5" t="s">
        <v>337</v>
      </c>
      <c r="L116" s="5" t="s">
        <v>673</v>
      </c>
    </row>
    <row r="117" customFormat="false" ht="15" hidden="false" customHeight="false" outlineLevel="0" collapsed="false">
      <c r="A117" s="5" t="n">
        <v>116</v>
      </c>
      <c r="B117" s="5" t="s">
        <v>261</v>
      </c>
      <c r="C117" s="5" t="s">
        <v>800</v>
      </c>
      <c r="D117" s="5" t="s">
        <v>801</v>
      </c>
      <c r="E117" s="5" t="s">
        <v>334</v>
      </c>
      <c r="F117" s="5" t="s">
        <v>286</v>
      </c>
      <c r="G117" s="5"/>
      <c r="H117" s="5" t="s">
        <v>389</v>
      </c>
      <c r="I117" s="5" t="s">
        <v>686</v>
      </c>
      <c r="J117" s="5" t="s">
        <v>458</v>
      </c>
      <c r="K117" s="5" t="s">
        <v>337</v>
      </c>
      <c r="L117" s="5" t="s">
        <v>673</v>
      </c>
    </row>
    <row r="118" customFormat="false" ht="22.35" hidden="false" customHeight="false" outlineLevel="0" collapsed="false">
      <c r="A118" s="5" t="n">
        <v>117</v>
      </c>
      <c r="B118" s="5" t="s">
        <v>278</v>
      </c>
      <c r="C118" s="5" t="s">
        <v>802</v>
      </c>
      <c r="D118" s="5" t="s">
        <v>803</v>
      </c>
      <c r="E118" s="5" t="s">
        <v>334</v>
      </c>
      <c r="F118" s="5"/>
      <c r="G118" s="5"/>
      <c r="H118" s="5"/>
      <c r="I118" s="5" t="s">
        <v>804</v>
      </c>
      <c r="J118" s="5" t="s">
        <v>805</v>
      </c>
      <c r="K118" s="5" t="s">
        <v>337</v>
      </c>
      <c r="L118" s="5" t="s">
        <v>806</v>
      </c>
    </row>
    <row r="119" customFormat="false" ht="43.25" hidden="false" customHeight="false" outlineLevel="0" collapsed="false">
      <c r="A119" s="5" t="n">
        <v>118</v>
      </c>
      <c r="B119" s="5" t="s">
        <v>278</v>
      </c>
      <c r="C119" s="5" t="s">
        <v>807</v>
      </c>
      <c r="D119" s="5" t="s">
        <v>808</v>
      </c>
      <c r="E119" s="5" t="s">
        <v>334</v>
      </c>
      <c r="F119" s="5"/>
      <c r="G119" s="5"/>
      <c r="H119" s="5"/>
      <c r="I119" s="5" t="s">
        <v>809</v>
      </c>
      <c r="J119" s="5" t="s">
        <v>810</v>
      </c>
      <c r="K119" s="5" t="s">
        <v>337</v>
      </c>
      <c r="L119" s="5" t="s">
        <v>806</v>
      </c>
    </row>
    <row r="120" customFormat="false" ht="43.25" hidden="false" customHeight="false" outlineLevel="0" collapsed="false">
      <c r="A120" s="5" t="n">
        <v>119</v>
      </c>
      <c r="B120" s="5" t="s">
        <v>278</v>
      </c>
      <c r="C120" s="5" t="s">
        <v>811</v>
      </c>
      <c r="D120" s="5" t="s">
        <v>812</v>
      </c>
      <c r="E120" s="5" t="s">
        <v>334</v>
      </c>
      <c r="F120" s="5"/>
      <c r="G120" s="5"/>
      <c r="H120" s="5"/>
      <c r="I120" s="5" t="s">
        <v>813</v>
      </c>
      <c r="J120" s="5" t="s">
        <v>814</v>
      </c>
      <c r="K120" s="5" t="s">
        <v>815</v>
      </c>
      <c r="L120" s="5" t="s">
        <v>816</v>
      </c>
    </row>
    <row r="121" customFormat="false" ht="22.35" hidden="false" customHeight="false" outlineLevel="0" collapsed="false">
      <c r="A121" s="5" t="n">
        <v>120</v>
      </c>
      <c r="B121" s="5" t="s">
        <v>278</v>
      </c>
      <c r="C121" s="5" t="s">
        <v>817</v>
      </c>
      <c r="D121" s="5" t="s">
        <v>818</v>
      </c>
      <c r="E121" s="5" t="s">
        <v>334</v>
      </c>
      <c r="F121" s="5"/>
      <c r="G121" s="5"/>
      <c r="H121" s="5"/>
      <c r="I121" s="5" t="s">
        <v>819</v>
      </c>
      <c r="J121" s="5" t="s">
        <v>820</v>
      </c>
      <c r="K121" s="5" t="s">
        <v>337</v>
      </c>
      <c r="L121" s="5" t="s">
        <v>806</v>
      </c>
    </row>
    <row r="122" customFormat="false" ht="53.7" hidden="false" customHeight="false" outlineLevel="0" collapsed="false">
      <c r="A122" s="5" t="n">
        <v>121</v>
      </c>
      <c r="B122" s="5" t="s">
        <v>278</v>
      </c>
      <c r="C122" s="5" t="s">
        <v>821</v>
      </c>
      <c r="D122" s="5" t="s">
        <v>822</v>
      </c>
      <c r="E122" s="5" t="s">
        <v>334</v>
      </c>
      <c r="F122" s="5"/>
      <c r="G122" s="5"/>
      <c r="H122" s="5"/>
      <c r="I122" s="5" t="s">
        <v>823</v>
      </c>
      <c r="J122" s="5" t="s">
        <v>824</v>
      </c>
      <c r="K122" s="5" t="s">
        <v>825</v>
      </c>
      <c r="L122" s="5" t="s">
        <v>806</v>
      </c>
    </row>
    <row r="123" customFormat="false" ht="43.25" hidden="false" customHeight="false" outlineLevel="0" collapsed="false">
      <c r="A123" s="5" t="n">
        <v>122</v>
      </c>
      <c r="B123" s="5" t="s">
        <v>278</v>
      </c>
      <c r="C123" s="5" t="s">
        <v>826</v>
      </c>
      <c r="D123" s="5" t="s">
        <v>827</v>
      </c>
      <c r="E123" s="5" t="s">
        <v>334</v>
      </c>
      <c r="F123" s="5"/>
      <c r="G123" s="5"/>
      <c r="H123" s="5"/>
      <c r="I123" s="5" t="s">
        <v>828</v>
      </c>
      <c r="J123" s="5" t="s">
        <v>829</v>
      </c>
      <c r="K123" s="5" t="s">
        <v>830</v>
      </c>
      <c r="L123" s="5" t="s">
        <v>806</v>
      </c>
    </row>
    <row r="124" customFormat="false" ht="22.35" hidden="false" customHeight="false" outlineLevel="0" collapsed="false">
      <c r="A124" s="5" t="n">
        <v>123</v>
      </c>
      <c r="B124" s="5" t="s">
        <v>278</v>
      </c>
      <c r="C124" s="5" t="s">
        <v>831</v>
      </c>
      <c r="D124" s="5" t="s">
        <v>832</v>
      </c>
      <c r="E124" s="5" t="s">
        <v>334</v>
      </c>
      <c r="F124" s="5"/>
      <c r="G124" s="5"/>
      <c r="H124" s="5"/>
      <c r="I124" s="5" t="s">
        <v>833</v>
      </c>
      <c r="J124" s="5" t="s">
        <v>458</v>
      </c>
      <c r="K124" s="5" t="s">
        <v>834</v>
      </c>
      <c r="L124" s="5" t="s">
        <v>806</v>
      </c>
    </row>
    <row r="125" customFormat="false" ht="22.35" hidden="false" customHeight="false" outlineLevel="0" collapsed="false">
      <c r="A125" s="5" t="n">
        <v>124</v>
      </c>
      <c r="B125" s="5" t="s">
        <v>278</v>
      </c>
      <c r="C125" s="5" t="s">
        <v>835</v>
      </c>
      <c r="D125" s="5" t="s">
        <v>836</v>
      </c>
      <c r="E125" s="5" t="s">
        <v>334</v>
      </c>
      <c r="F125" s="5"/>
      <c r="G125" s="5"/>
      <c r="H125" s="5"/>
      <c r="I125" s="5" t="s">
        <v>837</v>
      </c>
      <c r="J125" s="5" t="s">
        <v>458</v>
      </c>
      <c r="K125" s="5" t="s">
        <v>337</v>
      </c>
      <c r="L125" s="5" t="s">
        <v>806</v>
      </c>
    </row>
    <row r="126" customFormat="false" ht="43.25" hidden="false" customHeight="false" outlineLevel="0" collapsed="false">
      <c r="A126" s="5" t="n">
        <v>125</v>
      </c>
      <c r="B126" s="5" t="s">
        <v>278</v>
      </c>
      <c r="C126" s="5" t="s">
        <v>838</v>
      </c>
      <c r="D126" s="5" t="s">
        <v>839</v>
      </c>
      <c r="E126" s="5" t="s">
        <v>334</v>
      </c>
      <c r="F126" s="5"/>
      <c r="G126" s="5"/>
      <c r="H126" s="5"/>
      <c r="I126" s="5" t="s">
        <v>840</v>
      </c>
      <c r="J126" s="5" t="s">
        <v>841</v>
      </c>
      <c r="K126" s="5" t="s">
        <v>337</v>
      </c>
      <c r="L126" s="5" t="s">
        <v>806</v>
      </c>
    </row>
    <row r="127" customFormat="false" ht="15" hidden="false" customHeight="false" outlineLevel="0" collapsed="false">
      <c r="A127" s="5" t="n">
        <v>126</v>
      </c>
      <c r="B127" s="5" t="s">
        <v>278</v>
      </c>
      <c r="C127" s="5" t="s">
        <v>842</v>
      </c>
      <c r="D127" s="5" t="s">
        <v>843</v>
      </c>
      <c r="E127" s="5" t="s">
        <v>418</v>
      </c>
      <c r="F127" s="5"/>
      <c r="G127" s="5"/>
      <c r="H127" s="5"/>
      <c r="I127" s="5" t="s">
        <v>844</v>
      </c>
      <c r="J127" s="5" t="s">
        <v>458</v>
      </c>
      <c r="K127" s="5" t="s">
        <v>337</v>
      </c>
      <c r="L127" s="5" t="s">
        <v>806</v>
      </c>
    </row>
    <row r="128" customFormat="false" ht="22.35" hidden="false" customHeight="false" outlineLevel="0" collapsed="false">
      <c r="A128" s="5" t="n">
        <v>127</v>
      </c>
      <c r="B128" s="5" t="s">
        <v>278</v>
      </c>
      <c r="C128" s="5" t="s">
        <v>845</v>
      </c>
      <c r="D128" s="5" t="s">
        <v>846</v>
      </c>
      <c r="E128" s="5" t="s">
        <v>418</v>
      </c>
      <c r="F128" s="5"/>
      <c r="G128" s="5"/>
      <c r="H128" s="5"/>
      <c r="I128" s="5" t="s">
        <v>847</v>
      </c>
      <c r="J128" s="5" t="s">
        <v>458</v>
      </c>
      <c r="K128" s="5" t="s">
        <v>848</v>
      </c>
      <c r="L128" s="5" t="s">
        <v>806</v>
      </c>
    </row>
    <row r="129" customFormat="false" ht="15" hidden="false" customHeight="false" outlineLevel="0" collapsed="false">
      <c r="A129" s="5" t="n">
        <v>128</v>
      </c>
      <c r="B129" s="5" t="s">
        <v>278</v>
      </c>
      <c r="C129" s="5" t="s">
        <v>849</v>
      </c>
      <c r="D129" s="5" t="s">
        <v>850</v>
      </c>
      <c r="E129" s="5" t="s">
        <v>418</v>
      </c>
      <c r="F129" s="5"/>
      <c r="G129" s="5"/>
      <c r="H129" s="5"/>
      <c r="I129" s="5" t="s">
        <v>851</v>
      </c>
      <c r="J129" s="5" t="s">
        <v>852</v>
      </c>
      <c r="K129" s="5" t="s">
        <v>337</v>
      </c>
      <c r="L129" s="5" t="s">
        <v>806</v>
      </c>
    </row>
    <row r="130" customFormat="false" ht="22.35" hidden="false" customHeight="false" outlineLevel="0" collapsed="false">
      <c r="A130" s="5" t="n">
        <v>129</v>
      </c>
      <c r="B130" s="5" t="s">
        <v>278</v>
      </c>
      <c r="C130" s="5" t="s">
        <v>853</v>
      </c>
      <c r="D130" s="5" t="s">
        <v>854</v>
      </c>
      <c r="E130" s="5" t="s">
        <v>418</v>
      </c>
      <c r="F130" s="5"/>
      <c r="G130" s="5"/>
      <c r="H130" s="5"/>
      <c r="I130" s="5" t="s">
        <v>855</v>
      </c>
      <c r="J130" s="5" t="s">
        <v>458</v>
      </c>
      <c r="K130" s="5" t="s">
        <v>856</v>
      </c>
      <c r="L130" s="5" t="s">
        <v>806</v>
      </c>
    </row>
    <row r="131" customFormat="false" ht="32.8" hidden="false" customHeight="false" outlineLevel="0" collapsed="false">
      <c r="A131" s="5" t="n">
        <v>130</v>
      </c>
      <c r="B131" s="5" t="s">
        <v>278</v>
      </c>
      <c r="C131" s="5" t="s">
        <v>857</v>
      </c>
      <c r="D131" s="5" t="s">
        <v>858</v>
      </c>
      <c r="E131" s="5" t="s">
        <v>418</v>
      </c>
      <c r="F131" s="5"/>
      <c r="G131" s="5"/>
      <c r="H131" s="5"/>
      <c r="I131" s="5" t="s">
        <v>859</v>
      </c>
      <c r="J131" s="5" t="s">
        <v>458</v>
      </c>
      <c r="K131" s="5" t="s">
        <v>860</v>
      </c>
      <c r="L131" s="5" t="s">
        <v>806</v>
      </c>
    </row>
    <row r="132" customFormat="false" ht="15" hidden="false" customHeight="false" outlineLevel="0" collapsed="false">
      <c r="A132" s="5" t="n">
        <v>131</v>
      </c>
      <c r="B132" s="5" t="s">
        <v>278</v>
      </c>
      <c r="C132" s="5" t="s">
        <v>861</v>
      </c>
      <c r="D132" s="5" t="s">
        <v>862</v>
      </c>
      <c r="E132" s="5" t="s">
        <v>418</v>
      </c>
      <c r="F132" s="5"/>
      <c r="G132" s="5"/>
      <c r="H132" s="5"/>
      <c r="I132" s="5" t="s">
        <v>863</v>
      </c>
      <c r="J132" s="5" t="s">
        <v>458</v>
      </c>
      <c r="K132" s="5" t="s">
        <v>337</v>
      </c>
      <c r="L132" s="5" t="s">
        <v>806</v>
      </c>
    </row>
    <row r="133" customFormat="false" ht="22.35" hidden="false" customHeight="false" outlineLevel="0" collapsed="false">
      <c r="A133" s="5" t="n">
        <v>132</v>
      </c>
      <c r="B133" s="5" t="s">
        <v>278</v>
      </c>
      <c r="C133" s="5" t="s">
        <v>864</v>
      </c>
      <c r="D133" s="5" t="s">
        <v>865</v>
      </c>
      <c r="E133" s="5" t="s">
        <v>418</v>
      </c>
      <c r="F133" s="5"/>
      <c r="G133" s="5"/>
      <c r="H133" s="5"/>
      <c r="I133" s="5" t="s">
        <v>866</v>
      </c>
      <c r="J133" s="5" t="s">
        <v>458</v>
      </c>
      <c r="K133" s="5" t="s">
        <v>867</v>
      </c>
      <c r="L133" s="5" t="s">
        <v>806</v>
      </c>
    </row>
    <row r="134" customFormat="false" ht="32.8" hidden="false" customHeight="false" outlineLevel="0" collapsed="false">
      <c r="A134" s="5" t="n">
        <v>133</v>
      </c>
      <c r="B134" s="5" t="s">
        <v>278</v>
      </c>
      <c r="C134" s="5" t="s">
        <v>868</v>
      </c>
      <c r="D134" s="5" t="s">
        <v>869</v>
      </c>
      <c r="E134" s="5" t="s">
        <v>418</v>
      </c>
      <c r="F134" s="5"/>
      <c r="G134" s="5"/>
      <c r="H134" s="5"/>
      <c r="I134" s="5" t="s">
        <v>870</v>
      </c>
      <c r="J134" s="5" t="s">
        <v>458</v>
      </c>
      <c r="K134" s="5" t="s">
        <v>337</v>
      </c>
      <c r="L134" s="5" t="s">
        <v>806</v>
      </c>
    </row>
    <row r="135" customFormat="false" ht="22.35" hidden="false" customHeight="false" outlineLevel="0" collapsed="false">
      <c r="A135" s="5" t="n">
        <v>134</v>
      </c>
      <c r="B135" s="5" t="s">
        <v>278</v>
      </c>
      <c r="C135" s="5" t="s">
        <v>871</v>
      </c>
      <c r="D135" s="5" t="s">
        <v>872</v>
      </c>
      <c r="E135" s="5" t="s">
        <v>418</v>
      </c>
      <c r="F135" s="5"/>
      <c r="G135" s="5"/>
      <c r="H135" s="5"/>
      <c r="I135" s="5" t="s">
        <v>873</v>
      </c>
      <c r="J135" s="5" t="s">
        <v>458</v>
      </c>
      <c r="K135" s="5" t="s">
        <v>337</v>
      </c>
      <c r="L135" s="5" t="s">
        <v>806</v>
      </c>
    </row>
    <row r="136" customFormat="false" ht="32.8" hidden="false" customHeight="false" outlineLevel="0" collapsed="false">
      <c r="A136" s="5" t="n">
        <v>135</v>
      </c>
      <c r="B136" s="5" t="s">
        <v>278</v>
      </c>
      <c r="C136" s="5" t="s">
        <v>874</v>
      </c>
      <c r="D136" s="5" t="s">
        <v>875</v>
      </c>
      <c r="E136" s="5" t="s">
        <v>418</v>
      </c>
      <c r="F136" s="5"/>
      <c r="G136" s="5"/>
      <c r="H136" s="5"/>
      <c r="I136" s="5" t="s">
        <v>876</v>
      </c>
      <c r="J136" s="5" t="s">
        <v>877</v>
      </c>
      <c r="K136" s="5" t="s">
        <v>337</v>
      </c>
      <c r="L136" s="5" t="s">
        <v>806</v>
      </c>
    </row>
    <row r="137" customFormat="false" ht="22.35" hidden="false" customHeight="false" outlineLevel="0" collapsed="false">
      <c r="A137" s="5" t="n">
        <v>136</v>
      </c>
      <c r="B137" s="5" t="s">
        <v>278</v>
      </c>
      <c r="C137" s="5" t="s">
        <v>878</v>
      </c>
      <c r="D137" s="5" t="s">
        <v>879</v>
      </c>
      <c r="E137" s="5" t="s">
        <v>418</v>
      </c>
      <c r="F137" s="5"/>
      <c r="G137" s="5"/>
      <c r="H137" s="5"/>
      <c r="I137" s="5" t="s">
        <v>880</v>
      </c>
      <c r="J137" s="5" t="s">
        <v>852</v>
      </c>
      <c r="K137" s="5" t="s">
        <v>337</v>
      </c>
      <c r="L137" s="5" t="s">
        <v>806</v>
      </c>
    </row>
    <row r="138" customFormat="false" ht="15" hidden="false" customHeight="false" outlineLevel="0" collapsed="false">
      <c r="A138" s="5" t="n">
        <v>137</v>
      </c>
      <c r="B138" s="5" t="s">
        <v>278</v>
      </c>
      <c r="C138" s="5" t="s">
        <v>881</v>
      </c>
      <c r="D138" s="5" t="s">
        <v>882</v>
      </c>
      <c r="E138" s="5" t="s">
        <v>418</v>
      </c>
      <c r="F138" s="5"/>
      <c r="G138" s="5"/>
      <c r="H138" s="5"/>
      <c r="I138" s="5" t="s">
        <v>883</v>
      </c>
      <c r="J138" s="5" t="s">
        <v>458</v>
      </c>
      <c r="K138" s="5" t="s">
        <v>337</v>
      </c>
      <c r="L138" s="5" t="s">
        <v>884</v>
      </c>
    </row>
    <row r="139" customFormat="false" ht="32.8" hidden="false" customHeight="false" outlineLevel="0" collapsed="false">
      <c r="A139" s="5" t="n">
        <v>138</v>
      </c>
      <c r="B139" s="5" t="s">
        <v>278</v>
      </c>
      <c r="C139" s="5" t="s">
        <v>885</v>
      </c>
      <c r="D139" s="5" t="s">
        <v>886</v>
      </c>
      <c r="E139" s="5" t="s">
        <v>418</v>
      </c>
      <c r="F139" s="5"/>
      <c r="G139" s="5"/>
      <c r="H139" s="5"/>
      <c r="I139" s="5" t="s">
        <v>887</v>
      </c>
      <c r="J139" s="5" t="s">
        <v>458</v>
      </c>
      <c r="K139" s="5" t="s">
        <v>337</v>
      </c>
      <c r="L139" s="5" t="s">
        <v>806</v>
      </c>
    </row>
    <row r="140" customFormat="false" ht="22.35" hidden="false" customHeight="false" outlineLevel="0" collapsed="false">
      <c r="A140" s="5" t="n">
        <v>139</v>
      </c>
      <c r="B140" s="5" t="s">
        <v>278</v>
      </c>
      <c r="C140" s="5" t="s">
        <v>888</v>
      </c>
      <c r="D140" s="5" t="s">
        <v>889</v>
      </c>
      <c r="E140" s="5" t="s">
        <v>418</v>
      </c>
      <c r="F140" s="5"/>
      <c r="G140" s="5"/>
      <c r="H140" s="5"/>
      <c r="I140" s="5" t="s">
        <v>890</v>
      </c>
      <c r="J140" s="5" t="s">
        <v>458</v>
      </c>
      <c r="K140" s="5" t="s">
        <v>337</v>
      </c>
      <c r="L140" s="5" t="s">
        <v>806</v>
      </c>
    </row>
  </sheetData>
  <autoFilter ref="A1:L14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2"/>
    <col collapsed="false" customWidth="true" hidden="false" outlineLevel="0" max="3" min="3" style="0" width="80"/>
    <col collapsed="false" customWidth="true" hidden="false" outlineLevel="0" max="4" min="4" style="0" width="40"/>
  </cols>
  <sheetData>
    <row r="1" customFormat="false" ht="15" hidden="false" customHeight="false" outlineLevel="0" collapsed="false">
      <c r="A1" s="4" t="s">
        <v>192</v>
      </c>
      <c r="B1" s="4" t="s">
        <v>193</v>
      </c>
      <c r="C1" s="4" t="s">
        <v>194</v>
      </c>
      <c r="D1" s="4" t="s">
        <v>891</v>
      </c>
    </row>
    <row r="2" customFormat="false" ht="15" hidden="false" customHeight="false" outlineLevel="0" collapsed="false">
      <c r="A2" s="5" t="s">
        <v>196</v>
      </c>
      <c r="B2" s="5" t="s">
        <v>892</v>
      </c>
      <c r="C2" s="5" t="s">
        <v>893</v>
      </c>
      <c r="D2" s="5" t="s">
        <v>894</v>
      </c>
    </row>
    <row r="3" customFormat="false" ht="15" hidden="false" customHeight="false" outlineLevel="0" collapsed="false">
      <c r="A3" s="5" t="s">
        <v>196</v>
      </c>
      <c r="B3" s="5" t="s">
        <v>895</v>
      </c>
      <c r="C3" s="5" t="s">
        <v>896</v>
      </c>
      <c r="D3" s="5" t="s">
        <v>894</v>
      </c>
    </row>
    <row r="4" customFormat="false" ht="15" hidden="false" customHeight="false" outlineLevel="0" collapsed="false">
      <c r="A4" s="5" t="s">
        <v>196</v>
      </c>
      <c r="B4" s="5" t="s">
        <v>897</v>
      </c>
      <c r="C4" s="5" t="s">
        <v>898</v>
      </c>
      <c r="D4" s="5" t="s">
        <v>894</v>
      </c>
    </row>
    <row r="5" customFormat="false" ht="15" hidden="false" customHeight="false" outlineLevel="0" collapsed="false">
      <c r="A5" s="5" t="s">
        <v>196</v>
      </c>
      <c r="B5" s="5" t="s">
        <v>899</v>
      </c>
      <c r="C5" s="5" t="s">
        <v>900</v>
      </c>
      <c r="D5" s="5" t="s">
        <v>894</v>
      </c>
    </row>
    <row r="6" customFormat="false" ht="15" hidden="false" customHeight="false" outlineLevel="0" collapsed="false">
      <c r="A6" s="5" t="s">
        <v>196</v>
      </c>
      <c r="B6" s="5" t="s">
        <v>901</v>
      </c>
      <c r="C6" s="5" t="s">
        <v>902</v>
      </c>
      <c r="D6" s="5" t="s">
        <v>903</v>
      </c>
    </row>
    <row r="7" customFormat="false" ht="22.35" hidden="false" customHeight="false" outlineLevel="0" collapsed="false">
      <c r="A7" s="5" t="s">
        <v>219</v>
      </c>
      <c r="B7" s="5" t="s">
        <v>904</v>
      </c>
      <c r="C7" s="5" t="s">
        <v>905</v>
      </c>
      <c r="D7" s="5" t="s">
        <v>906</v>
      </c>
    </row>
    <row r="8" customFormat="false" ht="22.35" hidden="false" customHeight="false" outlineLevel="0" collapsed="false">
      <c r="A8" s="5" t="s">
        <v>219</v>
      </c>
      <c r="B8" s="5" t="s">
        <v>337</v>
      </c>
      <c r="C8" s="5" t="s">
        <v>907</v>
      </c>
      <c r="D8" s="5" t="s">
        <v>906</v>
      </c>
    </row>
    <row r="9" customFormat="false" ht="22.35" hidden="false" customHeight="false" outlineLevel="0" collapsed="false">
      <c r="A9" s="5" t="s">
        <v>219</v>
      </c>
      <c r="B9" s="5" t="s">
        <v>908</v>
      </c>
      <c r="C9" s="5" t="s">
        <v>909</v>
      </c>
      <c r="D9" s="5" t="s">
        <v>906</v>
      </c>
    </row>
    <row r="10" customFormat="false" ht="22.35" hidden="false" customHeight="false" outlineLevel="0" collapsed="false">
      <c r="A10" s="5" t="s">
        <v>219</v>
      </c>
      <c r="B10" s="5" t="s">
        <v>337</v>
      </c>
      <c r="C10" s="5" t="s">
        <v>910</v>
      </c>
      <c r="D10" s="5" t="s">
        <v>906</v>
      </c>
    </row>
    <row r="11" customFormat="false" ht="22.35" hidden="false" customHeight="false" outlineLevel="0" collapsed="false">
      <c r="A11" s="5" t="s">
        <v>219</v>
      </c>
      <c r="B11" s="5" t="s">
        <v>337</v>
      </c>
      <c r="C11" s="5" t="s">
        <v>911</v>
      </c>
      <c r="D11" s="5" t="s">
        <v>906</v>
      </c>
    </row>
    <row r="12" customFormat="false" ht="22.35" hidden="false" customHeight="false" outlineLevel="0" collapsed="false">
      <c r="A12" s="5" t="s">
        <v>219</v>
      </c>
      <c r="B12" s="5" t="s">
        <v>337</v>
      </c>
      <c r="C12" s="5" t="s">
        <v>912</v>
      </c>
      <c r="D12" s="5" t="s">
        <v>906</v>
      </c>
    </row>
    <row r="13" customFormat="false" ht="22.35" hidden="false" customHeight="false" outlineLevel="0" collapsed="false">
      <c r="A13" s="5" t="s">
        <v>219</v>
      </c>
      <c r="B13" s="5" t="s">
        <v>913</v>
      </c>
      <c r="C13" s="5" t="s">
        <v>914</v>
      </c>
      <c r="D13" s="5" t="s">
        <v>906</v>
      </c>
    </row>
    <row r="14" customFormat="false" ht="22.35" hidden="false" customHeight="false" outlineLevel="0" collapsed="false">
      <c r="A14" s="5" t="s">
        <v>219</v>
      </c>
      <c r="B14" s="5" t="s">
        <v>337</v>
      </c>
      <c r="C14" s="5" t="s">
        <v>915</v>
      </c>
      <c r="D14" s="5" t="s">
        <v>906</v>
      </c>
    </row>
    <row r="15" customFormat="false" ht="32.8" hidden="false" customHeight="false" outlineLevel="0" collapsed="false">
      <c r="A15" s="5" t="s">
        <v>219</v>
      </c>
      <c r="B15" s="5" t="s">
        <v>337</v>
      </c>
      <c r="C15" s="5" t="s">
        <v>916</v>
      </c>
      <c r="D15" s="5" t="s">
        <v>906</v>
      </c>
    </row>
    <row r="16" customFormat="false" ht="22.35" hidden="false" customHeight="false" outlineLevel="0" collapsed="false">
      <c r="A16" s="5" t="s">
        <v>236</v>
      </c>
      <c r="B16" s="5" t="s">
        <v>917</v>
      </c>
      <c r="C16" s="5" t="s">
        <v>918</v>
      </c>
      <c r="D16" s="5" t="s">
        <v>919</v>
      </c>
    </row>
    <row r="17" customFormat="false" ht="22.35" hidden="false" customHeight="false" outlineLevel="0" collapsed="false">
      <c r="A17" s="5" t="s">
        <v>236</v>
      </c>
      <c r="B17" s="5" t="s">
        <v>920</v>
      </c>
      <c r="C17" s="5" t="s">
        <v>921</v>
      </c>
      <c r="D17" s="5" t="s">
        <v>919</v>
      </c>
    </row>
    <row r="18" customFormat="false" ht="15" hidden="false" customHeight="false" outlineLevel="0" collapsed="false">
      <c r="A18" s="5" t="s">
        <v>261</v>
      </c>
      <c r="B18" s="5" t="s">
        <v>922</v>
      </c>
      <c r="C18" s="5" t="s">
        <v>923</v>
      </c>
      <c r="D18" s="5" t="s">
        <v>924</v>
      </c>
    </row>
  </sheetData>
  <autoFilter ref="A1:D1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2026-09-30T14:54:40Z</dcterms:created>
  <dc:creator>openpyxl</dc:creator>
  <dc:description/>
  <dc:language>en-US</dc:language>
  <cp:lastModifiedBy/>
  <dcterms:modified xsi:type="dcterms:W3CDTF">2026-09-30T14:54:40Z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