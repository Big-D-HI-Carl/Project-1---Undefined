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bmittal Register" sheetId="1" state="visible" r:id="rId3"/>
    <sheet name="Inspection &amp; Test Plan" sheetId="2" state="visible" r:id="rId4"/>
    <sheet name="Workflow Test Log" sheetId="3" state="visible" r:id="rId5"/>
    <sheet name="Summary" sheetId="4" state="visible" r:id="rId6"/>
  </sheets>
  <definedNames>
    <definedName function="false" hidden="true" localSheetId="1" name="_xlnm._FilterDatabase" vbProcedure="false">'Inspection &amp; Test Plan'!$A$1:$P$104</definedName>
    <definedName function="false" hidden="true" localSheetId="0" name="_xlnm._FilterDatabase" vbProcedure="false">'Submittal Register'!$A$1:$P$146</definedName>
    <definedName function="false" hidden="true" localSheetId="2" name="_xlnm._FilterDatabase" vbProcedure="false">'Workflow Test Log'!$A$1:$D$12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<sst xmlns="http://schemas.openxmlformats.org/spreadsheetml/2006/main" count="3964" uniqueCount="1271">
  <si>
    <t xml:space="preserve">Req ID</t>
  </si>
  <si>
    <t xml:space="preserve">Req Type</t>
  </si>
  <si>
    <t xml:space="preserve">Item</t>
  </si>
  <si>
    <t xml:space="preserve">Subtype</t>
  </si>
  <si>
    <t xml:space="preserve">Timing/Frequency</t>
  </si>
  <si>
    <t xml:space="preserve">Acceptance Criteria</t>
  </si>
  <si>
    <t xml:space="preserve">Responsible Party</t>
  </si>
  <si>
    <t xml:space="preserve">Spec Sections</t>
  </si>
  <si>
    <t xml:space="preserve">Drawing Sheets</t>
  </si>
  <si>
    <t xml:space="preserve">Tag(s)</t>
  </si>
  <si>
    <t xml:space="preserve">Bid Item</t>
  </si>
  <si>
    <t xml:space="preserve">Addenda</t>
  </si>
  <si>
    <t xml:space="preserve">Lane</t>
  </si>
  <si>
    <t xml:space="preserve">Verified/Verified-Visual/Inferred/Unresolved</t>
  </si>
  <si>
    <t xml:space="preserve">Source Citation</t>
  </si>
  <si>
    <t xml:space="preserve">Notes</t>
  </si>
  <si>
    <t xml:space="preserve">SUB G0.4-01</t>
  </si>
  <si>
    <t xml:space="preserve">Submittal</t>
  </si>
  <si>
    <t xml:space="preserve">Utility lines come from surface-visible structures and locate marks, and Wilson does not guarantee their accuracy</t>
  </si>
  <si>
    <t xml:space="preserve">Warranty / guarantee</t>
  </si>
  <si>
    <t xml:space="preserve">Not stated</t>
  </si>
  <si>
    <t xml:space="preserve">n/a — submittal</t>
  </si>
  <si>
    <t xml:space="preserve">Contractor (submits per 01 33 00 — Inferred)</t>
  </si>
  <si>
    <t xml:space="preserve">G0.4</t>
  </si>
  <si>
    <t xml:space="preserve">None linked</t>
  </si>
  <si>
    <t xml:space="preserve">—</t>
  </si>
  <si>
    <t xml:space="preserve">Civil &amp; Site</t>
  </si>
  <si>
    <t xml:space="preserve">Verified</t>
  </si>
  <si>
    <t xml:space="preserve">Project_Wiki.md note G0.4 (Civil &amp; Site): (Notes 3.A–3.C; plans_1 p.4, G0.4 — Verified)</t>
  </si>
  <si>
    <t xml:space="preserve">Requirement sentence taken verbatim from the note; Subtype, Timing, Acceptance and Responsible Party parsed from it by keyword (Merge, Inferred — check against the cited ¶). Linked Ledger rows: 0 (flag Y and sheet cited; linkage Inferred).</t>
  </si>
  <si>
    <t xml:space="preserve">SUB G0.5-01</t>
  </si>
  <si>
    <t xml:space="preserve">8" STEP influent and an influent sample sump feed the Influent Pump Station, which pumps through a 6" influent flow meter to the flow splitter; the splitter feeds Treatment Cell #1 (Train #1) on INF1, Treatment Cell #2 (Train #2) through an 8" Train #2 flow meter on INF2, and New Treatment Cell #3 (Train #3) through an 8" Train #3 flow meter on INF3, with a fourth outlet marked FUTURE. Secondary effluent SE1–SE3 passes an 8" effluent flow meter into UV Channels #1 and #2, then 10" final effluent runs to SSMH *1288 and the 12" outfall; a 4" UV chamber drain is shown. WAS1–WAS3 go to a WAS pump and the aerobic digester above the UV chamber; a digested sludge pump with a flow meter feeds the rotary fan press and the existing screw press (drawn gray), and the 4" pressate drain returns through a 4" plant drain flow meter to the pump station. Train #3 shows Anoxic 1, Anoxic 2, Aeration 1, Aeration 2 and a clarifier, with ML recycle airlift pumps, a RAS airlift pump, and a carbon addition point into Anoxic 2. Legend: isolation valve, flow direction, flow meter (FM), airlift pump</t>
  </si>
  <si>
    <t xml:space="preserve">Samples</t>
  </si>
  <si>
    <t xml:space="preserve">G0.5</t>
  </si>
  <si>
    <t xml:space="preserve">PROPOSED-PLANT-DRAIN-FLOW-METER; PROPOSED-Plant-Drain-Flow-Meter; PROPOSED-DIGESTED-SLUDGE-FLOW-METER; PROPOSED-TRAIN-3-TREATMENT-SYSTEM; PROPOSED-TRAIN-3-RAS-AIRLIFT; PROPOSED-TRAIN-3-MLR-AIRLIFT; PROPOSED-CARBON-FEED-PUMPS; PROPOSED-INFLUENT-PUMP-STATION-WET-WELL; PROPOSED-UV-SYSTEM; PROPOSED-ROTARY-FAN-PRESS; PROPOSED-WAS-PUMP; PROPOSED-SWING-SLUDGE-PUMP; PROPOSED-DIGESTED-SLUDGE-PUMP</t>
  </si>
  <si>
    <t xml:space="preserve">1; 6; 18 — Unresolved (see 04); 19; Equipment Alternate B; Equipment Alternate C; Equipment Alternate D</t>
  </si>
  <si>
    <t xml:space="preserve">Process &amp; Mechanical</t>
  </si>
  <si>
    <t xml:space="preserve">Inferred</t>
  </si>
  <si>
    <t xml:space="preserve">Project_Wiki.md note G0.5 (Process &amp; Mechanical): citation in note header</t>
  </si>
  <si>
    <t xml:space="preserve">Requirement sentence taken verbatim from the note; Subtype, Timing, Acceptance and Responsible Party parsed from it by keyword (Merge, Inferred — check against the cited ¶). Linked Ledger rows: 12 (flag Y and sheet cited; linkage Inferred).</t>
  </si>
  <si>
    <t xml:space="preserve">SUB G0.6-01</t>
  </si>
  <si>
    <t xml:space="preserve">Existing Trains #1 and #2 run at HWL 23.13 (0.257 MGD), NWL 23.09 (0.063 MGD), static 23.05; proposed Train #3 runs at HWL 25.38, NWL 25.34, static 25.30, top of concrete 26.80, with proposed Train #2 and Train #3 flow meters on the inlets. The proposed effluent flow meter feeds proposed UV disinfection channels #1 and #2 (HWL 21.49 at 0.50 MGD per channel; NWL 19.69 at 0.22 MGD per channel), then existing SSMH *1288 (rim 22.89) and 10" and 8" to the 12" outfall; the 100-year flood elevation is 13', and a proposed effluent sample sump is labeled. The solids profile shows proposed WAS pump equipment (pump rate 20–30 gpm), the proposed aerobic digester with a supernatant telescoping valve (TOC 26.80; supernatant to the plant drain P.S.), proposed sludge pump equipment (20–30 gpm), proposed rotary fan press dewatering equipment and the existing screw press, with filtrate to the plant drain P.S. and solids hauled off site</t>
  </si>
  <si>
    <t xml:space="preserve">G0.6</t>
  </si>
  <si>
    <t xml:space="preserve">PROPOSED-TRAIN-3-TREATMENT-SYSTEM; PROPOSED-INFLUENT-PUMP-STATION-WET-WELL; PROPOSED-UV-SYSTEM; PROPOSED-DIGESTER-TELESCOPING-VALVE; PROPOSED-ROTARY-FAN-PRESS; PROPOSED-WAS-PUMP; PROPOSED-SWING-SLUDGE-PUMP; PROPOSED-DIGESTED-SLUDGE-PUMP</t>
  </si>
  <si>
    <t xml:space="preserve">Project_Wiki.md note G0.6 (Process &amp; Mechanical): citation in note header</t>
  </si>
  <si>
    <t xml:space="preserve">Requirement sentence taken verbatim from the note; Subtype, Timing, Acceptance and Responsible Party parsed from it by keyword (Merge, Inferred — check against the cited ¶). Linked Ledger rows: 8 (flag Y and sheet cited; linkage Inferred).</t>
  </si>
  <si>
    <t xml:space="preserve">SUB C0.1-01</t>
  </si>
  <si>
    <t xml:space="preserve">Other existing features: 8-in PVC influent sample port (IE 19.4), concrete fuel tank basin, pad-mounted transformer, generator, shed, and hangars on adjoining Port of Orcas parcels</t>
  </si>
  <si>
    <t xml:space="preserve">C0.1</t>
  </si>
  <si>
    <t xml:space="preserve">Verified-Visual</t>
  </si>
  <si>
    <t xml:space="preserve">Project_Wiki.md note C0.1 (Civil &amp; Site): (plans_1 p.8, C0.1 — Verified-Visual)</t>
  </si>
  <si>
    <t xml:space="preserve">SUB C0.2-01</t>
  </si>
  <si>
    <t xml:space="preserve">Construction is expected from spring 2023 to fall 2024; no sediment ponds, diversions or waterways are used and no detention calculations are needed</t>
  </si>
  <si>
    <t xml:space="preserve">Calculations / sealed design</t>
  </si>
  <si>
    <t xml:space="preserve">C0.2</t>
  </si>
  <si>
    <t xml:space="preserve">PROPOSED-Catch basin inserts; PROPOSED-Filter fabric fence; PROPOSED-Stabilized construction entrance; PROPOSED-Block retaining wall; PROPOSED-Hydroseeded restoration areas; PROPOSED-Dewatering system</t>
  </si>
  <si>
    <t xml:space="preserve">1; 4</t>
  </si>
  <si>
    <t xml:space="preserve">Project_Wiki.md note C0.2 (Civil &amp; Site): (Items 23–24; plans_2Part-1 p.1, C0.2 — Verified-Visual)</t>
  </si>
  <si>
    <t xml:space="preserve">Requirement sentence taken verbatim from the note; Subtype, Timing, Acceptance and Responsible Party parsed from it by keyword (Merge, Inferred — check against the cited ¶). Linked Ledger rows: 6 (flag Y and sheet cited; linkage Inferred).</t>
  </si>
  <si>
    <t xml:space="preserve">SUB C1.4-01</t>
  </si>
  <si>
    <t xml:space="preserve">Twelve are gate valves: 6-in influent flow meter isolation (1), 8-in Train 2 and Train 3 flow meter isolation (2, 3), 4-in drain flow meter isolation (4, 5, 13), 4-in treated effluent outlet box drain (6, 7), 4-in UV disinfection drain (8), 4-in sample sump drain (9) and 4-in pump station clean-out drain (10, 11)</t>
  </si>
  <si>
    <t xml:space="preserve">C1.4</t>
  </si>
  <si>
    <t xml:space="preserve">Buried Valve ID 1; Buried Valve ID 2; Buried Valve ID 3; Buried Valve ID 4; Buried Valve ID 5; Buried Valve ID 6; Buried Valve ID 7; Buried Valve ID 8; Buried Valve ID 9; Buried Valve ID 10; Buried Valve ID 11; Buried Valve ID 12; Buried Valve ID 13</t>
  </si>
  <si>
    <t xml:space="preserve">1</t>
  </si>
  <si>
    <t xml:space="preserve">Project_Wiki.md note C1.4 (Civil &amp; Site): (plans_3Part-2 p.1, C1.4 — Verified)</t>
  </si>
  <si>
    <t xml:space="preserve">Requirement sentence taken verbatim from the note; Subtype, Timing, Acceptance and Responsible Party parsed from it by keyword (Merge, Inferred — check against the cited ¶). Linked Ledger rows: 13 (flag Y and sheet cited; linkage Inferred).</t>
  </si>
  <si>
    <t xml:space="preserve">SUB C3.1-01</t>
  </si>
  <si>
    <t xml:space="preserve">Plan of the new flow splitter box beside existing Train #1, with 8" outlets to Train #1 (west), Train #2 and Train #3 (south), a future Train #4 connection sealed with an 8" blind flange (keyed note 1), and the inlet from the north; dashed vaults with flow meter symbols sit on the inlet line and on the Train #2 and Train #3 lines, and a vault drain is labeled. Keyed notes: proposed concrete support for the splitter box (2); existing sampling port (3); pipe supports per 5/C7.2 (4); carefully cut a hole through the building for the new 8" Train #1 influent and seal with flashing (5); 8" Train #1 influent elbow discharging into the aeration basin beside the existing influent pipe (7); confirm the existing Train #2 influent pipe and connect new 8" DI piping with positive drainage from the splitter box (8); pot-hole existing 8" piping before construction</t>
  </si>
  <si>
    <t xml:space="preserve">Calculations / sealed design; Plan / procedure</t>
  </si>
  <si>
    <t xml:space="preserve">before construction (9</t>
  </si>
  <si>
    <t xml:space="preserve">C3.1</t>
  </si>
  <si>
    <t xml:space="preserve">Project_Wiki.md note C3.1 (Process &amp; Mechanical): (9)</t>
  </si>
  <si>
    <t xml:space="preserve">SUB C3.2-01</t>
  </si>
  <si>
    <t xml:space="preserve">Keyed note 7 makes the flow splitter a prefabricated 316 SS unit sized to match the drawing, with 4 equal splitter chambers (flow to each of the 3 trains and 1 additional train), an adjustable weir in each chamber and a removable cover; manufacturer Smith &amp; Loveless or approved equal. The box is about 7'-0" × 4'-6" in plan (outlet spacing 5'-3") with its bottom at elev 26.00 on a proposed concrete support about 6.5' × 4.0' × 1.3' tall; the contractor coordinates the support with the actual box, top of concrete elev 26.00, see structural drawings (keyed note 2); the existing slab TOC is 24.7. The inlet is 6" DI restrained pipe and a restrained 90° bend (INV 20.75) rising through a 12"×6" DI eccentric reducer, 12" DI flange spools and 90° bends on 12" pipe supports per 5/C7.2; outlets are 8" DI flanged bends and spools (one at INV 20.75) on 8" pipe supports per 5/C7.2, labeled To Cell #1, #2 and #3, with a future connection sealed by a blind flange</t>
  </si>
  <si>
    <t xml:space="preserve">Contractor (submits per 01 33 00 — Inferred); also named: Contractor; Manufacturer / supplier</t>
  </si>
  <si>
    <t xml:space="preserve">C3.2</t>
  </si>
  <si>
    <t xml:space="preserve">Project_Wiki.md note C3.2 (Process &amp; Mechanical): (keyed note 1)</t>
  </si>
  <si>
    <t xml:space="preserve">SUB C4.1-01</t>
  </si>
  <si>
    <t xml:space="preserve">The new Influent Pump Station is a 96" precast wet well "per WSDOT Std Plan B-15.60-00 for precast manholes" (Unresolved: external reference, not staged) on a 12" thick precast base, interior bottom elev 9.0 and top elev 23.30, with the top slab per 1/S2.4 and 2/S2.4, a 36"×36" Halliday H1R3636 hatch and a 30"×48" Halliday H1R3048 hatch over the pumps (both H-20), and "WrapidSeal or equal" at all joints; it takes 8" influent at IE 19.50, 4" filtrate and digester supernatant at IE 13.40 and a 4" sample sump line at IE 18.00. Small and large pumps, each a duplex arrangement per specs (keyed notes 28, 52, 53), hang on stainless guide rails with stainless haul chains, manufacturer's disconnect elbows and flapper valves that close and seal when submerged; discharges pass through two precast valve vaults (4'-2" × 4'-2" × 5'-6" minimum inside, Utility Vault Co. 506-LA or equal, floor elev 18.0±) with 4" and 6" check and gate valves and pressure gages, into 4" and 6" DI restrained piping with buried gate valves. Floats F1–F4 on timer control start the redundant large lag (19.00), large lead (18.50), small lag (18.00) and small lead (17.50) pumps; the transducer, set 6" above the floor, runs T1 high level alarm 17.50 (with float), T2 large lag 17.00, T3 large lead 16.00, T4 small lag 14.00, T5 small lead 12.00, T6 pumps off 11.00 and T7 low level alarm and redundant off 10.50. Also shown: the influent sample sump structure (see 4/C7.5), a 2" SCH 80 conduit for the influent sampler intake tubing, a 3" stainless vent pipe with 24-mesh stainless screen (IE 21.00), clean outs, 2" PVC and 4" vault drains (IE 16.15), link-seal boots at every pipe-to-concrete penetration, 16 stainless anchor bolts, steps or ladder per WSDOT Std Plan B-30.90-01 (keyed note 21) and a 12" base of Class A gravel per WSDOT 9-03.12(1)A — both Unresolved: external reference, not staged. The vertical pipe brace points to detail 7/C7.2 (keyed note 27) and to "sheet M4.1" (elevation callout), which is not in the sheet index (Issue 11); Add. 4 p.1 Clarification 2 requires CANUSA-CPS WrapidSeal (Manhole Encapsulation System) or approved equal on the exterior of all precast concrete wet well and vault joints, installed per manufacturer, over the C4.1 call-out — Add. 4 governs</t>
  </si>
  <si>
    <t xml:space="preserve">Plan / procedure; Samples</t>
  </si>
  <si>
    <t xml:space="preserve">Contractor (submits per 01 33 00 — Inferred); also named: Manufacturer / supplier</t>
  </si>
  <si>
    <t xml:space="preserve">C4.1</t>
  </si>
  <si>
    <t xml:space="preserve">PROPOSED-INFLUENT-PUMP-STATION-WET-WELL; PROPOSED-INFLUENT-PUMPS-SMALL; PROPOSED-INFLUENT-PUMPS-LARGE; PROPOSED-IPS-CHECK-VALVES; PROPOSED-IPS-GATE-VALVES</t>
  </si>
  <si>
    <t xml:space="preserve">1; Equipment Alternate A</t>
  </si>
  <si>
    <t xml:space="preserve">Project_Wiki.md note C4.1 (Process &amp; Mechanical): citation in note header</t>
  </si>
  <si>
    <t xml:space="preserve">Requirement sentence taken verbatim from the note; Subtype, Timing, Acceptance and Responsible Party parsed from it by keyword (Merge, Inferred — check against the cited ¶). Linked Ledger rows: 5 (flag Y and sheet cited; linkage Inferred).</t>
  </si>
  <si>
    <t xml:space="preserve">SUB C4.2-01</t>
  </si>
  <si>
    <t xml:space="preserve">Add. 4 p.1 Clarification 2 (exterior of all precast concrete wet well joints sealed with CANUSA-CPS WrapidSeal or approved equal) applies to this precast wet well, where C4.2 calls no joint sealant — Add. 4 governs</t>
  </si>
  <si>
    <t xml:space="preserve">C4.2</t>
  </si>
  <si>
    <t xml:space="preserve">PROPOSED-2W-PUMP-STATION-WET-WELL; PROPOSED-2W-Pump-Station-Wet-Well; PROPOSED-2W-PUMPS; PROPOSED-2W-AIR-GAP-ENCLOSURE</t>
  </si>
  <si>
    <t xml:space="preserve">1; 6</t>
  </si>
  <si>
    <t xml:space="preserve">Project_Wiki.md note C4.2 (Process &amp; Mechanical): citation in note header</t>
  </si>
  <si>
    <t xml:space="preserve">Requirement sentence taken verbatim from the note; Subtype, Timing, Acceptance and Responsible Party parsed from it by keyword (Merge, Inferred — check against the cited ¶). Linked Ledger rows: 3 (flag Y and sheet cited; linkage Inferred).</t>
  </si>
  <si>
    <t xml:space="preserve">SUB C5.1-01</t>
  </si>
  <si>
    <t xml:space="preserve">One concrete structure about 45.00' × 13.00' (44.00' and 12.00' inside dimensions shown) holds the UV disinfection chamber (UV Channels #1 and #2), an effluent sample chamber ("effluent sample location") and the aerobic digester; section cuts A–D refer to C5.2 and C5.3. An 8" inlet splits to the two channels through 8" gate valves with hand wheels (keyed note 5); each channel holds a bank of UV modules with 1" drains, work areas sloped 1% minimum, rim EL 18.74 and TOC 18.83, with two wall-mounted control panels, aluminum access ladders (nominal 2' wide, keyed note 4) and a 4" UV drain with 4" gate valves</t>
  </si>
  <si>
    <t xml:space="preserve">C5.1</t>
  </si>
  <si>
    <t xml:space="preserve">PROPOSED-UV-SYSTEM; PROPOSED-UV-CONTROL-PANELS; PROPOSED-DIGESTER-TELESCOPING-VALVE; PROPOSED-DIGESTER-DIFFUSERS</t>
  </si>
  <si>
    <t xml:space="preserve">1; Equipment Alternate D</t>
  </si>
  <si>
    <t xml:space="preserve">Project_Wiki.md note C5.1 (Process &amp; Mechanical): (keyed note 3)</t>
  </si>
  <si>
    <t xml:space="preserve">Requirement sentence taken verbatim from the note; Subtype, Timing, Acceptance and Responsible Party parsed from it by keyword (Merge, Inferred — check against the cited ¶). Linked Ledger rows: 4 (flag Y and sheet cited; linkage Inferred).</t>
  </si>
  <si>
    <t xml:space="preserve">SUB C5.1-02</t>
  </si>
  <si>
    <t xml:space="preserve">The grating &amp; guardrail plan shows guardrail with removable guard chains (4 locations) around the UV chamber, a removable guard chain with a 2'-8" opening at the effluent sample chamber, and removable grating over the aerobic digester. 01 sets this sheet to Text, but its text layer holds only UV module labels (LAMP/STATUS/TOP/BOTTOM) and view titles, so the plan content above was read from the image</t>
  </si>
  <si>
    <t xml:space="preserve">Project_Wiki.md note C5.1 (Process &amp; Mechanical): citation in note header</t>
  </si>
  <si>
    <t xml:space="preserve">SUB C5.2-01</t>
  </si>
  <si>
    <t xml:space="preserve">On the UV side the 8" influent pipe (IE 19.61) enters past a valve hand wheel, the unit runs from HWL 21.49 to HWL 21.09 over a weir level control, with 1" drains, a 2"×1" reducer and 1" PVC ball valve, a floor drain (rim 18.74, IE 16.00), a wall control panel, and the 10" effluent pipe leaving at IE 18.75 (IE 19.44 also shown); guardrail tops are 42" above finish grade (field adjust) and a prefab aluminum ladder connects to the access platform. Between the chambers the labels TOC 17.25, bottom elev 16.25 and a 4" drain pipe at IE 17.25 fall in the effluent sample chamber</t>
  </si>
  <si>
    <t xml:space="preserve">C5.2</t>
  </si>
  <si>
    <t xml:space="preserve">PROPOSED-UV-SYSTEM; PROPOSED-UV-CONTROL-PANELS; PROPOSED-DIGESTER-DIFFUSERS</t>
  </si>
  <si>
    <t xml:space="preserve">Project_Wiki.md note C5.2 (Process &amp; Mechanical): (location Inferred from C5.1)</t>
  </si>
  <si>
    <t xml:space="preserve">SUB C7.1-01</t>
  </si>
  <si>
    <t xml:space="preserve">The floor drain is a 4-in stainless steel drain with a 2-in trap and PVC outlet; the traffic-rated riser uses a 24-in cast iron frame and cover sealed with asphaltic sealant (Ramnek or equal), with a 12 x 8-in reinforced collar in traffic areas</t>
  </si>
  <si>
    <t xml:space="preserve">C7.1</t>
  </si>
  <si>
    <t xml:space="preserve">Pipe ID 22; PROPOSED-Gravity sewer cleanouts; PROPOSED-Tracer wire and locater boxes</t>
  </si>
  <si>
    <t xml:space="preserve">Project_Wiki.md note C7.1 (Civil &amp; Site): (Details 2–3; plans_6 p.3, C7.1 — Verified-Visual)</t>
  </si>
  <si>
    <t xml:space="preserve">SUB C7.2-01</t>
  </si>
  <si>
    <t xml:space="preserve">Pipe and floor sleeves are standard-weight 316 stainless steel with seep rings, sealed with Dow Corning 732 RTV silicone</t>
  </si>
  <si>
    <t xml:space="preserve">C7.2</t>
  </si>
  <si>
    <t xml:space="preserve">Project_Wiki.md note C7.2 (Civil &amp; Site): (Details 2–3; plans_6 p.4, C7.2 — Verified-Visual)</t>
  </si>
  <si>
    <t xml:space="preserve">SUB C7.5-01</t>
  </si>
  <si>
    <t xml:space="preserve">Four details, not to scale: 1 Typical Plant Water (2W) Yard Hydrant Stations, 2 Post Hydrant Detail, 3 Traffic Manhole Ring Details (double manhole condition), 4 Influent Sample Sump</t>
  </si>
  <si>
    <t xml:space="preserve">C7.5</t>
  </si>
  <si>
    <t xml:space="preserve">Pipe ID 22; PROPOSED-Post hydrant</t>
  </si>
  <si>
    <t xml:space="preserve">Project_Wiki.md note C7.5 (Civil &amp; Site): (plans_6 p.7, C7.5 — Verified; numbering Verified-Visual)</t>
  </si>
  <si>
    <t xml:space="preserve">Requirement sentence taken verbatim from the note; Subtype, Timing, Acceptance and Responsible Party parsed from it by keyword (Merge, Inferred — check against the cited ¶). Linked Ledger rows: 2 (flag Y and sheet cited; linkage Inferred).</t>
  </si>
  <si>
    <t xml:space="preserve">SUB C7.5-02</t>
  </si>
  <si>
    <t xml:space="preserve">The influent sample sump is a 24-in by 6-ft precast well curb (H2 Precast WC-24 or equal) on a 12-in precast base, top flush with pavement at about 23.50, with 8-in DI gravity in at IE 19.65 (field-confirm), 8-in influent at IE 19.55, a 4-in drain at IE 18.20, a 2-in sampling conduit, and the traffic-rated lid of 3/C7.1</t>
  </si>
  <si>
    <t xml:space="preserve">Project_Wiki.md note C7.5 (Civil &amp; Site): (Detail 4; plans_6 p.7, C7.5 — Verified-Visual)</t>
  </si>
  <si>
    <t xml:space="preserve">SUB C7.10-01</t>
  </si>
  <si>
    <t xml:space="preserve">Add. 4 Clarification 2 requires the exterior of all precast vault joints to be sealed with CANUSA-CPS WrapidSeal or approved equal — Add. 4 governs</t>
  </si>
  <si>
    <t xml:space="preserve">C7.10</t>
  </si>
  <si>
    <t xml:space="preserve">Pipe ID 8; Buried Valve ID 2; Buried Valve ID 3</t>
  </si>
  <si>
    <t xml:space="preserve">Project_Wiki.md note C7.10 (Civil &amp; Site): (Add. 4 p.1, Clarification 2 — Verified)</t>
  </si>
  <si>
    <t xml:space="preserve">SUB A1.1-01</t>
  </si>
  <si>
    <t xml:space="preserve">The door schedule lists insulated hollow-metal, painted doors 101A (two pairs, 10'-0"×8'-0"×1-3/4", Type B), 101B (3'-0" wide, Type A; height illegible at stored resolution) and 101C (5'-0"×8'-0"×1-3/4", Type A) with no hardware group, and the finish schedule with Details 1–2 calls for a sealed concrete floor, 6" rubber base, painted GWB walls, painted exposed-structure ceiling, and R-25 wall / R-30 roof fiberglass insulation with vapor barrier and board on furring channels at 24" o.c.</t>
  </si>
  <si>
    <t xml:space="preserve">A1.1</t>
  </si>
  <si>
    <t xml:space="preserve">PROPOSED-BLOWER-BUILDING; PROPOSED-Blower-Building; MCC; MCP; PROPOSED-Blower-Building-Slab-and-Grade-Beams; PROPOSED-Blower-Pad; PROPOSED-Fire-Extinguishers-Blower-Building; 101A; 101B; 101C</t>
  </si>
  <si>
    <t xml:space="preserve">Reissued — Add. 4 p.4 governs</t>
  </si>
  <si>
    <t xml:space="preserve">Structural &amp; Building</t>
  </si>
  <si>
    <t xml:space="preserve">Unresolved</t>
  </si>
  <si>
    <t xml:space="preserve">Project_Wiki.md note A1.1 (Structural &amp; Building): [plans_7 p.5 — Verified-Visual; 101B height — Unresolved: need native sheet]</t>
  </si>
  <si>
    <t xml:space="preserve">Requirement sentence taken verbatim from the note; Subtype, Timing, Acceptance and Responsible Party parsed from it by keyword (Merge, Inferred — check against the cited ¶). Linked Ledger rows: 9 (flag Y and sheet cited; linkage Inferred).</t>
  </si>
  <si>
    <t xml:space="preserve">SUB S1.1-01</t>
  </si>
  <si>
    <t xml:space="preserve">Minimum structural shop drawings are concrete reinforcing (including wall elevations), mix designs, a slab-on-grade jointing plan and structural steel; deferred submittals, sealed by a Washington PE, are metal stairs &amp; landings and the pre-engineered metal building for the Blower Building</t>
  </si>
  <si>
    <t xml:space="preserve">Shop drawings; Calculations / sealed design; Mix design; Plan / procedure</t>
  </si>
  <si>
    <t xml:space="preserve">S1.1</t>
  </si>
  <si>
    <t xml:space="preserve">PROPOSED-BLOWER-BUILDING; PROPOSED-Blower-Building; PROPOSED-Blower-Building-Slab-and-Grade-Beams; PROPOSED-Blower-Pad; PROPOSED-Train-3-Concrete-Tank; PROPOSED-UV-Disinfection-Chamber-Basin; PROPOSED-Digester-Concrete-Tank; PROPOSED-Digester-Grating-Beam; PROPOSED-Drain-Pump-Station-Lid; PROPOSED-Steel-Stairs-Ladders-Platforms</t>
  </si>
  <si>
    <t xml:space="preserve">1; 18 — Unresolved (see 04)</t>
  </si>
  <si>
    <t xml:space="preserve">Project_Wiki.md note S1.1 (Structural &amp; Building): [plans_7 p.8, Submittals 4–5 — Verified-Visual]</t>
  </si>
  <si>
    <t xml:space="preserve">SUB S2.1-01</t>
  </si>
  <si>
    <t xml:space="preserve">Detail 4 requires a hydrophilic waterstop (submit for approval), a grout surface per spec, and subgrade preparation per the structural notes and geotech report, and shows "guardrail, mechanical equipment, and ladders per civil"</t>
  </si>
  <si>
    <t xml:space="preserve">Certificates / reports</t>
  </si>
  <si>
    <t xml:space="preserve">S2.1</t>
  </si>
  <si>
    <t xml:space="preserve">PROPOSED-Train-3-Concrete-Tank; PROPOSED-Train-3-Guardrail-and-Ladders</t>
  </si>
  <si>
    <t xml:space="preserve">Project_Wiki.md note S2.1 (Structural &amp; Building): [plans_8 p.1, Detail 4 — Verified-Visual]</t>
  </si>
  <si>
    <t xml:space="preserve">SUB S2.2-01</t>
  </si>
  <si>
    <t xml:space="preserve">Sections A-A, B-B and C-C show #5 and #6 wall bars at 10"–12" o.c. (each face in the 12" walls, centered in the 8" walls) hooked 3" clear from bottom, a hydrophilic waterstop at all construction joints (submit for approval), an unreinforced sloped concrete topping per civil, subgrade preparation per the structural notes and geotech report, and "guardrail &amp; ladders per civil"</t>
  </si>
  <si>
    <t xml:space="preserve">S2.2</t>
  </si>
  <si>
    <t xml:space="preserve">PROPOSED-UV-Disinfection-Chamber-Basin; PROPOSED-Digester-Concrete-Tank; PROPOSED-Digester-Grating-Beam; PROPOSED-UV-Digester-Grating; PROPOSED-UV-Digester-Guardrail-and-Ladders</t>
  </si>
  <si>
    <t xml:space="preserve">Project_Wiki.md note S2.2 (Structural &amp; Building): [plans_8 p.2, Details 2–4 — Verified-Visual]</t>
  </si>
  <si>
    <t xml:space="preserve">SUB S2.2-02</t>
  </si>
  <si>
    <t xml:space="preserve">Aluminum solid plank grating per the specifications (submit for approval; attachment by manufacturer) bears on a continuous HDG 1/4" steel edge angle at wall tops (Detail 5) and a continuous HDG L3×3×1/4 with 5/8" drilled-and-epoxied anchors at 24" o.c. at wall faces (Detail 6); Detail 7 connects the HDG beam to the wall with HDG L4×4×3/8 angles, 3/4" A307 bolts and 5/8" epoxy anchors</t>
  </si>
  <si>
    <t xml:space="preserve">General submittal</t>
  </si>
  <si>
    <t xml:space="preserve">Project_Wiki.md note S2.2 (Structural &amp; Building): [plans_8 p.2, Details 5–7 — Verified-Visual]</t>
  </si>
  <si>
    <t xml:space="preserve">SUB S2.3-01</t>
  </si>
  <si>
    <t xml:space="preserve">Details 5–7 cover slab control and construction joints (no more than 12'-0" o.c. each way), sleeved grade beam penetrations, and perimeter foundation drains of 4" rigid ABS perforated pipe or drain tile in drain rock that discharge by gravity or mechanical means, with a foundation drainage plan submitted to civil for review</t>
  </si>
  <si>
    <t xml:space="preserve">Plan / procedure</t>
  </si>
  <si>
    <t xml:space="preserve">S2.3</t>
  </si>
  <si>
    <t xml:space="preserve">PROPOSED-BLOWER-BUILDING; PROPOSED-Blower-Building; PROPOSED-Blower-Building-Slab-and-Grade-Beams; PROPOSED-Blower-Pad; PROPOSED-Blower-Building-Foundation-Drains</t>
  </si>
  <si>
    <t xml:space="preserve">Reissued — Add. 4 p.9 governs</t>
  </si>
  <si>
    <t xml:space="preserve">Project_Wiki.md note S2.3 (Structural &amp; Building): [plans_8 p.3; Add. 4 p.9 — Verified-Visual]</t>
  </si>
  <si>
    <t xml:space="preserve">SUB S2.4-01</t>
  </si>
  <si>
    <t xml:space="preserve">Add. 4 requires the exterior of all precast concrete wet well and vault joints to be sealed with CANUSA-CPS WrapidSeal (manhole encapsulation system) or approved equal, installed per the manufacturer</t>
  </si>
  <si>
    <t xml:space="preserve">S2.4</t>
  </si>
  <si>
    <t xml:space="preserve">PROPOSED-Drain-Pump-Station-Lid; PROPOSED-Drain-Pump-Station-Precast-Wet-Well; PROPOSED-Generator-Slab; PROPOSED-Flow-Splitter-Pad</t>
  </si>
  <si>
    <t xml:space="preserve">Project_Wiki.md note S2.4 (Structural &amp; Building): [Add. 4 p.1, Clarification 2 — Verified; Add. 4 governs]</t>
  </si>
  <si>
    <t xml:space="preserve">SUB S4.1-01</t>
  </si>
  <si>
    <t xml:space="preserve">Details 1–7 are typical concrete details: wall-to-mat-slab reinforcing (hydrophilic waterstop for hydraulic structures, submit for approval), wall corner and intersection reinforcing, development and lap splice lengths, standard hooks, beam stirrups, and small and large penetrations</t>
  </si>
  <si>
    <t xml:space="preserve">S4.1</t>
  </si>
  <si>
    <t xml:space="preserve">PROPOSED-Blower-Building-Slab-and-Grade-Beams; PROPOSED-Train-3-Concrete-Tank; PROPOSED-UV-Disinfection-Chamber-Basin; PROPOSED-Digester-Concrete-Tank; PROPOSED-Existing-Slab-Trench-Infill</t>
  </si>
  <si>
    <t xml:space="preserve">Reissued — Add. 4 p.10 governs; Detail 8 cited p.3</t>
  </si>
  <si>
    <t xml:space="preserve">Project_Wiki.md note S4.1 (Structural &amp; Building): [plans_8 p.5; Add. 4 p.10 — Verified-Visual]</t>
  </si>
  <si>
    <t xml:space="preserve">SUB E0.1-01</t>
  </si>
  <si>
    <t xml:space="preserve">Notes 3–6: coordinate removal of existing equipment and phasing with the Owner to keep the facility operating, dispose of demo material the Owner does not want, conceal conduit in new walls and ceilings where possible, and hand over redline markups (routing, conductor counts, panel schedules, receptacle configurations) for record drawings (plans_8 p.6)</t>
  </si>
  <si>
    <t xml:space="preserve">Contractor (submits per 01 33 00 — Inferred); also named: Owner</t>
  </si>
  <si>
    <t xml:space="preserve">E0.1</t>
  </si>
  <si>
    <t xml:space="preserve">Electrical &amp; Controls</t>
  </si>
  <si>
    <t xml:space="preserve">Project_Wiki.md note E0.1 (Electrical &amp; Controls): [Verified]</t>
  </si>
  <si>
    <t xml:space="preserve">SUB E3.1-01</t>
  </si>
  <si>
    <t xml:space="preserve">Ratings, raceway and conductors shown are estimates to be adjusted during the submittal period from the treatment-system submittal, and all outdoor control panel and disconnect enclosures are Type 316 stainless (key note; general note 4; plans_9 p.5)</t>
  </si>
  <si>
    <t xml:space="preserve">E3.1</t>
  </si>
  <si>
    <t xml:space="preserve">DO #1; DO-1; DO #2; DO-2; PROPOSED-Train-3-Local-Disconnects; PROPOSED-Train-3-Pole-Light</t>
  </si>
  <si>
    <t xml:space="preserve">1; 6; 18 — Unresolved (see 04); 19; Equipment Alternate B</t>
  </si>
  <si>
    <t xml:space="preserve">Project_Wiki.md note E3.1 (Electrical &amp; Controls): [Verified]</t>
  </si>
  <si>
    <t xml:space="preserve">SUB E4.1-01</t>
  </si>
  <si>
    <t xml:space="preserve">Key notes 1–2: individual oversized conduits for every pump, float and transducer cable, duct-sealed at completion; flow meters are Endress+Hauser Promag W400 (Class I Div 2, EtherNet/IP, 316L electrodes, local display on the WAS meter, remote transmitters with submersible kits on vault meters) with two 316L grounding rings per tube — the drawing already shows the W400 that Add. 4 p.2 (26 80 00 ¶2.04 D) substitutes for the L400 (plans_9 p.6)</t>
  </si>
  <si>
    <t xml:space="preserve">E4.1</t>
  </si>
  <si>
    <t xml:space="preserve">PROPOSED-PLANT-DRAIN-FLOW-METER; PROPOSED-Plant-Drain-Flow-Meter; F1 (Influent Pump Station); F2 (Influent Pump Station); F3 (Influent Pump Station); F4 (Influent Pump Station); LT (Influent Pump Station); IPS; LP2; PROPOSED-Influent-Pump-Local-Disconnects; PROPOSED-Influent-Flow-Meter; PROPOSED-Plant-2-Flow-Meter; PROPOSED-Plant-3-Flow-Meter; PROPOSED-WAS-Dewatering-Flow-Meter; PROPOSED-WAS-and-Sludge-Pump-Local-Disconnects; PROPOSED-Treatment-Building-Ventilation-Control-Panel; PROPOSED-Methane-Sensor; PROPOSED-H2S-Sensor; PROPOSED-Gas-Alarm-Light-and-Horn; L2 (Treatment Building)</t>
  </si>
  <si>
    <t xml:space="preserve">6</t>
  </si>
  <si>
    <t xml:space="preserve">Project_Wiki.md note E4.1 (Electrical &amp; Controls): [Verified]</t>
  </si>
  <si>
    <t xml:space="preserve">Requirement sentence taken verbatim from the note; Subtype, Timing, Acceptance and Responsible Party parsed from it by keyword (Merge, Inferred — check against the cited ¶). Linked Ledger rows: 19 (flag Y and sheet cited; linkage Inferred).</t>
  </si>
  <si>
    <t xml:space="preserve">SUB E4.2-01</t>
  </si>
  <si>
    <t xml:space="preserve">Key notes: WIKA submersible pressure transmitter (316 SS, 0–15 psi, LevelGuard, polyurethane cable, 4–20 mA loop powered, vented, NEMA 4X termination enclosure); Eco-Float GP60NONC non-mercury NO/NC high-level floats; service loops in the wet well, connections in the handholes with approved connectors, conduits leaving the handholes sealed per NEC Article 500; one oversized conduit per cable (plans_9 p.7)</t>
  </si>
  <si>
    <t xml:space="preserve">E4.2</t>
  </si>
  <si>
    <t xml:space="preserve">F1 (Influent Pump Station); F2 (Influent Pump Station); F3 (Influent Pump Station); F4 (Influent Pump Station); LT (Influent Pump Station)</t>
  </si>
  <si>
    <t xml:space="preserve">Project_Wiki.md note E4.2 (Electrical &amp; Controls): [Verified]</t>
  </si>
  <si>
    <t xml:space="preserve">SUB E6.1-01</t>
  </si>
  <si>
    <t xml:space="preserve">Load calculations: 21 loads, 348.9 A connected, 355.7 A demand and 188.0 A on the generator (156 kVA at 480 V); generator factor 1 for TCP-1 to TCP-3, 2W-P1, IP-1, BL-1 to BL-3, DB and WP-1, 0 for the standby/swing units and DW-1, and 0.25 for LP-LAB (existing lab and treatment, 45 kVA), LP-1 (20 kVA) and LP-2 (10 kVA); the 355.7 A demand exceeds the E6.2 MDP total — see Issues (plans_10 p.2)</t>
  </si>
  <si>
    <t xml:space="preserve">Contractor (submits per 01 33 00 — Inferred); also named: Inspector / laboratory</t>
  </si>
  <si>
    <t xml:space="preserve">E6.1</t>
  </si>
  <si>
    <t xml:space="preserve">ATS; MDP; TS; GEN; MCC; LP-1; IPS; T3; LP2; PROPOSED-Influent-Pump-Local-Disconnects; PROPOSED-WAS-and-Sludge-Pump-Local-Disconnects; PROPOSED-2W-Pump-Local-Disconnects; T2; PROPOSED-VFDs-in-MCC</t>
  </si>
  <si>
    <t xml:space="preserve">1; 6; 18 — Unresolved (see 04); Equipment Alternate E</t>
  </si>
  <si>
    <t xml:space="preserve">Project_Wiki.md note E6.1 (Electrical &amp; Controls): [Verified-Visual]</t>
  </si>
  <si>
    <t xml:space="preserve">Requirement sentence taken verbatim from the note; Subtype, Timing, Acceptance and Responsible Party parsed from it by keyword (Merge, Inferred — check against the cited ¶). Linked Ledger rows: 14 (flag Y and sheet cited; linkage Inferred).</t>
  </si>
  <si>
    <t xml:space="preserve">SUB E6.2-01</t>
  </si>
  <si>
    <t xml:space="preserve">Gaps against other sheets: the MDP total (225.0 kVA, 270.6 A) is below the E6.1 load-calculation demand (355.7 A), and no pole-light circuit appears on LP1 or LP2 although E6.3 feeds P-LT from a "lighting panel" — see Issues (plans_10 pp.2–4)</t>
  </si>
  <si>
    <t xml:space="preserve">E6.2</t>
  </si>
  <si>
    <t xml:space="preserve">MDP; MCC; MCP; LP-1; LP2; PROPOSED-Treatment-Building-Ventilation-Control-Panel; PROPOSED-Methane-Sensor; PROPOSED-H2S-Sensor; L2 (Treatment Building)</t>
  </si>
  <si>
    <t xml:space="preserve">Project_Wiki.md note E6.2 (Electrical &amp; Controls): [Verified-Visual]</t>
  </si>
  <si>
    <t xml:space="preserve">SUB E7.2-01</t>
  </si>
  <si>
    <t xml:space="preserve">The drawing is titled "Main PLC and Influent Control Panel — Power Wiring Diagram (Typ)", so it serves both the main PLC panel and the Influent Pump Station panel; the operator interface and blower PTC relays are marked "main PLC only" and the 800 W panel heater "influent only" (plans_10 p.7)</t>
  </si>
  <si>
    <t xml:space="preserve">Shop drawings</t>
  </si>
  <si>
    <t xml:space="preserve">E7.2</t>
  </si>
  <si>
    <t xml:space="preserve">MCP; IPS</t>
  </si>
  <si>
    <t xml:space="preserve">Project_Wiki.md note E7.2 (Electrical &amp; Controls): [Verified-Visual; title partly in text]</t>
  </si>
  <si>
    <t xml:space="preserve">SUB E9.2-01</t>
  </si>
  <si>
    <t xml:space="preserve">Key note 1: provide a 120 V blower fan circuit from each MCC unit for each blower; basis of design 0.21 HP and 1.51 A per fan, confirmed with the manufacturer during submittals (plans_12 p.4)</t>
  </si>
  <si>
    <t xml:space="preserve">E9.2</t>
  </si>
  <si>
    <t xml:space="preserve">MCC; PROPOSED-VFDs-in-MCC</t>
  </si>
  <si>
    <t xml:space="preserve">Project_Wiki.md note E9.2 (Electrical &amp; Controls): [Verified]</t>
  </si>
  <si>
    <t xml:space="preserve">SUB 00 51 00-01</t>
  </si>
  <si>
    <t xml:space="preserve">It requires the contractor to execute the Contract and furnish bonds and certificates of insurance within ten (10) calendar days of the notice, but the forfeiture sentence uses ten (10) working days</t>
  </si>
  <si>
    <t xml:space="preserve">within ten (10</t>
  </si>
  <si>
    <t xml:space="preserve">00 51 00</t>
  </si>
  <si>
    <t xml:space="preserve">Contract &amp; General</t>
  </si>
  <si>
    <t xml:space="preserve">Project_Wiki.md note 00 51 00 (Contract &amp; General): (p.38; Issues 1.3, Unresolved)</t>
  </si>
  <si>
    <t xml:space="preserve">Requirement sentence taken verbatim from the note; Subtype, Timing, Acceptance and Responsible Party parsed from it by keyword (Merge, Inferred — check against the cited ¶). Linked Ledger rows: 0 (flag Y and section cited; linkage Inferred).</t>
  </si>
  <si>
    <t xml:space="preserve">SUB 00 53 00-01</t>
  </si>
  <si>
    <t xml:space="preserve">Required with the bid: Certification of Nonsegregated Facilities (Attachment 3), EPA DBE forms 6100-4 and 6100-3 (one per DBE sub; forms on the Ecology website), and the complete Bidders List (p.41; Verified); pp.45–46 then allow the DBE forms and the Bidders List "as part of the bid, or within one hour" after bid time (Verified) — timing conflicts inside this section and with 00 43 93 and 01 33 00</t>
  </si>
  <si>
    <t xml:space="preserve">within one hour" after bid time (Verified; with the bid</t>
  </si>
  <si>
    <t xml:space="preserve">00 53 00</t>
  </si>
  <si>
    <t xml:space="preserve">Project_Wiki.md note 00 53 00 (Contract &amp; General): (Issues 1.6)</t>
  </si>
  <si>
    <t xml:space="preserve">SUB 00 53 00-02</t>
  </si>
  <si>
    <t xml:space="preserve">American Iron and Steel applies to treatment works: iron and steel products (pipe and fittings, castings, hydrants, tanks, flanges, restraints, valves, structural steel, reinforced precast, construction materials) must be US-produced unless waived, with certification on request and damages for non-compliance</t>
  </si>
  <si>
    <t xml:space="preserve">Project_Wiki.md note 00 53 00 (Contract &amp; General): (pp.42–43; Verified)</t>
  </si>
  <si>
    <t xml:space="preserve">SUB 00 54 00-01</t>
  </si>
  <si>
    <t xml:space="preserve">HUD-4010 federal labor standards require weekly certified payrolls, and state prevailing wage (RCW 39.12) requires L&amp;I-approved Statements of Intent before any payment and Affidavits of Wages Paid before retainage release under RCW 60.28.010</t>
  </si>
  <si>
    <t xml:space="preserve">before any payment and Affidavits of Wages Paid before retain; weekly</t>
  </si>
  <si>
    <t xml:space="preserve">00 54 00</t>
  </si>
  <si>
    <t xml:space="preserve">Project_Wiki.md note 00 54 00 (Contract &amp; General): (pp.68–74; Verified)</t>
  </si>
  <si>
    <t xml:space="preserve">SUB 00 73 00-01</t>
  </si>
  <si>
    <t xml:space="preserve">Red-line record drawings before 90% payment, temporary barriers at all hazards, insurance ($1M/$2M bodily injury, $1M property damage, builders risk equal to the bid, Owner and Engineer additional insured), one-year guarantee (start date conflicts — Issues 1.11), and funding clauses follow (SC 20–35, pp.92–97; Verified); pp.98–121 repeat the 00 53 00 Ecology insert word for word</t>
  </si>
  <si>
    <t xml:space="preserve">Contractor (submits per 01 33 00 — Inferred); also named: Owner; Engineer</t>
  </si>
  <si>
    <t xml:space="preserve">00 73 00</t>
  </si>
  <si>
    <t xml:space="preserve">C6.4; C6.5; A1.1; A1.2; A1.3; S1.1; S2.3</t>
  </si>
  <si>
    <t xml:space="preserve">PROPOSED-BLOWER-BUILDING; PROPOSED-Blower-Building; PROPOSED-UV-Disinfection-System; PROPOSED-Permanent-Standby-Generator; PROPOSED-PLC-Control-Panel; PROPOSED-Dewatering-System</t>
  </si>
  <si>
    <t xml:space="preserve">1; 6; Equipment Alternate C; Equipment Alternate D; Equipment Alternate E</t>
  </si>
  <si>
    <t xml:space="preserve">Project_Wiki.md note 00 73 00 (Contract &amp; General): (Issues 1.13)</t>
  </si>
  <si>
    <t xml:space="preserve">Requirement sentence taken verbatim from the note; Subtype, Timing, Acceptance and Responsible Party parsed from it by keyword (Merge, Inferred — check against the cited ¶). Linked Ledger rows: 5 (flag Y and section cited; linkage Inferred).</t>
  </si>
  <si>
    <t xml:space="preserve">SUB 01 33 00-01</t>
  </si>
  <si>
    <t xml:space="preserve">Gives general submittal procedures and a non-exhaustive checklist; item-specific requirements sit in the individual sections</t>
  </si>
  <si>
    <t xml:space="preserve">01 33 00</t>
  </si>
  <si>
    <t xml:space="preserve">PROPOSED-8in-Effluent-Flow-Meter; PROPOSED-UV-Disinfection-System; PROPOSED-Sludge-Pumps; PROPOSED-2W-Air-Gap-Water-System; PROPOSED-Submersible-Pump-Equipment; PROPOSED-Influent-Sampler; PROPOSED-Train-3-Biological-Treatment-Equipment; PROPOSED-Automatic-Transfer-Switch; PROPOSED-Permanent-Standby-Generator; PROPOSED-480V-Electrical-Service; PROPOSED-Motor-Control-Center; PROPOSED-PLC-Control-Panel; PROPOSED-Dewatering-System; PROPOSED-Bypass-Pumping-System; PROPOSED-Blowers; PROPOSED-Train-3-Dissolved-Oxygen-Sensors; PROPOSED-Train-3-pH-Sensors; PROPOSED-Magnetic-Flow-Meters</t>
  </si>
  <si>
    <t xml:space="preserve">1; 6; 18 — Unresolved (see 04); 19; Equipment Alternate A; Equipment Alternate B; Equipment Alternate C; Equipment Alternate D; Equipment Alternate E</t>
  </si>
  <si>
    <t xml:space="preserve">Project_Wiki.md note 01 33 00 (Contract &amp; General): (¶1.01, ¶1.03, p.129; Verified)</t>
  </si>
  <si>
    <t xml:space="preserve">Requirement sentence taken verbatim from the note; Subtype, Timing, Acceptance and Responsible Party parsed from it by keyword (Merge, Inferred — check against the cited ¶). Linked Ledger rows: 18 (flag Y and section cited; linkage Inferred).</t>
  </si>
  <si>
    <t xml:space="preserve">SUB 01 33 00-02</t>
  </si>
  <si>
    <t xml:space="preserve">The checklist's bid-phase entries cite sections and attachments that do not exist in the project manual — 00 43 36, 00 22 13, 00 45 14, and DBE forms as "Attachments 6 and 7" of 00 73 00 — and move Contractor Qualifications to 24 hours after opening</t>
  </si>
  <si>
    <t xml:space="preserve">O&amp;M manual; Qualifications</t>
  </si>
  <si>
    <t xml:space="preserve">Project_Wiki.md note 01 33 00 (Contract &amp; General): (¶1.03.A–C, p.129; Issues 1.14, 2.2, 2.5)</t>
  </si>
  <si>
    <t xml:space="preserve">SUB 01 33 00-03</t>
  </si>
  <si>
    <t xml:space="preserve">Before the Agreement: bonds, insurance certificates, prevailing wage filings; 10 days after execution: construction schedule, substitution requests, Schedule of Values; monthly: pay application and updated schedule; certified payroll; 14 days before any WWTP shutdown: a bypass pumping and emergency response plan; closeout: affidavits, record drawings</t>
  </si>
  <si>
    <t xml:space="preserve">Certificates / reports; Plan / procedure</t>
  </si>
  <si>
    <t xml:space="preserve">10 days after execution: construction schedule; 14 days before any WWTP shutdown: a bypass pumping and; Before the Agreement: bonds</t>
  </si>
  <si>
    <t xml:space="preserve">Project_Wiki.md note 01 33 00 (Contract &amp; General): (¶1.03.D–J, pp.129–130; Verified)</t>
  </si>
  <si>
    <t xml:space="preserve">SUB 01 33 00-04</t>
  </si>
  <si>
    <t xml:space="preserve">Submittals are PDF with a transmittal, stamped by the Contractor, with an approved-submittal file kept on site; samples in pairs, product certificates in triplicate, test reports 3 copies</t>
  </si>
  <si>
    <t xml:space="preserve">Calculations / sealed design; Certificates / reports; Samples</t>
  </si>
  <si>
    <t xml:space="preserve">Project_Wiki.md note 01 33 00 (Contract &amp; General): (¶1.04–1.05, pp.130–131; Verified)</t>
  </si>
  <si>
    <t xml:space="preserve">SUB 01 33 00-05</t>
  </si>
  <si>
    <t xml:space="preserve">O&amp;M manuals (4 hard, 2 PDF sets) go in draft with shop drawings, final draft before the 75% pay application, and complete before payment above 90%</t>
  </si>
  <si>
    <t xml:space="preserve">Shop drawings; O&amp;M manual</t>
  </si>
  <si>
    <t xml:space="preserve">before the 75% pay application; before payment above 90% (¶1</t>
  </si>
  <si>
    <t xml:space="preserve">Project_Wiki.md note 01 33 00 (Contract &amp; General): (¶1.05.G, pp.131–132; Verified)</t>
  </si>
  <si>
    <t xml:space="preserve">SUB 01 70 00-01</t>
  </si>
  <si>
    <t xml:space="preserve">Before requesting Substantial Completion the Contractor delivers tools, spare parts and extra stock, changes over locks and hands over keys, completes start-up testing and operator instruction, removes temporary facilities, turns over record information, finishes cleanup, and provides O&amp;M manuals for all equipment, controls, telemetry and SCADA plus 2015 WSEC compliance documentation per C103.6.3</t>
  </si>
  <si>
    <t xml:space="preserve">O&amp;M manual</t>
  </si>
  <si>
    <t xml:space="preserve">01 70 00</t>
  </si>
  <si>
    <t xml:space="preserve">PROPOSED-BLOWER-BUILDING; PROPOSED-Blower-Building; PROPOSED-8in-Effluent-Flow-Meter; PROPOSED-UV-Disinfection-System; PROPOSED-Sludge-Pumps; PROPOSED-2W-Air-Gap-Water-System; PROPOSED-Submersible-Pump-Equipment; PROPOSED-Influent-Sampler; PROPOSED-Train-3-Biological-Treatment-Equipment; PROPOSED-Automatic-Transfer-Switch; PROPOSED-Permanent-Standby-Generator; PROPOSED-480V-Electrical-Service; PROPOSED-Motor-Control-Center; PROPOSED-PLC-Control-Panel; PROPOSED-Dewatering-System; PROPOSED-Blowers; PROPOSED-Train-3-Dissolved-Oxygen-Sensors; PROPOSED-Train-3-pH-Sensors; PROPOSED-Magnetic-Flow-Meters</t>
  </si>
  <si>
    <t xml:space="preserve">Project_Wiki.md note 01 70 00 (Contract &amp; General): (¶1.03.A, pp.152–153; Verified; temporary facility removal conflicts with 00 73 00 SC 19 — Issues 1.19; energy code edition — Issues 1.20)</t>
  </si>
  <si>
    <t xml:space="preserve">SUB 01 70 00-02</t>
  </si>
  <si>
    <t xml:space="preserve">The request carries a completion notice, incomplete-items list, pay request, change accounting, warranties and bonds, releases and occupancy/operating certificates, and record documents; "substantially complete" is defined by the WSDOT General Specifications and "Sections 00 72 00 and 00 73 00a" (¶1.03.B, p.153; WSDOT part Unresolved: external reference, not staged; section numbers — Issues 2.5), and warranties start on the Date of Substantial Completion</t>
  </si>
  <si>
    <t xml:space="preserve">Certificates / reports; Warranty / guarantee</t>
  </si>
  <si>
    <t xml:space="preserve">Project_Wiki.md note 01 70 00 (Contract &amp; General): (¶1.03.D.1, p.153; Verified; bears on Issues 1.11)</t>
  </si>
  <si>
    <t xml:space="preserve">SUB 01 70 00-03</t>
  </si>
  <si>
    <t xml:space="preserve">Retainage is released only against an affidavit of paid payrolls and bills, lien releases, the DOR tax form, the L&amp;I affidavit of wages paid and the ESD release</t>
  </si>
  <si>
    <t xml:space="preserve">Project_Wiki.md note 01 70 00 (Contract &amp; General): (¶1.05.B, p.154; Verified)</t>
  </si>
  <si>
    <t xml:space="preserve">SUB 01 70 00-04</t>
  </si>
  <si>
    <t xml:space="preserve">All mechanical and electrical equipment is tested before any facility goes into operation: procedures due 14 days before start-up covering every control device, equipment item and control circuit, joint sign-off forms, testing witnessed by the Engineer, and manufacturers' representatives who train Owner staff and certify each installation by letter</t>
  </si>
  <si>
    <t xml:space="preserve">14 days before start-up covering every control device; before any facility goes into operation: procedures due 14 da; before start-up covering every control device</t>
  </si>
  <si>
    <t xml:space="preserve">Contractor (submits per 01 33 00 — Inferred); also named: Owner; Engineer; Manufacturer / supplier</t>
  </si>
  <si>
    <t xml:space="preserve">Project_Wiki.md note 01 70 00 (Contract &amp; General): (¶1.06, p.155; Verified)</t>
  </si>
  <si>
    <t xml:space="preserve">SUB 01 91 00-01</t>
  </si>
  <si>
    <t xml:space="preserve">Sets minimum supplier start-up supervision and operator training as a non-exhaustive checklist; every entry covers installation inspection, motor amperage checks, access, controls operation, an O&amp;M manual review and controls training</t>
  </si>
  <si>
    <t xml:space="preserve">01 91 00</t>
  </si>
  <si>
    <t xml:space="preserve">PROPOSED-UV-Disinfection-System; PROPOSED-Sludge-Pumps; PROPOSED-2W-Air-Gap-Water-System; PROPOSED-Submersible-Pump-Equipment; PROPOSED-Train-3-Biological-Treatment-Equipment; PROPOSED-Dewatering-System; PROPOSED-Blowers; PROPOSED-Train-3-Dissolved-Oxygen-Sensors; PROPOSED-Train-3-pH-Sensors; PROPOSED-Magnetic-Flow-Meters</t>
  </si>
  <si>
    <t xml:space="preserve">1; 18 — Unresolved (see 04); 19; Equipment Alternate A; Equipment Alternate B; Equipment Alternate C; Equipment Alternate D</t>
  </si>
  <si>
    <t xml:space="preserve">Project_Wiki.md note 01 91 00 (Contract &amp; General): (¶1.01.B, pp.157–160; Verified)</t>
  </si>
  <si>
    <t xml:space="preserve">Requirement sentence taken verbatim from the note; Subtype, Timing, Acceptance and Responsible Party parsed from it by keyword (Merge, Inferred — check against the cited ¶). Linked Ledger rows: 10 (flag Y and section cited; linkage Inferred).</t>
  </si>
  <si>
    <t xml:space="preserve">SUB 01 91 00-02</t>
  </si>
  <si>
    <t xml:space="preserve">Dewatering equipment suppliers each give "a minimum of one (2) days" (¶1.07, p.159; Unresolved — Issues 1.21); the 2W water system supplier 1 day, verifying constant 60–90 psi from 0 to 50 gpm, the automatic valve at the air gap and the floats; the magnetic flow meter supplier 2 days, checking that submerged units are sealed and rated</t>
  </si>
  <si>
    <t xml:space="preserve">Project_Wiki.md note 01 91 00 (Contract &amp; General): (¶1.10–1.11, pp.159–160; Verified)</t>
  </si>
  <si>
    <t xml:space="preserve">SUB 02 83 00-01</t>
  </si>
  <si>
    <t xml:space="preserve">Submittals: three samples (fabric, post section, accessories) and shop drawings showing height, fabric, post and gate locations and sizes, footings and hardware</t>
  </si>
  <si>
    <t xml:space="preserve">Shop drawings; Samples</t>
  </si>
  <si>
    <t xml:space="preserve">02 83 00</t>
  </si>
  <si>
    <t xml:space="preserve">C2.5; C2.1</t>
  </si>
  <si>
    <t xml:space="preserve">PROPOSED-Chain link fence 126 LF</t>
  </si>
  <si>
    <t xml:space="preserve">Project_Wiki.md note 02 83 00 (Civil &amp; Site): (¶1.04; p.163 — Verified)</t>
  </si>
  <si>
    <t xml:space="preserve">Requirement sentence taken verbatim from the note; Subtype, Timing, Acceptance and Responsible Party parsed from it by keyword (Merge, Inferred — check against the cited ¶). Linked Ledger rows: 1 (flag Y and section cited; linkage Inferred).</t>
  </si>
  <si>
    <t xml:space="preserve">SUB 02 92 00-01</t>
  </si>
  <si>
    <t xml:space="preserve">Covers re-establishing grass in areas disturbed by construction: stripping, stockpiling, topsoil, compost and hydroseeding, with a one-year seeding guarantee and 2 in of straw on graded areas not seeded or paved by October 15</t>
  </si>
  <si>
    <t xml:space="preserve">02 92 00</t>
  </si>
  <si>
    <t xml:space="preserve">C7.4 (Det. 2, Notes A, C); C0.2 (Item 22)</t>
  </si>
  <si>
    <t xml:space="preserve">PROPOSED-Hydroseeded restoration areas</t>
  </si>
  <si>
    <t xml:space="preserve">Project_Wiki.md note 02 92 00 (Civil &amp; Site): (¶1.1, ¶1.3; main spec p.169 — Verified)</t>
  </si>
  <si>
    <t xml:space="preserve">SUB 02 92 00-02</t>
  </si>
  <si>
    <t xml:space="preserve">Submittals: product data and installation recommendations, seed vendor blue-tag certification, and maintenance instructions after acceptance</t>
  </si>
  <si>
    <t xml:space="preserve">Product data; Certificates / reports</t>
  </si>
  <si>
    <t xml:space="preserve">Project_Wiki.md note 02 92 00 (Civil &amp; Site): (¶1.03; p.169 — Verified)</t>
  </si>
  <si>
    <t xml:space="preserve">SUB 03 30 00-01</t>
  </si>
  <si>
    <t xml:space="preserve">The Drawing Structural Notes take precedence over less specific spec requirements and set the mix designs and reinforcing, while WSDOT M41-10 (2022), WSDOT material sources, WSDOT-approved aggregate sources and WSDOT 9-04.2 joint sealant are incorporated by reference</t>
  </si>
  <si>
    <t xml:space="preserve">Mix design</t>
  </si>
  <si>
    <t xml:space="preserve">03 30 00</t>
  </si>
  <si>
    <t xml:space="preserve">A1.1; A1.2; S1.1; S2.3; S4.1; A1.3; S2.1; S2.2; S2.4</t>
  </si>
  <si>
    <t xml:space="preserve">PROPOSED-Blower-Building-Slab-and-Grade-Beams; PROPOSED-Blower-Pad; PROPOSED-Train-3-Concrete-Tank; PROPOSED-UV-Disinfection-Chamber-Basin; PROPOSED-Digester-Concrete-Tank; PROPOSED-Drain-Pump-Station-Lid; PROPOSED-Generator-Slab; PROPOSED-Flow-Splitter-Pad; PROPOSED-Existing-Slab-Trench-Infill</t>
  </si>
  <si>
    <t xml:space="preserve">Project_Wiki.md note 03 30 00 (Structural &amp; Building): [¶1.05 A, ¶2.03 A, ¶2.04 B–C, pp.172–175 — Verified; ¶1.04 A.1, ¶1.06 D.4, ¶2.04 A, ¶2.04 D — Unresolved: external reference, not staged]</t>
  </si>
  <si>
    <t xml:space="preserve">Requirement sentence taken verbatim from the note; Subtype, Timing, Acceptance and Responsible Party parsed from it by keyword (Merge, Inferred — check against the cited ¶). Linked Ledger rows: 9 (flag Y and section cited; linkage Inferred).</t>
  </si>
  <si>
    <t xml:space="preserve">SUB 03 30 00-02</t>
  </si>
  <si>
    <t xml:space="preserve">Submittals are ACI SP-66 shop drawings, mix designs 15 working days before use, material certificates, a PE-prepared hot and cold weather plan, joint layout plans (control joints no more than 30× slab thickness where not shown), and WA SE-sealed formwork plans and calculations for the "Clarifier, digester and chlorine contact basin structures" — names that do not all match the sheet titles</t>
  </si>
  <si>
    <t xml:space="preserve">Shop drawings; Calculations / sealed design; Mix design; Certificates / reports; Plan / procedure</t>
  </si>
  <si>
    <t xml:space="preserve">15 working days before use; before use</t>
  </si>
  <si>
    <t xml:space="preserve">Project_Wiki.md note 03 30 00 (Structural &amp; Building): [¶1.06 A–G, p.173 — Verified; Issues, Missing information]</t>
  </si>
  <si>
    <t xml:space="preserve">SUB 03 40 00-01</t>
  </si>
  <si>
    <t xml:space="preserve">Covers design, supply and installation of all precast concrete structures shown — vaults, top slabs and "the effluent wet well" — with WA-engineer-sealed shop drawings and calculations, mix designs 15 days ahead, material certificates, 5 years of NPCA certification, and Owner/Engineer plant inspection rights</t>
  </si>
  <si>
    <t xml:space="preserve">Shop drawings; Calculations / sealed design; Mix design; Certificates / reports</t>
  </si>
  <si>
    <t xml:space="preserve">15 days ahead</t>
  </si>
  <si>
    <t xml:space="preserve">03 40 00</t>
  </si>
  <si>
    <t xml:space="preserve">PROPOSED-Drain-Pump-Station-Precast-Wet-Well; PROPOSED-2W-Pump-Station-Precast-Wet-Well; PROPOSED-Influent-Pump-Station-Precast-Wet-Well; PROPOSED-Influent-Pump-Station-Top-Slab; PROPOSED-Influent-Flow-Meter-Valve-Vault; PROPOSED-Effluent-Flow-Meter-Valve-Vault; PROPOSED-Plants-2-and-3-Flow-Meter-Vault; PROPOSED-Influent-Pump-Station-Meter-Vaults</t>
  </si>
  <si>
    <t xml:space="preserve">Project_Wiki.md note 03 40 00 (Structural &amp; Building): [¶1.01 A, p.181; ¶1.06 A–F, ¶1.07, p.182 — Verified; WSDOT M41-10 references ¶1.04 C and ¶1.05 B — Unresolved: external reference, not staged]</t>
  </si>
  <si>
    <t xml:space="preserve">Requirement sentence taken verbatim from the note; Subtype, Timing, Acceptance and Responsible Party parsed from it by keyword (Merge, Inferred — check against the cited ¶). Linked Ledger rows: 8 (flag Y and section cited; linkage Inferred).</t>
  </si>
  <si>
    <t xml:space="preserve">SUB 05 50 00-01</t>
  </si>
  <si>
    <t xml:space="preserve">Submittals are shop drawings for all fabricated items, product data, nosing samples, PE qualification data, stainless mill certificates, paint compatibility certificates and welder certificates, with welding to AWS D1.1/D1.6 by state-licensed welders</t>
  </si>
  <si>
    <t xml:space="preserve">Shop drawings; Product data; Certificates / reports; Qualifications; Samples</t>
  </si>
  <si>
    <t xml:space="preserve">05 50 00</t>
  </si>
  <si>
    <t xml:space="preserve">S2.2; S1.1</t>
  </si>
  <si>
    <t xml:space="preserve">PROPOSED-Digester-Grating-Beam</t>
  </si>
  <si>
    <t xml:space="preserve">Project_Wiki.md note 05 50 00 (Structural &amp; Building): [¶1.04, p.187; ¶1.05 B, p.187; ¶2.04 A, p.192 — Verified]</t>
  </si>
  <si>
    <t xml:space="preserve">SUB 05 51 10-01</t>
  </si>
  <si>
    <t xml:space="preserve">Submittals are PE-sealed calculations and location-specific shop drawings (typical-detail sets are rejected), coordinated with the grating drawings and with aluminum handrails "as shown in the civil drawings" per 05 52 00 and 05 53 00 [¶1.03 A.1–3, p.200 — Verified], matching the deferred submittal for metal stairs and landings on S1.1</t>
  </si>
  <si>
    <t xml:space="preserve">Shop drawings; Calculations / sealed design</t>
  </si>
  <si>
    <t xml:space="preserve">05 51 10</t>
  </si>
  <si>
    <t xml:space="preserve">S2.1; S2.2; S1.1</t>
  </si>
  <si>
    <t xml:space="preserve">PROPOSED-Train-3-Guardrail-and-Ladders; PROPOSED-UV-Digester-Guardrail-and-Ladders; PROPOSED-Steel-Stairs-Ladders-Platforms</t>
  </si>
  <si>
    <t xml:space="preserve">Project_Wiki.md note 05 51 10 (Structural &amp; Building): [plans_7 p.8 — Verified-Visual]</t>
  </si>
  <si>
    <t xml:space="preserve">Requirement sentence taken verbatim from the note; Subtype, Timing, Acceptance and Responsible Party parsed from it by keyword (Merge, Inferred — check against the cited ¶). Linked Ledger rows: 3 (flag Y and section cited; linkage Inferred).</t>
  </si>
  <si>
    <t xml:space="preserve">SUB 05 51 10-02</t>
  </si>
  <si>
    <t xml:space="preserve">Unless shown otherwise, stairs use 7" risers, 11" treads and 1" nosing with 4'-0" min. clear width, access ladders have 3'-0" min. clear width, and field welding needs written approval at shop drawing review</t>
  </si>
  <si>
    <t xml:space="preserve">Project_Wiki.md note 05 51 10 (Structural &amp; Building): [¶2.04, p.201; ¶3.01 D, p.202 — Verified]</t>
  </si>
  <si>
    <t xml:space="preserve">SUB 05 52 00-01</t>
  </si>
  <si>
    <t xml:space="preserve">Submittals are shop drawings with a dimensional layout, the manufacturer's assembly and installation instructions, and calculations sealed by a Washington State registered structural engineer; partial or unsealed submittals are rejected</t>
  </si>
  <si>
    <t xml:space="preserve">05 52 00</t>
  </si>
  <si>
    <t xml:space="preserve">Project_Wiki.md note 05 52 00 (Structural &amp; Building): [¶1.02 A–B, p.203 — Verified]</t>
  </si>
  <si>
    <t xml:space="preserve">SUB 05 53 00-01</t>
  </si>
  <si>
    <t xml:space="preserve">Scope is aluminum grating set in pultruded vinyl ester FRP embedment angles with an integral anchor, to the NAAMM Metal Bar Grating Manual, with shop drawings and manufacturer's instructions as the submittal (the paragraph asks for a "dimensional layout of all handrailing," as written)</t>
  </si>
  <si>
    <t xml:space="preserve">05 53 00</t>
  </si>
  <si>
    <t xml:space="preserve">PROPOSED-UV-Digester-Grating; PROPOSED-Steel-Stairs-Ladders-Platforms</t>
  </si>
  <si>
    <t xml:space="preserve">Project_Wiki.md note 05 53 00 (Structural &amp; Building): [¶1.01 A, ¶1.02 A, ¶1.03 A, p.205 — Verified]</t>
  </si>
  <si>
    <t xml:space="preserve">Requirement sentence taken verbatim from the note; Subtype, Timing, Acceptance and Responsible Party parsed from it by keyword (Merge, Inferred — check against the cited ¶). Linked Ledger rows: 2 (flag Y and section cited; linkage Inferred).</t>
  </si>
  <si>
    <t xml:space="preserve">SUB 06 20 00-01</t>
  </si>
  <si>
    <t xml:space="preserve">Covers finish carpentry to AWI Quality Standards (Section 300, Custom Grade), APA and PS-1, with shop drawings and finish samples as submittals</t>
  </si>
  <si>
    <t xml:space="preserve">06 20 00</t>
  </si>
  <si>
    <t xml:space="preserve">Project_Wiki.md note 06 20 00 (Structural &amp; Building): [¶1.1–1.3, p.207; ¶2.2 A, p.208 — Verified]</t>
  </si>
  <si>
    <t xml:space="preserve">SUB 06 20 00-02</t>
  </si>
  <si>
    <t xml:space="preserve">Execution covers coped and mitered trim, 45° splices, a sealed 1/8" gap at exterior trim ends, and installation of finish hardware and miscellaneous items on solid backing</t>
  </si>
  <si>
    <t xml:space="preserve">Project_Wiki.md note 06 20 00 (Structural &amp; Building): [¶3.1 A–I, p.208 — Verified]</t>
  </si>
  <si>
    <t xml:space="preserve">SUB 07 20 00-01</t>
  </si>
  <si>
    <t xml:space="preserve">Covers thermal insulation and vapor barrier in exterior roof and wall construction, installed by a metal building insulation installer with 3 years' experience; materials arrive with instructions and typical shop drawings, and the section has no separate submittal article</t>
  </si>
  <si>
    <t xml:space="preserve">Shop drawings; Qualifications</t>
  </si>
  <si>
    <t xml:space="preserve">07 20 00</t>
  </si>
  <si>
    <t xml:space="preserve">PROPOSED-BLOWER-BUILDING; PROPOSED-Blower-Building</t>
  </si>
  <si>
    <t xml:space="preserve">Project_Wiki.md note 07 20 00 (Structural &amp; Building): [¶1.1 A, ¶1.2 A–B, p.209 — Verified]</t>
  </si>
  <si>
    <t xml:space="preserve">SUB 07 92 00-01</t>
  </si>
  <si>
    <t xml:space="preserve">Submittals are manufacturer's data on materials, application equipment and procedures; the applicator needs 3 years' experience, and a 2-year special warranty applies</t>
  </si>
  <si>
    <t xml:space="preserve">Plan / procedure; Warranty / guarantee; Qualifications</t>
  </si>
  <si>
    <t xml:space="preserve">07 92 00</t>
  </si>
  <si>
    <t xml:space="preserve">Project_Wiki.md note 07 92 00 (Structural &amp; Building): [¶1.2 A, ¶1.3 A, ¶1.4 A, p.211 — Verified]</t>
  </si>
  <si>
    <t xml:space="preserve">SUB 08 70 00-01</t>
  </si>
  <si>
    <t xml:space="preserve">Covers all finish hardware (quantities not guaranteed), with submittals of manufacturer's data, a hardware schedule in sets cross-referenced to the door schedule, a keying schedule and templates; closers carry a 5-year and other hardware a 1-year guarantee</t>
  </si>
  <si>
    <t xml:space="preserve">08 70 00</t>
  </si>
  <si>
    <t xml:space="preserve">A1.1; A1.2</t>
  </si>
  <si>
    <t xml:space="preserve">101A; 101B; 101C; PROPOSED-Boot-Brush-and-Pad</t>
  </si>
  <si>
    <t xml:space="preserve">Project_Wiki.md note 08 70 00 (Structural &amp; Building): [¶1.01 A, ¶1.03 A–E, ¶1.05 A, pp.216–218 — Verified]</t>
  </si>
  <si>
    <t xml:space="preserve">Requirement sentence taken verbatim from the note; Subtype, Timing, Acceptance and Responsible Party parsed from it by keyword (Merge, Inferred — check against the cited ¶). Linked Ledger rows: 4 (flag Y and section cited; linkage Inferred).</t>
  </si>
  <si>
    <t xml:space="preserve">SUB 09 25 00-01</t>
  </si>
  <si>
    <t xml:space="preserve">Covers all gypsum drywall shown, taped and spackled, to ASTM C840 from a single source, with texture finish samples as the only submittal</t>
  </si>
  <si>
    <t xml:space="preserve">09 25 00</t>
  </si>
  <si>
    <t xml:space="preserve">Project_Wiki.md note 09 25 00 (Structural &amp; Building): [¶1.01 A, ¶1.02 A–B, ¶1.03 A, p.225 — Verified]</t>
  </si>
  <si>
    <t xml:space="preserve">SUB 09 90 00-01</t>
  </si>
  <si>
    <t xml:space="preserve">Submittals are product data and procedures per service condition, color charts 30 days and a painting schedule 14 days before work; the Contractor measures wet-film thickness of every coat, the Engineer approves each coat, and hold points follow surface preparation and final coating</t>
  </si>
  <si>
    <t xml:space="preserve">Product data; Plan / procedure</t>
  </si>
  <si>
    <t xml:space="preserve">14 days before work</t>
  </si>
  <si>
    <t xml:space="preserve">Contractor (submits per 01 33 00 — Inferred); also named: Contractor; Engineer</t>
  </si>
  <si>
    <t xml:space="preserve">09 90 00</t>
  </si>
  <si>
    <t xml:space="preserve">PROPOSED-BLOWER-BUILDING; PROPOSED-Blower-Building; 101A; 101B; 101C</t>
  </si>
  <si>
    <t xml:space="preserve">Add. 4 p.2, ¶2.01 I — Add. 4 governs</t>
  </si>
  <si>
    <t xml:space="preserve">Project_Wiki.md note 09 90 00 (Structural &amp; Building): [¶1.03 A–C, ¶1.02 E, p.229; ¶3.03 D, p.234; ¶3.06, p.235 — Verified]</t>
  </si>
  <si>
    <t xml:space="preserve">SUB 09 97 23-01</t>
  </si>
  <si>
    <t xml:space="preserve">Submittals are product data with ASTM results, MSDS, project guidelines and applicator qualifications (manufacturer certification, trained equipment operators, 5 references, permits)</t>
  </si>
  <si>
    <t xml:space="preserve">Product data; Certificates / reports; Qualifications</t>
  </si>
  <si>
    <t xml:space="preserve">09 97 23</t>
  </si>
  <si>
    <t xml:space="preserve">PROPOSED-Influent-Pump-Station-Interior-Coating</t>
  </si>
  <si>
    <t xml:space="preserve">Project_Wiki.md note 09 97 23 (Structural &amp; Building): [¶1.02 A, p.236 — Verified]</t>
  </si>
  <si>
    <t xml:space="preserve">SUB 09 97 23-02</t>
  </si>
  <si>
    <t xml:space="preserve">The product is Raven 405 or Tnemec G436 PermaShield (amine-cured, light green), applied by a certified applicator with heated plural-component spray on concrete cured at least 28 days and blasted to CSP 3–5, at 80 mils min. and 100 mils average wet film</t>
  </si>
  <si>
    <t xml:space="preserve">Project_Wiki.md note 09 97 23 (Structural &amp; Building): [¶2.01 A, ¶2.04 A, ¶2.05, ¶3.03 E, ¶3.05 D, pp.237–239 — Verified]</t>
  </si>
  <si>
    <t xml:space="preserve">SUB 10 52 00-01</t>
  </si>
  <si>
    <t xml:space="preserve">Covers furnishing and installing all fire extinguishers and cabinets shown, with product data (plus cabinet roughing-in and mounting details) as the submittal</t>
  </si>
  <si>
    <t xml:space="preserve">Product data</t>
  </si>
  <si>
    <t xml:space="preserve">10 52 00</t>
  </si>
  <si>
    <t xml:space="preserve">PROPOSED-Fire-Extinguishers-Blower-Building</t>
  </si>
  <si>
    <t xml:space="preserve">Project_Wiki.md note 10 52 00 (Structural &amp; Building): [¶1.01 A–B, ¶1.02 A, p.242 — Verified]</t>
  </si>
  <si>
    <t xml:space="preserve">SUB 10 73 05-01</t>
  </si>
  <si>
    <t xml:space="preserve">Submittals per 01 33 00 are catalog data and O&amp;M information (¶2.01 A p.244); the contractor adds a 1-year parts-and-labor extended warranty from substantial completion (¶1.02 A p.244); three sets of wear parts are furnished (¶3.02 p.245); and the manufacturer provides installation certification, 2 days of start-up and field testing and 1 day of operator training</t>
  </si>
  <si>
    <t xml:space="preserve">Product data; Certificates / reports; O&amp;M manual; Warranty / guarantee</t>
  </si>
  <si>
    <t xml:space="preserve">10 73 05</t>
  </si>
  <si>
    <t xml:space="preserve">C3.4; C3.5</t>
  </si>
  <si>
    <t xml:space="preserve">PROPOSED-TRAIN-3-FRP-LAUNDER-COVER</t>
  </si>
  <si>
    <t xml:space="preserve">1; 18 — Unresolved (see 04); 19; Equipment Alternate B</t>
  </si>
  <si>
    <t xml:space="preserve">Project_Wiki.md note 10 73 05 (Process &amp; Mechanical): (¶4.02 p.245)</t>
  </si>
  <si>
    <t xml:space="preserve">SUB 10 73 05-02</t>
  </si>
  <si>
    <t xml:space="preserve">¶3.01 A, under the launder cover heading, repeats the packaged sludge pump paragraph of 22 13 36 ¶2.01 A word for word (Edson peristaltic pumps, 3 HP, a VFD per pump) — Issue 20. The section runs in four parts</t>
  </si>
  <si>
    <t xml:space="preserve">Project_Wiki.md note 10 73 05 (Process &amp; Mechanical): (Part 2 submittals, Part 3 products, Part 4 execution)</t>
  </si>
  <si>
    <t xml:space="preserve">SUB 13 12 20-01</t>
  </si>
  <si>
    <t xml:space="preserve">Design loads — 5 psf collateral, 25 psf snow, 20 psf roof live, 105 mph ultimate wind (Exposure C), Site Class D with SDS 0.79 / SD1 0.51, SDC D, Ie 1.25, 18" frost — match S1.1, and submittals are WA SE-sealed design calculations and drawings for permit, a WA SE-sealed anchor bolt embedment design by the Contractor, and erection drawings</t>
  </si>
  <si>
    <t xml:space="preserve">13 12 20</t>
  </si>
  <si>
    <t xml:space="preserve">Add. 4 Cited, no change — Add. 4 p.1, Clarification 3 (¶2.03, ¶2.04)</t>
  </si>
  <si>
    <t xml:space="preserve">Project_Wiki.md note 13 12 20 (Structural &amp; Building): [¶1.03 A, p.246; ¶1.04 A–B, p.247 — Verified; plans_7 p.8 — Verified-Visual]</t>
  </si>
  <si>
    <t xml:space="preserve">SUB 13 12 20-02</t>
  </si>
  <si>
    <t xml:space="preserve">Garco Building Systems or equal (AISC Category MB certified, MBMA member) supplies 50 ksi hot-dip galvanized primary framing, G-90 16-gauge secondary members, A325 bolts, galvanized cable or rod bracing, 24-gauge Galvalume standing-seam roof panels (UL 90) and 26-gauge Galvalume R- or A-type wall panels, factory-finished in polyester or Kynar at the Owner's choice</t>
  </si>
  <si>
    <t xml:space="preserve">Project_Wiki.md note 13 12 20 (Structural &amp; Building): [¶1.05, ¶2.01–¶2.04, pp.247–249 — Verified; Add. 4 p.1 Clarification 3 — Verified]</t>
  </si>
  <si>
    <t xml:space="preserve">SUB 13 12 20-03</t>
  </si>
  <si>
    <t xml:space="preserve">Installers need 5 years' experience, anchor bolts and base plates are verified against the approved erection drawings, bolts are tightened by turn-of-nut (preferred), and panels are lapped and butyl-sealed with trim and closures for a weather-tight enclosure; the section has no testing article</t>
  </si>
  <si>
    <t xml:space="preserve">Calculations / sealed design; Qualifications</t>
  </si>
  <si>
    <t xml:space="preserve">Project_Wiki.md note 13 12 20 (Structural &amp; Building): [¶3.01–¶3.03, pp.250–251 — Verified]</t>
  </si>
  <si>
    <t xml:space="preserve">SUB 15 08 13-01</t>
  </si>
  <si>
    <t xml:space="preserve">Submittal: proof of graphics before printing</t>
  </si>
  <si>
    <t xml:space="preserve">15 08 13</t>
  </si>
  <si>
    <t xml:space="preserve">PROPOSED-Temporary construction sign</t>
  </si>
  <si>
    <t xml:space="preserve">Project_Wiki.md note 15 08 13 (Civil &amp; Site): (¶1.01; p.252 — Verified)</t>
  </si>
  <si>
    <t xml:space="preserve">SUB 15 40 00-01</t>
  </si>
  <si>
    <t xml:space="preserve">Covers miscellaneous plumbing "for exterior purposes only" as described and shown on the plans (¶1.01 A p.253), with shop drawing and product data submittals (¶1.02 A) and compliance with the UBC, UPC and Eastsound Sewer and Water District standards</t>
  </si>
  <si>
    <t xml:space="preserve">Shop drawings; Product data</t>
  </si>
  <si>
    <t xml:space="preserve">15 40 00</t>
  </si>
  <si>
    <t xml:space="preserve">PROPOSED-YARD-HYDRANTS; PROPOSED-POST-HYDRANTS; PROPOSED-EXTERIOR-SANITARY-DRAINS</t>
  </si>
  <si>
    <t xml:space="preserve">Project_Wiki.md note 15 40 00 (Process &amp; Mechanical): (¶1.03 A)</t>
  </si>
  <si>
    <t xml:space="preserve">SUB 22 13 29-01</t>
  </si>
  <si>
    <t xml:space="preserve">Submittals include certified curves, shop drawings of the station and lifting system, control panel and interconnection wiring, warranty and factory test report (¶1.03 A p.256); testing includes certified non-witnessed factory performance tests to Hydraulic Institute standards, a factory operational test of the completed station submitted before installation, field tests with the manufacturer's representative, and at least one 8-hour start-up day with flow tests</t>
  </si>
  <si>
    <t xml:space="preserve">Shop drawings; Certificates / reports; Warranty / guarantee</t>
  </si>
  <si>
    <t xml:space="preserve">before installation</t>
  </si>
  <si>
    <t xml:space="preserve">22 13 29</t>
  </si>
  <si>
    <t xml:space="preserve">G0.5; G0.6; C4.1; G0.7</t>
  </si>
  <si>
    <t xml:space="preserve">PROPOSED-INFLUENT-PUMP-STATION-WET-WELL; PROPOSED-INFLUENT-PUMPS-SMALL; PROPOSED-INFLUENT-PUMPS-LARGE; PROPOSED-IPS-MOTOR-SAVER-RELAYS</t>
  </si>
  <si>
    <t xml:space="preserve">Project_Wiki.md note 22 13 29 (Process &amp; Mechanical): (¶1.03 C, ¶1.04 B–C p.256; ¶3.03 p.262)</t>
  </si>
  <si>
    <t xml:space="preserve">SUB 22 13 29-02</t>
  </si>
  <si>
    <t xml:space="preserve">The warranty is 5 years or 10,000 hours (¶1.05 A p.256), and float switches hang at the plan levels with a submersible level transducer also used for pump control</t>
  </si>
  <si>
    <t xml:space="preserve">Plan / procedure; Warranty / guarantee</t>
  </si>
  <si>
    <t xml:space="preserve">Project_Wiki.md note 22 13 29 (Process &amp; Mechanical): (¶3.02 A p.261)</t>
  </si>
  <si>
    <t xml:space="preserve">SUB 22 13 36-01</t>
  </si>
  <si>
    <t xml:space="preserve">Base ¶2.01 A (p.263) calls for Edson Platinum peristaltic pumps or equal, 3 HP, 460 V, 3-phase, 0 to 43 gpm (typical set point 10 to 30 gpm), corrosion resistant, with a VFD and a local speed dial per pump, an electrical control panel per pump and a 304 SS enclosure of about 40"×40"×40" per pump. Add. 4 p.2 replaces "Each pump is to include a VFD" with: pumps powered from VFDs in the Motor Control Center, VFDs controlled by the PLC in the Main Control Panel, no local speed control dial at the pump, see Electrical Sheets — Add. 4 governs. Controls follow 26 80 00 ¶3.09 A (WAS pump control) and H (rotary fan press system) (¶2.02 p.263); submittals per 01 33 00 are catalog data with wiring diagrams and O&amp;M information (¶1.02 A p.263); the manufacturer furnishes three sets of wear parts (¶2.03 p.263) and provides installation certification, 2 days of start-up and field testing and 1 day of operator training</t>
  </si>
  <si>
    <t xml:space="preserve">Shop drawings; Product data; Certificates / reports; O&amp;M manual</t>
  </si>
  <si>
    <t xml:space="preserve">22 13 36</t>
  </si>
  <si>
    <t xml:space="preserve">G0.5; G0.6; G0.7; C6.2</t>
  </si>
  <si>
    <t xml:space="preserve">PROPOSED-WAS-PUMP; PROPOSED-SWING-SLUDGE-PUMP; PROPOSED-DIGESTED-SLUDGE-PUMP; PROPOSED-SLUDGE-PUMP-LOCAL-PANELS</t>
  </si>
  <si>
    <t xml:space="preserve">Add. 4 p.2, ¶2.01 A — Add. 4 governs</t>
  </si>
  <si>
    <t xml:space="preserve">Project_Wiki.md note 22 13 36 (Process &amp; Mechanical): (¶3.02 p.264)</t>
  </si>
  <si>
    <t xml:space="preserve">SUB 23 34 00-01</t>
  </si>
  <si>
    <t xml:space="preserve">Scope (¶1.01 A p.265): in the Blower Building, two 3,300 CFM wall fans on individual thermostats, one motorized 36"×84" louvered vent that opens when either fan runs and stays open until both are off, and one manual 24"×24" louvered vent; in the "Existing Dewatering/Train 1&amp;2 Building Area", three 3,300 CFM wall fans on individual manual on/off switches and two manual 36"×84" louvered vents. Fans are Acme FQ18G6 (3,300 CFM, 1/2 HP, 120 V 1-phase, 12 sones max) with wall collar and guard, each with a Louvers &amp; Dampers EBE445 aluminum gravity combination louver (about 24"×24") with stainless bird screen and a 2-year minimum manufacturer warranty; thermostats are Schaffer TH109 two-speed, 40–100°F, in NEMA 4X enclosures with stainless coil sensors, 4' above floor</t>
  </si>
  <si>
    <t xml:space="preserve">O&amp;M manual; Warranty / guarantee</t>
  </si>
  <si>
    <t xml:space="preserve">23 34 00</t>
  </si>
  <si>
    <t xml:space="preserve">Project_Wiki.md note 23 34 00 (Process &amp; Mechanical): (¶1.01 B; ¶2.1 A–B pp.265–266)</t>
  </si>
  <si>
    <t xml:space="preserve">SUB 26 05 00-01</t>
  </si>
  <si>
    <t xml:space="preserve">Submittals (¶1.012, p.274): electronic PDF with an index, identified by section and paragraph or equipment, each sheet naming the equipment and part number with manufacturer, model, nameplate data, dimensions and local representative; largely incomplete packages are returned unreviewed; variances requested in writing</t>
  </si>
  <si>
    <t xml:space="preserve">26 05 00</t>
  </si>
  <si>
    <t xml:space="preserve">PROPOSED-Temporary-Backup-Generator</t>
  </si>
  <si>
    <t xml:space="preserve">18 — Unresolved (see 04)</t>
  </si>
  <si>
    <t xml:space="preserve">Project_Wiki.md note 26 05 00 (Electrical &amp; Controls): [Verified]</t>
  </si>
  <si>
    <t xml:space="preserve">SUB 26 05 00-02</t>
  </si>
  <si>
    <t xml:space="preserve">Pads, tests and training (¶2.04, ¶3.04, ¶3.05, pp.278–280): a concrete housekeeping pad under each floor-mounted MCC and electrical equipment, 3 in wider each end and 3 in minimum height; feeder, motor and equipment testing and a functional checkout of every control circuit, with procedures submitted first; training of 8 h for electrical and 24 h for control systems</t>
  </si>
  <si>
    <t xml:space="preserve">SUB 26 05 19-01</t>
  </si>
  <si>
    <t xml:space="preserve">No product submittal paragraph in the section, read in full (pp.282–288)</t>
  </si>
  <si>
    <t xml:space="preserve">26 05 19</t>
  </si>
  <si>
    <t xml:space="preserve">Project_Wiki.md note 26 05 19 (Electrical &amp; Controls): [Verified]</t>
  </si>
  <si>
    <t xml:space="preserve">SUB 26 05 33-01</t>
  </si>
  <si>
    <t xml:space="preserve">Conduit schedule and tags (¶2.05–2.06, p.294): the drawing schedule governs sizing and routing, adjusted for equipment submittals at no added cost; crosslinked polyolefin tags, Impact Industries or equal (p.294)</t>
  </si>
  <si>
    <t xml:space="preserve">26 05 33</t>
  </si>
  <si>
    <t xml:space="preserve">Project_Wiki.md note 26 05 33 (Electrical &amp; Controls): [Verified]</t>
  </si>
  <si>
    <t xml:space="preserve">SUB 26 05 33-02</t>
  </si>
  <si>
    <t xml:space="preserve">Conduit runs (¶3.01 A, p.294): no more than 270 degrees of bends between pull boxes and runs of 400 ft less 100 ft per 90 degrees of bend; no product submittal or test paragraph found in the section (pp.290–296)</t>
  </si>
  <si>
    <t xml:space="preserve">Project_Wiki.md note 26 05 33 (Electrical &amp; Controls): [Verified; submittal and test terms searched on every page]</t>
  </si>
  <si>
    <t xml:space="preserve">SUB 26 22 13-01</t>
  </si>
  <si>
    <t xml:space="preserve">Submittals: catalog data per 26 05 00 (¶1.05, p.297); no test paragraph (the only "test" term is the NRTL listing)</t>
  </si>
  <si>
    <t xml:space="preserve">26 22 13</t>
  </si>
  <si>
    <t xml:space="preserve">E1.1; E6.1; E6.3; E8.1; E9.1</t>
  </si>
  <si>
    <t xml:space="preserve">TS; T3; T2</t>
  </si>
  <si>
    <t xml:space="preserve">Project_Wiki.md note 26 22 13 (Electrical &amp; Controls): [Verified]</t>
  </si>
  <si>
    <t xml:space="preserve">SUB 26 24 16-01</t>
  </si>
  <si>
    <t xml:space="preserve">Lighting and power distribution panelboards by Square D, Cutler Hammer or equal; submittals are catalog data per 26 05 00 (¶1.01–1.02, ¶2.01, p.300)</t>
  </si>
  <si>
    <t xml:space="preserve">26 24 16</t>
  </si>
  <si>
    <t xml:space="preserve">E1.1; E6.1; E6.2; E6.3; E2.1; E2.2; E9.1; E9.3; E4.1; E8.1</t>
  </si>
  <si>
    <t xml:space="preserve">MDP; LP-1; LP2</t>
  </si>
  <si>
    <t xml:space="preserve">Project_Wiki.md note 26 24 16 (Electrical &amp; Controls): [Verified]</t>
  </si>
  <si>
    <t xml:space="preserve">SUB 26 24 19-01</t>
  </si>
  <si>
    <t xml:space="preserve">Submittals beyond 26 05 00: wiring diagrams for every unit, component data sheets with part numbers, scaled arrangement drawings, wire marker text, bill of materials, 11x17 maximum shop drawings (¶1.04, pp.305–306)</t>
  </si>
  <si>
    <t xml:space="preserve">26 24 19</t>
  </si>
  <si>
    <t xml:space="preserve">E1.1; E2.1; E2.2; E6.1; E6.2; E6.3; E7.0; E9.1; E9.2; A1.1</t>
  </si>
  <si>
    <t xml:space="preserve">MCC</t>
  </si>
  <si>
    <t xml:space="preserve">Project_Wiki.md note 26 24 19 (Electrical &amp; Controls): [Verified]</t>
  </si>
  <si>
    <t xml:space="preserve">SUB 26 28 16-01</t>
  </si>
  <si>
    <t xml:space="preserve">Submittals: catalog data per 26 05 00 ¶1.012 (¶1.03, p.314); no test paragraph (the only "test" term is the NRTL listing)</t>
  </si>
  <si>
    <t xml:space="preserve">26 28 16</t>
  </si>
  <si>
    <t xml:space="preserve">E2.1; E3.1; E4.1; E6.1</t>
  </si>
  <si>
    <t xml:space="preserve">PROPOSED-DB-Local-Disconnect; PROPOSED-Train-3-Local-Disconnects; PROPOSED-Influent-Pump-Local-Disconnects; PROPOSED-WAS-and-Sludge-Pump-Local-Disconnects; PROPOSED-2W-Pump-Local-Disconnects</t>
  </si>
  <si>
    <t xml:space="preserve">Project_Wiki.md note 26 28 16 (Electrical &amp; Controls): [Verified]</t>
  </si>
  <si>
    <t xml:space="preserve">SUB 26 29 23-01</t>
  </si>
  <si>
    <t xml:space="preserve">PWM VFDs for 480 V 3-phase, provided by the system integrator as a complete system integral to the MCC or other control panels; 1-year parts-and-labor guarantee from acceptance (¶1.01, ¶1.02 C, p.316)</t>
  </si>
  <si>
    <t xml:space="preserve">26 29 23</t>
  </si>
  <si>
    <t xml:space="preserve">E6.1; E7.0; E7.3; E7.4; E7.7; E9.1; E9.2</t>
  </si>
  <si>
    <t xml:space="preserve">PROPOSED-VFDs-in-MCC</t>
  </si>
  <si>
    <t xml:space="preserve">Project_Wiki.md note 26 29 23 (Electrical &amp; Controls): [Verified]</t>
  </si>
  <si>
    <t xml:space="preserve">SUB 26 29 23-02</t>
  </si>
  <si>
    <t xml:space="preserve">Submittals beyond 26 05 00: outline dimensions and elevations, wiring diagrams with all interface points and terminals, component and option data, and the operations and programming manual (¶1.02 A–B, p.316)</t>
  </si>
  <si>
    <t xml:space="preserve">SUB 26 29 23-03</t>
  </si>
  <si>
    <t xml:space="preserve">Quality assurance and start-up: each VFD functionally tested under motor load with simulated overload and 100% parameter verification; certified factory start-up for every drive with a start-up form, one week notice to the Engineer, and testing on both utility and standby power where a generator serves the load (¶3.02–3.03, p.319)</t>
  </si>
  <si>
    <t xml:space="preserve">Contractor (submits per 01 33 00 — Inferred); also named: Engineer</t>
  </si>
  <si>
    <t xml:space="preserve">SUB 26 32 13-01</t>
  </si>
  <si>
    <t xml:space="preserve">Basis of design Cummins C125D6D; pre-approved Cummins, Kohler, Caterpillar and Generac, equals if performance is shown; single-source package; 2-year warranty from Substantial Completion (¶2.01, p.325; warranty paragraph pp.324–325)</t>
  </si>
  <si>
    <t xml:space="preserve">26 32 13</t>
  </si>
  <si>
    <t xml:space="preserve">E1.1; E6.1; E6.3; E7.3; E10.3</t>
  </si>
  <si>
    <t xml:space="preserve">GEN</t>
  </si>
  <si>
    <t xml:space="preserve">1; 6; Equipment Alternate E</t>
  </si>
  <si>
    <t xml:space="preserve">Project_Wiki.md note 26 32 13 (Electrical &amp; Controls): [Verified]</t>
  </si>
  <si>
    <t xml:space="preserve">SUB 26 32 13-02</t>
  </si>
  <si>
    <t xml:space="preserve">Submittals: action, informational, closeout and maintenance-material submittals including fuel consumption at 0.8 pf and plans and elevations (¶1.04–1.08, pp.322–324)</t>
  </si>
  <si>
    <t xml:space="preserve">Project_Wiki.md note 26 32 13 (Electrical &amp; Controls): [Verified; pages scanned by key terms]</t>
  </si>
  <si>
    <t xml:space="preserve">SUB 26 36 00-01</t>
  </si>
  <si>
    <t xml:space="preserve">Switches designated 3-pole get a neutral bus rated 100% of the switch rating; enclosures third-party certified to NEMA ICS 6 (¶2.02, p.341)</t>
  </si>
  <si>
    <t xml:space="preserve">26 36 00</t>
  </si>
  <si>
    <t xml:space="preserve">E1.1; E6.1; E6.3; E7.3</t>
  </si>
  <si>
    <t xml:space="preserve">ATS</t>
  </si>
  <si>
    <t xml:space="preserve">6; 18 — Unresolved (see 04)</t>
  </si>
  <si>
    <t xml:space="preserve">Project_Wiki.md note 26 36 00 (Electrical &amp; Controls): [Verified]</t>
  </si>
  <si>
    <t xml:space="preserve">SUB 26 36 00-02</t>
  </si>
  <si>
    <t xml:space="preserve">Submittals: action, informational and closeout (¶1.03–1.05, p.338); testing: factory dielectric test per NEMA ICS 1 and field tests and inspections by the manufacturer representative with reports (¶2.05, ¶3.03–3.04, pp.345–347)</t>
  </si>
  <si>
    <t xml:space="preserve">SUB 26 51 19-01</t>
  </si>
  <si>
    <t xml:space="preserve">Submittals: original product sheets, independent photometric reports where the schedule requires them, fixture types and project name marked, prepared by the local manufacturer representative, plus WSEC lighting control devices (¶1.06, p.350)</t>
  </si>
  <si>
    <t xml:space="preserve">26 51 19</t>
  </si>
  <si>
    <t xml:space="preserve">E2.2; E3.1; E6.3; E4.1; E6.2; E8.1; E5.1</t>
  </si>
  <si>
    <t xml:space="preserve">L1 (Blower Building); L2 (Blower Building); X1 (Blower Building); PROPOSED-Train-3-Pole-Light; L2 (Treatment Building); PROPOSED-UV-Area-Pole-Light</t>
  </si>
  <si>
    <t xml:space="preserve">Project_Wiki.md note 26 51 19 (Electrical &amp; Controls): [Verified]</t>
  </si>
  <si>
    <t xml:space="preserve">Requirement sentence taken verbatim from the note; Subtype, Timing, Acceptance and Responsible Party parsed from it by keyword (Merge, Inferred — check against the cited ¶). Linked Ledger rows: 6 (flag Y and section cited; linkage Inferred).</t>
  </si>
  <si>
    <t xml:space="preserve">SUB 26 51 19-02</t>
  </si>
  <si>
    <t xml:space="preserve">Warranty: 5 years on LED products including parts and labor (¶1.08, p.350)</t>
  </si>
  <si>
    <t xml:space="preserve">SUB 31 10 00-01</t>
  </si>
  <si>
    <t xml:space="preserve">No products, submittals or testing are specified</t>
  </si>
  <si>
    <t xml:space="preserve">31 10 00</t>
  </si>
  <si>
    <t xml:space="preserve">Project_Wiki.md note 31 10 00 (Civil &amp; Site): (p.382 — Verified)</t>
  </si>
  <si>
    <t xml:space="preserve">SUB 31 20 00-01</t>
  </si>
  <si>
    <t xml:space="preserve">Submittals: gradation and moisture-density curves for imported materials, separation geotextile data, and proposed compaction equipment; field density testing is by the Engineer's independent lab (one test per 100 LF of roadway, 1,000 SF of subgrade, 500 CY of structural backfill), with Contractor-paid retests</t>
  </si>
  <si>
    <t xml:space="preserve">Contractor (submits per 01 33 00 — Inferred); also named: Contractor; Engineer; Inspector / laboratory</t>
  </si>
  <si>
    <t xml:space="preserve">31 20 00</t>
  </si>
  <si>
    <t xml:space="preserve">C0.2 (Element 10)</t>
  </si>
  <si>
    <t xml:space="preserve">PROPOSED-Dewatering system</t>
  </si>
  <si>
    <t xml:space="preserve">Project_Wiki.md note 31 20 00 (Civil &amp; Site): (¶1.02–1.03; pp.383–384 — Verified)</t>
  </si>
  <si>
    <t xml:space="preserve">SUB 31 23 19-01</t>
  </si>
  <si>
    <t xml:space="preserve">Submittal: a dewatering plan before construction, 'in accordance with Section 01 30 00', showing methods, equipment, well and sump details, stormwater diversions, discharge points and contingency plans for settlement; it is kept up to date like the TESC plan</t>
  </si>
  <si>
    <t xml:space="preserve">O&amp;M manual; Plan / procedure</t>
  </si>
  <si>
    <t xml:space="preserve">before construction</t>
  </si>
  <si>
    <t xml:space="preserve">31 23 19</t>
  </si>
  <si>
    <t xml:space="preserve">Project_Wiki.md note 31 23 19 (Civil &amp; Site): (¶1.2; p.389 — Verified; section number not in the manual, see Issues)</t>
  </si>
  <si>
    <t xml:space="preserve">SUB 31 23 33-01</t>
  </si>
  <si>
    <t xml:space="preserve">Submittals: disposal sites, gradation tests and proctors for imported material, geotextile cut sheets, and a traffic control plan per WSDOT 1-10</t>
  </si>
  <si>
    <t xml:space="preserve">31 23 33</t>
  </si>
  <si>
    <t xml:space="preserve">C7.1 (Det. 6); C7.4 (Det. 2, Note I); G0.3 (Note 7)</t>
  </si>
  <si>
    <t xml:space="preserve">PROPOSED-Tracer wire and locater boxes; PROPOSED-Temporary shoring and trench safety systems</t>
  </si>
  <si>
    <t xml:space="preserve">1; 2</t>
  </si>
  <si>
    <t xml:space="preserve">Project_Wiki.md note 31 23 33 (Civil &amp; Site): (¶1.05 C, ¶1.06; p.394 — Verified)</t>
  </si>
  <si>
    <t xml:space="preserve">SUB 31 32 11-01</t>
  </si>
  <si>
    <t xml:space="preserve">Submittals: geotextile for silt fence, compost for compost berm, inlet protection products, barrier fence, track clean plates and any other erosion control product; the installer must be a specialist</t>
  </si>
  <si>
    <t xml:space="preserve">31 32 11</t>
  </si>
  <si>
    <t xml:space="preserve">C0.4 (Det. 1); C0.3; C0.4 (Det. 2); C0.2; C0.4 (Det. 3); C0.6; C0.4 (Det. 4); C0.4 (Det. 5); C0.4 (Det. 3 note); C0.3 (KN 1)</t>
  </si>
  <si>
    <t xml:space="preserve">PROPOSED-Plastic covering for slopes and stockpiles; PROPOSED-Catch basin inserts; PROPOSED-Filter fabric fence; PROPOSED-Stabilized construction entrance; PROPOSED-Geotextile encased check dams; PROPOSED-Compost berm; PROPOSED-Orange barrier fence; PROPOSED-Emergency access areas</t>
  </si>
  <si>
    <t xml:space="preserve">4</t>
  </si>
  <si>
    <t xml:space="preserve">Project_Wiki.md note 31 32 11 (Civil &amp; Site): (¶1.04–1.05; p.398 — Verified)</t>
  </si>
  <si>
    <t xml:space="preserve">SUB 31 40 00-01</t>
  </si>
  <si>
    <t xml:space="preserve">Submittals: shoring layout and design drawings, calculations and backup data, plus a settlement monitoring and contingency plan for excavations deeper than 10 ft</t>
  </si>
  <si>
    <t xml:space="preserve">31 40 00</t>
  </si>
  <si>
    <t xml:space="preserve">G0.3 (Note 7)</t>
  </si>
  <si>
    <t xml:space="preserve">PROPOSED-Temporary shoring and trench safety systems</t>
  </si>
  <si>
    <t xml:space="preserve">2</t>
  </si>
  <si>
    <t xml:space="preserve">Project_Wiki.md note 31 40 00 (Civil &amp; Site): (¶1.04; p.401 — Verified)</t>
  </si>
  <si>
    <t xml:space="preserve">SUB 32 12 16-01</t>
  </si>
  <si>
    <t xml:space="preserve">HMA is Class 1/2-in PG 58H-22 per WSDOT 5-04.2 at 91% minimum density, commercial classification, with the mix design submitted on WSDOT form 350-042 and verified by WSDOT; lab certificates (sieve analysis, mix design) are due at least 5 days before placement</t>
  </si>
  <si>
    <t xml:space="preserve">Mix design; Certificates / reports</t>
  </si>
  <si>
    <t xml:space="preserve">5 days before placement (¶1; before placement (¶1</t>
  </si>
  <si>
    <t xml:space="preserve">32 12 16</t>
  </si>
  <si>
    <t xml:space="preserve">C7.3 (Det. 3); C7.4 (Det. 2); C2.6; C2.1 (KN 5)</t>
  </si>
  <si>
    <t xml:space="preserve">PROPOSED-HMA pavement; PROPOSED-Asphalt wedge curb</t>
  </si>
  <si>
    <t xml:space="preserve">Project_Wiki.md note 32 12 16 (Civil &amp; Site): (¶1.02, ¶2.01; p.404 — Verified)</t>
  </si>
  <si>
    <t xml:space="preserve">SUB 32 12 16-02</t>
  </si>
  <si>
    <t xml:space="preserve">Asphalt is placed in 2-in lifts, matching existing thickness or the plan repair section, whichever is thicker; no material transfer devices; joints sealed with hot-poured sealant</t>
  </si>
  <si>
    <t xml:space="preserve">Project_Wiki.md note 32 12 16 (Civil &amp; Site): (¶3.02, ¶3.04; p.405 — Verified)</t>
  </si>
  <si>
    <t xml:space="preserve">SUB 32 32 23-01</t>
  </si>
  <si>
    <t xml:space="preserve">The Contractor designs, furnishes and builds the gravity block retaining wall; construction drawings and design calculations must be stamped by a Washington PE, with a manufacturer's certification before work starts</t>
  </si>
  <si>
    <t xml:space="preserve">Calculations / sealed design; Certificates / reports</t>
  </si>
  <si>
    <t xml:space="preserve">32 32 23</t>
  </si>
  <si>
    <t xml:space="preserve">C2.5; C0.2; C0.5; C2.1</t>
  </si>
  <si>
    <t xml:space="preserve">PROPOSED-Block retaining wall</t>
  </si>
  <si>
    <t xml:space="preserve">Project_Wiki.md note 32 32 23 (Civil &amp; Site): (¶1.01, ¶1.04; main spec pp.408–409 — Verified)</t>
  </si>
  <si>
    <t xml:space="preserve">SUB 33 05 00-01</t>
  </si>
  <si>
    <t xml:space="preserve">Submittals: field-fabrication data, material certifications, and verification of every existing pipe to be connected (exposed and checked for size, material, elevation, location and service)</t>
  </si>
  <si>
    <t xml:space="preserve">33 05 00</t>
  </si>
  <si>
    <t xml:space="preserve">C1.3 (Add. 4 p.7); C1.6A (Add. 4 p.8); C7.10; C7.1 (Det. 1); C7.5 (Det. 1); C1.4; C7.3 (Det. 2)</t>
  </si>
  <si>
    <t xml:space="preserve">Pipe ID 2; Pipe ID 3; Pipe ID 4; Pipe ID 5; Pipe ID 6; Pipe ID 7; Pipe ID 8; Pipe ID 9; Pipe ID 10; Pipe ID 11; Pipe ID 12; Pipe ID 13; Pipe ID 14; Pipe ID 15; Pipe ID 16; Pipe ID 17; Pipe ID 18; Pipe ID 19; Pipe ID 20; Pipe ID 21; Pipe ID 22; Pipe ID 23; Pipe ID 24; Pipe ID 25; Pipe ID 26; Buried Valve ID 1; Buried Valve ID 2; Buried Valve ID 3; Buried Valve ID 4; Buried Valve ID 5; Buried Valve ID 6; Buried Valve ID 7; Buried Valve ID 8; Buried Valve ID 9; Buried Valve ID 10; Buried Valve ID 11; Buried Valve ID 12; Buried Valve ID 13</t>
  </si>
  <si>
    <t xml:space="preserve">Project_Wiki.md note 33 05 00 (Civil &amp; Site): (¶1.04; p.414 — Verified)</t>
  </si>
  <si>
    <t xml:space="preserve">Requirement sentence taken verbatim from the note; Subtype, Timing, Acceptance and Responsible Party parsed from it by keyword (Merge, Inferred — check against the cited ¶). Linked Ledger rows: 38 (flag Y and section cited; linkage Inferred).</t>
  </si>
  <si>
    <t xml:space="preserve">SUB 33 30 00-01</t>
  </si>
  <si>
    <t xml:space="preserve">General requirements for all piping systems shown on the plans, with trenching per 31 23 33 and submittals 'per Section 01 30 00' (not in the manual): field-fabrication data, shop laying drawings, pipe support drawings, material certifications and field welding procedures</t>
  </si>
  <si>
    <t xml:space="preserve">Shop drawings; Certificates / reports; O&amp;M manual; Plan / procedure</t>
  </si>
  <si>
    <t xml:space="preserve">33 30 00</t>
  </si>
  <si>
    <t xml:space="preserve">C0.5 (KN 22); C1.3 (Add. 4 p.7); C1.6A (Add. 4 p.8); C7.10; C7.1 (Det. 1); C7.5 (Det. 1); C1.4; C7.3 (Det. 2); C2.2; C7.1 (Det. 5); C7.1 (Det. 6); C7.4 (Det. 2, Note I); C7.5 (Det. 2); C2.3 (plan and profile); C2.1; C2.3; C2.1 (KN 3)</t>
  </si>
  <si>
    <t xml:space="preserve">PROPOSED-Water line relocation at storm drain; Pipe ID 2; Pipe ID 3; Pipe ID 4; Pipe ID 5; Pipe ID 6; Pipe ID 7; Pipe ID 8; Pipe ID 9; Pipe ID 10; Pipe ID 11; Pipe ID 12; Pipe ID 13; Pipe ID 14; Pipe ID 15; Pipe ID 16; Pipe ID 17; Pipe ID 18; Pipe ID 19; Pipe ID 20; Pipe ID 21; Pipe ID 22; Pipe ID 23; Pipe ID 24; Pipe ID 25; Pipe ID 26; Buried Valve ID 1; Buried Valve ID 2; Buried Valve ID 3; Buried Valve ID 4; Buried Valve ID 5; Buried Valve ID 6; Buried Valve ID 7; Buried Valve ID 8; Buried Valve ID 9; Buried Valve ID 10; Buried Valve ID 11; Buried Valve ID 12; Buried Valve ID 13; SD-1 (+7 more)</t>
  </si>
  <si>
    <t xml:space="preserve">Project_Wiki.md note 33 30 00 (Civil &amp; Site): (¶1.01–1.02; main spec pp.420–421 — Verified; see Issues)</t>
  </si>
  <si>
    <t xml:space="preserve">Requirement sentence taken verbatim from the note; Subtype, Timing, Acceptance and Responsible Party parsed from it by keyword (Merge, Inferred — check against the cited ¶). Linked Ledger rows: 47 (flag Y and section cited; linkage Inferred).</t>
  </si>
  <si>
    <t xml:space="preserve">SUB 33 30 00-02</t>
  </si>
  <si>
    <t xml:space="preserve">All new piping gets #12 AWG steel-core tracer wire (Copperhead 1230-HS or equal) tied at 10-ft intervals, color-coded green for sewer, purple for non-potable and blue for potable, with Copperhead LD14/CD14/HS14 boxes whose locations are submitted before construction</t>
  </si>
  <si>
    <t xml:space="preserve">before construction (¶3</t>
  </si>
  <si>
    <t xml:space="preserve">Project_Wiki.md note 33 30 00 (Civil &amp; Site): (¶3.03; pp.426–427 — Verified; conflicts with C7.1 and C7.4, see Issues)</t>
  </si>
  <si>
    <t xml:space="preserve">SUB 33 32 00-01</t>
  </si>
  <si>
    <t xml:space="preserve">Submittals: field-fabrication data, material certifications, submittals for all pipe and appurtenances (fittings, valves, valve boxes, services), and a water main shut-down / temporary bypass plan with customer notices (one week for construction, 48 hours for shutdowns)</t>
  </si>
  <si>
    <t xml:space="preserve">33 32 00</t>
  </si>
  <si>
    <t xml:space="preserve">C0.5 (KN 22); C1.3 (Add. 4 p.7)</t>
  </si>
  <si>
    <t xml:space="preserve">PROPOSED-Water line relocation at storm drain; Pipe ID 12</t>
  </si>
  <si>
    <t xml:space="preserve">Project_Wiki.md note 33 32 00 (Civil &amp; Site): (¶1.03; pp.436–437 — Verified)</t>
  </si>
  <si>
    <t xml:space="preserve">SUB 33 33 00-01</t>
  </si>
  <si>
    <t xml:space="preserve">Covers HDPE pipe installation; fusion operator qualifications go to the Engineer for approval before pipe is ordered</t>
  </si>
  <si>
    <t xml:space="preserve">Qualifications</t>
  </si>
  <si>
    <t xml:space="preserve">33 33 00</t>
  </si>
  <si>
    <t xml:space="preserve">C0.5 (KN 1, 8); C0.7 (cited); C1.3 (Add. 4 p.7); C1.6A (Add. 4 p.8)</t>
  </si>
  <si>
    <t xml:space="preserve">PROPOSED-Interim 8in HDPE effluent pipe; Pipe ID 10; Pipe ID 23</t>
  </si>
  <si>
    <t xml:space="preserve">Project_Wiki.md note 33 33 00 (Civil &amp; Site): (¶1.01–1.02; main spec p.444 — Verified)</t>
  </si>
  <si>
    <t xml:space="preserve">SUB 33 33 00-02</t>
  </si>
  <si>
    <t xml:space="preserve">Operators must be manufacturer-trained with 5,000 LF of HDPE fusion experience, a comparable project in the last three years, and current 49 CFR 192.283/192.285/192.287 certifications for the machine used</t>
  </si>
  <si>
    <t xml:space="preserve">Certificates / reports; Qualifications</t>
  </si>
  <si>
    <t xml:space="preserve">Project_Wiki.md note 33 33 00 (Civil &amp; Site): (¶1.03; p.444 — Verified)</t>
  </si>
  <si>
    <t xml:space="preserve">SUB 33 33 00-03</t>
  </si>
  <si>
    <t xml:space="preserve">Joints are butt-fused above ground to the manufacturer's procedure; all joints are visually inspected and data-logged (logs submitted), and 3 joints or 3%, whichever is greater, are destructively tested</t>
  </si>
  <si>
    <t xml:space="preserve">Project_Wiki.md note 33 33 00 (Civil &amp; Site): (¶3.03; p.446 — Verified)</t>
  </si>
  <si>
    <t xml:space="preserve">SUB 33 41 00-01</t>
  </si>
  <si>
    <t xml:space="preserve">Covers new storm sewer pipe, catch basins, roof drains and retaining wall drainage; submittals are catch basins with frames, grates and lids, and storm and roof drain piping and accessories</t>
  </si>
  <si>
    <t xml:space="preserve">33 41 00</t>
  </si>
  <si>
    <t xml:space="preserve">C2.2; C2.1; C2.3; C2.4; C0.3; C2.1 (KN 7); C2.3 (SD-3); C2.3 (plan and profile); C2.1 (KN 3)</t>
  </si>
  <si>
    <t xml:space="preserve">SD-1; PROPOSED-4in roof drain at SD-1; SDCB #5; SDCB #8; SDCB #9; SDCB #7; SDCB #10; SDCB #2; SDCB #3; SDCB #4; SDCB #6; SDCB #1; SD-2; SD-3; PROPOSED-4in roof drain connections (SD-2, SD-3)</t>
  </si>
  <si>
    <t xml:space="preserve">Add. 4 p.2, ¶2.02 — Add. 4 governs</t>
  </si>
  <si>
    <t xml:space="preserve">Project_Wiki.md note 33 41 00 (Civil &amp; Site): (¶1.01, ¶1.03; main spec p.447 — Verified)</t>
  </si>
  <si>
    <t xml:space="preserve">Requirement sentence taken verbatim from the note; Subtype, Timing, Acceptance and Responsible Party parsed from it by keyword (Merge, Inferred — check against the cited ¶). Linked Ledger rows: 15 (flag Y and section cited; linkage Inferred).</t>
  </si>
  <si>
    <t xml:space="preserve">SUB 40 05 71-01</t>
  </si>
  <si>
    <t xml:space="preserve">Basis of design is Waterman TS-2 or equal (¶2.02 p.452); submittals per 01 33 00 are catalog data, fabrication and installation drawings, and O&amp;M information (¶1.02 A p.451); installation follows the manufacturer's instructions and no testing is specified</t>
  </si>
  <si>
    <t xml:space="preserve">Product data; O&amp;M manual</t>
  </si>
  <si>
    <t xml:space="preserve">40 05 71</t>
  </si>
  <si>
    <t xml:space="preserve">G0.6; G0.7; C5.1; C5.3</t>
  </si>
  <si>
    <t xml:space="preserve">PROPOSED-DIGESTER-TELESCOPING-VALVE</t>
  </si>
  <si>
    <t xml:space="preserve">Project_Wiki.md note 40 05 71 (Process &amp; Mechanical): (¶3.01 p.452)</t>
  </si>
  <si>
    <t xml:space="preserve">SUB 41 12 13-01</t>
  </si>
  <si>
    <t xml:space="preserve">Submittals cite "Section 01340" and "Section 01 30 00" and repeat telescoping valve wording (¶1.3 A p.454; Issue 23), plus data sheets and component lists (¶1.3 B); each conveyor is shop assembled and run before shipment</t>
  </si>
  <si>
    <t xml:space="preserve">41 12 13</t>
  </si>
  <si>
    <t xml:space="preserve">C6.1</t>
  </si>
  <si>
    <t xml:space="preserve">PROPOSED-SCREW-CONVEYOR; Receiving Conveyor; Inclined Conveyor</t>
  </si>
  <si>
    <t xml:space="preserve">1; Equipment Alternate C</t>
  </si>
  <si>
    <t xml:space="preserve">Project_Wiki.md note 41 12 13 (Process &amp; Mechanical): (¶3.02 A p.460)</t>
  </si>
  <si>
    <t xml:space="preserve">SUB 43 11 00-01</t>
  </si>
  <si>
    <t xml:space="preserve">Each blower is slip tested and run 30 minutes at maximum speed and differential, each package runs 15 minutes before shipment with a conformance certificate, the blower warranty is 60 months from shipment (other components 1 year from substantial completion), and submittals per 01 33 00 are catalog data, fabrication and installation drawings, and O&amp;M information</t>
  </si>
  <si>
    <t xml:space="preserve">43 11 00</t>
  </si>
  <si>
    <t xml:space="preserve">C6.3; C6.4; C6.5</t>
  </si>
  <si>
    <t xml:space="preserve">ESWD WWTP – Aerobic Digester Blower; ESWD WWTP – Biological Treatment System Blowers (Trains 1 – 3)</t>
  </si>
  <si>
    <t xml:space="preserve">Project_Wiki.md note 43 11 00 (Process &amp; Mechanical): (¶2.01 L–N pp.467–468; ¶1.02 A p.462)</t>
  </si>
  <si>
    <t xml:space="preserve">SUB 43 22 10-01</t>
  </si>
  <si>
    <t xml:space="preserve">Submittals per 01 33 00 are catalog data, fabrication and installation drawings and O&amp;M information (¶1.02 A p.472); one set of special tools is furnished (¶1.03 A); installation includes verifying pump rotation, and the suppliers train the Owner</t>
  </si>
  <si>
    <t xml:space="preserve">Contractor (submits per 01 33 00 — Inferred); also named: Owner; Manufacturer / supplier</t>
  </si>
  <si>
    <t xml:space="preserve">43 22 10</t>
  </si>
  <si>
    <t xml:space="preserve">G0.7; C4.2; C4.3; C6.4</t>
  </si>
  <si>
    <t xml:space="preserve">PROPOSED-2W-FLOW-METER; PROPOSED-2W-PUMP-STATION-WET-WELL; PROPOSED-2W-Pump-Station-Wet-Well; PROPOSED-2W-PUMPS; PROPOSED-2W-DIAPHRAGM-TANKS; PROPOSED-YARD-HYDRANTS; PROPOSED-2W-AIR-GAP-ENCLOSURE; PROPOSED-EYE-WASH-STATIONS</t>
  </si>
  <si>
    <t xml:space="preserve">Project_Wiki.md note 43 22 10 (Process &amp; Mechanical): (¶3.01–3.02 p.475)</t>
  </si>
  <si>
    <t xml:space="preserve">Requirement sentence taken verbatim from the note; Subtype, Timing, Acceptance and Responsible Party parsed from it by keyword (Merge, Inferred — check against the cited ¶). Linked Ledger rows: 7 (flag Y and section cited; linkage Inferred).</t>
  </si>
  <si>
    <t xml:space="preserve">SUB 45 05 00-01</t>
  </si>
  <si>
    <t xml:space="preserve">Covers furnishing and installing the valves in the plant piping systems, complete with operators, with submittals per 01 33 00 and NSF 61 materials for potable water</t>
  </si>
  <si>
    <t xml:space="preserve">45 05 00</t>
  </si>
  <si>
    <t xml:space="preserve">C4.1; C6.3; C6.5</t>
  </si>
  <si>
    <t xml:space="preserve">PROPOSED-IPS-CHECK-VALVES; PROPOSED-IPS-GATE-VALVES; PROPOSED-AIR-BUTTERFLY-VALVES</t>
  </si>
  <si>
    <t xml:space="preserve">Project_Wiki.md note 45 05 00 (Process &amp; Mechanical): (¶1.01–2.01 p.476)</t>
  </si>
  <si>
    <t xml:space="preserve">SUB 45 05 00-02</t>
  </si>
  <si>
    <t xml:space="preserve">Every shut-off or control valve gets a 1-1/2" stainless tag with its ID "as listed on the valve schedule", a submitted valve directory, and a label marker in a concrete pad per the plans and valve schedule (¶2.015–2.016 p.479); no valve schedule is in the P&amp;M stack</t>
  </si>
  <si>
    <t xml:space="preserve">Project_Wiki.md note 45 05 00 (Process &amp; Mechanical): (cross-lane item)</t>
  </si>
  <si>
    <t xml:space="preserve">SUB 45 05 00-03</t>
  </si>
  <si>
    <t xml:space="preserve">Installation sets stem orientation by pipe centerline height (4'-6") and requires watertight joints, and valves are tested with the adjacent pipeline, with a manufacturer affidavit on request</t>
  </si>
  <si>
    <t xml:space="preserve">Project_Wiki.md note 45 05 00 (Process &amp; Mechanical): (¶3.01–3.02 pp.479–480)</t>
  </si>
  <si>
    <t xml:space="preserve">SUB 46 33 33-01</t>
  </si>
  <si>
    <t xml:space="preserve">The materials list names Fournier Industries (frame, brackets), Watson-Marlow (dosing pump), Koflo (static mixer), Watts (regulator), Festo (proportional valve), Hoffman (10×10×8 junction box) and McMaster (valves, strainer, gauges, hose), with one metering pump head kit as the spare (items 6.0–7.0 pp.482–483); p.484 carries no text. Submittals cite "Section 01340" with telescoping-valve wording (¶1.02 A p.481; Issue 29), installation follows the manufacturer's instructions with no testing specified (¶3.01 p.485), and the liquid system conflicts with C6.1's "dry polymer mix unit" label</t>
  </si>
  <si>
    <t xml:space="preserve">46 33 33</t>
  </si>
  <si>
    <t xml:space="preserve">PROPOSED-POLYMER-SYSTEM; PROPOSED-RFP-POLYMER-FLOWMETER</t>
  </si>
  <si>
    <t xml:space="preserve">Project_Wiki.md note 46 33 33 (Process &amp; Mechanical): (Issue 16)</t>
  </si>
  <si>
    <t xml:space="preserve">SUB 46 41 23-01</t>
  </si>
  <si>
    <t xml:space="preserve">Mixers are at most 5 HP nameplate, 460 V 3-phase, with 316 Ti stainless propeller (EverClean blades), shaft, housing and frame, a duplex stainless casing cover, silicon carbide double mechanical seals in an oil chamber, a plug-and-receptacle power cable with resin-sealed entry, three PTC thermal switches and a moisture detector, bearings over 100,000 hours B10, maintenance intervals of at least 16,000 hours or 2 years, and 10 starts per hour</t>
  </si>
  <si>
    <t xml:space="preserve">46 41 23</t>
  </si>
  <si>
    <t xml:space="preserve">G0.7; C3.3; C3.4</t>
  </si>
  <si>
    <t xml:space="preserve">PROPOSED-TRAIN-3-ANOXIC-MIXERS; PROPOSED-TRAIN-3-DAVIT-CRANES</t>
  </si>
  <si>
    <t xml:space="preserve">Project_Wiki.md note 46 41 23 (Process &amp; Mechanical): (¶2.01 A–B, F pp.486–489)</t>
  </si>
  <si>
    <t xml:space="preserve">SUB 46 41 23-02</t>
  </si>
  <si>
    <t xml:space="preserve">Controls follow 26 80 00 ¶3.09 B (¶2.02 p.489); submittals per 01 33 00 are catalog data with wiring diagrams and O&amp;M information (¶1.02 A p.486); the contractor gives a 1-year parts-and-labor extended warranty (¶1.03 A); three sets of wear parts are furnished (¶2.03); and testing covers factory checks (balance, leakage, electrical, insulation, no-load rotation), field testing after installation, 2 days of start-up and 1 day of training</t>
  </si>
  <si>
    <t xml:space="preserve">Shop drawings; Product data; O&amp;M manual; Warranty / guarantee</t>
  </si>
  <si>
    <t xml:space="preserve">Project_Wiki.md note 46 41 23 (Process &amp; Mechanical): (¶2.04 p.489; ¶3.01 B–3.02 p.490)</t>
  </si>
  <si>
    <t xml:space="preserve">SUB 46 51 21-01</t>
  </si>
  <si>
    <t xml:space="preserve">Submittals per 01 33 00 are catalog data, fabrication and installation drawings coordinated with piping connections, and O&amp;M information (¶1.02 A p.491); the contractor supplies tees, supports and fittings, installation follows the manufacturer's instructions, and no testing is specified</t>
  </si>
  <si>
    <t xml:space="preserve">46 51 21</t>
  </si>
  <si>
    <t xml:space="preserve">G0.7; C5.1; C5.2; C5.3</t>
  </si>
  <si>
    <t xml:space="preserve">PROPOSED-DIGESTER-DIFFUSERS</t>
  </si>
  <si>
    <t xml:space="preserve">Project_Wiki.md note 46 51 21 (Process &amp; Mechanical): (¶3.01 p.491)</t>
  </si>
  <si>
    <t xml:space="preserve">SUB 46 53 00-01</t>
  </si>
  <si>
    <t xml:space="preserve">Specifies Train 3 ("3rd Train") as a single bullseye multistage anoxic/aerobic activated sludge system, basis of design Smith &amp; Loveless Model R Oxigest, with the in-basin aeration system, mixers, clarifier equipment, instrumentation and controls supplied and guaranteed by one manufacturer (¶1.01 A p.492; ¶1.03 A p.493); this section's valves, equipment, materials and controls supersede other specifications (¶1.03 F p.493), and alternate systems are bid as an Equipment Alternate with a submittal package</t>
  </si>
  <si>
    <t xml:space="preserve">46 53 00</t>
  </si>
  <si>
    <t xml:space="preserve">C3.3; E3.1; E7.6; E6.3; G0.5; G0.6; G0.7; C3.4; C3.5</t>
  </si>
  <si>
    <t xml:space="preserve">DO #1; DO-1; DO #2; DO-2; PROPOSED-TRAIN-3-TREATMENT-SYSTEM; PROPOSED-TRAIN-3-INNER-WALLS; PROPOSED-TRAIN-3-CLARIFIER-MECHANISM; PROPOSED-TRAIN-3-WALKWAYS-AND-LADDER; PROPOSED-TRAIN-3-AERATION-DIFFUSERS; PROPOSED-TRAIN-3-ANOXIC-MIXERS; PROPOSED-TRAIN-3-RAS-AIRLIFT; PROPOSED-TRAIN-3-MLR-AIRLIFT; PROPOSED-CARBON-FEED-PUMPS; PROPOSED-TRAIN-3-CONTROL-PANEL</t>
  </si>
  <si>
    <t xml:space="preserve">Project_Wiki.md note 46 53 00 (Process &amp; Mechanical): (¶1.03 E, ¶1.04 p.493)</t>
  </si>
  <si>
    <t xml:space="preserve">Requirement sentence taken verbatim from the note; Subtype, Timing, Acceptance and Responsible Party parsed from it by keyword (Merge, Inferred — check against the cited ¶). Linked Ledger rows: 12 (flag Y and section cited; linkage Inferred).</t>
  </si>
  <si>
    <t xml:space="preserve">SUB 46 53 00-02</t>
  </si>
  <si>
    <t xml:space="preserve">Design influent is 63,333 gpd average to 178 gpm peak hour, with effluent BOD5 and TSS 30 mg/L and TIN 8 mg/L (¶1.02 p.492); the supplier gives a 2-year process performance guarantee with the equipment submittal and a 12-month mechanical guarantee from Substantial Completion</t>
  </si>
  <si>
    <t xml:space="preserve">with the equipment submittal</t>
  </si>
  <si>
    <t xml:space="preserve">Project_Wiki.md note 46 53 00 (Process &amp; Mechanical): (¶1.05 A, C p.494)</t>
  </si>
  <si>
    <t xml:space="preserve">SUB 46 66 00-01</t>
  </si>
  <si>
    <t xml:space="preserve">Two open-channel, gravity-flow, low-pressure high-intensity UV systems, each able to disinfect alone at max day 0.46 MGD, max month 0.22 MGD and minimum 0.03 MGD with TSS up to 30 mg/L, 33–85°F and UVT of at least 50% at 253.7 nm, to 200 FC/100 mL monthly and 400 FC/100 mL weekly geometric means, guaranteed regardless of influent count</t>
  </si>
  <si>
    <t xml:space="preserve">weekly; monthly</t>
  </si>
  <si>
    <t xml:space="preserve">46 66 00</t>
  </si>
  <si>
    <t xml:space="preserve">G0.5; G0.6; G0.7; C5.1; C5.2; C5.3; C5.4</t>
  </si>
  <si>
    <t xml:space="preserve">PROPOSED-UV-SYSTEM; PROPOSED-UV-CONTROL-PANELS; PROPOSED-UV-INTENSITY-SENSORS</t>
  </si>
  <si>
    <t xml:space="preserve">Project_Wiki.md note 46 66 00 (Process &amp; Mechanical): (¶1.01 A p.502; design criteria pp.502–503)</t>
  </si>
  <si>
    <t xml:space="preserve">SUB 46 66 00-02</t>
  </si>
  <si>
    <t xml:space="preserve">Arrangement: 4 lamps per module, 6 modules per bank, 2 banks, 48 lamps (12 modules), in stainless channels furnished with the system, delivering at least 30,000 µWs/cm² (30 mJ/cm²) at 50% UVT after sleeve, fouling and aging reductions, proven by an independent bioassay to EPA/625/1-86/021, for outdoor installation without shelter (pp.503–504); basis is Trojan UV3000 PTP (base bid), with alternates bid as an Equipment Alternate and needing 500 North American installations, a bioassay and a 5-year guarantee</t>
  </si>
  <si>
    <t xml:space="preserve">Project_Wiki.md note 46 66 00 (Process &amp; Mechanical): (¶1.03 A p.502; Part 2 A p.504)</t>
  </si>
  <si>
    <t xml:space="preserve">SUB 46 66 00-03</t>
  </si>
  <si>
    <t xml:space="preserve">Construction: 316 SS or quartz in contact with effluent; modules about 68"×20"×2.8", 38 lb, Type 6P, with electronic ballasts, 10-ft 120 V plug cords and LED lamp status; low-pressure slimline hot-cathode lamps warranted 12,000 hours non-prorated; Type 214 quartz sleeves; per-unit effluent channel with drain, module rack and downstream level control weir holding about 12" depth within 1.5" from zero to peak flow; two inlet and two outlet 304 SS transition boxes; a 304 SS maintenance rack; maximum draw 2,100 W at 120 V</t>
  </si>
  <si>
    <t xml:space="preserve">Project_Wiki.md note 46 66 00 (Process &amp; Mechanical): (pp.505–507)</t>
  </si>
  <si>
    <t xml:space="preserve">SUB 46 66 00-04</t>
  </si>
  <si>
    <t xml:space="preserve">Monitoring: two submersible UV intensity sensors (one per bank, 10-year warranty), intensity and lamp-age displays and a low-UV dry contact in a fiberglass Type 4X wall panel less than 12 ft from the module LED end, plus GFCI duplex PDRs by the UV manufacturer, with the contractor supplying a 120 V circuit of about 19.2 A and a separate 120 V 5 A monitoring supply</t>
  </si>
  <si>
    <t xml:space="preserve">Project_Wiki.md note 46 66 00 (Process &amp; Mechanical): (pp.506–507)</t>
  </si>
  <si>
    <t xml:space="preserve">SUB 46 66 00-05</t>
  </si>
  <si>
    <t xml:space="preserve">Submittals include shop drawings, electrical schematics, hydraulic calculations, bioassay and dose calculations and a lifetime performance guarantee (¶1.04 pp.503–504); equipment warranty is 12 months from substantial completion (¶1.05 p.504); spares are 4 lamps, 4 sleeves, 4 seals and an operator kit per bank (p.507); and the manufacturer provides 2 days of start-up and field testing and 1 day of training</t>
  </si>
  <si>
    <t xml:space="preserve">Shop drawings; Calculations / sealed design; Warranty / guarantee</t>
  </si>
  <si>
    <t xml:space="preserve">Project_Wiki.md note 46 66 00 (Process &amp; Mechanical): (¶3.02 p.508)</t>
  </si>
  <si>
    <t xml:space="preserve">SUB 46 66 10-01</t>
  </si>
  <si>
    <t xml:space="preserve">Submittals per 01 33 00 are catalog data with wiring diagrams and O&amp;M information (¶1.02 A); the contractor gives a 1-year parts-and-labor extended warranty (¶1.03 A); and the manufacturer provides installation certification, 1 day of start-up and field testing and 1 day of operator training</t>
  </si>
  <si>
    <t xml:space="preserve">Shop drawings; Product data; Certificates / reports; O&amp;M manual; Warranty / guarantee</t>
  </si>
  <si>
    <t xml:space="preserve">46 66 10</t>
  </si>
  <si>
    <t xml:space="preserve">PROPOSED-UV-TRANSMISSIVITY-ANALYZER</t>
  </si>
  <si>
    <t xml:space="preserve">Project_Wiki.md note 46 66 10 (Process &amp; Mechanical): (¶3.01)</t>
  </si>
  <si>
    <t xml:space="preserve">SUB 46 76 26-01</t>
  </si>
  <si>
    <t xml:space="preserve">Submittals cover certified shop and erection drawings, electrical schematics and I/O diagrams, bills of material, spare parts lists and a detailed O&amp;M manual (¶5.0–5.2 pp.527–530); the warranty is 1 year non-prorated from substantial completion (¶6.1 pp.530–531); there is no field start-up, field testing or training paragraph (Issue 37); and ¶1.1 cites "Section 22 13 16" for both the screw conveyor and the sludge pump</t>
  </si>
  <si>
    <t xml:space="preserve">Certificates / reports; O&amp;M manual; Warranty / guarantee</t>
  </si>
  <si>
    <t xml:space="preserve">46 76 26</t>
  </si>
  <si>
    <t xml:space="preserve">G0.5; C6.2; G0.6; G0.7; C6.1</t>
  </si>
  <si>
    <t xml:space="preserve">PROPOSED-DIGESTED-SLUDGE-FLOW-METER; PROPOSED-ROTARY-FAN-PRESS; PROPOSED-RFP-FLOCCULATOR; PROPOSED-RFP-SLUDGE-MANIFOLD; PROPOSED-RFP-CAKE-CHUTE; PROPOSED-RFP-AIR-COMPRESSOR; PROPOSED-RFP-CONTROL-PANEL; PROPOSED-POLYMER-SYSTEM; PROPOSED-SCREW-CONVEYOR; PROPOSED-DIGESTED-SLUDGE-PUMP; Receiving Conveyor; Inclined Conveyor; PROPOSED-RFP-POLYMER-FLOWMETER; PROPOSED-RFP-INLET-PRESSURE-TRANSMITTER</t>
  </si>
  <si>
    <t xml:space="preserve">1; 6; Equipment Alternate C</t>
  </si>
  <si>
    <t xml:space="preserve">Project_Wiki.md note 46 76 26 (Process &amp; Mechanical): (Issue 35)</t>
  </si>
  <si>
    <t xml:space="preserve">Requirement sentence taken verbatim from the note; Subtype, Timing, Acceptance and Responsible Party parsed from it by keyword (Merge, Inferred — check against the cited ¶). Linked Ledger rows: 14 (flag Y and section cited; linkage Inferred).</t>
  </si>
  <si>
    <t xml:space="preserve">SUB Appendix I-01</t>
  </si>
  <si>
    <t xml:space="preserve">Lists six CDBG documents: Attachment 7-A (bound as Section 00 54 00, which carries the "Attachment 7-A(1)" label), 7-B Section 3 Labor Hours Summary Form, 7-C Contract and Subcontract Activity (HUD-2516), 8-B Notification of Contract Award and Start of Construction, 8-C Labor Standards Compliance Report, and 8-D Authorization to Sign Certified Payrolls</t>
  </si>
  <si>
    <t xml:space="preserve">Appendix I</t>
  </si>
  <si>
    <t xml:space="preserve">Project_Wiki.md note Appendix I (Contract &amp; General): (p.640; 00 54 00 p.66; Verified)</t>
  </si>
  <si>
    <t xml:space="preserve">SUB Appendix I-02</t>
  </si>
  <si>
    <t xml:space="preserve">8-C (June 2021) reports restitution of $10 to $999.99, larger amounts going to the CDBG project manager; 8-D must be signed before, and submitted with, the first certified payroll</t>
  </si>
  <si>
    <t xml:space="preserve">Project_Wiki.md note Appendix I (Contract &amp; General): (pp.644–645; Verified)</t>
  </si>
  <si>
    <t xml:space="preserve">SUB 01 45 00-00</t>
  </si>
  <si>
    <t xml:space="preserve">Requirement flagged on 5 Ledger row(s) citing 01 45 00; the Wiki note does not summarize it</t>
  </si>
  <si>
    <t xml:space="preserve">01 45 00</t>
  </si>
  <si>
    <t xml:space="preserve">C4.2; C6.4; C6.5; A1.1; A1.2; A1.3; S1.1; S2.3</t>
  </si>
  <si>
    <t xml:space="preserve">PROPOSED-2W-PUMP-STATION-WET-WELL; PROPOSED-2W-Pump-Station-Wet-Well; PROPOSED-BLOWER-BUILDING; PROPOSED-Blower-Building; PROPOSED-Sludge-Pumps; PROPOSED-Submersible-Pump-Equipment; PROPOSED-Train-3-Biological-Treatment-Equipment</t>
  </si>
  <si>
    <t xml:space="preserve">1; 18 — Unresolved (see 04); 19; Equipment Alternate A; Equipment Alternate B</t>
  </si>
  <si>
    <t xml:space="preserve">Process &amp; Mechanical; Contract &amp; General; Process &amp; Mechanical; Structural &amp; Building; Contract &amp; General; Contract &amp; General</t>
  </si>
  <si>
    <t xml:space="preserve">Ledger evidence: flag only — no paragraph cited in the rows</t>
  </si>
  <si>
    <t xml:space="preserve">Gap row: Ledger says a requirement exists but the Wiki note carries no requirement sentence. Needed: the section's requirement paragraphs captured as Requirements rows at crawl time.</t>
  </si>
  <si>
    <t xml:space="preserve">SUB 01 50 00-00</t>
  </si>
  <si>
    <t xml:space="preserve">Requirement flagged on 2 Ledger row(s) citing 01 50 00; the Wiki note does not summarize it</t>
  </si>
  <si>
    <t xml:space="preserve">01 50 00</t>
  </si>
  <si>
    <t xml:space="preserve">PROPOSED-2W-PUMP-STATION-WET-WELL; PROPOSED-2W-Pump-Station-Wet-Well; PROPOSED-Bypass-Pumping-System</t>
  </si>
  <si>
    <t xml:space="preserve">Process &amp; Mechanical; Contract &amp; General; Contract &amp; General</t>
  </si>
  <si>
    <t xml:space="preserve">SUB 08 10 00-00</t>
  </si>
  <si>
    <t xml:space="preserve">Requirement flagged on 3 Ledger row(s) citing 08 10 00; the Wiki note does not summarize it</t>
  </si>
  <si>
    <t xml:space="preserve">08 10 00</t>
  </si>
  <si>
    <t xml:space="preserve">101A; 101B; 101C</t>
  </si>
  <si>
    <t xml:space="preserve">SUB 26 80 00-00</t>
  </si>
  <si>
    <t xml:space="preserve">Requirement flagged on 30 Ledger row(s) citing 26 80 00; the Wiki note does not summarize it</t>
  </si>
  <si>
    <t xml:space="preserve">26 80 00</t>
  </si>
  <si>
    <t xml:space="preserve">G0.5; G0.7; E4.1; E6.3; E7.0; E8.1; E10.2; C3.3; E3.1; E7.6; E2.1; E2.2; E6.2; E7.1; E7.2; E7.3; E7.4; E7.5; E7.7; A1.1; E0.3; E4.2; E8.3; E10.1; E8.5 (+8 more)</t>
  </si>
  <si>
    <t xml:space="preserve">PROPOSED-PLANT-DRAIN-FLOW-METER; PROPOSED-Plant-Drain-Flow-Meter; DO #1; DO-1; DO #2; DO-2; MCP; PROPOSED-Blower-Building-Smoke-Heat-Detector; PROPOSED-Blower-Building-Door-Intrusion-Switch; PROPOSED-2W-Pressure-Transducer; PROPOSED-SCADA-Computer-System; F1 (Influent Pump Station); F2 (Influent Pump Station); F3 (Influent Pump Station); F4 (Influent Pump Station); LT (Influent Pump Station); IPS; PROPOSED-Influent-Flow-Meter; PROPOSED-Plant-2-Flow-Meter; PROPOSED-Plant-3-Flow-Meter; PROPOSED-WAS-Dewatering-Flow-Meter; PROPOSED-Effluent-Flow-Meter; PROPOSED-Effluent-Flow-Meter-Transmitter-Panel; PROPOSED-2W-Flow-Meter; PROPOSED-Treatment-Building-Ventilation-Control-Panel; PROPOSED-Methane-Sensor; PROPOSED-H2S-Sensor; PROPOSED-Gas-Alarm-Light-and-Horn; LSH-111; F2 (2W Pump Station); F3 (2W Pump Station); LSL-111; PROPOSED-Digester-Level-Transducer</t>
  </si>
  <si>
    <t xml:space="preserve">Add. 4 p.2, ¶2.04 D — Add. 4 governs</t>
  </si>
  <si>
    <t xml:space="preserve">Process &amp; Mechanical; Electrical &amp; Controls; Electrical &amp; Controls; Structural &amp; Building; Electrical &amp; Controls</t>
  </si>
  <si>
    <t xml:space="preserve">Ledger evidence: Submittal: 26 80 00 ¶1.06 p.356 (hardware submittals before fabrication;</t>
  </si>
  <si>
    <t xml:space="preserve">SUB 33 31 00-00</t>
  </si>
  <si>
    <t xml:space="preserve">Requirement flagged on 23 Ledger row(s) citing 33 31 00; the Wiki note does not summarize it</t>
  </si>
  <si>
    <t xml:space="preserve">33 31 00</t>
  </si>
  <si>
    <t xml:space="preserve">C1.3 (Add. 4 p.7); C1.6A (Add. 4 p.8); C7.10; C7.1 (Det. 1); C7.5 (Det. 1); C7.1 (Det. 5)</t>
  </si>
  <si>
    <t xml:space="preserve">Pipe ID 2; Pipe ID 3; Pipe ID 5; Pipe ID 6; Pipe ID 7; Pipe ID 8; Pipe ID 10; Pipe ID 11; Pipe ID 13; Pipe ID 14; Pipe ID 15; Pipe ID 16; Pipe ID 17; Pipe ID 18; Pipe ID 19; Pipe ID 20; Pipe ID 21; Pipe ID 22; Pipe ID 23; Pipe ID 24; Pipe ID 25; Pipe ID 26; PROPOSED-Gravity sewer cleanouts</t>
  </si>
  <si>
    <t xml:space="preserve">SUB 46 12 13-00</t>
  </si>
  <si>
    <t xml:space="preserve">Requirement flagged on 1 Ledger row(s) citing 46 12 13; the Wiki note does not summarize it — section not in the 02 index</t>
  </si>
  <si>
    <t xml:space="preserve">46 12 13</t>
  </si>
  <si>
    <t xml:space="preserve">PROPOSED-SCREW-CONVEYOR</t>
  </si>
  <si>
    <t xml:space="preserve">ITP G0.3-01</t>
  </si>
  <si>
    <t xml:space="preserve">Inspection</t>
  </si>
  <si>
    <t xml:space="preserve">Survey monuments disturbed by construction need WA DNR permits under WAC 332-120 and replacement by a registered land surveyor at Contractor cost; earthwork, concrete and asphalt repair are to be prioritized in dry-weather months; County inspections (footings, concrete structures, electrical, final) and S1.1 special inspections need 24-hour notice to Owner and Engineer</t>
  </si>
  <si>
    <t xml:space="preserve">Special inspection</t>
  </si>
  <si>
    <t xml:space="preserve">24-hour notice</t>
  </si>
  <si>
    <t xml:space="preserve">Contractor; Owner; Engineer; Special inspector</t>
  </si>
  <si>
    <t xml:space="preserve">G0.3</t>
  </si>
  <si>
    <t xml:space="preserve">PROPOSED-Temporary power generator</t>
  </si>
  <si>
    <t xml:space="preserve">Project_Wiki.md note G0.3 (Civil &amp; Site): (Schedule, Survey Monumentation and Construction Inspections notes; plans_1 p.3, G0.3 — Verified)</t>
  </si>
  <si>
    <t xml:space="preserve">Requirement sentence taken verbatim from the note; Subtype, Timing, Acceptance and Responsible Party parsed from it by keyword (Merge, Inferred — check against the cited ¶). Linked Ledger rows: 1 (flag Y and sheet cited; linkage Inferred).</t>
  </si>
  <si>
    <t xml:space="preserve">ITP G0.6-01</t>
  </si>
  <si>
    <t xml:space="preserve">Test</t>
  </si>
  <si>
    <t xml:space="preserve">Disinfection / bacteriological</t>
  </si>
  <si>
    <t xml:space="preserve">Contractor (01 45 00 ¶1.05.B.1 — Inferred)</t>
  </si>
  <si>
    <t xml:space="preserve">PROPOSED-TRAIN-3-TREATMENT-SYSTEM; PROPOSED-UV-SYSTEM; PROPOSED-ROTARY-FAN-PRESS; PROPOSED-WAS-PUMP; PROPOSED-SWING-SLUDGE-PUMP; PROPOSED-DIGESTED-SLUDGE-PUMP</t>
  </si>
  <si>
    <t xml:space="preserve">ITP G0.7-01</t>
  </si>
  <si>
    <t xml:space="preserve">Start-up</t>
  </si>
  <si>
    <t xml:space="preserve">Start-up design (after Phase I) is ADF 0.10, MMF 0.12, max day 0.30 and peak hour 0.49 MGD; build-out (year 2040, after Phase II — phase numerals read from the image, Verified-Visual) is 0.19, 0.22, 0.46 and 0.77 MGD. The Influent Pump Station has 2 small submersible pumps (120–220 gpm each) and 2 large (320–500 gpm each), firm capacity 535 gpm (0.77 MGD) with one small and one large out of service; electromagnetic flow meters are influent 6" (0–880 gpm), Train #2 and Train #3 8" (0–470 gpm each), effluent 8" (0–940 gpm), plant drain 4" (0–200 gpm) and 2W water 1"</t>
  </si>
  <si>
    <t xml:space="preserve">Start-up / commissioning</t>
  </si>
  <si>
    <t xml:space="preserve">G0.7</t>
  </si>
  <si>
    <t xml:space="preserve">PROPOSED-PLANT-DRAIN-FLOW-METER; PROPOSED-Plant-Drain-Flow-Meter; PROPOSED-TRAIN-3-TREATMENT-SYSTEM; PROPOSED-TRAIN-3-AERATION-DIFFUSERS; PROPOSED-TRAIN-3-ANOXIC-MIXERS; PROPOSED-TRAIN-3-RAS-AIRLIFT; PROPOSED-TRAIN-3-MLR-AIRLIFT; PROPOSED-INFLUENT-PUMPS-SMALL; PROPOSED-INFLUENT-PUMPS-LARGE; PROPOSED-2W-PUMPS; PROPOSED-UV-SYSTEM; PROPOSED-ROTARY-FAN-PRESS; PROPOSED-WAS-PUMP; PROPOSED-SWING-SLUDGE-PUMP; PROPOSED-DIGESTED-SLUDGE-PUMP</t>
  </si>
  <si>
    <t xml:space="preserve">1; 6; 18 — Unresolved (see 04); 19; Equipment Alternate A; Equipment Alternate B; Equipment Alternate C; Equipment Alternate D</t>
  </si>
  <si>
    <t xml:space="preserve">Project_Wiki.md note G0.7 (Process &amp; Mechanical): (0–25 gpm)</t>
  </si>
  <si>
    <t xml:space="preserve">ITP C0.5-01</t>
  </si>
  <si>
    <t xml:space="preserve">Removals follow their replacements: the effluent pipes come out after the interim 8-in HDPE pipe (C0.7) is installed and tested, the sump pump station and its piping after the new plant drain pump station, and the septic tank (SSMH 1285) after the new septic tank and influent pump station, with temporary pumps, piping and basins as needed</t>
  </si>
  <si>
    <t xml:space="preserve">Test / inspection</t>
  </si>
  <si>
    <t xml:space="preserve">C0.5</t>
  </si>
  <si>
    <t xml:space="preserve">PROPOSED-Interim 8in HDPE effluent pipe; PROPOSED-Water line relocation at storm drain; PROPOSED-4in roof drain at SD-1; PROPOSED-Block retaining wall</t>
  </si>
  <si>
    <t xml:space="preserve">Cited — Add. 4 p.1, Clarification 1</t>
  </si>
  <si>
    <t xml:space="preserve">Project_Wiki.md note C0.5 (Civil &amp; Site): (Keyed Notes 1, 3–5, 8, 11–12; plans_2Part-4 p.1, C0.5 — Verified-Visual)</t>
  </si>
  <si>
    <t xml:space="preserve">ITP C0.5-02</t>
  </si>
  <si>
    <t xml:space="preserve">The Contractor keeps the 2-in water service and sump station power live until replacements are tested, protects the storm drain pump station manhole (DMH 1287), potholes storm, power and telecom before new work, relocates existing holding tanks on site per Owner, and sawcuts asphalt pavement</t>
  </si>
  <si>
    <t xml:space="preserve">Contractor; Owner</t>
  </si>
  <si>
    <t xml:space="preserve">Project_Wiki.md note C0.5 (Civil &amp; Site): (Keyed Notes 5–6, 10, 13–15, 25; plans_2Part-4 p.1, C0.5 — Verified-Visual)</t>
  </si>
  <si>
    <t xml:space="preserve">ITP C1.3-01</t>
  </si>
  <si>
    <t xml:space="preserve">Site piping plan with a pipe identification legend giving size, material (DI, Sch. 80 PVC, SS, HDPE) and minimum slope for 21 base pipe IDs: influent, Train 1–3 influent and effluent, UV disinfection effluent and drains, digested sludge, WAS, 2W and potable water, building septic, vault drain, air vents and process air</t>
  </si>
  <si>
    <t xml:space="preserve">C1.3</t>
  </si>
  <si>
    <t xml:space="preserve">Pipe ID 2; Pipe ID 3; Pipe ID 4; Pipe ID 5; Pipe ID 6; Pipe ID 7; Pipe ID 8; Pipe ID 9; Pipe ID 10; Pipe ID 11; Pipe ID 12; Pipe ID 13; Pipe ID 14; Pipe ID 15; Pipe ID 16; Pipe ID 17; Pipe ID 18; Pipe ID 19; Pipe ID 20; Pipe ID 21; Pipe ID 22; Pipe ID 23; Pipe ID 24; Pipe ID 25; Pipe ID 26</t>
  </si>
  <si>
    <t xml:space="preserve">Reissued — Add. 4 p.7 governs</t>
  </si>
  <si>
    <t xml:space="preserve">Project_Wiki.md note C1.3 (Civil &amp; Site): (base plans_3Part-1 p.1 and Add. 4 p.7, C1.3 — Verified)</t>
  </si>
  <si>
    <t xml:space="preserve">Requirement sentence taken verbatim from the note; Subtype, Timing, Acceptance and Responsible Party parsed from it by keyword (Merge, Inferred — check against the cited ¶). Linked Ledger rows: 25 (flag Y and sheet cited; linkage Inferred).</t>
  </si>
  <si>
    <t xml:space="preserve">ITP C1.4-01</t>
  </si>
  <si>
    <t xml:space="preserve">ITP C2.4-01</t>
  </si>
  <si>
    <t xml:space="preserve">Add. 4 adds 33 41 00 ¶2.02 F for the trench drains: Zurn Z886-HD or approved equal, HDPE channels with 0.75% built-in slope and 4-in inside width, heavy-duty steel frames, slotted ductile iron grates bolted after final inspection, Load Class C — Add. 4 governs</t>
  </si>
  <si>
    <t xml:space="preserve">0.75%</t>
  </si>
  <si>
    <t xml:space="preserve">C2.4</t>
  </si>
  <si>
    <t xml:space="preserve">Project_Wiki.md note C2.4 (Civil &amp; Site): (Add. 4 p.2 — Verified)</t>
  </si>
  <si>
    <t xml:space="preserve">ITP C3.1-01</t>
  </si>
  <si>
    <t xml:space="preserve">Construction sequence: install the new splitter box and piping to Trains #1 and #3 without disturbing existing piping and operations; when complete and tested, connect the 8" influent to the new influent pump station and direct flow to Trains #1 and #3; then dewater, abandon and remove existing influent piping conflicts so the Train #2 piping and flow meter vault can be installed. Train #2 downtime is limited to 5 days max</t>
  </si>
  <si>
    <t xml:space="preserve">Project_Wiki.md note C3.1 (Process &amp; Mechanical): (Monday–Friday)</t>
  </si>
  <si>
    <t xml:space="preserve">ITP C4.3-01</t>
  </si>
  <si>
    <t xml:space="preserve">Their 1" SCH 80 PVC manifold on 4 floor pipe supports carries pressure transducer PIT-620 (labeled "EQ# PIT-620"; 0–150 psi per specifications; operating pressure 55–75 psi), a 0–150 psi pressure gage with stainless accessories, a pressure relief valve rated 120 psi or greater (Clayton Mark or equal), a 5/8" faucet for air relief and sampling, Simmons S1704 tank tees or equal, 1" ball valves and a pressure-rated end plug. Notes: fill all piping with clean domestic potable water before starting and testing the 2W system equipment; the contractor coordinates the piping connection style (grooved, flanged, threaded) and performs pressure testing to demonstrate watertight construction; valve handles and hoist chains are not shown. The sheet does not name the room; Add. 4 p.3 (A1.1, A1.2, C6.4 item) adjusts "Bladder Tanks" with the Blower Building layout, taken here to be these tanks</t>
  </si>
  <si>
    <t xml:space="preserve">Field pressure / leakage test</t>
  </si>
  <si>
    <t xml:space="preserve">150 psi per specifications; 75 psi), a 0–150 psi pressure gage with stainl; 120 psi or greater (Clayton Mark or equal), a 5</t>
  </si>
  <si>
    <t xml:space="preserve">Contractor</t>
  </si>
  <si>
    <t xml:space="preserve">C4.3</t>
  </si>
  <si>
    <t xml:space="preserve">PROPOSED-2W-DIAPHRAGM-TANKS</t>
  </si>
  <si>
    <t xml:space="preserve">Project_Wiki.md note C4.3 (Process &amp; Mechanical): (Inferred; checked against C6.4 in batch 4)</t>
  </si>
  <si>
    <t xml:space="preserve">ITP C5.1-01</t>
  </si>
  <si>
    <t xml:space="preserve">1%</t>
  </si>
  <si>
    <t xml:space="preserve">PROPOSED-UV-SYSTEM; PROPOSED-UV-CONTROL-PANELS</t>
  </si>
  <si>
    <t xml:space="preserve">ITP C5.4-01</t>
  </si>
  <si>
    <t xml:space="preserve">Detail 1 shows the Trojan UV disinfection unit: one bank (1A) of "4-64 UV PTP" modules, "6 required / bank" (read at stored resolution; the text layer also carries 6 module label groups), in a steel channel about 13'-7 1/2" long (a 9'-7" module section between 2'-0 3/4" transition boxes, 1'-4" inside channel height) with removable cover plates, module lamp status viewing plates, an access plate with warning label, solid blocking, 2" NPT drains with plugs, a standard 3600K level control weir with a 1" NPT drain plug, and flanged influent and effluent connections drilled to fit 12" DIN, BS and JIS pipe; HWL 21.49 upstream, 21.09 downstream, EL 19.08. Power: a splitter panel within 10 ft of the module power end (120 V, 1-phase, 19.1 A from distribution panel DP, not shown), power distribution receptacles (6.3 A each, from the splitter panel), 10' grounded power cords, and a wall-mounted system monitor within 15 ft of the channel</t>
  </si>
  <si>
    <t xml:space="preserve">within 10 ft of the module power end (120 V; within 15 ft of the channel (120 V</t>
  </si>
  <si>
    <t xml:space="preserve">C5.4</t>
  </si>
  <si>
    <t xml:space="preserve">Project_Wiki.md note C5.4 (Process &amp; Mechanical): (120 V, 5 A from DP)</t>
  </si>
  <si>
    <t xml:space="preserve">ITP C7.1-01</t>
  </si>
  <si>
    <t xml:space="preserve">Tracer wire is required on all new water piping, zip-strapped at 6-ft intervals and continuous, with locater boxes next to every building or structure the pipe enters; the Contractor performs a conductivity/locate test on completion and final box locations go to the Engineer</t>
  </si>
  <si>
    <t xml:space="preserve">Contractor; Engineer</t>
  </si>
  <si>
    <t xml:space="preserve">Pipe ID 22; PROPOSED-Gravity sewer cleanouts</t>
  </si>
  <si>
    <t xml:space="preserve">Project_Wiki.md note C7.1 (Civil &amp; Site): (Detail 6 Notes 1–6; plans_6 p.3, C7.1 — Verified-Visual)</t>
  </si>
  <si>
    <t xml:space="preserve">ITP C7.3-01</t>
  </si>
  <si>
    <t xml:space="preserve">Signs are baked enamel on steel, black on white, field-located by the Owner, for UV Disinfection Chamber (drawn 'DISENFECTION'), Blower Building, Dewatering Facility, Influent Pump Station, Aerobic Digester, Train 1, Train 2, Train 3 and 2W Water System Pump Station</t>
  </si>
  <si>
    <t xml:space="preserve">Owner</t>
  </si>
  <si>
    <t xml:space="preserve">C7.3</t>
  </si>
  <si>
    <t xml:space="preserve">Buried Valve ID 1; Buried Valve ID 2; Buried Valve ID 3; Buried Valve ID 4; Buried Valve ID 5; Buried Valve ID 6; Buried Valve ID 7; Buried Valve ID 8; Buried Valve ID 9; Buried Valve ID 10; Buried Valve ID 11; Buried Valve ID 12; Buried Valve ID 13; PROPOSED-HMA pavement</t>
  </si>
  <si>
    <t xml:space="preserve">Project_Wiki.md note C7.3 (Civil &amp; Site): (Detail 1; plans_6 p.5, C7.3 — Verified-Visual)</t>
  </si>
  <si>
    <t xml:space="preserve">ITP S1.1-01</t>
  </si>
  <si>
    <t xml:space="preserve">Structural steel follows AISC 303-16 with A992 W/WT, A500 Gr B HSS, A53 Gr B pipe, A325 bolts, F1554 Gr 36 anchor rods, A36 misc. steel and E70XX welds, exterior steel hot-dip galvanized; a structural special inspection schedule covers steel, concrete, post-installed anchors, and soils and foundations</t>
  </si>
  <si>
    <t xml:space="preserve">Special inspector</t>
  </si>
  <si>
    <t xml:space="preserve">PROPOSED-BLOWER-BUILDING; PROPOSED-Blower-Building; PROPOSED-Blower-Building-Slab-and-Grade-Beams; PROPOSED-Blower-Pad; PROPOSED-Train-3-Concrete-Tank; PROPOSED-UV-Disinfection-Chamber-Basin; PROPOSED-Digester-Concrete-Tank; PROPOSED-Digester-Grating-Beam; PROPOSED-Drain-Pump-Station-Lid</t>
  </si>
  <si>
    <t xml:space="preserve">Project_Wiki.md note S1.1 (Structural &amp; Building): [plans_7 p.8, Structural Steel 1–4 and Special Inspection schedule — Verified-Visual]</t>
  </si>
  <si>
    <t xml:space="preserve">ITP S2.3-01</t>
  </si>
  <si>
    <t xml:space="preserve">Add. 4 adds the north-side condition next to the existing building — grade beam widened 9" (verify with civil) to abut the existing foundation, with #4×30" dowels @ 36" o.c. drilled and epoxied 4" into the existing concrete (special inspection not required) — and a 5" semi-flush girt at the north wall with bypass girt framing elsewhere</t>
  </si>
  <si>
    <t xml:space="preserve">PROPOSED-BLOWER-BUILDING; PROPOSED-Blower-Building; PROPOSED-Blower-Building-Slab-and-Grade-Beams; PROPOSED-Blower-Pad</t>
  </si>
  <si>
    <t xml:space="preserve">Project_Wiki.md note S2.3 (Structural &amp; Building): [Add. 4 p.9, Details 1, 3, 4 — Verified-Visual; Add. 4 p.3 — Verified; Add. 4 governs]</t>
  </si>
  <si>
    <t xml:space="preserve">ITP E0.3-01</t>
  </si>
  <si>
    <t xml:space="preserve">Key plan that splits the electrical work by area: Service Area Improvements → E1.1, New Blower Building → E2.1/E2.2, Train No.3 → E3.1, Influent and Dewatering → E4.1, 2W Pump Station and Hotboxes → E4.3, UV Disinfection Chamber and Digester → E5.1 (plans_8 p.8)</t>
  </si>
  <si>
    <t xml:space="preserve">E0.3</t>
  </si>
  <si>
    <t xml:space="preserve">PROPOSED-SCADA-Computer-System</t>
  </si>
  <si>
    <t xml:space="preserve">Project_Wiki.md note E0.3 (Electrical &amp; Controls): [Verified for the Blower Building and Influent callouts; others Verified-Visual]</t>
  </si>
  <si>
    <t xml:space="preserve">ITP E0.4-01</t>
  </si>
  <si>
    <t xml:space="preserve">Unclassified: aerobic treatment, UV disinfection units, the 2W pump station, the effluent flow meter vault and the aerated digester open to atmosphere; the Office Building and Blower Building are not classified (plans_9 p.1)</t>
  </si>
  <si>
    <t xml:space="preserve">E0.4</t>
  </si>
  <si>
    <t xml:space="preserve">Project_Wiki.md note E0.4 (Electrical &amp; Controls): [Verified]</t>
  </si>
  <si>
    <t xml:space="preserve">ITP E4.1-01</t>
  </si>
  <si>
    <t xml:space="preserve">Key notes 3–5: the building housing the dewatering press is unclassified only with Type C ventilation at 6 air changes per hour (NFPA 820-2020 Table 6.2.2 Row 12a, Chapter 9), and the contractor provides ventilation fans, gas sensors, a local alarm light and horn; the dewatering skid arrives pre-wired, factory tested and UL/ETL labeled per Washington L&amp;I, with a 480 V 3-phase feeder and Cat 6 monitoring cable; WAS solenoid wiring routes to the Influent Pump Station panel (plans_9 p.6)</t>
  </si>
  <si>
    <t xml:space="preserve">Factory / shop test</t>
  </si>
  <si>
    <t xml:space="preserve">PROPOSED-PLANT-DRAIN-FLOW-METER; PROPOSED-Plant-Drain-Flow-Meter; P-TPS; F1 (Influent Pump Station); F2 (Influent Pump Station); F3 (Influent Pump Station); F4 (Influent Pump Station); LT (Influent Pump Station); IPS; LP2; PROPOSED-Influent-Flow-Meter; PROPOSED-Plant-2-Flow-Meter; PROPOSED-Plant-3-Flow-Meter; PROPOSED-WAS-Dewatering-Flow-Meter; PROPOSED-Treatment-Building-Ventilation-Control-Panel; PROPOSED-Methane-Sensor; PROPOSED-H2S-Sensor; PROPOSED-Gas-Alarm-Light-and-Horn; L2 (Treatment Building)</t>
  </si>
  <si>
    <t xml:space="preserve">Requirement sentence taken verbatim from the note; Subtype, Timing, Acceptance and Responsible Party parsed from it by keyword (Merge, Inferred — check against the cited ¶). Linked Ledger rows: 18 (flag Y and sheet cited; linkage Inferred).</t>
  </si>
  <si>
    <t xml:space="preserve">ITP E5.1-01</t>
  </si>
  <si>
    <t xml:space="preserve">UV disinfection chamber: UV units UV1 and UV2, each with a UV control panel and UV power distribution (key note 3, typ of 2), an effluent flow meter in a vault with a local transmitter panel, a pole light with weatherproof GFCI receptacle, and a digester level transducer with a desiccant J-box; home runs P-UV1, P-UV2, C-UV, S-LT-D, P-LT and a spare to the MCC and PLC panel, plus S-FME and C-FME (plan and elevation; plans_10 p.1)</t>
  </si>
  <si>
    <t xml:space="preserve">E5.1</t>
  </si>
  <si>
    <t xml:space="preserve">PROPOSED-Effluent-Flow-Meter; PROPOSED-Effluent-Flow-Meter-Transmitter-Panel; PROPOSED-UV-Power-Distribution-1; PROPOSED-UV-Power-Distribution-2; PROPOSED-Digester-Level-Transducer; PROPOSED-UV-Area-Pole-Light</t>
  </si>
  <si>
    <t xml:space="preserve">Project_Wiki.md note E5.1 (Electrical &amp; Controls): [Verified-Visual]</t>
  </si>
  <si>
    <t xml:space="preserve">ITP E8.1-01</t>
  </si>
  <si>
    <t xml:space="preserve">Swing-out door: influent wet well level display; for each of pumps 1–4 a hand-off-auto switch and run, fail, seal-fail and overtemperature lights with reset; four float-activated lights with float test buttons (plans_11 p.5)</t>
  </si>
  <si>
    <t xml:space="preserve">E8.1</t>
  </si>
  <si>
    <t xml:space="preserve">PROPOSED-PLANT-DRAIN-FLOW-METER; PROPOSED-Plant-Drain-Flow-Meter; F1 (Influent Pump Station); F2 (Influent Pump Station); F3 (Influent Pump Station); F4 (Influent Pump Station); LT (Influent Pump Station); IPS; LP2; PROPOSED-Influent-Flow-Meter; PROPOSED-Plant-2-Flow-Meter; PROPOSED-Plant-3-Flow-Meter; L2 (Treatment Building)</t>
  </si>
  <si>
    <t xml:space="preserve">Project_Wiki.md note E8.1 (Electrical &amp; Controls): [Verified-Visual; labels also in text]</t>
  </si>
  <si>
    <t xml:space="preserve">ITP E8.3-01</t>
  </si>
  <si>
    <t xml:space="preserve">High-level float control circuit (hardwired backup): each wet well high-level float passes an intrinsic safety barrier (relays ISR-FnA/FnB), lights a "high float activated" panel light, has a test button, and "starts pump n" through relay CRHn with a time-off-delay relay TDRn, 0–60 s; key note 1 sets true-off delay, field-adjusted to wet well pump-down rate (plans_11 p.7)</t>
  </si>
  <si>
    <t xml:space="preserve">E8.3</t>
  </si>
  <si>
    <t xml:space="preserve">F1 (Influent Pump Station); F2 (Influent Pump Station); F3 (Influent Pump Station); F4 (Influent Pump Station); IPS; PROPOSED-Treatment-Building-Ventilation-Control-Panel</t>
  </si>
  <si>
    <t xml:space="preserve">Project_Wiki.md note E8.3 (Electrical &amp; Controls): [Verified-Visual; key note Verified]</t>
  </si>
  <si>
    <t xml:space="preserve">ITP E9.2-01</t>
  </si>
  <si>
    <t xml:space="preserve">Control: hand-off-auto with hand and auto status to the PLC panel; PLC relay "call to run" through the motor overtemperature contact to relay CR1; a 10 kΩ hand speed potentiometer; running (CR3) and fault (CR4) contacts to the PLC with push-to-test running and fault lights; MCC cooling fan(s) on a thermostat and the blower enclosure fan on the unit control power (plans_12 p.4)</t>
  </si>
  <si>
    <t xml:space="preserve">Project_Wiki.md note E9.2 (Electrical &amp; Controls): [Verified-Visual]</t>
  </si>
  <si>
    <t xml:space="preserve">ITP C1.6A-01</t>
  </si>
  <si>
    <t xml:space="preserve">Pipes called out: 3-in 2W water reducing to 2-in before the sub-floor run to the dewatering skid, 2-in 2W water to the skid, 4-in pressate drain from the dewatering skid to the influent pump station, 2-in digested sludge (digester to pump; pump to dewatering skid), 2-in WAS (Train #3 to pump; pump to digester), 8-in secondary effluent from the Train #2 clarifier to UV disinfection, 4-in air from blower to digester, and 1-in 2W water from the bladder tanks to the 3-in 2W pipe</t>
  </si>
  <si>
    <t xml:space="preserve">before the sub-floor run to the dewatering skid</t>
  </si>
  <si>
    <t xml:space="preserve">C1.6A</t>
  </si>
  <si>
    <t xml:space="preserve">Pipe ID 7; Pipe ID 10; Pipe ID 15; Pipe ID 16; Pipe ID 19; Pipe ID 21; Pipe ID 23; Pipe ID 25</t>
  </si>
  <si>
    <t xml:space="preserve">Issued by Add. 4 p.8 (governs)</t>
  </si>
  <si>
    <t xml:space="preserve">Project_Wiki.md note C1.6A (Civil &amp; Site): (Add. 4 p.8, C1.6A — Verified)</t>
  </si>
  <si>
    <t xml:space="preserve">ITP 00 73 00-01</t>
  </si>
  <si>
    <t xml:space="preserve">The Contractor stakes the work, picks up the District Land Disturbance permit and San Juan County Building Permit #21-0385 (stated as still in process), gives 48-hour utility and connection notices, works 7AM–5PM Mon–Fri with $150/hr inspection charge past 40 hr/week, and self-performs at least 50% of the contract price</t>
  </si>
  <si>
    <t xml:space="preserve">50% of the contract price (SC 7–14</t>
  </si>
  <si>
    <t xml:space="preserve">PROPOSED-BLOWER-BUILDING; PROPOSED-Blower-Building; PROPOSED-Aerobic-Digester; PROPOSED-UV-Disinfection-System; PROPOSED-Yard-Piping; PROPOSED-Influent-Pump-Station; PROPOSED-Influent-Flow-Splitter; PROPOSED-Train-3; PROPOSED-Permanent-Standby-Generator; PROPOSED-PLC-Control-Panel; PROPOSED-Dewatering-System; PROPOSED-Site-Final-Surfacing-and-Pavement</t>
  </si>
  <si>
    <t xml:space="preserve">1; 6; 8; Equipment Alternate C; Equipment Alternate D; Equipment Alternate E</t>
  </si>
  <si>
    <t xml:space="preserve">Project_Wiki.md note 00 73 00 (Contract &amp; General): (SC 7–14, pp.89–91; Verified; permit status conflicts with 00 31 13 — Issues 1.9)</t>
  </si>
  <si>
    <t xml:space="preserve">Requirement sentence taken verbatim from the note; Subtype, Timing, Acceptance and Responsible Party parsed from it by keyword (Merge, Inferred — check against the cited ¶). Linked Ledger rows: 11 (flag Y and section cited; linkage Inferred).</t>
  </si>
  <si>
    <t xml:space="preserve">ITP 00 73 00-02</t>
  </si>
  <si>
    <t xml:space="preserve">SC 19 defines Substantial Completion as the new facility in beneficial use (influent pump station, flow splitter, Train 3, digester, dewatering, blower building, UV, yard piping, electrical, instruments, controls, backup generator, SCADA/PLC programming) and Final Completion as including removal of temporary pump/process equipment, site work, paving, performance testing and cleanup</t>
  </si>
  <si>
    <t xml:space="preserve">Project_Wiki.md note 00 73 00 (Contract &amp; General): (p.92; Verified)</t>
  </si>
  <si>
    <t xml:space="preserve">ITP 01 33 00-01</t>
  </si>
  <si>
    <t xml:space="preserve">PROPOSED-8in-Effluent-Flow-Meter; PROPOSED-UV-Disinfection-System; PROPOSED-Sludge-Pumps; PROPOSED-2W-Air-Gap-Water-System; PROPOSED-Submersible-Pump-Equipment; PROPOSED-Influent-Sampler; PROPOSED-Train-3-Biological-Treatment-Equipment; PROPOSED-Automatic-Transfer-Switch; PROPOSED-Permanent-Standby-Generator; PROPOSED-480V-Electrical-Service; PROPOSED-Motor-Control-Center; PROPOSED-PLC-Control-Panel; PROPOSED-Dewatering-System; PROPOSED-Blowers; PROPOSED-Train-3-Dissolved-Oxygen-Sensors; PROPOSED-Train-3-pH-Sensors; PROPOSED-Magnetic-Flow-Meters</t>
  </si>
  <si>
    <t xml:space="preserve">Requirement sentence taken verbatim from the note; Subtype, Timing, Acceptance and Responsible Party parsed from it by keyword (Merge, Inferred — check against the cited ¶). Linked Ledger rows: 17 (flag Y and section cited; linkage Inferred).</t>
  </si>
  <si>
    <t xml:space="preserve">ITP 01 45 00-01</t>
  </si>
  <si>
    <t xml:space="preserve">Splits inspection and testing between the parties: the Contractor keeps records of all inspections and tests, pays for repeat tests after any failure (including Owner-responsibility tests), gives 48 hours' notice before work needing inspection, and uses only Owner-approved laboratories</t>
  </si>
  <si>
    <t xml:space="preserve">48 hours' notice</t>
  </si>
  <si>
    <t xml:space="preserve">Contractor; Owner; Inspector / laboratory</t>
  </si>
  <si>
    <t xml:space="preserve">PROPOSED-2W-PUMP-STATION-WET-WELL; PROPOSED-2W-Pump-Station-Wet-Well; PROPOSED-BLOWER-BUILDING; PROPOSED-Blower-Building; PROPOSED-8in-Effluent-Piping; PROPOSED-Aerobic-Digester; PROPOSED-UV-Disinfection-Chamber; PROPOSED-Sludge-Pumps; PROPOSED-Yard-Piping; PROPOSED-Influent-Pump-Station; PROPOSED-Submersible-Pump-Equipment; PROPOSED-Influent-Flow-Splitter; PROPOSED-Train-3; PROPOSED-Train-3-Biological-Treatment-Equipment; PROPOSED-Site-Final-Surfacing-and-Pavement; PROPOSED-Aeration-Basins; PROPOSED-Anoxic-Basins; PROPOSED-Clarifier</t>
  </si>
  <si>
    <t xml:space="preserve">1; 8; 18 — Unresolved (see 04); 19; Equipment Alternate A; Equipment Alternate B</t>
  </si>
  <si>
    <t xml:space="preserve">Project_Wiki.md note 01 45 00 (Contract &amp; General): (¶1.05.A–E, ¶1.06.C, pp.137–139; Verified)</t>
  </si>
  <si>
    <t xml:space="preserve">Requirement sentence taken verbatim from the note; Subtype, Timing, Acceptance and Responsible Party parsed from it by keyword (Merge, Inferred — check against the cited ¶). Linked Ledger rows: 16 (flag Y and section cited; linkage Inferred).</t>
  </si>
  <si>
    <t xml:space="preserve">ITP 01 45 00-02</t>
  </si>
  <si>
    <t xml:space="preserve">Contractor-paid: pipe pressure testing and potable water pipe disinfection per the technical sections, equipment testing per the equipment sections (Division 46, p.141), clean water leakage testing, and clean water mechanical testing of pumps, diffusers, mixers and air lift assemblies</t>
  </si>
  <si>
    <t xml:space="preserve">Field pressure / leakage test; Disinfection / bacteriological</t>
  </si>
  <si>
    <t xml:space="preserve">Project_Wiki.md note 01 45 00 (Contract &amp; General): (¶1.05.B.1, p.137; Verified)</t>
  </si>
  <si>
    <t xml:space="preserve">ITP 01 45 00-03</t>
  </si>
  <si>
    <t xml:space="preserve">Owner-paid, Contractor-coordinated: building special inspections for concrete and structural steel (the p.141 summary adds air barrier testing per WA Energy Code Section 402), earthwork, concrete, asphalt (Rice density, compaction, extraction/gradation), coatings and field welding (¶1.05.B.2, pp.137–138, p.141; Verified); the WSDOT/AASHTO compaction and asphalt testing standards (¶1.03.B, p.136) are Unresolved: external reference, not staged. Before startup, eight new structures get a fill-to-rim clean water leakage test held 2 hours with no visible leakage — influent pump station, flow splitter, aeration basins, anoxic basins, clarifier, UV disinfection chamber, digester, 2W water system pump station</t>
  </si>
  <si>
    <t xml:space="preserve">Field pressure / leakage test; Start-up / commissioning; Special inspection; Material testing; Disinfection / bacteriological</t>
  </si>
  <si>
    <t xml:space="preserve">Before startup</t>
  </si>
  <si>
    <t xml:space="preserve">no visible leakage; held 2 hours</t>
  </si>
  <si>
    <t xml:space="preserve">Contractor; Owner; Special inspector</t>
  </si>
  <si>
    <t xml:space="preserve">Project_Wiki.md note 01 45 00 (Contract &amp; General): (¶1.09, pp.139–140; Verified; repeated in 01 50 00 — Issues 1.22)</t>
  </si>
  <si>
    <t xml:space="preserve">ITP 01 50 00-01</t>
  </si>
  <si>
    <t xml:space="preserve">The clean water leakage test repeats 01 45 00 but groups the aeration basins, anoxic basins and clarifier under Train #3 and names UV channels #1 and #2 and the 2W pump station wet well</t>
  </si>
  <si>
    <t xml:space="preserve">PROPOSED-2W-PUMP-STATION-WET-WELL; PROPOSED-2W-Pump-Station-Wet-Well; PROPOSED-Aerobic-Digester; PROPOSED-UV-Disinfection-Chamber; PROPOSED-Influent-Pump-Station; PROPOSED-Influent-Flow-Splitter; PROPOSED-Train-3; PROPOSED-Aeration-Basins; PROPOSED-Anoxic-Basins; PROPOSED-Clarifier</t>
  </si>
  <si>
    <t xml:space="preserve">Project_Wiki.md note 01 50 00 (Contract &amp; General): (¶1.04.C, p.143; Verified; Issues 1.22)</t>
  </si>
  <si>
    <t xml:space="preserve">ITP 01 60 00-01</t>
  </si>
  <si>
    <t xml:space="preserve">Products arrive in labeled original containers, are inspected on delivery, are accepted only when unloading forces are on site, and are stored per the manufacturer with the Contractor fully responsible</t>
  </si>
  <si>
    <t xml:space="preserve">Contractor; Manufacturer / supplier</t>
  </si>
  <si>
    <t xml:space="preserve">01 60 00</t>
  </si>
  <si>
    <t xml:space="preserve">Project_Wiki.md note 01 60 00 (Contract &amp; General): (¶1.04–1.05, pp.146–147; Verified)</t>
  </si>
  <si>
    <t xml:space="preserve">ITP 01 70 00-01</t>
  </si>
  <si>
    <t xml:space="preserve">ITP 01 70 00-02</t>
  </si>
  <si>
    <t xml:space="preserve">Owner; Engineer; Manufacturer / supplier</t>
  </si>
  <si>
    <t xml:space="preserve">ITP 01 91 00-01</t>
  </si>
  <si>
    <t xml:space="preserve">Start-up / commissioning; Training</t>
  </si>
  <si>
    <t xml:space="preserve">Manufacturer / supplier</t>
  </si>
  <si>
    <t xml:space="preserve">PROPOSED-UV-Disinfection-System; PROPOSED-Sludge-Pumps; PROPOSED-2W-Air-Gap-Water-System; PROPOSED-Submersible-Pump-Equipment; PROPOSED-Train-3-Biological-Treatment-Equipment; PROPOSED-Dewatering-System; PROPOSED-Clarifier; PROPOSED-Blowers; PROPOSED-Train-3-Dissolved-Oxygen-Sensors; PROPOSED-Train-3-pH-Sensors; PROPOSED-Magnetic-Flow-Meters</t>
  </si>
  <si>
    <t xml:space="preserve">ITP 03 30 00-01</t>
  </si>
  <si>
    <t xml:space="preserve">The Owner provides independent testing and inspection (subgrade compaction and moisture, reinforcing placement, concrete placement and cylinders) and special inspections, and anchor bolts are set to AISC 303-16 §7.5 tolerances by a registered land surveyor</t>
  </si>
  <si>
    <t xml:space="preserve">Special inspection; Material testing</t>
  </si>
  <si>
    <t xml:space="preserve">Owner; Special inspector</t>
  </si>
  <si>
    <t xml:space="preserve">Project_Wiki.md note 03 30 00 (Structural &amp; Building): [¶1.07 B, p.174; ¶3.012 A, p.180; ¶3.03 B, p.176 — Verified]</t>
  </si>
  <si>
    <t xml:space="preserve">ITP 03 40 00-01</t>
  </si>
  <si>
    <t xml:space="preserve">Owner; Engineer</t>
  </si>
  <si>
    <t xml:space="preserve">ITP 09 97 23-01</t>
  </si>
  <si>
    <t xml:space="preserve">Testing covers wet-film readings (ASTM D4414), optional ultrasonic dry-film checks (SSPC-PA 9), high-voltage holiday testing at 100 V/mil (NACE RP0188 or ASTM D4787), and pull-off adhesion (ASTM D7234) with 2 of 3 pulls over 200 psi per test area, all documented to the Owner</t>
  </si>
  <si>
    <t xml:space="preserve">200 psi per test area, all documented to the Ow</t>
  </si>
  <si>
    <t xml:space="preserve">Project_Wiki.md note 09 97 23 (Structural &amp; Building): [¶3.06 A–D, pp.239–241 — Verified]</t>
  </si>
  <si>
    <t xml:space="preserve">ITP 10 52 00-01</t>
  </si>
  <si>
    <t xml:space="preserve">At completion the work is visually inspected and checked for proper operation, and each extinguisher carries an inspection tag</t>
  </si>
  <si>
    <t xml:space="preserve">Project_Wiki.md note 10 52 00 (Structural &amp; Building): [¶3.01 C, p.242 — Verified]</t>
  </si>
  <si>
    <t xml:space="preserve">ITP 10 73 05-01</t>
  </si>
  <si>
    <t xml:space="preserve">The contractor furnishes and installs a molded, UV-protected, opaque FRP cover over the Train 3 clarifier weir launder and weir, in curved sections at least 4 ft long, each a single section on two pivoting brackets opening toward the tank center, with spring-loaded latches, an optional stainless tether, fixed or vertical panels at the bridge support, no piano hinges, no inspection hatches, and not walk-on except for a reinforced walk-on section at the launder entry</t>
  </si>
  <si>
    <t xml:space="preserve">Project_Wiki.md note 10 73 05 (Process &amp; Mechanical): (¶1.01 A–H pp.243–244)</t>
  </si>
  <si>
    <t xml:space="preserve">ITP 10 73 05-02</t>
  </si>
  <si>
    <t xml:space="preserve">ITP 22 13 29-01</t>
  </si>
  <si>
    <t xml:space="preserve">A performance specification for the complete, tested Influent Pump Station — pumps, controls, discharge piping, vaults, flow meter and connection to existing piping — with the contractor responsible for field measurements and supplier coordination</t>
  </si>
  <si>
    <t xml:space="preserve">G0.7; C4.1</t>
  </si>
  <si>
    <t xml:space="preserve">PROPOSED-INFLUENT-PUMPS-SMALL; PROPOSED-INFLUENT-PUMPS-LARGE; F1–F4 [Influent Pump Station]</t>
  </si>
  <si>
    <t xml:space="preserve">Project_Wiki.md note 22 13 29 (Process &amp; Mechanical): (¶1.01 A–E p.255)</t>
  </si>
  <si>
    <t xml:space="preserve">ITP 22 13 29-02</t>
  </si>
  <si>
    <t xml:space="preserve">Factory / shop test; Start-up / commissioning</t>
  </si>
  <si>
    <t xml:space="preserve">ITP 22 13 36-01</t>
  </si>
  <si>
    <t xml:space="preserve">PROPOSED-WAS-PUMP; PROPOSED-SWING-SLUDGE-PUMP; PROPOSED-DIGESTED-SLUDGE-PUMP</t>
  </si>
  <si>
    <t xml:space="preserve">ITP 26 05 00-01</t>
  </si>
  <si>
    <t xml:space="preserve">E1.1; E6.1; E6.3</t>
  </si>
  <si>
    <t xml:space="preserve">P-SEC; PROPOSED-Temporary-Backup-Generator</t>
  </si>
  <si>
    <t xml:space="preserve">ITP 26 05 19-01</t>
  </si>
  <si>
    <t xml:space="preserve">Tests (¶3.07, pp.286–288): insulation resistance at 1,000 VDC for 30 s with 1 megohm minimum at 20 °C on scheduled power feeders and on service and feeder conductors; continuity; thermal imaging of all power terminations; ground resistance at each new rod, 25 ohms maximum per rod by the three-rod method and 15 ohms maximum composite; reports to the Engineer before final acceptance</t>
  </si>
  <si>
    <t xml:space="preserve">Electrical test</t>
  </si>
  <si>
    <t xml:space="preserve">Engineer</t>
  </si>
  <si>
    <t xml:space="preserve">E1.1; E6.1; E6.3; E0.2; E4.1; E10.1; E10.2</t>
  </si>
  <si>
    <t xml:space="preserve">P-SEC; P-TPS; PROPOSED-Conduit-and-Conductor-Runs</t>
  </si>
  <si>
    <t xml:space="preserve">ITP 26 05 26-01</t>
  </si>
  <si>
    <t xml:space="preserve">No submittal or test paragraph; ground resistance testing sits in 26 05 19 ¶3.07 (25 ohms per rod, 15 ohms composite) (p.289; p.288)</t>
  </si>
  <si>
    <t xml:space="preserve">26 05 26</t>
  </si>
  <si>
    <t xml:space="preserve">E1.1; E6.1; E10.1; E2.1</t>
  </si>
  <si>
    <t xml:space="preserve">PROPOSED-Service-Area-Grounding-Electrode-System; PROPOSED-Blower-Building-Grounding-Electrode-System</t>
  </si>
  <si>
    <t xml:space="preserve">Project_Wiki.md note 26 05 26 (Electrical &amp; Controls): [Verified]</t>
  </si>
  <si>
    <t xml:space="preserve">ITP 26 05 33-01</t>
  </si>
  <si>
    <t xml:space="preserve">ITP 26 24 16-01</t>
  </si>
  <si>
    <t xml:space="preserve">Execution: top of cabinet at 6 ft-6 in unless noted; typed circuit index; field quality control with inspection, phase load balancing within 20% and torque checks (¶3.01–3.03, pp.303–304)</t>
  </si>
  <si>
    <t xml:space="preserve">within 20% and torque checks (¶3</t>
  </si>
  <si>
    <t xml:space="preserve">20%</t>
  </si>
  <si>
    <t xml:space="preserve">ITP 26 24 19-01</t>
  </si>
  <si>
    <t xml:space="preserve">Execution: MCC completed and wired in the contractor shop and tested there with the control system, including every I/O point, control device and motor controller at rated voltage (¶3.01 B, ¶3.02, p.311)</t>
  </si>
  <si>
    <t xml:space="preserve">rated voltage; every I/O point</t>
  </si>
  <si>
    <t xml:space="preserve">ITP 26 27 26-01</t>
  </si>
  <si>
    <t xml:space="preserve">Boxes independently supported and devices tested for correct connections (¶2.01, p.313)</t>
  </si>
  <si>
    <t xml:space="preserve">26 27 26</t>
  </si>
  <si>
    <t xml:space="preserve">E5.1; E6.2; E6.3</t>
  </si>
  <si>
    <t xml:space="preserve">PROPOSED-UV-Power-Distribution-1; PROPOSED-UV-Power-Distribution-2</t>
  </si>
  <si>
    <t xml:space="preserve">Project_Wiki.md note 26 27 26 (Electrical &amp; Controls): [Verified]</t>
  </si>
  <si>
    <t xml:space="preserve">ITP 26 29 23-01</t>
  </si>
  <si>
    <t xml:space="preserve">100%</t>
  </si>
  <si>
    <t xml:space="preserve">ITP 26 32 13-01</t>
  </si>
  <si>
    <t xml:space="preserve">Field quality control and on-site acceptance: resistive load bank at full load with temporary connections, run at least 2 hours per NFPA 110; full fuel tank at final commissioning; at least 4 hours of training for up to 5 people (¶3.06–3.07, p.336; ¶3.09, p.337)</t>
  </si>
  <si>
    <t xml:space="preserve">run at least 2 hours per NFPA 110; at least 4 hours of training for up to 5</t>
  </si>
  <si>
    <t xml:space="preserve">ITP 26 36 00-01</t>
  </si>
  <si>
    <t xml:space="preserve">Controller functions include a programmed transition of 0–60 s (default 3 s), test and exercise modes, and two normally open auxiliary contacts per position rated 10 A at 240 VAC; service entrance transfer switch requirements follow in ¶2.04 (pp.342–344)</t>
  </si>
  <si>
    <t xml:space="preserve">Project_Wiki.md note 26 36 00 (Electrical &amp; Controls): [Verified; pages scanned by key terms]</t>
  </si>
  <si>
    <t xml:space="preserve">ITP 26 36 00-02</t>
  </si>
  <si>
    <t xml:space="preserve">ITP 26 51 19-01</t>
  </si>
  <si>
    <t xml:space="preserve">Lighting controls (switches, contactors, occupancy sensors) where shown, compliant with the current Washington State Energy Code, tested and demonstrated as applicable (¶2.02, ¶3.01 I, p.351)</t>
  </si>
  <si>
    <t xml:space="preserve">ITP 26 80 00-01</t>
  </si>
  <si>
    <t xml:space="preserve">Responsibilities: a system integrator (UL508A panel shop, AVEVA-registered, Allen-Bradley experience) designs, builds, programs and commissions the PLC panels and SCADA; equipment suppliers furnish packaged equipment for installation by the electrical contractor, program and commission it, give PLC tags and IP addresses to the Programmer, and supply UL or ETL labels per Washington L&amp;I (¶1.04–1.05, pp.353–356)</t>
  </si>
  <si>
    <t xml:space="preserve">Project_Wiki.md note 26 80 00 (Electrical &amp; Controls): [Verified; pages read by key terms]</t>
  </si>
  <si>
    <t xml:space="preserve">Requirement sentence taken verbatim from the note; Subtype, Timing, Acceptance and Responsible Party parsed from it by keyword (Merge, Inferred — check against the cited ¶). Linked Ledger rows: 30 (flag Y and section cited; linkage Inferred).</t>
  </si>
  <si>
    <t xml:space="preserve">ITP 26 80 00-02</t>
  </si>
  <si>
    <t xml:space="preserve">Execution: factory simulation witnessed by the Engineer and Owner before shipment, field acceptance test and operator training by the system integrator, then programming, start-up and commissioning; the description of operation sets sampler flow pace, the UV interface, generator and ATS status, and ventilation control, whose fan logic differs from E9.3 and E8.4 — see Issues (¶3.03–3.04, ¶3.08–3.09, pp.371–381)</t>
  </si>
  <si>
    <t xml:space="preserve">Factory / shop test; Start-up / commissioning; Training</t>
  </si>
  <si>
    <t xml:space="preserve">Project_Wiki.md note 26 80 00 (Electrical &amp; Controls): [Verified]</t>
  </si>
  <si>
    <t xml:space="preserve">ITP 31 10 00-01</t>
  </si>
  <si>
    <t xml:space="preserve">ITP 31 20 00-01</t>
  </si>
  <si>
    <t xml:space="preserve">Material testing</t>
  </si>
  <si>
    <t xml:space="preserve">Contractor; Engineer; Inspector / laboratory</t>
  </si>
  <si>
    <t xml:space="preserve">ITP 31 20 00-02</t>
  </si>
  <si>
    <t xml:space="preserve">Structural fill is placed in 10-in loose lifts and compacted to 95% MDD (ASTM D1557); unsuitable subgrade is over-excavated 18 in and replaced with CSBC on written authorization, with haul receipts to the Owner</t>
  </si>
  <si>
    <t xml:space="preserve">95% MDD</t>
  </si>
  <si>
    <t xml:space="preserve">Project_Wiki.md note 31 20 00 (Civil &amp; Site): (¶3.03, ¶3.05–3.06; pp.387–388 — Verified)</t>
  </si>
  <si>
    <t xml:space="preserve">ITP 31 23 19-01</t>
  </si>
  <si>
    <t xml:space="preserve">Testing: discharge is checked with a Rossum sand tester (10 ppm silica maximum) with 24-hour notice, and settlement reference points are observed near critical structures</t>
  </si>
  <si>
    <t xml:space="preserve">Project_Wiki.md note 31 23 19 (Civil &amp; Site): (¶3.2–3.3; pp.391–392 — Verified)</t>
  </si>
  <si>
    <t xml:space="preserve">ITP 31 23 33-01</t>
  </si>
  <si>
    <t xml:space="preserve">Owner pays, Contractor coordinates (01 45 00 ¶1.05.B.2 — Inferred)</t>
  </si>
  <si>
    <t xml:space="preserve">ITP 31 23 33-02</t>
  </si>
  <si>
    <t xml:space="preserve">Trench backfill is bank-run gravel (WSDOT 9-03.19) and bedding is pipe-zone gravel (9-03.12(3)), with no native backfill or bedding; bedding is compacted to 90% MDD in 6-in lifts, backfill to 95% under paving or within 5 ft of roadway and 90% in landscaped areas</t>
  </si>
  <si>
    <t xml:space="preserve">within 5 ft of roadway and 90% in landscaped areas (¶2</t>
  </si>
  <si>
    <t xml:space="preserve">90% MDD; 95%; 90%</t>
  </si>
  <si>
    <t xml:space="preserve">Project_Wiki.md note 31 23 33 (Civil &amp; Site): (¶2.01–2.02, ¶3.03–3.04; pp.394–396 — Verified; conflicts with C7.4, see Issues)</t>
  </si>
  <si>
    <t xml:space="preserve">ITP 31 32 11-01</t>
  </si>
  <si>
    <t xml:space="preserve">The Contractor and Owner inspect BMPs periodically, the Contractor corrects impairments immediately and sweeps streets if soil migrates</t>
  </si>
  <si>
    <t xml:space="preserve">Project_Wiki.md note 31 32 11 (Civil &amp; Site): (¶3.03; p.400 — Verified)</t>
  </si>
  <si>
    <t xml:space="preserve">ITP 32 12 16-01</t>
  </si>
  <si>
    <t xml:space="preserve">The Contractor performs QC testing (asphalt content, gradation, voids, fracture, equivalence, in-place density) 'with Section 01400', which is not in the manual</t>
  </si>
  <si>
    <t xml:space="preserve">Project_Wiki.md note 32 12 16 (Civil &amp; Site): (¶3.05; p.405 — Verified; see Issues)</t>
  </si>
  <si>
    <t xml:space="preserve">ITP 32 32 23-01</t>
  </si>
  <si>
    <t xml:space="preserve">The Owner's or Contractor's QA/QC representative inspects the excavation and tests foundation soils before the leveling pad; units are stacked no more than two courses ahead of fill, a footing drain and wall backfill are placed, and caps are glued</t>
  </si>
  <si>
    <t xml:space="preserve">before the leveling pad</t>
  </si>
  <si>
    <t xml:space="preserve">Project_Wiki.md note 32 32 23 (Civil &amp; Site): (¶3.01, ¶3.03–3.04; pp.411–412 — Verified)</t>
  </si>
  <si>
    <t xml:space="preserve">ITP 33 30 00-01</t>
  </si>
  <si>
    <t xml:space="preserve">Testing is witnessed with 48-hour notice: force mains at 1.5 times operating pressure or 150 psi for 15 minutes (mixed liquor and West Plant Drain Pump Station force mains 150 psi, 2W and 3W piping 200 psi), HDPE per ASTM F2164, and valves with their pipelines</t>
  </si>
  <si>
    <t xml:space="preserve">48-hour notice</t>
  </si>
  <si>
    <t xml:space="preserve">150 psi for 15 minutes (mixed liquor and West P; 150 psi, 2W and 3W piping 200 psi), HDPE per AS; for 15 minutes</t>
  </si>
  <si>
    <t xml:space="preserve">C0.5 (KN 22); C1.3 (Add. 4 p.7); C1.6A (Add. 4 p.8); C7.10; C7.1 (Det. 1); C7.5 (Det. 1); C1.4; C7.3 (Det. 2); C2.2; C7.1 (Det. 5); C7.5 (Det. 2); C2.3 (plan and profile); C2.1; C2.3; C2.1 (KN 3)</t>
  </si>
  <si>
    <t xml:space="preserve">PROPOSED-Water line relocation at storm drain; Pipe ID 2; Pipe ID 3; Pipe ID 4; Pipe ID 5; Pipe ID 6; Pipe ID 7; Pipe ID 8; Pipe ID 9; Pipe ID 10; Pipe ID 11; Pipe ID 12; Pipe ID 13; Pipe ID 14; Pipe ID 15; Pipe ID 16; Pipe ID 17; Pipe ID 18; Pipe ID 19; Pipe ID 20; Pipe ID 21; Pipe ID 22; Pipe ID 23; Pipe ID 24; Pipe ID 25; Pipe ID 26; Buried Valve ID 1; Buried Valve ID 2; Buried Valve ID 3; Buried Valve ID 4; Buried Valve ID 5; Buried Valve ID 6; Buried Valve ID 7; Buried Valve ID 8; Buried Valve ID 9; Buried Valve ID 10; Buried Valve ID 11; Buried Valve ID 12; Buried Valve ID 13; SD-1 (+6 more)</t>
  </si>
  <si>
    <t xml:space="preserve">Project_Wiki.md note 33 30 00 (Civil &amp; Site): (¶3.04.1–6, 8, 10; pp.427–429 — Verified)</t>
  </si>
  <si>
    <t xml:space="preserve">Requirement sentence taken verbatim from the note; Subtype, Timing, Acceptance and Responsible Party parsed from it by keyword (Merge, Inferred — check against the cited ¶). Linked Ledger rows: 46 (flag Y and section cited; linkage Inferred).</t>
  </si>
  <si>
    <t xml:space="preserve">ITP 33 30 00-02</t>
  </si>
  <si>
    <t xml:space="preserve">Gravity storm and sewer tests and water-line pressure tests and disinfection defer to WSDOT 4-04.3(1), 7-17.3(2) and 7-09.3(23), with DOH-lab chlorine (50 mg/L initial, 25 mg/L at 24 hours) and bacteriological reports</t>
  </si>
  <si>
    <t xml:space="preserve">50 mg/L initial; 25 mg/L at 24 hours) and bacteriologi</t>
  </si>
  <si>
    <t xml:space="preserve">Inspector / laboratory</t>
  </si>
  <si>
    <t xml:space="preserve">Project_Wiki.md note 33 30 00 (Civil &amp; Site): (¶3.04.7, 9; p.428 — Verified; WSDOT test methods Unresolved: external reference, not staged)</t>
  </si>
  <si>
    <t xml:space="preserve">ITP 33 31 00-01</t>
  </si>
  <si>
    <t xml:space="preserve">Material requirements for wastewater lines, with installation and testing per 33 30 00</t>
  </si>
  <si>
    <t xml:space="preserve">C1.3 (Add. 4 p.7); C1.6A (Add. 4 p.8); C7.10; C7.1 (Det. 1); C7.5 (Det. 1); C7.1 (Det. 5); C6.4; C6.5; C3.3; C3.5</t>
  </si>
  <si>
    <t xml:space="preserve">Pipe ID 2; Pipe ID 3; Pipe ID 5; Pipe ID 6; Pipe ID 7; Pipe ID 8; Pipe ID 10; Pipe ID 11; Pipe ID 13; Pipe ID 14; Pipe ID 15; Pipe ID 16; Pipe ID 17; Pipe ID 18; Pipe ID 19; Pipe ID 20; Pipe ID 21; Pipe ID 22; Pipe ID 23; Pipe ID 24; Pipe ID 25; Pipe ID 26; PROPOSED-Gravity sewer cleanouts; PROPOSED-AIR-TO-TRAIN-3</t>
  </si>
  <si>
    <t xml:space="preserve">Project_Wiki.md note 33 31 00 (Civil &amp; Site): (¶1.01, ¶3.02; main spec pp.430, 435 — Verified)</t>
  </si>
  <si>
    <t xml:space="preserve">Requirement sentence taken verbatim from the note; Subtype, Timing, Acceptance and Responsible Party parsed from it by keyword (Merge, Inferred — check against the cited ¶). Linked Ledger rows: 24 (flag Y and section cited; linkage Inferred).</t>
  </si>
  <si>
    <t xml:space="preserve">ITP 33 32 00-01</t>
  </si>
  <si>
    <t xml:space="preserve">Covers HDPE, PVC and DI water main and appurtenances, chlorination, pressure testing and start-up, and as-built records per 01 70 00</t>
  </si>
  <si>
    <t xml:space="preserve">Field pressure / leakage test; Start-up / commissioning</t>
  </si>
  <si>
    <t xml:space="preserve">Project_Wiki.md note 33 32 00 (Civil &amp; Site): (¶1.01 A; main spec p.436 — Verified)</t>
  </si>
  <si>
    <t xml:space="preserve">ITP 33 32 00-02</t>
  </si>
  <si>
    <t xml:space="preserve">Fire hydrants are Iowa or M.H. 929T with a 5-in Storz port, shutoff valve 5–20 ft away, crash posts where exposed, a 200 psi hydrostatic test and a flow test, and installation per 'ESWD Standard Detail W-1', which is not in the library</t>
  </si>
  <si>
    <t xml:space="preserve">200 psi hydrostatic test and a flow test, and i</t>
  </si>
  <si>
    <t xml:space="preserve">Project_Wiki.md note 33 32 00 (Civil &amp; Site): (¶2.011; pp.439–440 — Verified)</t>
  </si>
  <si>
    <t xml:space="preserve">ITP 33 32 00-03</t>
  </si>
  <si>
    <t xml:space="preserve">Testing and disinfection follow 33 30 00, and only Association staff may operate isolation valves on the existing system</t>
  </si>
  <si>
    <t xml:space="preserve">Project_Wiki.md note 33 32 00 (Civil &amp; Site): (¶3.05–3.06; p.443 — Verified)</t>
  </si>
  <si>
    <t xml:space="preserve">ITP 33 33 00-01</t>
  </si>
  <si>
    <t xml:space="preserve">3%</t>
  </si>
  <si>
    <t xml:space="preserve">ITP 33 33 00-02</t>
  </si>
  <si>
    <t xml:space="preserve">Pressure testing follows ASTM F2164 and Performance Pipe Technical Note 802</t>
  </si>
  <si>
    <t xml:space="preserve">Project_Wiki.md note 33 33 00 (Civil &amp; Site): (¶3.04; p.446 — Verified)</t>
  </si>
  <si>
    <t xml:space="preserve">ITP 33 41 00-01</t>
  </si>
  <si>
    <t xml:space="preserve">Add. 4 adds ¶2.02 F: trench drains are Zurn Z886-HD or approved equal, HDPE channels with 0.75% built-in slope, 4-in inside width, 80-in minimum lengths with interlocking ends, black Dura-coated heavy-duty steel frames with embedment studs, and slotted ductile iron grates (5.375 in wide, about 18.5 sq in open area per LF) bolted after final inspection, Load Class C — Add. 4 governs</t>
  </si>
  <si>
    <t xml:space="preserve">C2.2; C2.3 (plan and profile); C2.1; C2.3; C2.1 (KN 3)</t>
  </si>
  <si>
    <t xml:space="preserve">SD-1; PROPOSED-4in roof drain at SD-1; SD-2; SD-3; PROPOSED-4in roof drain connections (SD-2, SD-3)</t>
  </si>
  <si>
    <t xml:space="preserve">Project_Wiki.md note 33 41 00 (Civil &amp; Site): (Add. 4 p.2 — Verified)</t>
  </si>
  <si>
    <t xml:space="preserve">ITP 43 11 00-01</t>
  </si>
  <si>
    <t xml:space="preserve">run 30 minutes at maximum speed and differential</t>
  </si>
  <si>
    <t xml:space="preserve">ITP 45 05 00-01</t>
  </si>
  <si>
    <t xml:space="preserve">Products: Kennedy resilient-seated NRS gate valves 2"–12" (AWWA C509/C515, C550 epoxy) and all-stainless NPT gate valves under 4" exposed; swing check valves with external lever, spring and limit switch (MH 259-02ALS, AWWA C508) and Tideflex TF-2M duckbill checks for vertical service; Pratt Ballcentric plug valves; Watts S-FBV-1 stainless ball valves under 4" for general exposed non-potable use and Asahi Type 21 CPVC true-union ball valves 2" and under for interior potable water; M&amp;H Style 47 flap gates, demonstrated in dry and wet tests; butterfly valves — Asahi Type 57 PVC for interior PVC systems, Bray Series 31 lug or Dezurik for exposed ductile iron or stainless air piping, AWWA C504 Class 150B for buried water mains 10" and larger; A.R.I. D-025 combination air release valves; 2"-and-under globe valves (Issue 28); and Kennedy gate valves for buried plant water hydrant isolation</t>
  </si>
  <si>
    <t xml:space="preserve">Project_Wiki.md note 45 05 00 (Process &amp; Mechanical): (¶2.04–2.014 pp.477–479)</t>
  </si>
  <si>
    <t xml:space="preserve">ITP 45 05 00-02</t>
  </si>
  <si>
    <t xml:space="preserve">ITP 46 41 23-01</t>
  </si>
  <si>
    <t xml:space="preserve">Factory / shop test; Field pressure / leakage test; Start-up / commissioning; Training</t>
  </si>
  <si>
    <t xml:space="preserve">PROPOSED-TRAIN-3-ANOXIC-MIXERS</t>
  </si>
  <si>
    <t xml:space="preserve">ITP 46 53 00-01</t>
  </si>
  <si>
    <t xml:space="preserve">Blowers are in 43 11 00 and air piping in 33 31 00 ¶2.01 D, the air header gets a 15 psi, 60-minute low-pressure air test (¶2.01 D–E p.498), and the manufacturer furnishes a NEMA 4X 316 SS control panel and spares and performs programming, start-up and a witnessed Functional Acceptance Test</t>
  </si>
  <si>
    <t xml:space="preserve">15 psi, 60-minute low-pressure air test (¶2</t>
  </si>
  <si>
    <t xml:space="preserve">C3.3; E3.1; E7.6; E6.3; G0.5; G0.6; G0.7; C3.4; C3.5; C6.4; C6.5</t>
  </si>
  <si>
    <t xml:space="preserve">DO #1; DO-1; DO #2; DO-2; PROPOSED-TRAIN-3-TREATMENT-SYSTEM; PROPOSED-TRAIN-3-CLARIFIER-MECHANISM; PROPOSED-TRAIN-3-AERATION-DIFFUSERS; PROPOSED-TRAIN-3-ANOXIC-MIXERS; PROPOSED-TRAIN-3-RAS-AIRLIFT; PROPOSED-TRAIN-3-MLR-AIRLIFT; PROPOSED-CARBON-FEED-PUMPS; PROPOSED-TRAIN-3-CONTROL-PANEL; PROPOSED-AIR-TO-TRAIN-3</t>
  </si>
  <si>
    <t xml:space="preserve">Project_Wiki.md note 46 53 00 (Process &amp; Mechanical): (¶2.01 F–G p.499; ¶3.03 pp.500–501)</t>
  </si>
  <si>
    <t xml:space="preserve">ITP 46 66 00-01</t>
  </si>
  <si>
    <t xml:space="preserve">50%; 30 mg/L</t>
  </si>
  <si>
    <t xml:space="preserve">ITP 46 66 00-02</t>
  </si>
  <si>
    <t xml:space="preserve">ITP 46 66 10-01</t>
  </si>
  <si>
    <t xml:space="preserve">ITP 46 76 26-01</t>
  </si>
  <si>
    <t xml:space="preserve">A single-source, shop-tested "plug and play" dewatering skid: one rotary fan press with one 36" dewatering channel, a flocculator, sludge manifold and piping, cake chute, an emulsified-polymer make-up system with dosing pump, an air compressor for pneumatic valving, screw conveyors (receiving and inclined "as needed" to reach the District's dumpster, as shown on drawings) and one control panel for the whole system, which also sets the digested sludge feed pump rate</t>
  </si>
  <si>
    <t xml:space="preserve">G0.5; G0.6; G0.7; C6.1; C6.2</t>
  </si>
  <si>
    <t xml:space="preserve">PROPOSED-ROTARY-FAN-PRESS; PROPOSED-RFP-FLOCCULATOR; PROPOSED-RFP-SLUDGE-MANIFOLD; PROPOSED-RFP-CONTROL-PANEL; PROPOSED-SCREW-CONVEYOR; PROPOSED-DIGESTED-SLUDGE-PUMP; Receiving Conveyor; Inclined Conveyor</t>
  </si>
  <si>
    <t xml:space="preserve">Project_Wiki.md note 46 76 26 (Process &amp; Mechanical): (¶1.0 A, C p.510; ¶1.7 p.514)</t>
  </si>
  <si>
    <t xml:space="preserve">ITP 46 76 26-02</t>
  </si>
  <si>
    <t xml:space="preserve">The flocculator (model 05-300-900, 17 gal, 100 psi) has a 1 HP Nord SK0282 variable-speed agitator and a PVC air breather tied to "the potable water line", feeding the press through Sch 10 316 SS piping with Victaulic joints, 3" pneumatic feed and recirculation ball valves, lever channel isolating valves, 1" pneumatic wash valves and a 1" stainless polymer check valve, with the feed manifold shop tested at 100 psi</t>
  </si>
  <si>
    <t xml:space="preserve">100 psi) has a 1 HP Nord SK0282 variable-speed; 100 psi (¶2</t>
  </si>
  <si>
    <t xml:space="preserve">Project_Wiki.md note 46 76 26 (Process &amp; Mechanical): (¶2.1–2.2 pp.515–518)</t>
  </si>
  <si>
    <t xml:space="preserve">ITP 46 76 26-03</t>
  </si>
  <si>
    <t xml:space="preserve">ITP Appendix F-01</t>
  </si>
  <si>
    <t xml:space="preserve">Wilson Engineering's plan of interim operation lists the operational milestones from construction through start-up and states it is not part of the construction Contract Documents</t>
  </si>
  <si>
    <t xml:space="preserve">Appendix F</t>
  </si>
  <si>
    <t xml:space="preserve">C0.5 (KN 1, 8); C0.7 (cited)</t>
  </si>
  <si>
    <t xml:space="preserve">PROPOSED-Interim 8in HDPE effluent pipe</t>
  </si>
  <si>
    <t xml:space="preserve">Project_Wiki.md note Appendix F (Civil &amp; Site): (§1.0–1.2; main spec p.614 — Verified)</t>
  </si>
  <si>
    <t xml:space="preserve">ITP Appendix F-02</t>
  </si>
  <si>
    <t xml:space="preserve">Scope summary: a third bullseye-style Bardenpho treatment train with new clarifier, an aerobic digester, UV disinfection, new dewatering equipment, a new influent flow splitter, new influent and 2W pump stations, a new blower building and stormwater improvements</t>
  </si>
  <si>
    <t xml:space="preserve">Project_Wiki.md note Appendix F (Civil &amp; Site): (§2.0; p.615 — Verified)</t>
  </si>
  <si>
    <t xml:space="preserve">ITP Appendix F-03</t>
  </si>
  <si>
    <t xml:space="preserve">Treatment stays continuous: the Contractor provides temporary piping from the existing chlorine disinfection chamber outlet to the 8-in effluent pipe just upstream of SSMH #1288, limits each disruption to 1 hour (influent pump station start-up with the flow splitter, the new 10-in effluent tie-in, the new transformer), lowers Train #2 with temporary pumps for the splitter tie-in, and submits a bypass plan; the detailed sequence is on C0.7</t>
  </si>
  <si>
    <t xml:space="preserve">Start-up / commissioning; Disinfection / bacteriological</t>
  </si>
  <si>
    <t xml:space="preserve">Project_Wiki.md note Appendix F (Civil &amp; Site): (§5.1–5.2; pp.618–619 — Verified)</t>
  </si>
  <si>
    <t xml:space="preserve">ITP Appendix F-04</t>
  </si>
  <si>
    <t xml:space="preserve">The Owner must have full use of the new generator before the old generator and switchgear are demolished, and at start-up new concrete basins get clean-water leakage tests and equipment gets operational tests per 01 45 00 and the equipment sections</t>
  </si>
  <si>
    <t xml:space="preserve">before the old generator and switchgear are demolished</t>
  </si>
  <si>
    <t xml:space="preserve">Project_Wiki.md note Appendix F (Civil &amp; Site): (§5.3.1, §6.0; p.619 — Verified)</t>
  </si>
  <si>
    <t xml:space="preserve">ITP Add. 4 Generator Exhibit-01</t>
  </si>
  <si>
    <t xml:space="preserve">Clarification 5 (p.1) answers bidder questions on "Temporary Back Up Generator (Bid Item #18)": the transfer switch is the permanent ATS (not a long-lead item); the temporary generator connects to it until the permanent genset arrives; testing covers generator connections and an automatic load transfer test; operation must be quiet, 60 dBA or lower at full load; the attached cut sheet is "an example" (Add. 4 p.1)</t>
  </si>
  <si>
    <t xml:space="preserve">60 dBA or lower at full lo</t>
  </si>
  <si>
    <t xml:space="preserve">Add. 4 Generator Exhibit</t>
  </si>
  <si>
    <t xml:space="preserve">ATS; PROPOSED-Temporary-Backup-Generator</t>
  </si>
  <si>
    <t xml:space="preserve">Add. 4 p.1, Clarification 5; exhibit pp.11–13 — Add. 4 governs</t>
  </si>
  <si>
    <t xml:space="preserve">Project_Wiki.md note Add. 4 Generator Exhibit (Electrical &amp; Controls): [Verified]</t>
  </si>
  <si>
    <t xml:space="preserve">ITP 05 50 00-00</t>
  </si>
  <si>
    <t xml:space="preserve">Requirement flagged on 1 Ledger row(s) citing 05 50 00; the Wiki note does not summarize it</t>
  </si>
  <si>
    <t xml:space="preserve">ITP 07 20 00-00</t>
  </si>
  <si>
    <t xml:space="preserve">Requirement flagged on 1 Ledger row(s) citing 07 20 00; the Wiki note does not summarize it</t>
  </si>
  <si>
    <t xml:space="preserve">Process &amp; Mechanical; Structural &amp; Building; Contract &amp; General</t>
  </si>
  <si>
    <t xml:space="preserve">ITP 08 10 00-00</t>
  </si>
  <si>
    <t xml:space="preserve">ITP 08 70 00-00</t>
  </si>
  <si>
    <t xml:space="preserve">Requirement flagged on 3 Ledger row(s) citing 08 70 00; the Wiki note does not summarize it</t>
  </si>
  <si>
    <t xml:space="preserve">Ledger evidence: startup: adjust/check, Owner instruction, 6-month re-adjustment (08 70 00 ¶3.04).</t>
  </si>
  <si>
    <t xml:space="preserve">ITP 09 25 00-00</t>
  </si>
  <si>
    <t xml:space="preserve">Requirement flagged on 1 Ledger row(s) citing 09 25 00; the Wiki note does not summarize it</t>
  </si>
  <si>
    <t xml:space="preserve">ITP 09 90 00-00</t>
  </si>
  <si>
    <t xml:space="preserve">Requirement flagged on 4 Ledger row(s) citing 09 90 00; the Wiki note does not summarize it</t>
  </si>
  <si>
    <t xml:space="preserve">Process &amp; Mechanical; Structural &amp; Building; Contract &amp; General; Structural &amp; Building</t>
  </si>
  <si>
    <t xml:space="preserve">ITP 13 12 20-00</t>
  </si>
  <si>
    <t xml:space="preserve">Requirement flagged on 1 Ledger row(s) citing 13 12 20; the Wiki note does not summarize it</t>
  </si>
  <si>
    <t xml:space="preserve">ITP 33 05 00-00</t>
  </si>
  <si>
    <t xml:space="preserve">Requirement flagged on 38 Ledger row(s) citing 33 05 00; the Wiki note does not summarize it</t>
  </si>
  <si>
    <t xml:space="preserve">ITP 41 12 13-00</t>
  </si>
  <si>
    <t xml:space="preserve">Requirement flagged on 3 Ledger row(s) citing 41 12 13; the Wiki note does not summarize it</t>
  </si>
  <si>
    <t xml:space="preserve">ITP 43 22 10-00</t>
  </si>
  <si>
    <t xml:space="preserve">Requirement flagged on 3 Ledger row(s) citing 43 22 10; the Wiki note does not summarize it</t>
  </si>
  <si>
    <t xml:space="preserve">C4.2; G0.7; C4.3; C6.4</t>
  </si>
  <si>
    <t xml:space="preserve">PROPOSED-2W-PUMP-STATION-WET-WELL; PROPOSED-2W-Pump-Station-Wet-Well; PROPOSED-2W-PUMPS; PROPOSED-2W-DIAPHRAGM-TANKS</t>
  </si>
  <si>
    <t xml:space="preserve">Process &amp; Mechanical; Contract &amp; General; Process &amp; Mechanical</t>
  </si>
  <si>
    <t xml:space="preserve">ITP 46 12 13-00</t>
  </si>
  <si>
    <t xml:space="preserve">Question</t>
  </si>
  <si>
    <t xml:space="preserve">Answered from Wiki + Ledger?</t>
  </si>
  <si>
    <t xml:space="preserve">Evidence</t>
  </si>
  <si>
    <t xml:space="preserve">Fix</t>
  </si>
  <si>
    <t xml:space="preserve">Build both registers from the Wiki and Ledger only</t>
  </si>
  <si>
    <t xml:space="preserve">Yes</t>
  </si>
  <si>
    <t xml:space="preserve">No library file opened. 139 submittal and 92 test/inspection requirements came from 98 and 70 Wiki notes; bid-phase sections 00 11 16–00 45 43 and the QA plan left out.</t>
  </si>
  <si>
    <t xml:space="preserve">Retrieval rule held.</t>
  </si>
  <si>
    <t xml:space="preserve">Link each requirement to equipment tags</t>
  </si>
  <si>
    <t xml:space="preserve">Partly</t>
  </si>
  <si>
    <t xml:space="preserve">Tags come from Ledger rows flagged Y that cite the section. 20 submittal and 9 test rows link to no tag; cross-lane items are often not flagged because each lane set Y only for its own stack.</t>
  </si>
  <si>
    <t xml:space="preserve">Flag Y/N from the governing section regardless of lane, or add a governing-section column.</t>
  </si>
  <si>
    <t xml:space="preserve">Submittal type (shop drawing, product data, O&amp;M…)</t>
  </si>
  <si>
    <t xml:space="preserve">Parsed from the note sentence by keyword; 20 of 139 rows fall back to "General submittal".</t>
  </si>
  <si>
    <t xml:space="preserve">Capture one Requirements row per submittal item at crawl time.</t>
  </si>
  <si>
    <t xml:space="preserve">Due date / timing</t>
  </si>
  <si>
    <t xml:space="preserve">Mostly no</t>
  </si>
  <si>
    <t xml:space="preserve">123 of 139 submittal rows and 77 of 92 test rows have no timing in the note text.</t>
  </si>
  <si>
    <t xml:space="preserve">Notes are 3–5 sentence summaries; timing lives in the ¶ text. Capture it in Requirements rows.</t>
  </si>
  <si>
    <t xml:space="preserve">Test acceptance criteria</t>
  </si>
  <si>
    <t xml:space="preserve">70 of 92 test rows have no acceptance value in the note text.</t>
  </si>
  <si>
    <t xml:space="preserve">Same fix; acceptance values need their own field at crawl time.</t>
  </si>
  <si>
    <t xml:space="preserve">Responsible party</t>
  </si>
  <si>
    <t xml:space="preserve">Applied as rules: submittals default to the Contractor (01 33 00); tests with no party in the sentence take the 01 45 00 split (Contractor-paid pressure, leakage, disinfection, equipment and start-up tests; Owner-paid special inspections and material testing), tagged Inferred. 19 of 92 test rows still have no party.</t>
  </si>
  <si>
    <t xml:space="preserve">Capture the party in Requirements rows at crawl time.</t>
  </si>
  <si>
    <t xml:space="preserve">Hold / witness points</t>
  </si>
  <si>
    <t xml:space="preserve">No</t>
  </si>
  <si>
    <t xml:space="preserve">Witness requirements appear in some sentences, but Requirements_Schema.csv has no hold/witness column.</t>
  </si>
  <si>
    <t xml:space="preserve">Add a Hold/Witness/Review column to Requirements_Schema.csv.</t>
  </si>
  <si>
    <t xml:space="preserve">Requirements the Ledger flags but the Wiki does not summarize</t>
  </si>
  <si>
    <t xml:space="preserve">Submittal: 6 sections (01 45 00; 01 50 00; 08 10 00; 26 80 00; 33 31 00; 46 12 13). Test: 11 sections (05 50 00; 07 20 00; 08 10 00; 08 70 00; 09 25 00; 09 90 00; 13 12 20; 33 05 00; 41 12 13; 43 22 10; 46 12 13). Kept as gap rows ending "-00".</t>
  </si>
  <si>
    <t xml:space="preserve">Crawl prompts should write Requirements rows, not just Y/N flags.</t>
  </si>
  <si>
    <t xml:space="preserve">Requirements in drawing notes</t>
  </si>
  <si>
    <t xml:space="preserve">Sheet-note sentences are included where they state a test, inspection or submittal (for example S1.1 special inspections, G0.3 inspection notice); the Ledger Y/N flags ignore them (Civil &amp; Site CS-37).</t>
  </si>
  <si>
    <t xml:space="preserve">Add a basis qualifier to the Y/N columns (spec / addendum / drawing / reference).</t>
  </si>
  <si>
    <t xml:space="preserve">Sections checked and found to have no requirement</t>
  </si>
  <si>
    <t xml:space="preserve">Lanes recorded 5 "no submittal" and 10 "no test" findings (e.g. 26 27 26); these are kept out of the registers.</t>
  </si>
  <si>
    <t xml:space="preserve">None — useful negative evidence.</t>
  </si>
  <si>
    <t xml:space="preserve">Confidence</t>
  </si>
  <si>
    <t xml:space="preserve">Submittal rows: Inferred 116, Verified 15, Unresolved 10, Verified-Visual 4. Test rows: Inferred 82, Unresolved 13, Verified 7, Verified-Visual 1. Row tag = weakest of the sentence tag and the tag linkage.</t>
  </si>
  <si>
    <t xml:space="preserve">Consider a separate confidence field for the linkage so verified requirements stay Verified.</t>
  </si>
  <si>
    <t xml:space="preserve">Measure</t>
  </si>
  <si>
    <t xml:space="preserve">Submittal Register (formula)</t>
  </si>
  <si>
    <t xml:space="preserve">Inspection &amp; Test Plan (formula)</t>
  </si>
  <si>
    <t xml:space="preserve">Rows</t>
  </si>
  <si>
    <t xml:space="preserve">Gap rows (Req ID ends -00)</t>
  </si>
  <si>
    <t xml:space="preserve">Timing not stated</t>
  </si>
  <si>
    <t xml:space="preserve">Acceptance not stated</t>
  </si>
  <si>
    <t xml:space="preserve">No linked tag</t>
  </si>
  <si>
    <t xml:space="preserve">Tag level Verified</t>
  </si>
  <si>
    <t xml:space="preserve">Tag level Verified-Visual</t>
  </si>
  <si>
    <t xml:space="preserve">Tag level Inferred</t>
  </si>
  <si>
    <t xml:space="preserve">Tag level Unresolved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</si>
</sst>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70"/>
    <col collapsed="false" customWidth="true" hidden="false" outlineLevel="0" max="4" min="4" style="0" width="24"/>
    <col collapsed="false" customWidth="true" hidden="false" outlineLevel="0" max="5" min="5" style="0" width="26"/>
    <col collapsed="false" customWidth="true" hidden="false" outlineLevel="0" max="6" min="6" style="0" width="28"/>
    <col collapsed="false" customWidth="true" hidden="false" outlineLevel="0" max="7" min="7" style="0" width="22"/>
    <col collapsed="false" customWidth="true" hidden="false" outlineLevel="0" max="8" min="8" style="0" width="14"/>
    <col collapsed="false" customWidth="true" hidden="false" outlineLevel="0" max="9" min="9" style="0" width="22"/>
    <col collapsed="false" customWidth="true" hidden="false" outlineLevel="0" max="10" min="10" style="0" width="36"/>
    <col collapsed="false" customWidth="true" hidden="false" outlineLevel="0" max="11" min="11" style="0" width="16"/>
    <col collapsed="false" customWidth="true" hidden="false" outlineLevel="0" max="12" min="12" style="0" width="20"/>
    <col collapsed="false" customWidth="true" hidden="false" outlineLevel="0" max="13" min="13" style="0" width="18"/>
    <col collapsed="false" customWidth="true" hidden="false" outlineLevel="0" max="14" min="14" style="0" width="14"/>
    <col collapsed="false" customWidth="true" hidden="false" outlineLevel="0" max="16" min="15" style="0" width="50"/>
  </cols>
  <sheetData>
    <row r="1" customFormat="false" ht="57.4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57.45" hidden="false" customHeight="false" outlineLevel="0" collapsed="false">
      <c r="A2" s="2" t="s">
        <v>16</v>
      </c>
      <c r="B2" s="2" t="s">
        <v>17</v>
      </c>
      <c r="C2" s="2" t="s">
        <v>18</v>
      </c>
      <c r="D2" s="2" t="s">
        <v>19</v>
      </c>
      <c r="E2" s="2" t="s">
        <v>20</v>
      </c>
      <c r="F2" s="2" t="s">
        <v>21</v>
      </c>
      <c r="G2" s="2" t="s">
        <v>22</v>
      </c>
      <c r="H2" s="2"/>
      <c r="I2" s="2" t="s">
        <v>23</v>
      </c>
      <c r="J2" s="2" t="s">
        <v>24</v>
      </c>
      <c r="K2" s="2" t="s">
        <v>20</v>
      </c>
      <c r="L2" s="2" t="s">
        <v>25</v>
      </c>
      <c r="M2" s="2" t="s">
        <v>26</v>
      </c>
      <c r="N2" s="2" t="s">
        <v>27</v>
      </c>
      <c r="O2" s="2" t="s">
        <v>28</v>
      </c>
      <c r="P2" s="2" t="s">
        <v>29</v>
      </c>
    </row>
    <row r="3" customFormat="false" ht="158.2" hidden="false" customHeight="false" outlineLevel="0" collapsed="false">
      <c r="A3" s="2" t="s">
        <v>30</v>
      </c>
      <c r="B3" s="2" t="s">
        <v>17</v>
      </c>
      <c r="C3" s="2" t="s">
        <v>31</v>
      </c>
      <c r="D3" s="2" t="s">
        <v>32</v>
      </c>
      <c r="E3" s="2" t="s">
        <v>20</v>
      </c>
      <c r="F3" s="2" t="s">
        <v>21</v>
      </c>
      <c r="G3" s="2" t="s">
        <v>22</v>
      </c>
      <c r="H3" s="2"/>
      <c r="I3" s="2" t="s">
        <v>33</v>
      </c>
      <c r="J3" s="2" t="s">
        <v>34</v>
      </c>
      <c r="K3" s="2" t="s">
        <v>35</v>
      </c>
      <c r="L3" s="2" t="s">
        <v>25</v>
      </c>
      <c r="M3" s="2" t="s">
        <v>36</v>
      </c>
      <c r="N3" s="2" t="s">
        <v>37</v>
      </c>
      <c r="O3" s="2" t="s">
        <v>38</v>
      </c>
      <c r="P3" s="2" t="s">
        <v>39</v>
      </c>
    </row>
    <row r="4" customFormat="false" ht="135.8" hidden="false" customHeight="false" outlineLevel="0" collapsed="false">
      <c r="A4" s="2" t="s">
        <v>40</v>
      </c>
      <c r="B4" s="2" t="s">
        <v>17</v>
      </c>
      <c r="C4" s="2" t="s">
        <v>41</v>
      </c>
      <c r="D4" s="2" t="s">
        <v>32</v>
      </c>
      <c r="E4" s="2" t="s">
        <v>20</v>
      </c>
      <c r="F4" s="2" t="s">
        <v>21</v>
      </c>
      <c r="G4" s="2" t="s">
        <v>22</v>
      </c>
      <c r="H4" s="2"/>
      <c r="I4" s="2" t="s">
        <v>42</v>
      </c>
      <c r="J4" s="2" t="s">
        <v>43</v>
      </c>
      <c r="K4" s="2" t="s">
        <v>35</v>
      </c>
      <c r="L4" s="2" t="s">
        <v>25</v>
      </c>
      <c r="M4" s="2" t="s">
        <v>36</v>
      </c>
      <c r="N4" s="2" t="s">
        <v>37</v>
      </c>
      <c r="O4" s="2" t="s">
        <v>44</v>
      </c>
      <c r="P4" s="2" t="s">
        <v>45</v>
      </c>
    </row>
    <row r="5" customFormat="false" ht="57.45" hidden="false" customHeight="false" outlineLevel="0" collapsed="false">
      <c r="A5" s="2" t="s">
        <v>46</v>
      </c>
      <c r="B5" s="2" t="s">
        <v>17</v>
      </c>
      <c r="C5" s="2" t="s">
        <v>47</v>
      </c>
      <c r="D5" s="2" t="s">
        <v>32</v>
      </c>
      <c r="E5" s="2" t="s">
        <v>20</v>
      </c>
      <c r="F5" s="2" t="s">
        <v>21</v>
      </c>
      <c r="G5" s="2" t="s">
        <v>22</v>
      </c>
      <c r="H5" s="2"/>
      <c r="I5" s="2" t="s">
        <v>48</v>
      </c>
      <c r="J5" s="2" t="s">
        <v>24</v>
      </c>
      <c r="K5" s="2" t="s">
        <v>20</v>
      </c>
      <c r="L5" s="2" t="s">
        <v>25</v>
      </c>
      <c r="M5" s="2" t="s">
        <v>26</v>
      </c>
      <c r="N5" s="2" t="s">
        <v>49</v>
      </c>
      <c r="O5" s="2" t="s">
        <v>50</v>
      </c>
      <c r="P5" s="2" t="s">
        <v>29</v>
      </c>
    </row>
    <row r="6" customFormat="false" ht="68.65" hidden="false" customHeight="false" outlineLevel="0" collapsed="false">
      <c r="A6" s="2" t="s">
        <v>51</v>
      </c>
      <c r="B6" s="2" t="s">
        <v>17</v>
      </c>
      <c r="C6" s="2" t="s">
        <v>52</v>
      </c>
      <c r="D6" s="2" t="s">
        <v>53</v>
      </c>
      <c r="E6" s="2" t="s">
        <v>20</v>
      </c>
      <c r="F6" s="2" t="s">
        <v>21</v>
      </c>
      <c r="G6" s="2" t="s">
        <v>22</v>
      </c>
      <c r="H6" s="2"/>
      <c r="I6" s="2" t="s">
        <v>54</v>
      </c>
      <c r="J6" s="2" t="s">
        <v>55</v>
      </c>
      <c r="K6" s="2" t="s">
        <v>56</v>
      </c>
      <c r="L6" s="2" t="s">
        <v>25</v>
      </c>
      <c r="M6" s="2" t="s">
        <v>26</v>
      </c>
      <c r="N6" s="2" t="s">
        <v>37</v>
      </c>
      <c r="O6" s="2" t="s">
        <v>57</v>
      </c>
      <c r="P6" s="2" t="s">
        <v>58</v>
      </c>
    </row>
    <row r="7" customFormat="false" ht="68.65" hidden="false" customHeight="false" outlineLevel="0" collapsed="false">
      <c r="A7" s="2" t="s">
        <v>59</v>
      </c>
      <c r="B7" s="2" t="s">
        <v>17</v>
      </c>
      <c r="C7" s="2" t="s">
        <v>60</v>
      </c>
      <c r="D7" s="2" t="s">
        <v>32</v>
      </c>
      <c r="E7" s="2" t="s">
        <v>20</v>
      </c>
      <c r="F7" s="2" t="s">
        <v>21</v>
      </c>
      <c r="G7" s="2" t="s">
        <v>22</v>
      </c>
      <c r="H7" s="2"/>
      <c r="I7" s="2" t="s">
        <v>61</v>
      </c>
      <c r="J7" s="2" t="s">
        <v>62</v>
      </c>
      <c r="K7" s="2" t="s">
        <v>63</v>
      </c>
      <c r="L7" s="2" t="s">
        <v>25</v>
      </c>
      <c r="M7" s="2" t="s">
        <v>26</v>
      </c>
      <c r="N7" s="2" t="s">
        <v>37</v>
      </c>
      <c r="O7" s="2" t="s">
        <v>64</v>
      </c>
      <c r="P7" s="2" t="s">
        <v>65</v>
      </c>
    </row>
    <row r="8" customFormat="false" ht="113.4" hidden="false" customHeight="false" outlineLevel="0" collapsed="false">
      <c r="A8" s="2" t="s">
        <v>66</v>
      </c>
      <c r="B8" s="2" t="s">
        <v>17</v>
      </c>
      <c r="C8" s="2" t="s">
        <v>67</v>
      </c>
      <c r="D8" s="2" t="s">
        <v>68</v>
      </c>
      <c r="E8" s="2" t="s">
        <v>69</v>
      </c>
      <c r="F8" s="2" t="s">
        <v>21</v>
      </c>
      <c r="G8" s="2" t="s">
        <v>22</v>
      </c>
      <c r="H8" s="2"/>
      <c r="I8" s="2" t="s">
        <v>70</v>
      </c>
      <c r="J8" s="2" t="s">
        <v>24</v>
      </c>
      <c r="K8" s="2" t="s">
        <v>20</v>
      </c>
      <c r="L8" s="2" t="s">
        <v>25</v>
      </c>
      <c r="M8" s="2" t="s">
        <v>36</v>
      </c>
      <c r="N8" s="2" t="s">
        <v>49</v>
      </c>
      <c r="O8" s="2" t="s">
        <v>71</v>
      </c>
      <c r="P8" s="2" t="s">
        <v>29</v>
      </c>
    </row>
    <row r="9" customFormat="false" ht="135.8" hidden="false" customHeight="false" outlineLevel="0" collapsed="false">
      <c r="A9" s="2" t="s">
        <v>72</v>
      </c>
      <c r="B9" s="2" t="s">
        <v>17</v>
      </c>
      <c r="C9" s="2" t="s">
        <v>73</v>
      </c>
      <c r="D9" s="2" t="s">
        <v>68</v>
      </c>
      <c r="E9" s="2" t="s">
        <v>20</v>
      </c>
      <c r="F9" s="2" t="s">
        <v>21</v>
      </c>
      <c r="G9" s="2" t="s">
        <v>74</v>
      </c>
      <c r="H9" s="2"/>
      <c r="I9" s="2" t="s">
        <v>75</v>
      </c>
      <c r="J9" s="2" t="s">
        <v>24</v>
      </c>
      <c r="K9" s="2" t="s">
        <v>20</v>
      </c>
      <c r="L9" s="2" t="s">
        <v>25</v>
      </c>
      <c r="M9" s="2" t="s">
        <v>36</v>
      </c>
      <c r="N9" s="2" t="s">
        <v>49</v>
      </c>
      <c r="O9" s="2" t="s">
        <v>76</v>
      </c>
      <c r="P9" s="2" t="s">
        <v>29</v>
      </c>
    </row>
    <row r="10" customFormat="false" ht="314.9" hidden="false" customHeight="false" outlineLevel="0" collapsed="false">
      <c r="A10" s="2" t="s">
        <v>77</v>
      </c>
      <c r="B10" s="2" t="s">
        <v>17</v>
      </c>
      <c r="C10" s="2" t="s">
        <v>78</v>
      </c>
      <c r="D10" s="2" t="s">
        <v>79</v>
      </c>
      <c r="E10" s="2" t="s">
        <v>20</v>
      </c>
      <c r="F10" s="2" t="s">
        <v>21</v>
      </c>
      <c r="G10" s="2" t="s">
        <v>80</v>
      </c>
      <c r="H10" s="2"/>
      <c r="I10" s="2" t="s">
        <v>81</v>
      </c>
      <c r="J10" s="2" t="s">
        <v>82</v>
      </c>
      <c r="K10" s="2" t="s">
        <v>83</v>
      </c>
      <c r="L10" s="2" t="s">
        <v>25</v>
      </c>
      <c r="M10" s="2" t="s">
        <v>36</v>
      </c>
      <c r="N10" s="2" t="s">
        <v>37</v>
      </c>
      <c r="O10" s="2" t="s">
        <v>84</v>
      </c>
      <c r="P10" s="2" t="s">
        <v>85</v>
      </c>
    </row>
    <row r="11" customFormat="false" ht="57.45" hidden="false" customHeight="false" outlineLevel="0" collapsed="false">
      <c r="A11" s="2" t="s">
        <v>86</v>
      </c>
      <c r="B11" s="2" t="s">
        <v>17</v>
      </c>
      <c r="C11" s="2" t="s">
        <v>87</v>
      </c>
      <c r="D11" s="2" t="s">
        <v>53</v>
      </c>
      <c r="E11" s="2" t="s">
        <v>20</v>
      </c>
      <c r="F11" s="2" t="s">
        <v>21</v>
      </c>
      <c r="G11" s="2" t="s">
        <v>22</v>
      </c>
      <c r="H11" s="2"/>
      <c r="I11" s="2" t="s">
        <v>88</v>
      </c>
      <c r="J11" s="2" t="s">
        <v>89</v>
      </c>
      <c r="K11" s="2" t="s">
        <v>90</v>
      </c>
      <c r="L11" s="2" t="s">
        <v>25</v>
      </c>
      <c r="M11" s="2" t="s">
        <v>36</v>
      </c>
      <c r="N11" s="2" t="s">
        <v>37</v>
      </c>
      <c r="O11" s="2" t="s">
        <v>91</v>
      </c>
      <c r="P11" s="2" t="s">
        <v>92</v>
      </c>
    </row>
    <row r="12" customFormat="false" ht="91" hidden="false" customHeight="false" outlineLevel="0" collapsed="false">
      <c r="A12" s="2" t="s">
        <v>93</v>
      </c>
      <c r="B12" s="2" t="s">
        <v>17</v>
      </c>
      <c r="C12" s="2" t="s">
        <v>94</v>
      </c>
      <c r="D12" s="2" t="s">
        <v>32</v>
      </c>
      <c r="E12" s="2" t="s">
        <v>20</v>
      </c>
      <c r="F12" s="2" t="s">
        <v>21</v>
      </c>
      <c r="G12" s="2" t="s">
        <v>22</v>
      </c>
      <c r="H12" s="2"/>
      <c r="I12" s="2" t="s">
        <v>95</v>
      </c>
      <c r="J12" s="2" t="s">
        <v>96</v>
      </c>
      <c r="K12" s="2" t="s">
        <v>97</v>
      </c>
      <c r="L12" s="2" t="s">
        <v>25</v>
      </c>
      <c r="M12" s="2" t="s">
        <v>36</v>
      </c>
      <c r="N12" s="2" t="s">
        <v>37</v>
      </c>
      <c r="O12" s="2" t="s">
        <v>98</v>
      </c>
      <c r="P12" s="2" t="s">
        <v>99</v>
      </c>
    </row>
    <row r="13" customFormat="false" ht="57.45" hidden="false" customHeight="false" outlineLevel="0" collapsed="false">
      <c r="A13" s="2" t="s">
        <v>100</v>
      </c>
      <c r="B13" s="2" t="s">
        <v>17</v>
      </c>
      <c r="C13" s="2" t="s">
        <v>101</v>
      </c>
      <c r="D13" s="2" t="s">
        <v>79</v>
      </c>
      <c r="E13" s="2" t="s">
        <v>20</v>
      </c>
      <c r="F13" s="2" t="s">
        <v>21</v>
      </c>
      <c r="G13" s="2" t="s">
        <v>22</v>
      </c>
      <c r="H13" s="2"/>
      <c r="I13" s="2" t="s">
        <v>95</v>
      </c>
      <c r="J13" s="2" t="s">
        <v>96</v>
      </c>
      <c r="K13" s="2" t="s">
        <v>97</v>
      </c>
      <c r="L13" s="2" t="s">
        <v>25</v>
      </c>
      <c r="M13" s="2" t="s">
        <v>36</v>
      </c>
      <c r="N13" s="2" t="s">
        <v>37</v>
      </c>
      <c r="O13" s="2" t="s">
        <v>102</v>
      </c>
      <c r="P13" s="2" t="s">
        <v>99</v>
      </c>
    </row>
    <row r="14" customFormat="false" ht="79.85" hidden="false" customHeight="false" outlineLevel="0" collapsed="false">
      <c r="A14" s="2" t="s">
        <v>103</v>
      </c>
      <c r="B14" s="2" t="s">
        <v>17</v>
      </c>
      <c r="C14" s="2" t="s">
        <v>104</v>
      </c>
      <c r="D14" s="2" t="s">
        <v>32</v>
      </c>
      <c r="E14" s="2" t="s">
        <v>20</v>
      </c>
      <c r="F14" s="2" t="s">
        <v>21</v>
      </c>
      <c r="G14" s="2" t="s">
        <v>22</v>
      </c>
      <c r="H14" s="2"/>
      <c r="I14" s="2" t="s">
        <v>105</v>
      </c>
      <c r="J14" s="2" t="s">
        <v>106</v>
      </c>
      <c r="K14" s="2" t="s">
        <v>97</v>
      </c>
      <c r="L14" s="2" t="s">
        <v>25</v>
      </c>
      <c r="M14" s="2" t="s">
        <v>36</v>
      </c>
      <c r="N14" s="2" t="s">
        <v>37</v>
      </c>
      <c r="O14" s="2" t="s">
        <v>107</v>
      </c>
      <c r="P14" s="2" t="s">
        <v>92</v>
      </c>
    </row>
    <row r="15" customFormat="false" ht="57.45" hidden="false" customHeight="false" outlineLevel="0" collapsed="false">
      <c r="A15" s="2" t="s">
        <v>108</v>
      </c>
      <c r="B15" s="2" t="s">
        <v>17</v>
      </c>
      <c r="C15" s="2" t="s">
        <v>109</v>
      </c>
      <c r="D15" s="2" t="s">
        <v>53</v>
      </c>
      <c r="E15" s="2" t="s">
        <v>20</v>
      </c>
      <c r="F15" s="2" t="s">
        <v>21</v>
      </c>
      <c r="G15" s="2" t="s">
        <v>22</v>
      </c>
      <c r="H15" s="2"/>
      <c r="I15" s="2" t="s">
        <v>110</v>
      </c>
      <c r="J15" s="2" t="s">
        <v>111</v>
      </c>
      <c r="K15" s="2" t="s">
        <v>63</v>
      </c>
      <c r="L15" s="2" t="s">
        <v>25</v>
      </c>
      <c r="M15" s="2" t="s">
        <v>26</v>
      </c>
      <c r="N15" s="2" t="s">
        <v>37</v>
      </c>
      <c r="O15" s="2" t="s">
        <v>112</v>
      </c>
      <c r="P15" s="2" t="s">
        <v>92</v>
      </c>
    </row>
    <row r="16" customFormat="false" ht="57.45" hidden="false" customHeight="false" outlineLevel="0" collapsed="false">
      <c r="A16" s="2" t="s">
        <v>113</v>
      </c>
      <c r="B16" s="2" t="s">
        <v>17</v>
      </c>
      <c r="C16" s="2" t="s">
        <v>114</v>
      </c>
      <c r="D16" s="2" t="s">
        <v>53</v>
      </c>
      <c r="E16" s="2" t="s">
        <v>20</v>
      </c>
      <c r="F16" s="2" t="s">
        <v>21</v>
      </c>
      <c r="G16" s="2" t="s">
        <v>22</v>
      </c>
      <c r="H16" s="2"/>
      <c r="I16" s="2" t="s">
        <v>115</v>
      </c>
      <c r="J16" s="2" t="s">
        <v>24</v>
      </c>
      <c r="K16" s="2" t="s">
        <v>20</v>
      </c>
      <c r="L16" s="2" t="s">
        <v>25</v>
      </c>
      <c r="M16" s="2" t="s">
        <v>26</v>
      </c>
      <c r="N16" s="2" t="s">
        <v>49</v>
      </c>
      <c r="O16" s="2" t="s">
        <v>116</v>
      </c>
      <c r="P16" s="2" t="s">
        <v>29</v>
      </c>
    </row>
    <row r="17" customFormat="false" ht="57.45" hidden="false" customHeight="false" outlineLevel="0" collapsed="false">
      <c r="A17" s="2" t="s">
        <v>117</v>
      </c>
      <c r="B17" s="2" t="s">
        <v>17</v>
      </c>
      <c r="C17" s="2" t="s">
        <v>118</v>
      </c>
      <c r="D17" s="2" t="s">
        <v>32</v>
      </c>
      <c r="E17" s="2" t="s">
        <v>20</v>
      </c>
      <c r="F17" s="2" t="s">
        <v>21</v>
      </c>
      <c r="G17" s="2" t="s">
        <v>22</v>
      </c>
      <c r="H17" s="2"/>
      <c r="I17" s="2" t="s">
        <v>119</v>
      </c>
      <c r="J17" s="2" t="s">
        <v>120</v>
      </c>
      <c r="K17" s="2" t="s">
        <v>63</v>
      </c>
      <c r="L17" s="2" t="s">
        <v>25</v>
      </c>
      <c r="M17" s="2" t="s">
        <v>26</v>
      </c>
      <c r="N17" s="2" t="s">
        <v>37</v>
      </c>
      <c r="O17" s="2" t="s">
        <v>121</v>
      </c>
      <c r="P17" s="2" t="s">
        <v>122</v>
      </c>
    </row>
    <row r="18" customFormat="false" ht="57.45" hidden="false" customHeight="false" outlineLevel="0" collapsed="false">
      <c r="A18" s="2" t="s">
        <v>123</v>
      </c>
      <c r="B18" s="2" t="s">
        <v>17</v>
      </c>
      <c r="C18" s="2" t="s">
        <v>124</v>
      </c>
      <c r="D18" s="2" t="s">
        <v>32</v>
      </c>
      <c r="E18" s="2" t="s">
        <v>20</v>
      </c>
      <c r="F18" s="2" t="s">
        <v>21</v>
      </c>
      <c r="G18" s="2" t="s">
        <v>22</v>
      </c>
      <c r="H18" s="2"/>
      <c r="I18" s="2" t="s">
        <v>119</v>
      </c>
      <c r="J18" s="2" t="s">
        <v>120</v>
      </c>
      <c r="K18" s="2" t="s">
        <v>63</v>
      </c>
      <c r="L18" s="2" t="s">
        <v>25</v>
      </c>
      <c r="M18" s="2" t="s">
        <v>26</v>
      </c>
      <c r="N18" s="2" t="s">
        <v>37</v>
      </c>
      <c r="O18" s="2" t="s">
        <v>125</v>
      </c>
      <c r="P18" s="2" t="s">
        <v>122</v>
      </c>
    </row>
    <row r="19" customFormat="false" ht="57.45" hidden="false" customHeight="false" outlineLevel="0" collapsed="false">
      <c r="A19" s="2" t="s">
        <v>126</v>
      </c>
      <c r="B19" s="2" t="s">
        <v>17</v>
      </c>
      <c r="C19" s="2" t="s">
        <v>127</v>
      </c>
      <c r="D19" s="2" t="s">
        <v>53</v>
      </c>
      <c r="E19" s="2" t="s">
        <v>20</v>
      </c>
      <c r="F19" s="2" t="s">
        <v>21</v>
      </c>
      <c r="G19" s="2" t="s">
        <v>22</v>
      </c>
      <c r="H19" s="2"/>
      <c r="I19" s="2" t="s">
        <v>128</v>
      </c>
      <c r="J19" s="2" t="s">
        <v>129</v>
      </c>
      <c r="K19" s="2" t="s">
        <v>63</v>
      </c>
      <c r="L19" s="2" t="s">
        <v>25</v>
      </c>
      <c r="M19" s="2" t="s">
        <v>26</v>
      </c>
      <c r="N19" s="2" t="s">
        <v>37</v>
      </c>
      <c r="O19" s="2" t="s">
        <v>130</v>
      </c>
      <c r="P19" s="2" t="s">
        <v>92</v>
      </c>
    </row>
    <row r="20" customFormat="false" ht="68.65" hidden="false" customHeight="false" outlineLevel="0" collapsed="false">
      <c r="A20" s="2" t="s">
        <v>131</v>
      </c>
      <c r="B20" s="2" t="s">
        <v>17</v>
      </c>
      <c r="C20" s="2" t="s">
        <v>132</v>
      </c>
      <c r="D20" s="2" t="s">
        <v>53</v>
      </c>
      <c r="E20" s="2" t="s">
        <v>20</v>
      </c>
      <c r="F20" s="2" t="s">
        <v>21</v>
      </c>
      <c r="G20" s="2" t="s">
        <v>22</v>
      </c>
      <c r="H20" s="2"/>
      <c r="I20" s="2" t="s">
        <v>133</v>
      </c>
      <c r="J20" s="2" t="s">
        <v>134</v>
      </c>
      <c r="K20" s="2" t="s">
        <v>90</v>
      </c>
      <c r="L20" s="2" t="s">
        <v>135</v>
      </c>
      <c r="M20" s="2" t="s">
        <v>136</v>
      </c>
      <c r="N20" s="2" t="s">
        <v>137</v>
      </c>
      <c r="O20" s="2" t="s">
        <v>138</v>
      </c>
      <c r="P20" s="2" t="s">
        <v>139</v>
      </c>
    </row>
    <row r="21" customFormat="false" ht="113.4" hidden="false" customHeight="false" outlineLevel="0" collapsed="false">
      <c r="A21" s="2" t="s">
        <v>140</v>
      </c>
      <c r="B21" s="2" t="s">
        <v>17</v>
      </c>
      <c r="C21" s="2" t="s">
        <v>141</v>
      </c>
      <c r="D21" s="2" t="s">
        <v>142</v>
      </c>
      <c r="E21" s="2" t="s">
        <v>20</v>
      </c>
      <c r="F21" s="2" t="s">
        <v>21</v>
      </c>
      <c r="G21" s="2" t="s">
        <v>22</v>
      </c>
      <c r="H21" s="2"/>
      <c r="I21" s="2" t="s">
        <v>143</v>
      </c>
      <c r="J21" s="2" t="s">
        <v>144</v>
      </c>
      <c r="K21" s="2" t="s">
        <v>145</v>
      </c>
      <c r="L21" s="2" t="s">
        <v>25</v>
      </c>
      <c r="M21" s="2" t="s">
        <v>136</v>
      </c>
      <c r="N21" s="2" t="s">
        <v>37</v>
      </c>
      <c r="O21" s="2" t="s">
        <v>146</v>
      </c>
      <c r="P21" s="2" t="s">
        <v>139</v>
      </c>
    </row>
    <row r="22" customFormat="false" ht="57.45" hidden="false" customHeight="false" outlineLevel="0" collapsed="false">
      <c r="A22" s="2" t="s">
        <v>147</v>
      </c>
      <c r="B22" s="2" t="s">
        <v>17</v>
      </c>
      <c r="C22" s="2" t="s">
        <v>148</v>
      </c>
      <c r="D22" s="2" t="s">
        <v>149</v>
      </c>
      <c r="E22" s="2" t="s">
        <v>20</v>
      </c>
      <c r="F22" s="2" t="s">
        <v>21</v>
      </c>
      <c r="G22" s="2" t="s">
        <v>22</v>
      </c>
      <c r="H22" s="2"/>
      <c r="I22" s="2" t="s">
        <v>150</v>
      </c>
      <c r="J22" s="2" t="s">
        <v>151</v>
      </c>
      <c r="K22" s="2" t="s">
        <v>145</v>
      </c>
      <c r="L22" s="2" t="s">
        <v>25</v>
      </c>
      <c r="M22" s="2" t="s">
        <v>136</v>
      </c>
      <c r="N22" s="2" t="s">
        <v>37</v>
      </c>
      <c r="O22" s="2" t="s">
        <v>152</v>
      </c>
      <c r="P22" s="2" t="s">
        <v>122</v>
      </c>
    </row>
    <row r="23" customFormat="false" ht="68.65" hidden="false" customHeight="false" outlineLevel="0" collapsed="false">
      <c r="A23" s="2" t="s">
        <v>153</v>
      </c>
      <c r="B23" s="2" t="s">
        <v>17</v>
      </c>
      <c r="C23" s="2" t="s">
        <v>154</v>
      </c>
      <c r="D23" s="2" t="s">
        <v>149</v>
      </c>
      <c r="E23" s="2" t="s">
        <v>20</v>
      </c>
      <c r="F23" s="2" t="s">
        <v>21</v>
      </c>
      <c r="G23" s="2" t="s">
        <v>22</v>
      </c>
      <c r="H23" s="2"/>
      <c r="I23" s="2" t="s">
        <v>155</v>
      </c>
      <c r="J23" s="2" t="s">
        <v>156</v>
      </c>
      <c r="K23" s="2" t="s">
        <v>63</v>
      </c>
      <c r="L23" s="2" t="s">
        <v>25</v>
      </c>
      <c r="M23" s="2" t="s">
        <v>136</v>
      </c>
      <c r="N23" s="2" t="s">
        <v>37</v>
      </c>
      <c r="O23" s="2" t="s">
        <v>157</v>
      </c>
      <c r="P23" s="2" t="s">
        <v>85</v>
      </c>
    </row>
    <row r="24" customFormat="false" ht="68.65" hidden="false" customHeight="false" outlineLevel="0" collapsed="false">
      <c r="A24" s="2" t="s">
        <v>158</v>
      </c>
      <c r="B24" s="2" t="s">
        <v>17</v>
      </c>
      <c r="C24" s="2" t="s">
        <v>159</v>
      </c>
      <c r="D24" s="2" t="s">
        <v>160</v>
      </c>
      <c r="E24" s="2" t="s">
        <v>20</v>
      </c>
      <c r="F24" s="2" t="s">
        <v>21</v>
      </c>
      <c r="G24" s="2" t="s">
        <v>80</v>
      </c>
      <c r="H24" s="2"/>
      <c r="I24" s="2" t="s">
        <v>155</v>
      </c>
      <c r="J24" s="2" t="s">
        <v>156</v>
      </c>
      <c r="K24" s="2" t="s">
        <v>63</v>
      </c>
      <c r="L24" s="2" t="s">
        <v>25</v>
      </c>
      <c r="M24" s="2" t="s">
        <v>136</v>
      </c>
      <c r="N24" s="2" t="s">
        <v>37</v>
      </c>
      <c r="O24" s="2" t="s">
        <v>161</v>
      </c>
      <c r="P24" s="2" t="s">
        <v>85</v>
      </c>
    </row>
    <row r="25" customFormat="false" ht="57.45" hidden="false" customHeight="false" outlineLevel="0" collapsed="false">
      <c r="A25" s="2" t="s">
        <v>162</v>
      </c>
      <c r="B25" s="2" t="s">
        <v>17</v>
      </c>
      <c r="C25" s="2" t="s">
        <v>163</v>
      </c>
      <c r="D25" s="2" t="s">
        <v>164</v>
      </c>
      <c r="E25" s="2" t="s">
        <v>20</v>
      </c>
      <c r="F25" s="2" t="s">
        <v>21</v>
      </c>
      <c r="G25" s="2" t="s">
        <v>22</v>
      </c>
      <c r="H25" s="2"/>
      <c r="I25" s="2" t="s">
        <v>165</v>
      </c>
      <c r="J25" s="2" t="s">
        <v>166</v>
      </c>
      <c r="K25" s="2" t="s">
        <v>63</v>
      </c>
      <c r="L25" s="2" t="s">
        <v>167</v>
      </c>
      <c r="M25" s="2" t="s">
        <v>136</v>
      </c>
      <c r="N25" s="2" t="s">
        <v>37</v>
      </c>
      <c r="O25" s="2" t="s">
        <v>168</v>
      </c>
      <c r="P25" s="2" t="s">
        <v>99</v>
      </c>
    </row>
    <row r="26" customFormat="false" ht="57.45" hidden="false" customHeight="false" outlineLevel="0" collapsed="false">
      <c r="A26" s="2" t="s">
        <v>169</v>
      </c>
      <c r="B26" s="2" t="s">
        <v>17</v>
      </c>
      <c r="C26" s="2" t="s">
        <v>170</v>
      </c>
      <c r="D26" s="2" t="s">
        <v>53</v>
      </c>
      <c r="E26" s="2" t="s">
        <v>20</v>
      </c>
      <c r="F26" s="2" t="s">
        <v>21</v>
      </c>
      <c r="G26" s="2" t="s">
        <v>80</v>
      </c>
      <c r="H26" s="2"/>
      <c r="I26" s="2" t="s">
        <v>171</v>
      </c>
      <c r="J26" s="2" t="s">
        <v>172</v>
      </c>
      <c r="K26" s="2" t="s">
        <v>63</v>
      </c>
      <c r="L26" s="2" t="s">
        <v>25</v>
      </c>
      <c r="M26" s="2" t="s">
        <v>136</v>
      </c>
      <c r="N26" s="2" t="s">
        <v>37</v>
      </c>
      <c r="O26" s="2" t="s">
        <v>173</v>
      </c>
      <c r="P26" s="2" t="s">
        <v>99</v>
      </c>
    </row>
    <row r="27" customFormat="false" ht="68.65" hidden="false" customHeight="false" outlineLevel="0" collapsed="false">
      <c r="A27" s="2" t="s">
        <v>174</v>
      </c>
      <c r="B27" s="2" t="s">
        <v>17</v>
      </c>
      <c r="C27" s="2" t="s">
        <v>175</v>
      </c>
      <c r="D27" s="2" t="s">
        <v>160</v>
      </c>
      <c r="E27" s="2" t="s">
        <v>20</v>
      </c>
      <c r="F27" s="2" t="s">
        <v>21</v>
      </c>
      <c r="G27" s="2" t="s">
        <v>22</v>
      </c>
      <c r="H27" s="2"/>
      <c r="I27" s="2" t="s">
        <v>176</v>
      </c>
      <c r="J27" s="2" t="s">
        <v>177</v>
      </c>
      <c r="K27" s="2" t="s">
        <v>63</v>
      </c>
      <c r="L27" s="2" t="s">
        <v>178</v>
      </c>
      <c r="M27" s="2" t="s">
        <v>136</v>
      </c>
      <c r="N27" s="2" t="s">
        <v>37</v>
      </c>
      <c r="O27" s="2" t="s">
        <v>179</v>
      </c>
      <c r="P27" s="2" t="s">
        <v>85</v>
      </c>
    </row>
    <row r="28" customFormat="false" ht="57.45" hidden="false" customHeight="false" outlineLevel="0" collapsed="false">
      <c r="A28" s="2" t="s">
        <v>180</v>
      </c>
      <c r="B28" s="2" t="s">
        <v>17</v>
      </c>
      <c r="C28" s="2" t="s">
        <v>181</v>
      </c>
      <c r="D28" s="2" t="s">
        <v>160</v>
      </c>
      <c r="E28" s="2" t="s">
        <v>20</v>
      </c>
      <c r="F28" s="2" t="s">
        <v>21</v>
      </c>
      <c r="G28" s="2" t="s">
        <v>182</v>
      </c>
      <c r="H28" s="2"/>
      <c r="I28" s="2" t="s">
        <v>183</v>
      </c>
      <c r="J28" s="2" t="s">
        <v>24</v>
      </c>
      <c r="K28" s="2" t="s">
        <v>20</v>
      </c>
      <c r="L28" s="2" t="s">
        <v>25</v>
      </c>
      <c r="M28" s="2" t="s">
        <v>184</v>
      </c>
      <c r="N28" s="2" t="s">
        <v>27</v>
      </c>
      <c r="O28" s="2" t="s">
        <v>185</v>
      </c>
      <c r="P28" s="2" t="s">
        <v>29</v>
      </c>
    </row>
    <row r="29" customFormat="false" ht="57.45" hidden="false" customHeight="false" outlineLevel="0" collapsed="false">
      <c r="A29" s="2" t="s">
        <v>186</v>
      </c>
      <c r="B29" s="2" t="s">
        <v>17</v>
      </c>
      <c r="C29" s="2" t="s">
        <v>187</v>
      </c>
      <c r="D29" s="2" t="s">
        <v>160</v>
      </c>
      <c r="E29" s="2" t="s">
        <v>20</v>
      </c>
      <c r="F29" s="2" t="s">
        <v>21</v>
      </c>
      <c r="G29" s="2" t="s">
        <v>22</v>
      </c>
      <c r="H29" s="2"/>
      <c r="I29" s="2" t="s">
        <v>188</v>
      </c>
      <c r="J29" s="2" t="s">
        <v>189</v>
      </c>
      <c r="K29" s="2" t="s">
        <v>190</v>
      </c>
      <c r="L29" s="2" t="s">
        <v>25</v>
      </c>
      <c r="M29" s="2" t="s">
        <v>184</v>
      </c>
      <c r="N29" s="2" t="s">
        <v>37</v>
      </c>
      <c r="O29" s="2" t="s">
        <v>191</v>
      </c>
      <c r="P29" s="2" t="s">
        <v>99</v>
      </c>
    </row>
    <row r="30" customFormat="false" ht="202.95" hidden="false" customHeight="false" outlineLevel="0" collapsed="false">
      <c r="A30" s="2" t="s">
        <v>192</v>
      </c>
      <c r="B30" s="2" t="s">
        <v>17</v>
      </c>
      <c r="C30" s="2" t="s">
        <v>193</v>
      </c>
      <c r="D30" s="2" t="s">
        <v>53</v>
      </c>
      <c r="E30" s="2" t="s">
        <v>20</v>
      </c>
      <c r="F30" s="2" t="s">
        <v>21</v>
      </c>
      <c r="G30" s="2" t="s">
        <v>22</v>
      </c>
      <c r="H30" s="2"/>
      <c r="I30" s="2" t="s">
        <v>194</v>
      </c>
      <c r="J30" s="2" t="s">
        <v>195</v>
      </c>
      <c r="K30" s="2" t="s">
        <v>196</v>
      </c>
      <c r="L30" s="2" t="s">
        <v>25</v>
      </c>
      <c r="M30" s="2" t="s">
        <v>184</v>
      </c>
      <c r="N30" s="2" t="s">
        <v>37</v>
      </c>
      <c r="O30" s="2" t="s">
        <v>197</v>
      </c>
      <c r="P30" s="2" t="s">
        <v>198</v>
      </c>
    </row>
    <row r="31" customFormat="false" ht="57.45" hidden="false" customHeight="false" outlineLevel="0" collapsed="false">
      <c r="A31" s="2" t="s">
        <v>199</v>
      </c>
      <c r="B31" s="2" t="s">
        <v>17</v>
      </c>
      <c r="C31" s="2" t="s">
        <v>200</v>
      </c>
      <c r="D31" s="2" t="s">
        <v>53</v>
      </c>
      <c r="E31" s="2" t="s">
        <v>20</v>
      </c>
      <c r="F31" s="2" t="s">
        <v>21</v>
      </c>
      <c r="G31" s="2" t="s">
        <v>22</v>
      </c>
      <c r="H31" s="2"/>
      <c r="I31" s="2" t="s">
        <v>201</v>
      </c>
      <c r="J31" s="2" t="s">
        <v>202</v>
      </c>
      <c r="K31" s="2" t="s">
        <v>196</v>
      </c>
      <c r="L31" s="2" t="s">
        <v>25</v>
      </c>
      <c r="M31" s="2" t="s">
        <v>184</v>
      </c>
      <c r="N31" s="2" t="s">
        <v>37</v>
      </c>
      <c r="O31" s="2" t="s">
        <v>203</v>
      </c>
      <c r="P31" s="2" t="s">
        <v>85</v>
      </c>
    </row>
    <row r="32" customFormat="false" ht="68.65" hidden="false" customHeight="false" outlineLevel="0" collapsed="false">
      <c r="A32" s="2" t="s">
        <v>204</v>
      </c>
      <c r="B32" s="2" t="s">
        <v>17</v>
      </c>
      <c r="C32" s="2" t="s">
        <v>205</v>
      </c>
      <c r="D32" s="2" t="s">
        <v>53</v>
      </c>
      <c r="E32" s="2" t="s">
        <v>20</v>
      </c>
      <c r="F32" s="2" t="s">
        <v>21</v>
      </c>
      <c r="G32" s="2" t="s">
        <v>206</v>
      </c>
      <c r="H32" s="2"/>
      <c r="I32" s="2" t="s">
        <v>207</v>
      </c>
      <c r="J32" s="2" t="s">
        <v>208</v>
      </c>
      <c r="K32" s="2" t="s">
        <v>209</v>
      </c>
      <c r="L32" s="2" t="s">
        <v>25</v>
      </c>
      <c r="M32" s="2" t="s">
        <v>184</v>
      </c>
      <c r="N32" s="2" t="s">
        <v>37</v>
      </c>
      <c r="O32" s="2" t="s">
        <v>210</v>
      </c>
      <c r="P32" s="2" t="s">
        <v>211</v>
      </c>
    </row>
    <row r="33" customFormat="false" ht="57.45" hidden="false" customHeight="false" outlineLevel="0" collapsed="false">
      <c r="A33" s="2" t="s">
        <v>212</v>
      </c>
      <c r="B33" s="2" t="s">
        <v>17</v>
      </c>
      <c r="C33" s="2" t="s">
        <v>213</v>
      </c>
      <c r="D33" s="2" t="s">
        <v>53</v>
      </c>
      <c r="E33" s="2" t="s">
        <v>20</v>
      </c>
      <c r="F33" s="2" t="s">
        <v>21</v>
      </c>
      <c r="G33" s="2" t="s">
        <v>22</v>
      </c>
      <c r="H33" s="2"/>
      <c r="I33" s="2" t="s">
        <v>214</v>
      </c>
      <c r="J33" s="2" t="s">
        <v>215</v>
      </c>
      <c r="K33" s="2" t="s">
        <v>196</v>
      </c>
      <c r="L33" s="2" t="s">
        <v>25</v>
      </c>
      <c r="M33" s="2" t="s">
        <v>184</v>
      </c>
      <c r="N33" s="2" t="s">
        <v>37</v>
      </c>
      <c r="O33" s="2" t="s">
        <v>216</v>
      </c>
      <c r="P33" s="2" t="s">
        <v>139</v>
      </c>
    </row>
    <row r="34" customFormat="false" ht="57.45" hidden="false" customHeight="false" outlineLevel="0" collapsed="false">
      <c r="A34" s="2" t="s">
        <v>217</v>
      </c>
      <c r="B34" s="2" t="s">
        <v>17</v>
      </c>
      <c r="C34" s="2" t="s">
        <v>218</v>
      </c>
      <c r="D34" s="2" t="s">
        <v>219</v>
      </c>
      <c r="E34" s="2" t="s">
        <v>20</v>
      </c>
      <c r="F34" s="2" t="s">
        <v>21</v>
      </c>
      <c r="G34" s="2" t="s">
        <v>22</v>
      </c>
      <c r="H34" s="2"/>
      <c r="I34" s="2" t="s">
        <v>220</v>
      </c>
      <c r="J34" s="2" t="s">
        <v>221</v>
      </c>
      <c r="K34" s="2" t="s">
        <v>196</v>
      </c>
      <c r="L34" s="2" t="s">
        <v>25</v>
      </c>
      <c r="M34" s="2" t="s">
        <v>184</v>
      </c>
      <c r="N34" s="2" t="s">
        <v>37</v>
      </c>
      <c r="O34" s="2" t="s">
        <v>222</v>
      </c>
      <c r="P34" s="2" t="s">
        <v>122</v>
      </c>
    </row>
    <row r="35" customFormat="false" ht="57.45" hidden="false" customHeight="false" outlineLevel="0" collapsed="false">
      <c r="A35" s="2" t="s">
        <v>223</v>
      </c>
      <c r="B35" s="2" t="s">
        <v>17</v>
      </c>
      <c r="C35" s="2" t="s">
        <v>224</v>
      </c>
      <c r="D35" s="2" t="s">
        <v>160</v>
      </c>
      <c r="E35" s="2" t="s">
        <v>20</v>
      </c>
      <c r="F35" s="2" t="s">
        <v>21</v>
      </c>
      <c r="G35" s="2" t="s">
        <v>80</v>
      </c>
      <c r="H35" s="2"/>
      <c r="I35" s="2" t="s">
        <v>225</v>
      </c>
      <c r="J35" s="2" t="s">
        <v>226</v>
      </c>
      <c r="K35" s="2" t="s">
        <v>196</v>
      </c>
      <c r="L35" s="2" t="s">
        <v>25</v>
      </c>
      <c r="M35" s="2" t="s">
        <v>184</v>
      </c>
      <c r="N35" s="2" t="s">
        <v>37</v>
      </c>
      <c r="O35" s="2" t="s">
        <v>227</v>
      </c>
      <c r="P35" s="2" t="s">
        <v>122</v>
      </c>
    </row>
    <row r="36" customFormat="false" ht="57.45" hidden="false" customHeight="false" outlineLevel="0" collapsed="false">
      <c r="A36" s="2" t="s">
        <v>228</v>
      </c>
      <c r="B36" s="2" t="s">
        <v>17</v>
      </c>
      <c r="C36" s="2" t="s">
        <v>229</v>
      </c>
      <c r="D36" s="2" t="s">
        <v>149</v>
      </c>
      <c r="E36" s="2" t="s">
        <v>230</v>
      </c>
      <c r="F36" s="2" t="s">
        <v>21</v>
      </c>
      <c r="G36" s="2" t="s">
        <v>22</v>
      </c>
      <c r="H36" s="2" t="s">
        <v>231</v>
      </c>
      <c r="I36" s="2"/>
      <c r="J36" s="2" t="s">
        <v>24</v>
      </c>
      <c r="K36" s="2" t="s">
        <v>20</v>
      </c>
      <c r="L36" s="2" t="s">
        <v>25</v>
      </c>
      <c r="M36" s="2" t="s">
        <v>232</v>
      </c>
      <c r="N36" s="2" t="s">
        <v>137</v>
      </c>
      <c r="O36" s="2" t="s">
        <v>233</v>
      </c>
      <c r="P36" s="2" t="s">
        <v>234</v>
      </c>
    </row>
    <row r="37" customFormat="false" ht="57.45" hidden="false" customHeight="false" outlineLevel="0" collapsed="false">
      <c r="A37" s="2" t="s">
        <v>235</v>
      </c>
      <c r="B37" s="2" t="s">
        <v>17</v>
      </c>
      <c r="C37" s="2" t="s">
        <v>236</v>
      </c>
      <c r="D37" s="2" t="s">
        <v>149</v>
      </c>
      <c r="E37" s="2" t="s">
        <v>237</v>
      </c>
      <c r="F37" s="2" t="s">
        <v>21</v>
      </c>
      <c r="G37" s="2" t="s">
        <v>22</v>
      </c>
      <c r="H37" s="2" t="s">
        <v>238</v>
      </c>
      <c r="I37" s="2"/>
      <c r="J37" s="2" t="s">
        <v>24</v>
      </c>
      <c r="K37" s="2" t="s">
        <v>20</v>
      </c>
      <c r="L37" s="2" t="s">
        <v>25</v>
      </c>
      <c r="M37" s="2" t="s">
        <v>232</v>
      </c>
      <c r="N37" s="2" t="s">
        <v>27</v>
      </c>
      <c r="O37" s="2" t="s">
        <v>239</v>
      </c>
      <c r="P37" s="2" t="s">
        <v>234</v>
      </c>
    </row>
    <row r="38" customFormat="false" ht="57.45" hidden="false" customHeight="false" outlineLevel="0" collapsed="false">
      <c r="A38" s="2" t="s">
        <v>240</v>
      </c>
      <c r="B38" s="2" t="s">
        <v>17</v>
      </c>
      <c r="C38" s="2" t="s">
        <v>241</v>
      </c>
      <c r="D38" s="2" t="s">
        <v>149</v>
      </c>
      <c r="E38" s="2" t="s">
        <v>20</v>
      </c>
      <c r="F38" s="2" t="s">
        <v>21</v>
      </c>
      <c r="G38" s="2" t="s">
        <v>22</v>
      </c>
      <c r="H38" s="2" t="s">
        <v>238</v>
      </c>
      <c r="I38" s="2"/>
      <c r="J38" s="2" t="s">
        <v>24</v>
      </c>
      <c r="K38" s="2" t="s">
        <v>20</v>
      </c>
      <c r="L38" s="2" t="s">
        <v>25</v>
      </c>
      <c r="M38" s="2" t="s">
        <v>232</v>
      </c>
      <c r="N38" s="2" t="s">
        <v>27</v>
      </c>
      <c r="O38" s="2" t="s">
        <v>242</v>
      </c>
      <c r="P38" s="2" t="s">
        <v>234</v>
      </c>
    </row>
    <row r="39" customFormat="false" ht="57.45" hidden="false" customHeight="false" outlineLevel="0" collapsed="false">
      <c r="A39" s="2" t="s">
        <v>243</v>
      </c>
      <c r="B39" s="2" t="s">
        <v>17</v>
      </c>
      <c r="C39" s="2" t="s">
        <v>244</v>
      </c>
      <c r="D39" s="2" t="s">
        <v>149</v>
      </c>
      <c r="E39" s="2" t="s">
        <v>245</v>
      </c>
      <c r="F39" s="2" t="s">
        <v>21</v>
      </c>
      <c r="G39" s="2" t="s">
        <v>22</v>
      </c>
      <c r="H39" s="2" t="s">
        <v>246</v>
      </c>
      <c r="I39" s="2"/>
      <c r="J39" s="2" t="s">
        <v>24</v>
      </c>
      <c r="K39" s="2" t="s">
        <v>20</v>
      </c>
      <c r="L39" s="2" t="s">
        <v>25</v>
      </c>
      <c r="M39" s="2" t="s">
        <v>232</v>
      </c>
      <c r="N39" s="2" t="s">
        <v>27</v>
      </c>
      <c r="O39" s="2" t="s">
        <v>247</v>
      </c>
      <c r="P39" s="2" t="s">
        <v>234</v>
      </c>
    </row>
    <row r="40" customFormat="false" ht="68.65" hidden="false" customHeight="false" outlineLevel="0" collapsed="false">
      <c r="A40" s="2" t="s">
        <v>248</v>
      </c>
      <c r="B40" s="2" t="s">
        <v>17</v>
      </c>
      <c r="C40" s="2" t="s">
        <v>249</v>
      </c>
      <c r="D40" s="2" t="s">
        <v>19</v>
      </c>
      <c r="E40" s="2" t="s">
        <v>20</v>
      </c>
      <c r="F40" s="2" t="s">
        <v>21</v>
      </c>
      <c r="G40" s="2" t="s">
        <v>250</v>
      </c>
      <c r="H40" s="2" t="s">
        <v>251</v>
      </c>
      <c r="I40" s="2" t="s">
        <v>252</v>
      </c>
      <c r="J40" s="2" t="s">
        <v>253</v>
      </c>
      <c r="K40" s="2" t="s">
        <v>254</v>
      </c>
      <c r="L40" s="2" t="s">
        <v>25</v>
      </c>
      <c r="M40" s="2" t="s">
        <v>232</v>
      </c>
      <c r="N40" s="2" t="s">
        <v>37</v>
      </c>
      <c r="O40" s="2" t="s">
        <v>255</v>
      </c>
      <c r="P40" s="2" t="s">
        <v>256</v>
      </c>
    </row>
    <row r="41" customFormat="false" ht="202.95" hidden="false" customHeight="false" outlineLevel="0" collapsed="false">
      <c r="A41" s="2" t="s">
        <v>257</v>
      </c>
      <c r="B41" s="2" t="s">
        <v>17</v>
      </c>
      <c r="C41" s="2" t="s">
        <v>258</v>
      </c>
      <c r="D41" s="2" t="s">
        <v>164</v>
      </c>
      <c r="E41" s="2" t="s">
        <v>20</v>
      </c>
      <c r="F41" s="2" t="s">
        <v>21</v>
      </c>
      <c r="G41" s="2" t="s">
        <v>22</v>
      </c>
      <c r="H41" s="2" t="s">
        <v>259</v>
      </c>
      <c r="I41" s="2"/>
      <c r="J41" s="2" t="s">
        <v>260</v>
      </c>
      <c r="K41" s="2" t="s">
        <v>261</v>
      </c>
      <c r="L41" s="2" t="s">
        <v>25</v>
      </c>
      <c r="M41" s="2" t="s">
        <v>232</v>
      </c>
      <c r="N41" s="2" t="s">
        <v>37</v>
      </c>
      <c r="O41" s="2" t="s">
        <v>262</v>
      </c>
      <c r="P41" s="2" t="s">
        <v>263</v>
      </c>
    </row>
    <row r="42" customFormat="false" ht="202.95" hidden="false" customHeight="false" outlineLevel="0" collapsed="false">
      <c r="A42" s="2" t="s">
        <v>264</v>
      </c>
      <c r="B42" s="2" t="s">
        <v>17</v>
      </c>
      <c r="C42" s="2" t="s">
        <v>265</v>
      </c>
      <c r="D42" s="2" t="s">
        <v>266</v>
      </c>
      <c r="E42" s="2" t="s">
        <v>20</v>
      </c>
      <c r="F42" s="2" t="s">
        <v>21</v>
      </c>
      <c r="G42" s="2" t="s">
        <v>22</v>
      </c>
      <c r="H42" s="2" t="s">
        <v>259</v>
      </c>
      <c r="I42" s="2"/>
      <c r="J42" s="2" t="s">
        <v>260</v>
      </c>
      <c r="K42" s="2" t="s">
        <v>261</v>
      </c>
      <c r="L42" s="2" t="s">
        <v>25</v>
      </c>
      <c r="M42" s="2" t="s">
        <v>232</v>
      </c>
      <c r="N42" s="2" t="s">
        <v>37</v>
      </c>
      <c r="O42" s="2" t="s">
        <v>267</v>
      </c>
      <c r="P42" s="2" t="s">
        <v>263</v>
      </c>
    </row>
    <row r="43" customFormat="false" ht="202.95" hidden="false" customHeight="false" outlineLevel="0" collapsed="false">
      <c r="A43" s="2" t="s">
        <v>268</v>
      </c>
      <c r="B43" s="2" t="s">
        <v>17</v>
      </c>
      <c r="C43" s="2" t="s">
        <v>269</v>
      </c>
      <c r="D43" s="2" t="s">
        <v>270</v>
      </c>
      <c r="E43" s="2" t="s">
        <v>271</v>
      </c>
      <c r="F43" s="2" t="s">
        <v>21</v>
      </c>
      <c r="G43" s="2" t="s">
        <v>22</v>
      </c>
      <c r="H43" s="2" t="s">
        <v>259</v>
      </c>
      <c r="I43" s="2"/>
      <c r="J43" s="2" t="s">
        <v>260</v>
      </c>
      <c r="K43" s="2" t="s">
        <v>261</v>
      </c>
      <c r="L43" s="2" t="s">
        <v>25</v>
      </c>
      <c r="M43" s="2" t="s">
        <v>232</v>
      </c>
      <c r="N43" s="2" t="s">
        <v>37</v>
      </c>
      <c r="O43" s="2" t="s">
        <v>272</v>
      </c>
      <c r="P43" s="2" t="s">
        <v>263</v>
      </c>
    </row>
    <row r="44" customFormat="false" ht="202.95" hidden="false" customHeight="false" outlineLevel="0" collapsed="false">
      <c r="A44" s="2" t="s">
        <v>273</v>
      </c>
      <c r="B44" s="2" t="s">
        <v>17</v>
      </c>
      <c r="C44" s="2" t="s">
        <v>274</v>
      </c>
      <c r="D44" s="2" t="s">
        <v>275</v>
      </c>
      <c r="E44" s="2" t="s">
        <v>20</v>
      </c>
      <c r="F44" s="2" t="s">
        <v>21</v>
      </c>
      <c r="G44" s="2" t="s">
        <v>22</v>
      </c>
      <c r="H44" s="2" t="s">
        <v>259</v>
      </c>
      <c r="I44" s="2"/>
      <c r="J44" s="2" t="s">
        <v>260</v>
      </c>
      <c r="K44" s="2" t="s">
        <v>261</v>
      </c>
      <c r="L44" s="2" t="s">
        <v>25</v>
      </c>
      <c r="M44" s="2" t="s">
        <v>232</v>
      </c>
      <c r="N44" s="2" t="s">
        <v>37</v>
      </c>
      <c r="O44" s="2" t="s">
        <v>276</v>
      </c>
      <c r="P44" s="2" t="s">
        <v>263</v>
      </c>
    </row>
    <row r="45" customFormat="false" ht="202.95" hidden="false" customHeight="false" outlineLevel="0" collapsed="false">
      <c r="A45" s="2" t="s">
        <v>277</v>
      </c>
      <c r="B45" s="2" t="s">
        <v>17</v>
      </c>
      <c r="C45" s="2" t="s">
        <v>278</v>
      </c>
      <c r="D45" s="2" t="s">
        <v>279</v>
      </c>
      <c r="E45" s="2" t="s">
        <v>280</v>
      </c>
      <c r="F45" s="2" t="s">
        <v>21</v>
      </c>
      <c r="G45" s="2" t="s">
        <v>22</v>
      </c>
      <c r="H45" s="2" t="s">
        <v>259</v>
      </c>
      <c r="I45" s="2"/>
      <c r="J45" s="2" t="s">
        <v>260</v>
      </c>
      <c r="K45" s="2" t="s">
        <v>261</v>
      </c>
      <c r="L45" s="2" t="s">
        <v>25</v>
      </c>
      <c r="M45" s="2" t="s">
        <v>232</v>
      </c>
      <c r="N45" s="2" t="s">
        <v>37</v>
      </c>
      <c r="O45" s="2" t="s">
        <v>281</v>
      </c>
      <c r="P45" s="2" t="s">
        <v>263</v>
      </c>
    </row>
    <row r="46" customFormat="false" ht="202.95" hidden="false" customHeight="false" outlineLevel="0" collapsed="false">
      <c r="A46" s="2" t="s">
        <v>282</v>
      </c>
      <c r="B46" s="2" t="s">
        <v>17</v>
      </c>
      <c r="C46" s="2" t="s">
        <v>283</v>
      </c>
      <c r="D46" s="2" t="s">
        <v>284</v>
      </c>
      <c r="E46" s="2" t="s">
        <v>20</v>
      </c>
      <c r="F46" s="2" t="s">
        <v>21</v>
      </c>
      <c r="G46" s="2" t="s">
        <v>22</v>
      </c>
      <c r="H46" s="2" t="s">
        <v>285</v>
      </c>
      <c r="I46" s="2" t="s">
        <v>252</v>
      </c>
      <c r="J46" s="2" t="s">
        <v>286</v>
      </c>
      <c r="K46" s="2" t="s">
        <v>261</v>
      </c>
      <c r="L46" s="2" t="s">
        <v>25</v>
      </c>
      <c r="M46" s="2" t="s">
        <v>232</v>
      </c>
      <c r="N46" s="2" t="s">
        <v>37</v>
      </c>
      <c r="O46" s="2" t="s">
        <v>287</v>
      </c>
      <c r="P46" s="2" t="s">
        <v>263</v>
      </c>
    </row>
    <row r="47" customFormat="false" ht="202.95" hidden="false" customHeight="false" outlineLevel="0" collapsed="false">
      <c r="A47" s="2" t="s">
        <v>288</v>
      </c>
      <c r="B47" s="2" t="s">
        <v>17</v>
      </c>
      <c r="C47" s="2" t="s">
        <v>289</v>
      </c>
      <c r="D47" s="2" t="s">
        <v>290</v>
      </c>
      <c r="E47" s="2" t="s">
        <v>20</v>
      </c>
      <c r="F47" s="2" t="s">
        <v>21</v>
      </c>
      <c r="G47" s="2" t="s">
        <v>22</v>
      </c>
      <c r="H47" s="2" t="s">
        <v>285</v>
      </c>
      <c r="I47" s="2" t="s">
        <v>252</v>
      </c>
      <c r="J47" s="2" t="s">
        <v>286</v>
      </c>
      <c r="K47" s="2" t="s">
        <v>261</v>
      </c>
      <c r="L47" s="2" t="s">
        <v>25</v>
      </c>
      <c r="M47" s="2" t="s">
        <v>232</v>
      </c>
      <c r="N47" s="2" t="s">
        <v>37</v>
      </c>
      <c r="O47" s="2" t="s">
        <v>291</v>
      </c>
      <c r="P47" s="2" t="s">
        <v>263</v>
      </c>
    </row>
    <row r="48" customFormat="false" ht="202.95" hidden="false" customHeight="false" outlineLevel="0" collapsed="false">
      <c r="A48" s="2" t="s">
        <v>292</v>
      </c>
      <c r="B48" s="2" t="s">
        <v>17</v>
      </c>
      <c r="C48" s="2" t="s">
        <v>293</v>
      </c>
      <c r="D48" s="2" t="s">
        <v>149</v>
      </c>
      <c r="E48" s="2" t="s">
        <v>20</v>
      </c>
      <c r="F48" s="2" t="s">
        <v>21</v>
      </c>
      <c r="G48" s="2" t="s">
        <v>22</v>
      </c>
      <c r="H48" s="2" t="s">
        <v>285</v>
      </c>
      <c r="I48" s="2" t="s">
        <v>252</v>
      </c>
      <c r="J48" s="2" t="s">
        <v>286</v>
      </c>
      <c r="K48" s="2" t="s">
        <v>261</v>
      </c>
      <c r="L48" s="2" t="s">
        <v>25</v>
      </c>
      <c r="M48" s="2" t="s">
        <v>232</v>
      </c>
      <c r="N48" s="2" t="s">
        <v>37</v>
      </c>
      <c r="O48" s="2" t="s">
        <v>294</v>
      </c>
      <c r="P48" s="2" t="s">
        <v>263</v>
      </c>
    </row>
    <row r="49" customFormat="false" ht="202.95" hidden="false" customHeight="false" outlineLevel="0" collapsed="false">
      <c r="A49" s="2" t="s">
        <v>295</v>
      </c>
      <c r="B49" s="2" t="s">
        <v>17</v>
      </c>
      <c r="C49" s="2" t="s">
        <v>296</v>
      </c>
      <c r="D49" s="2" t="s">
        <v>270</v>
      </c>
      <c r="E49" s="2" t="s">
        <v>297</v>
      </c>
      <c r="F49" s="2" t="s">
        <v>21</v>
      </c>
      <c r="G49" s="2" t="s">
        <v>298</v>
      </c>
      <c r="H49" s="2" t="s">
        <v>285</v>
      </c>
      <c r="I49" s="2" t="s">
        <v>252</v>
      </c>
      <c r="J49" s="2" t="s">
        <v>286</v>
      </c>
      <c r="K49" s="2" t="s">
        <v>261</v>
      </c>
      <c r="L49" s="2" t="s">
        <v>25</v>
      </c>
      <c r="M49" s="2" t="s">
        <v>232</v>
      </c>
      <c r="N49" s="2" t="s">
        <v>37</v>
      </c>
      <c r="O49" s="2" t="s">
        <v>299</v>
      </c>
      <c r="P49" s="2" t="s">
        <v>263</v>
      </c>
    </row>
    <row r="50" customFormat="false" ht="113.4" hidden="false" customHeight="false" outlineLevel="0" collapsed="false">
      <c r="A50" s="2" t="s">
        <v>300</v>
      </c>
      <c r="B50" s="2" t="s">
        <v>17</v>
      </c>
      <c r="C50" s="2" t="s">
        <v>301</v>
      </c>
      <c r="D50" s="2" t="s">
        <v>284</v>
      </c>
      <c r="E50" s="2" t="s">
        <v>20</v>
      </c>
      <c r="F50" s="2" t="s">
        <v>21</v>
      </c>
      <c r="G50" s="2" t="s">
        <v>80</v>
      </c>
      <c r="H50" s="2" t="s">
        <v>302</v>
      </c>
      <c r="I50" s="2"/>
      <c r="J50" s="2" t="s">
        <v>303</v>
      </c>
      <c r="K50" s="2" t="s">
        <v>304</v>
      </c>
      <c r="L50" s="2" t="s">
        <v>25</v>
      </c>
      <c r="M50" s="2" t="s">
        <v>232</v>
      </c>
      <c r="N50" s="2" t="s">
        <v>37</v>
      </c>
      <c r="O50" s="2" t="s">
        <v>305</v>
      </c>
      <c r="P50" s="2" t="s">
        <v>306</v>
      </c>
    </row>
    <row r="51" customFormat="false" ht="113.4" hidden="false" customHeight="false" outlineLevel="0" collapsed="false">
      <c r="A51" s="2" t="s">
        <v>307</v>
      </c>
      <c r="B51" s="2" t="s">
        <v>17</v>
      </c>
      <c r="C51" s="2" t="s">
        <v>308</v>
      </c>
      <c r="D51" s="2" t="s">
        <v>53</v>
      </c>
      <c r="E51" s="2" t="s">
        <v>20</v>
      </c>
      <c r="F51" s="2" t="s">
        <v>21</v>
      </c>
      <c r="G51" s="2" t="s">
        <v>80</v>
      </c>
      <c r="H51" s="2" t="s">
        <v>302</v>
      </c>
      <c r="I51" s="2"/>
      <c r="J51" s="2" t="s">
        <v>303</v>
      </c>
      <c r="K51" s="2" t="s">
        <v>304</v>
      </c>
      <c r="L51" s="2" t="s">
        <v>25</v>
      </c>
      <c r="M51" s="2" t="s">
        <v>232</v>
      </c>
      <c r="N51" s="2" t="s">
        <v>37</v>
      </c>
      <c r="O51" s="2" t="s">
        <v>309</v>
      </c>
      <c r="P51" s="2" t="s">
        <v>306</v>
      </c>
    </row>
    <row r="52" customFormat="false" ht="57.45" hidden="false" customHeight="false" outlineLevel="0" collapsed="false">
      <c r="A52" s="2" t="s">
        <v>310</v>
      </c>
      <c r="B52" s="2" t="s">
        <v>17</v>
      </c>
      <c r="C52" s="2" t="s">
        <v>311</v>
      </c>
      <c r="D52" s="2" t="s">
        <v>312</v>
      </c>
      <c r="E52" s="2" t="s">
        <v>20</v>
      </c>
      <c r="F52" s="2" t="s">
        <v>21</v>
      </c>
      <c r="G52" s="2" t="s">
        <v>22</v>
      </c>
      <c r="H52" s="2" t="s">
        <v>313</v>
      </c>
      <c r="I52" s="2" t="s">
        <v>314</v>
      </c>
      <c r="J52" s="2" t="s">
        <v>315</v>
      </c>
      <c r="K52" s="2" t="s">
        <v>63</v>
      </c>
      <c r="L52" s="2" t="s">
        <v>25</v>
      </c>
      <c r="M52" s="2" t="s">
        <v>26</v>
      </c>
      <c r="N52" s="2" t="s">
        <v>37</v>
      </c>
      <c r="O52" s="2" t="s">
        <v>316</v>
      </c>
      <c r="P52" s="2" t="s">
        <v>317</v>
      </c>
    </row>
    <row r="53" customFormat="false" ht="57.45" hidden="false" customHeight="false" outlineLevel="0" collapsed="false">
      <c r="A53" s="2" t="s">
        <v>318</v>
      </c>
      <c r="B53" s="2" t="s">
        <v>17</v>
      </c>
      <c r="C53" s="2" t="s">
        <v>319</v>
      </c>
      <c r="D53" s="2" t="s">
        <v>19</v>
      </c>
      <c r="E53" s="2" t="s">
        <v>20</v>
      </c>
      <c r="F53" s="2" t="s">
        <v>21</v>
      </c>
      <c r="G53" s="2" t="s">
        <v>22</v>
      </c>
      <c r="H53" s="2" t="s">
        <v>320</v>
      </c>
      <c r="I53" s="2" t="s">
        <v>321</v>
      </c>
      <c r="J53" s="2" t="s">
        <v>322</v>
      </c>
      <c r="K53" s="2" t="s">
        <v>63</v>
      </c>
      <c r="L53" s="2" t="s">
        <v>25</v>
      </c>
      <c r="M53" s="2" t="s">
        <v>26</v>
      </c>
      <c r="N53" s="2" t="s">
        <v>37</v>
      </c>
      <c r="O53" s="2" t="s">
        <v>323</v>
      </c>
      <c r="P53" s="2" t="s">
        <v>317</v>
      </c>
    </row>
    <row r="54" customFormat="false" ht="57.45" hidden="false" customHeight="false" outlineLevel="0" collapsed="false">
      <c r="A54" s="2" t="s">
        <v>324</v>
      </c>
      <c r="B54" s="2" t="s">
        <v>17</v>
      </c>
      <c r="C54" s="2" t="s">
        <v>325</v>
      </c>
      <c r="D54" s="2" t="s">
        <v>326</v>
      </c>
      <c r="E54" s="2" t="s">
        <v>20</v>
      </c>
      <c r="F54" s="2" t="s">
        <v>21</v>
      </c>
      <c r="G54" s="2" t="s">
        <v>80</v>
      </c>
      <c r="H54" s="2" t="s">
        <v>320</v>
      </c>
      <c r="I54" s="2" t="s">
        <v>321</v>
      </c>
      <c r="J54" s="2" t="s">
        <v>322</v>
      </c>
      <c r="K54" s="2" t="s">
        <v>63</v>
      </c>
      <c r="L54" s="2" t="s">
        <v>25</v>
      </c>
      <c r="M54" s="2" t="s">
        <v>26</v>
      </c>
      <c r="N54" s="2" t="s">
        <v>37</v>
      </c>
      <c r="O54" s="2" t="s">
        <v>327</v>
      </c>
      <c r="P54" s="2" t="s">
        <v>317</v>
      </c>
    </row>
    <row r="55" customFormat="false" ht="102.2" hidden="false" customHeight="false" outlineLevel="0" collapsed="false">
      <c r="A55" s="2" t="s">
        <v>328</v>
      </c>
      <c r="B55" s="2" t="s">
        <v>17</v>
      </c>
      <c r="C55" s="2" t="s">
        <v>329</v>
      </c>
      <c r="D55" s="2" t="s">
        <v>330</v>
      </c>
      <c r="E55" s="2" t="s">
        <v>20</v>
      </c>
      <c r="F55" s="2" t="s">
        <v>21</v>
      </c>
      <c r="G55" s="2" t="s">
        <v>22</v>
      </c>
      <c r="H55" s="2" t="s">
        <v>331</v>
      </c>
      <c r="I55" s="2" t="s">
        <v>332</v>
      </c>
      <c r="J55" s="2" t="s">
        <v>333</v>
      </c>
      <c r="K55" s="2" t="s">
        <v>63</v>
      </c>
      <c r="L55" s="2" t="s">
        <v>25</v>
      </c>
      <c r="M55" s="2" t="s">
        <v>136</v>
      </c>
      <c r="N55" s="2" t="s">
        <v>137</v>
      </c>
      <c r="O55" s="2" t="s">
        <v>334</v>
      </c>
      <c r="P55" s="2" t="s">
        <v>335</v>
      </c>
    </row>
    <row r="56" customFormat="false" ht="102.2" hidden="false" customHeight="false" outlineLevel="0" collapsed="false">
      <c r="A56" s="2" t="s">
        <v>336</v>
      </c>
      <c r="B56" s="2" t="s">
        <v>17</v>
      </c>
      <c r="C56" s="2" t="s">
        <v>337</v>
      </c>
      <c r="D56" s="2" t="s">
        <v>338</v>
      </c>
      <c r="E56" s="2" t="s">
        <v>339</v>
      </c>
      <c r="F56" s="2" t="s">
        <v>21</v>
      </c>
      <c r="G56" s="2" t="s">
        <v>22</v>
      </c>
      <c r="H56" s="2" t="s">
        <v>331</v>
      </c>
      <c r="I56" s="2" t="s">
        <v>332</v>
      </c>
      <c r="J56" s="2" t="s">
        <v>333</v>
      </c>
      <c r="K56" s="2" t="s">
        <v>63</v>
      </c>
      <c r="L56" s="2" t="s">
        <v>25</v>
      </c>
      <c r="M56" s="2" t="s">
        <v>136</v>
      </c>
      <c r="N56" s="2" t="s">
        <v>37</v>
      </c>
      <c r="O56" s="2" t="s">
        <v>340</v>
      </c>
      <c r="P56" s="2" t="s">
        <v>335</v>
      </c>
    </row>
    <row r="57" customFormat="false" ht="113.4" hidden="false" customHeight="false" outlineLevel="0" collapsed="false">
      <c r="A57" s="2" t="s">
        <v>341</v>
      </c>
      <c r="B57" s="2" t="s">
        <v>17</v>
      </c>
      <c r="C57" s="2" t="s">
        <v>342</v>
      </c>
      <c r="D57" s="2" t="s">
        <v>343</v>
      </c>
      <c r="E57" s="2" t="s">
        <v>344</v>
      </c>
      <c r="F57" s="2" t="s">
        <v>21</v>
      </c>
      <c r="G57" s="2" t="s">
        <v>250</v>
      </c>
      <c r="H57" s="2" t="s">
        <v>345</v>
      </c>
      <c r="I57" s="2" t="s">
        <v>171</v>
      </c>
      <c r="J57" s="2" t="s">
        <v>346</v>
      </c>
      <c r="K57" s="2" t="s">
        <v>63</v>
      </c>
      <c r="L57" s="2" t="s">
        <v>25</v>
      </c>
      <c r="M57" s="2" t="s">
        <v>136</v>
      </c>
      <c r="N57" s="2" t="s">
        <v>137</v>
      </c>
      <c r="O57" s="2" t="s">
        <v>347</v>
      </c>
      <c r="P57" s="2" t="s">
        <v>348</v>
      </c>
    </row>
    <row r="58" customFormat="false" ht="57.45" hidden="false" customHeight="false" outlineLevel="0" collapsed="false">
      <c r="A58" s="2" t="s">
        <v>349</v>
      </c>
      <c r="B58" s="2" t="s">
        <v>17</v>
      </c>
      <c r="C58" s="2" t="s">
        <v>350</v>
      </c>
      <c r="D58" s="2" t="s">
        <v>351</v>
      </c>
      <c r="E58" s="2" t="s">
        <v>20</v>
      </c>
      <c r="F58" s="2" t="s">
        <v>21</v>
      </c>
      <c r="G58" s="2" t="s">
        <v>22</v>
      </c>
      <c r="H58" s="2" t="s">
        <v>352</v>
      </c>
      <c r="I58" s="2" t="s">
        <v>353</v>
      </c>
      <c r="J58" s="2" t="s">
        <v>354</v>
      </c>
      <c r="K58" s="2" t="s">
        <v>63</v>
      </c>
      <c r="L58" s="2" t="s">
        <v>25</v>
      </c>
      <c r="M58" s="2" t="s">
        <v>136</v>
      </c>
      <c r="N58" s="2" t="s">
        <v>37</v>
      </c>
      <c r="O58" s="2" t="s">
        <v>355</v>
      </c>
      <c r="P58" s="2" t="s">
        <v>317</v>
      </c>
    </row>
    <row r="59" customFormat="false" ht="57.45" hidden="false" customHeight="false" outlineLevel="0" collapsed="false">
      <c r="A59" s="2" t="s">
        <v>356</v>
      </c>
      <c r="B59" s="2" t="s">
        <v>17</v>
      </c>
      <c r="C59" s="2" t="s">
        <v>357</v>
      </c>
      <c r="D59" s="2" t="s">
        <v>358</v>
      </c>
      <c r="E59" s="2" t="s">
        <v>20</v>
      </c>
      <c r="F59" s="2" t="s">
        <v>21</v>
      </c>
      <c r="G59" s="2" t="s">
        <v>22</v>
      </c>
      <c r="H59" s="2" t="s">
        <v>359</v>
      </c>
      <c r="I59" s="2" t="s">
        <v>360</v>
      </c>
      <c r="J59" s="2" t="s">
        <v>361</v>
      </c>
      <c r="K59" s="2" t="s">
        <v>145</v>
      </c>
      <c r="L59" s="2" t="s">
        <v>25</v>
      </c>
      <c r="M59" s="2" t="s">
        <v>136</v>
      </c>
      <c r="N59" s="2" t="s">
        <v>37</v>
      </c>
      <c r="O59" s="2" t="s">
        <v>362</v>
      </c>
      <c r="P59" s="2" t="s">
        <v>363</v>
      </c>
    </row>
    <row r="60" customFormat="false" ht="57.45" hidden="false" customHeight="false" outlineLevel="0" collapsed="false">
      <c r="A60" s="2" t="s">
        <v>364</v>
      </c>
      <c r="B60" s="2" t="s">
        <v>17</v>
      </c>
      <c r="C60" s="2" t="s">
        <v>365</v>
      </c>
      <c r="D60" s="2" t="s">
        <v>219</v>
      </c>
      <c r="E60" s="2" t="s">
        <v>20</v>
      </c>
      <c r="F60" s="2" t="s">
        <v>21</v>
      </c>
      <c r="G60" s="2" t="s">
        <v>22</v>
      </c>
      <c r="H60" s="2" t="s">
        <v>359</v>
      </c>
      <c r="I60" s="2" t="s">
        <v>360</v>
      </c>
      <c r="J60" s="2" t="s">
        <v>361</v>
      </c>
      <c r="K60" s="2" t="s">
        <v>145</v>
      </c>
      <c r="L60" s="2" t="s">
        <v>25</v>
      </c>
      <c r="M60" s="2" t="s">
        <v>136</v>
      </c>
      <c r="N60" s="2" t="s">
        <v>37</v>
      </c>
      <c r="O60" s="2" t="s">
        <v>366</v>
      </c>
      <c r="P60" s="2" t="s">
        <v>363</v>
      </c>
    </row>
    <row r="61" customFormat="false" ht="57.45" hidden="false" customHeight="false" outlineLevel="0" collapsed="false">
      <c r="A61" s="2" t="s">
        <v>367</v>
      </c>
      <c r="B61" s="2" t="s">
        <v>17</v>
      </c>
      <c r="C61" s="2" t="s">
        <v>368</v>
      </c>
      <c r="D61" s="2" t="s">
        <v>358</v>
      </c>
      <c r="E61" s="2" t="s">
        <v>20</v>
      </c>
      <c r="F61" s="2" t="s">
        <v>21</v>
      </c>
      <c r="G61" s="2" t="s">
        <v>80</v>
      </c>
      <c r="H61" s="2" t="s">
        <v>369</v>
      </c>
      <c r="I61" s="2" t="s">
        <v>360</v>
      </c>
      <c r="J61" s="2" t="s">
        <v>361</v>
      </c>
      <c r="K61" s="2" t="s">
        <v>145</v>
      </c>
      <c r="L61" s="2" t="s">
        <v>25</v>
      </c>
      <c r="M61" s="2" t="s">
        <v>136</v>
      </c>
      <c r="N61" s="2" t="s">
        <v>37</v>
      </c>
      <c r="O61" s="2" t="s">
        <v>370</v>
      </c>
      <c r="P61" s="2" t="s">
        <v>363</v>
      </c>
    </row>
    <row r="62" customFormat="false" ht="57.45" hidden="false" customHeight="false" outlineLevel="0" collapsed="false">
      <c r="A62" s="2" t="s">
        <v>371</v>
      </c>
      <c r="B62" s="2" t="s">
        <v>17</v>
      </c>
      <c r="C62" s="2" t="s">
        <v>372</v>
      </c>
      <c r="D62" s="2" t="s">
        <v>279</v>
      </c>
      <c r="E62" s="2" t="s">
        <v>20</v>
      </c>
      <c r="F62" s="2" t="s">
        <v>21</v>
      </c>
      <c r="G62" s="2" t="s">
        <v>80</v>
      </c>
      <c r="H62" s="2" t="s">
        <v>373</v>
      </c>
      <c r="I62" s="2" t="s">
        <v>353</v>
      </c>
      <c r="J62" s="2" t="s">
        <v>374</v>
      </c>
      <c r="K62" s="2" t="s">
        <v>145</v>
      </c>
      <c r="L62" s="2" t="s">
        <v>25</v>
      </c>
      <c r="M62" s="2" t="s">
        <v>136</v>
      </c>
      <c r="N62" s="2" t="s">
        <v>37</v>
      </c>
      <c r="O62" s="2" t="s">
        <v>375</v>
      </c>
      <c r="P62" s="2" t="s">
        <v>376</v>
      </c>
    </row>
    <row r="63" customFormat="false" ht="57.45" hidden="false" customHeight="false" outlineLevel="0" collapsed="false">
      <c r="A63" s="2" t="s">
        <v>377</v>
      </c>
      <c r="B63" s="2" t="s">
        <v>17</v>
      </c>
      <c r="C63" s="2" t="s">
        <v>378</v>
      </c>
      <c r="D63" s="2" t="s">
        <v>312</v>
      </c>
      <c r="E63" s="2" t="s">
        <v>20</v>
      </c>
      <c r="F63" s="2" t="s">
        <v>21</v>
      </c>
      <c r="G63" s="2" t="s">
        <v>22</v>
      </c>
      <c r="H63" s="2" t="s">
        <v>379</v>
      </c>
      <c r="I63" s="2"/>
      <c r="J63" s="2" t="s">
        <v>24</v>
      </c>
      <c r="K63" s="2" t="s">
        <v>20</v>
      </c>
      <c r="L63" s="2" t="s">
        <v>25</v>
      </c>
      <c r="M63" s="2" t="s">
        <v>136</v>
      </c>
      <c r="N63" s="2" t="s">
        <v>27</v>
      </c>
      <c r="O63" s="2" t="s">
        <v>380</v>
      </c>
      <c r="P63" s="2" t="s">
        <v>234</v>
      </c>
    </row>
    <row r="64" customFormat="false" ht="57.45" hidden="false" customHeight="false" outlineLevel="0" collapsed="false">
      <c r="A64" s="2" t="s">
        <v>381</v>
      </c>
      <c r="B64" s="2" t="s">
        <v>17</v>
      </c>
      <c r="C64" s="2" t="s">
        <v>382</v>
      </c>
      <c r="D64" s="2" t="s">
        <v>53</v>
      </c>
      <c r="E64" s="2" t="s">
        <v>20</v>
      </c>
      <c r="F64" s="2" t="s">
        <v>21</v>
      </c>
      <c r="G64" s="2" t="s">
        <v>22</v>
      </c>
      <c r="H64" s="2" t="s">
        <v>379</v>
      </c>
      <c r="I64" s="2"/>
      <c r="J64" s="2" t="s">
        <v>24</v>
      </c>
      <c r="K64" s="2" t="s">
        <v>20</v>
      </c>
      <c r="L64" s="2" t="s">
        <v>25</v>
      </c>
      <c r="M64" s="2" t="s">
        <v>136</v>
      </c>
      <c r="N64" s="2" t="s">
        <v>27</v>
      </c>
      <c r="O64" s="2" t="s">
        <v>383</v>
      </c>
      <c r="P64" s="2" t="s">
        <v>234</v>
      </c>
    </row>
    <row r="65" customFormat="false" ht="57.45" hidden="false" customHeight="false" outlineLevel="0" collapsed="false">
      <c r="A65" s="2" t="s">
        <v>384</v>
      </c>
      <c r="B65" s="2" t="s">
        <v>17</v>
      </c>
      <c r="C65" s="2" t="s">
        <v>385</v>
      </c>
      <c r="D65" s="2" t="s">
        <v>386</v>
      </c>
      <c r="E65" s="2" t="s">
        <v>20</v>
      </c>
      <c r="F65" s="2" t="s">
        <v>21</v>
      </c>
      <c r="G65" s="2" t="s">
        <v>22</v>
      </c>
      <c r="H65" s="2" t="s">
        <v>387</v>
      </c>
      <c r="I65" s="2" t="s">
        <v>252</v>
      </c>
      <c r="J65" s="2" t="s">
        <v>388</v>
      </c>
      <c r="K65" s="2" t="s">
        <v>63</v>
      </c>
      <c r="L65" s="2" t="s">
        <v>25</v>
      </c>
      <c r="M65" s="2" t="s">
        <v>136</v>
      </c>
      <c r="N65" s="2" t="s">
        <v>37</v>
      </c>
      <c r="O65" s="2" t="s">
        <v>389</v>
      </c>
      <c r="P65" s="2" t="s">
        <v>317</v>
      </c>
    </row>
    <row r="66" customFormat="false" ht="57.45" hidden="false" customHeight="false" outlineLevel="0" collapsed="false">
      <c r="A66" s="2" t="s">
        <v>390</v>
      </c>
      <c r="B66" s="2" t="s">
        <v>17</v>
      </c>
      <c r="C66" s="2" t="s">
        <v>391</v>
      </c>
      <c r="D66" s="2" t="s">
        <v>392</v>
      </c>
      <c r="E66" s="2" t="s">
        <v>20</v>
      </c>
      <c r="F66" s="2" t="s">
        <v>21</v>
      </c>
      <c r="G66" s="2" t="s">
        <v>80</v>
      </c>
      <c r="H66" s="2" t="s">
        <v>393</v>
      </c>
      <c r="I66" s="2"/>
      <c r="J66" s="2" t="s">
        <v>24</v>
      </c>
      <c r="K66" s="2" t="s">
        <v>20</v>
      </c>
      <c r="L66" s="2" t="s">
        <v>25</v>
      </c>
      <c r="M66" s="2" t="s">
        <v>136</v>
      </c>
      <c r="N66" s="2" t="s">
        <v>27</v>
      </c>
      <c r="O66" s="2" t="s">
        <v>394</v>
      </c>
      <c r="P66" s="2" t="s">
        <v>234</v>
      </c>
    </row>
    <row r="67" customFormat="false" ht="57.45" hidden="false" customHeight="false" outlineLevel="0" collapsed="false">
      <c r="A67" s="2" t="s">
        <v>395</v>
      </c>
      <c r="B67" s="2" t="s">
        <v>17</v>
      </c>
      <c r="C67" s="2" t="s">
        <v>396</v>
      </c>
      <c r="D67" s="2" t="s">
        <v>19</v>
      </c>
      <c r="E67" s="2" t="s">
        <v>20</v>
      </c>
      <c r="F67" s="2" t="s">
        <v>21</v>
      </c>
      <c r="G67" s="2" t="s">
        <v>80</v>
      </c>
      <c r="H67" s="2" t="s">
        <v>397</v>
      </c>
      <c r="I67" s="2" t="s">
        <v>398</v>
      </c>
      <c r="J67" s="2" t="s">
        <v>399</v>
      </c>
      <c r="K67" s="2" t="s">
        <v>63</v>
      </c>
      <c r="L67" s="2" t="s">
        <v>25</v>
      </c>
      <c r="M67" s="2" t="s">
        <v>136</v>
      </c>
      <c r="N67" s="2" t="s">
        <v>37</v>
      </c>
      <c r="O67" s="2" t="s">
        <v>400</v>
      </c>
      <c r="P67" s="2" t="s">
        <v>401</v>
      </c>
    </row>
    <row r="68" customFormat="false" ht="57.45" hidden="false" customHeight="false" outlineLevel="0" collapsed="false">
      <c r="A68" s="2" t="s">
        <v>402</v>
      </c>
      <c r="B68" s="2" t="s">
        <v>17</v>
      </c>
      <c r="C68" s="2" t="s">
        <v>403</v>
      </c>
      <c r="D68" s="2" t="s">
        <v>32</v>
      </c>
      <c r="E68" s="2" t="s">
        <v>20</v>
      </c>
      <c r="F68" s="2" t="s">
        <v>21</v>
      </c>
      <c r="G68" s="2" t="s">
        <v>22</v>
      </c>
      <c r="H68" s="2" t="s">
        <v>404</v>
      </c>
      <c r="I68" s="2" t="s">
        <v>252</v>
      </c>
      <c r="J68" s="2" t="s">
        <v>388</v>
      </c>
      <c r="K68" s="2" t="s">
        <v>63</v>
      </c>
      <c r="L68" s="2" t="s">
        <v>25</v>
      </c>
      <c r="M68" s="2" t="s">
        <v>136</v>
      </c>
      <c r="N68" s="2" t="s">
        <v>37</v>
      </c>
      <c r="O68" s="2" t="s">
        <v>405</v>
      </c>
      <c r="P68" s="2" t="s">
        <v>317</v>
      </c>
    </row>
    <row r="69" customFormat="false" ht="57.45" hidden="false" customHeight="false" outlineLevel="0" collapsed="false">
      <c r="A69" s="2" t="s">
        <v>406</v>
      </c>
      <c r="B69" s="2" t="s">
        <v>17</v>
      </c>
      <c r="C69" s="2" t="s">
        <v>407</v>
      </c>
      <c r="D69" s="2" t="s">
        <v>408</v>
      </c>
      <c r="E69" s="2" t="s">
        <v>409</v>
      </c>
      <c r="F69" s="2" t="s">
        <v>21</v>
      </c>
      <c r="G69" s="2" t="s">
        <v>410</v>
      </c>
      <c r="H69" s="2" t="s">
        <v>411</v>
      </c>
      <c r="I69" s="2" t="s">
        <v>252</v>
      </c>
      <c r="J69" s="2" t="s">
        <v>412</v>
      </c>
      <c r="K69" s="2" t="s">
        <v>63</v>
      </c>
      <c r="L69" s="2" t="s">
        <v>413</v>
      </c>
      <c r="M69" s="2" t="s">
        <v>136</v>
      </c>
      <c r="N69" s="2" t="s">
        <v>37</v>
      </c>
      <c r="O69" s="2" t="s">
        <v>414</v>
      </c>
      <c r="P69" s="2" t="s">
        <v>401</v>
      </c>
    </row>
    <row r="70" customFormat="false" ht="57.45" hidden="false" customHeight="false" outlineLevel="0" collapsed="false">
      <c r="A70" s="2" t="s">
        <v>415</v>
      </c>
      <c r="B70" s="2" t="s">
        <v>17</v>
      </c>
      <c r="C70" s="2" t="s">
        <v>416</v>
      </c>
      <c r="D70" s="2" t="s">
        <v>417</v>
      </c>
      <c r="E70" s="2" t="s">
        <v>20</v>
      </c>
      <c r="F70" s="2" t="s">
        <v>21</v>
      </c>
      <c r="G70" s="2" t="s">
        <v>80</v>
      </c>
      <c r="H70" s="2" t="s">
        <v>418</v>
      </c>
      <c r="I70" s="2"/>
      <c r="J70" s="2" t="s">
        <v>419</v>
      </c>
      <c r="K70" s="2" t="s">
        <v>63</v>
      </c>
      <c r="L70" s="2" t="s">
        <v>25</v>
      </c>
      <c r="M70" s="2" t="s">
        <v>136</v>
      </c>
      <c r="N70" s="2" t="s">
        <v>37</v>
      </c>
      <c r="O70" s="2" t="s">
        <v>420</v>
      </c>
      <c r="P70" s="2" t="s">
        <v>317</v>
      </c>
    </row>
    <row r="71" customFormat="false" ht="57.45" hidden="false" customHeight="false" outlineLevel="0" collapsed="false">
      <c r="A71" s="2" t="s">
        <v>421</v>
      </c>
      <c r="B71" s="2" t="s">
        <v>17</v>
      </c>
      <c r="C71" s="2" t="s">
        <v>422</v>
      </c>
      <c r="D71" s="2" t="s">
        <v>149</v>
      </c>
      <c r="E71" s="2" t="s">
        <v>20</v>
      </c>
      <c r="F71" s="2" t="s">
        <v>21</v>
      </c>
      <c r="G71" s="2" t="s">
        <v>22</v>
      </c>
      <c r="H71" s="2" t="s">
        <v>418</v>
      </c>
      <c r="I71" s="2"/>
      <c r="J71" s="2" t="s">
        <v>419</v>
      </c>
      <c r="K71" s="2" t="s">
        <v>63</v>
      </c>
      <c r="L71" s="2" t="s">
        <v>25</v>
      </c>
      <c r="M71" s="2" t="s">
        <v>136</v>
      </c>
      <c r="N71" s="2" t="s">
        <v>37</v>
      </c>
      <c r="O71" s="2" t="s">
        <v>423</v>
      </c>
      <c r="P71" s="2" t="s">
        <v>317</v>
      </c>
    </row>
    <row r="72" customFormat="false" ht="57.45" hidden="false" customHeight="false" outlineLevel="0" collapsed="false">
      <c r="A72" s="2" t="s">
        <v>424</v>
      </c>
      <c r="B72" s="2" t="s">
        <v>17</v>
      </c>
      <c r="C72" s="2" t="s">
        <v>425</v>
      </c>
      <c r="D72" s="2" t="s">
        <v>426</v>
      </c>
      <c r="E72" s="2" t="s">
        <v>20</v>
      </c>
      <c r="F72" s="2" t="s">
        <v>21</v>
      </c>
      <c r="G72" s="2" t="s">
        <v>22</v>
      </c>
      <c r="H72" s="2" t="s">
        <v>427</v>
      </c>
      <c r="I72" s="2" t="s">
        <v>133</v>
      </c>
      <c r="J72" s="2" t="s">
        <v>428</v>
      </c>
      <c r="K72" s="2" t="s">
        <v>63</v>
      </c>
      <c r="L72" s="2" t="s">
        <v>25</v>
      </c>
      <c r="M72" s="2" t="s">
        <v>136</v>
      </c>
      <c r="N72" s="2" t="s">
        <v>37</v>
      </c>
      <c r="O72" s="2" t="s">
        <v>429</v>
      </c>
      <c r="P72" s="2" t="s">
        <v>317</v>
      </c>
    </row>
    <row r="73" customFormat="false" ht="57.45" hidden="false" customHeight="false" outlineLevel="0" collapsed="false">
      <c r="A73" s="2" t="s">
        <v>430</v>
      </c>
      <c r="B73" s="2" t="s">
        <v>17</v>
      </c>
      <c r="C73" s="2" t="s">
        <v>431</v>
      </c>
      <c r="D73" s="2" t="s">
        <v>432</v>
      </c>
      <c r="E73" s="2" t="s">
        <v>20</v>
      </c>
      <c r="F73" s="2" t="s">
        <v>21</v>
      </c>
      <c r="G73" s="2" t="s">
        <v>74</v>
      </c>
      <c r="H73" s="2" t="s">
        <v>433</v>
      </c>
      <c r="I73" s="2" t="s">
        <v>434</v>
      </c>
      <c r="J73" s="2" t="s">
        <v>435</v>
      </c>
      <c r="K73" s="2" t="s">
        <v>436</v>
      </c>
      <c r="L73" s="2" t="s">
        <v>25</v>
      </c>
      <c r="M73" s="2" t="s">
        <v>36</v>
      </c>
      <c r="N73" s="2" t="s">
        <v>37</v>
      </c>
      <c r="O73" s="2" t="s">
        <v>437</v>
      </c>
      <c r="P73" s="2" t="s">
        <v>317</v>
      </c>
    </row>
    <row r="74" customFormat="false" ht="57.45" hidden="false" customHeight="false" outlineLevel="0" collapsed="false">
      <c r="A74" s="2" t="s">
        <v>438</v>
      </c>
      <c r="B74" s="2" t="s">
        <v>17</v>
      </c>
      <c r="C74" s="2" t="s">
        <v>439</v>
      </c>
      <c r="D74" s="2" t="s">
        <v>160</v>
      </c>
      <c r="E74" s="2" t="s">
        <v>20</v>
      </c>
      <c r="F74" s="2" t="s">
        <v>21</v>
      </c>
      <c r="G74" s="2" t="s">
        <v>22</v>
      </c>
      <c r="H74" s="2" t="s">
        <v>433</v>
      </c>
      <c r="I74" s="2" t="s">
        <v>434</v>
      </c>
      <c r="J74" s="2" t="s">
        <v>435</v>
      </c>
      <c r="K74" s="2" t="s">
        <v>436</v>
      </c>
      <c r="L74" s="2" t="s">
        <v>25</v>
      </c>
      <c r="M74" s="2" t="s">
        <v>36</v>
      </c>
      <c r="N74" s="2" t="s">
        <v>37</v>
      </c>
      <c r="O74" s="2" t="s">
        <v>440</v>
      </c>
      <c r="P74" s="2" t="s">
        <v>317</v>
      </c>
    </row>
    <row r="75" customFormat="false" ht="57.45" hidden="false" customHeight="false" outlineLevel="0" collapsed="false">
      <c r="A75" s="2" t="s">
        <v>441</v>
      </c>
      <c r="B75" s="2" t="s">
        <v>17</v>
      </c>
      <c r="C75" s="2" t="s">
        <v>442</v>
      </c>
      <c r="D75" s="2" t="s">
        <v>53</v>
      </c>
      <c r="E75" s="2" t="s">
        <v>20</v>
      </c>
      <c r="F75" s="2" t="s">
        <v>21</v>
      </c>
      <c r="G75" s="2" t="s">
        <v>22</v>
      </c>
      <c r="H75" s="2" t="s">
        <v>443</v>
      </c>
      <c r="I75" s="2" t="s">
        <v>252</v>
      </c>
      <c r="J75" s="2" t="s">
        <v>388</v>
      </c>
      <c r="K75" s="2" t="s">
        <v>63</v>
      </c>
      <c r="L75" s="2" t="s">
        <v>444</v>
      </c>
      <c r="M75" s="2" t="s">
        <v>136</v>
      </c>
      <c r="N75" s="2" t="s">
        <v>37</v>
      </c>
      <c r="O75" s="2" t="s">
        <v>445</v>
      </c>
      <c r="P75" s="2" t="s">
        <v>317</v>
      </c>
    </row>
    <row r="76" customFormat="false" ht="57.45" hidden="false" customHeight="false" outlineLevel="0" collapsed="false">
      <c r="A76" s="2" t="s">
        <v>446</v>
      </c>
      <c r="B76" s="2" t="s">
        <v>17</v>
      </c>
      <c r="C76" s="2" t="s">
        <v>447</v>
      </c>
      <c r="D76" s="2" t="s">
        <v>149</v>
      </c>
      <c r="E76" s="2" t="s">
        <v>20</v>
      </c>
      <c r="F76" s="2" t="s">
        <v>21</v>
      </c>
      <c r="G76" s="2" t="s">
        <v>182</v>
      </c>
      <c r="H76" s="2" t="s">
        <v>443</v>
      </c>
      <c r="I76" s="2" t="s">
        <v>252</v>
      </c>
      <c r="J76" s="2" t="s">
        <v>388</v>
      </c>
      <c r="K76" s="2" t="s">
        <v>63</v>
      </c>
      <c r="L76" s="2" t="s">
        <v>444</v>
      </c>
      <c r="M76" s="2" t="s">
        <v>136</v>
      </c>
      <c r="N76" s="2" t="s">
        <v>37</v>
      </c>
      <c r="O76" s="2" t="s">
        <v>448</v>
      </c>
      <c r="P76" s="2" t="s">
        <v>317</v>
      </c>
    </row>
    <row r="77" customFormat="false" ht="57.45" hidden="false" customHeight="false" outlineLevel="0" collapsed="false">
      <c r="A77" s="2" t="s">
        <v>449</v>
      </c>
      <c r="B77" s="2" t="s">
        <v>17</v>
      </c>
      <c r="C77" s="2" t="s">
        <v>450</v>
      </c>
      <c r="D77" s="2" t="s">
        <v>451</v>
      </c>
      <c r="E77" s="2" t="s">
        <v>20</v>
      </c>
      <c r="F77" s="2" t="s">
        <v>21</v>
      </c>
      <c r="G77" s="2" t="s">
        <v>22</v>
      </c>
      <c r="H77" s="2" t="s">
        <v>443</v>
      </c>
      <c r="I77" s="2" t="s">
        <v>252</v>
      </c>
      <c r="J77" s="2" t="s">
        <v>388</v>
      </c>
      <c r="K77" s="2" t="s">
        <v>63</v>
      </c>
      <c r="L77" s="2" t="s">
        <v>444</v>
      </c>
      <c r="M77" s="2" t="s">
        <v>136</v>
      </c>
      <c r="N77" s="2" t="s">
        <v>37</v>
      </c>
      <c r="O77" s="2" t="s">
        <v>452</v>
      </c>
      <c r="P77" s="2" t="s">
        <v>317</v>
      </c>
    </row>
    <row r="78" customFormat="false" ht="57.45" hidden="false" customHeight="false" outlineLevel="0" collapsed="false">
      <c r="A78" s="2" t="s">
        <v>453</v>
      </c>
      <c r="B78" s="2" t="s">
        <v>17</v>
      </c>
      <c r="C78" s="2" t="s">
        <v>454</v>
      </c>
      <c r="D78" s="2" t="s">
        <v>160</v>
      </c>
      <c r="E78" s="2" t="s">
        <v>20</v>
      </c>
      <c r="F78" s="2" t="s">
        <v>21</v>
      </c>
      <c r="G78" s="2" t="s">
        <v>22</v>
      </c>
      <c r="H78" s="2" t="s">
        <v>455</v>
      </c>
      <c r="I78" s="2"/>
      <c r="J78" s="2" t="s">
        <v>456</v>
      </c>
      <c r="K78" s="2" t="s">
        <v>63</v>
      </c>
      <c r="L78" s="2" t="s">
        <v>25</v>
      </c>
      <c r="M78" s="2" t="s">
        <v>26</v>
      </c>
      <c r="N78" s="2" t="s">
        <v>37</v>
      </c>
      <c r="O78" s="2" t="s">
        <v>457</v>
      </c>
      <c r="P78" s="2" t="s">
        <v>317</v>
      </c>
    </row>
    <row r="79" customFormat="false" ht="57.45" hidden="false" customHeight="false" outlineLevel="0" collapsed="false">
      <c r="A79" s="2" t="s">
        <v>458</v>
      </c>
      <c r="B79" s="2" t="s">
        <v>17</v>
      </c>
      <c r="C79" s="2" t="s">
        <v>459</v>
      </c>
      <c r="D79" s="2" t="s">
        <v>460</v>
      </c>
      <c r="E79" s="2" t="s">
        <v>20</v>
      </c>
      <c r="F79" s="2" t="s">
        <v>21</v>
      </c>
      <c r="G79" s="2" t="s">
        <v>182</v>
      </c>
      <c r="H79" s="2" t="s">
        <v>461</v>
      </c>
      <c r="I79" s="2"/>
      <c r="J79" s="2" t="s">
        <v>462</v>
      </c>
      <c r="K79" s="2" t="s">
        <v>63</v>
      </c>
      <c r="L79" s="2" t="s">
        <v>25</v>
      </c>
      <c r="M79" s="2" t="s">
        <v>36</v>
      </c>
      <c r="N79" s="2" t="s">
        <v>37</v>
      </c>
      <c r="O79" s="2" t="s">
        <v>463</v>
      </c>
      <c r="P79" s="2" t="s">
        <v>363</v>
      </c>
    </row>
    <row r="80" customFormat="false" ht="68.65" hidden="false" customHeight="false" outlineLevel="0" collapsed="false">
      <c r="A80" s="2" t="s">
        <v>464</v>
      </c>
      <c r="B80" s="2" t="s">
        <v>17</v>
      </c>
      <c r="C80" s="2" t="s">
        <v>465</v>
      </c>
      <c r="D80" s="2" t="s">
        <v>466</v>
      </c>
      <c r="E80" s="2" t="s">
        <v>467</v>
      </c>
      <c r="F80" s="2" t="s">
        <v>21</v>
      </c>
      <c r="G80" s="2" t="s">
        <v>80</v>
      </c>
      <c r="H80" s="2" t="s">
        <v>468</v>
      </c>
      <c r="I80" s="2" t="s">
        <v>469</v>
      </c>
      <c r="J80" s="2" t="s">
        <v>470</v>
      </c>
      <c r="K80" s="2" t="s">
        <v>83</v>
      </c>
      <c r="L80" s="2" t="s">
        <v>25</v>
      </c>
      <c r="M80" s="2" t="s">
        <v>36</v>
      </c>
      <c r="N80" s="2" t="s">
        <v>37</v>
      </c>
      <c r="O80" s="2" t="s">
        <v>471</v>
      </c>
      <c r="P80" s="2" t="s">
        <v>401</v>
      </c>
    </row>
    <row r="81" customFormat="false" ht="57.45" hidden="false" customHeight="false" outlineLevel="0" collapsed="false">
      <c r="A81" s="2" t="s">
        <v>472</v>
      </c>
      <c r="B81" s="2" t="s">
        <v>17</v>
      </c>
      <c r="C81" s="2" t="s">
        <v>473</v>
      </c>
      <c r="D81" s="2" t="s">
        <v>474</v>
      </c>
      <c r="E81" s="2" t="s">
        <v>20</v>
      </c>
      <c r="F81" s="2" t="s">
        <v>21</v>
      </c>
      <c r="G81" s="2" t="s">
        <v>22</v>
      </c>
      <c r="H81" s="2" t="s">
        <v>468</v>
      </c>
      <c r="I81" s="2" t="s">
        <v>469</v>
      </c>
      <c r="J81" s="2" t="s">
        <v>470</v>
      </c>
      <c r="K81" s="2" t="s">
        <v>83</v>
      </c>
      <c r="L81" s="2" t="s">
        <v>25</v>
      </c>
      <c r="M81" s="2" t="s">
        <v>36</v>
      </c>
      <c r="N81" s="2" t="s">
        <v>37</v>
      </c>
      <c r="O81" s="2" t="s">
        <v>475</v>
      </c>
      <c r="P81" s="2" t="s">
        <v>401</v>
      </c>
    </row>
    <row r="82" customFormat="false" ht="124.6" hidden="false" customHeight="false" outlineLevel="0" collapsed="false">
      <c r="A82" s="2" t="s">
        <v>476</v>
      </c>
      <c r="B82" s="2" t="s">
        <v>17</v>
      </c>
      <c r="C82" s="2" t="s">
        <v>477</v>
      </c>
      <c r="D82" s="2" t="s">
        <v>478</v>
      </c>
      <c r="E82" s="2" t="s">
        <v>20</v>
      </c>
      <c r="F82" s="2" t="s">
        <v>21</v>
      </c>
      <c r="G82" s="2" t="s">
        <v>80</v>
      </c>
      <c r="H82" s="2" t="s">
        <v>479</v>
      </c>
      <c r="I82" s="2" t="s">
        <v>480</v>
      </c>
      <c r="J82" s="2" t="s">
        <v>481</v>
      </c>
      <c r="K82" s="2" t="s">
        <v>90</v>
      </c>
      <c r="L82" s="2" t="s">
        <v>482</v>
      </c>
      <c r="M82" s="2" t="s">
        <v>36</v>
      </c>
      <c r="N82" s="2" t="s">
        <v>37</v>
      </c>
      <c r="O82" s="2" t="s">
        <v>483</v>
      </c>
      <c r="P82" s="2" t="s">
        <v>401</v>
      </c>
    </row>
    <row r="83" customFormat="false" ht="113.4" hidden="false" customHeight="false" outlineLevel="0" collapsed="false">
      <c r="A83" s="2" t="s">
        <v>484</v>
      </c>
      <c r="B83" s="2" t="s">
        <v>17</v>
      </c>
      <c r="C83" s="2" t="s">
        <v>485</v>
      </c>
      <c r="D83" s="2" t="s">
        <v>486</v>
      </c>
      <c r="E83" s="2" t="s">
        <v>20</v>
      </c>
      <c r="F83" s="2" t="s">
        <v>21</v>
      </c>
      <c r="G83" s="2" t="s">
        <v>80</v>
      </c>
      <c r="H83" s="2" t="s">
        <v>487</v>
      </c>
      <c r="I83" s="2"/>
      <c r="J83" s="2" t="s">
        <v>24</v>
      </c>
      <c r="K83" s="2" t="s">
        <v>20</v>
      </c>
      <c r="L83" s="2" t="s">
        <v>25</v>
      </c>
      <c r="M83" s="2" t="s">
        <v>36</v>
      </c>
      <c r="N83" s="2" t="s">
        <v>27</v>
      </c>
      <c r="O83" s="2" t="s">
        <v>488</v>
      </c>
      <c r="P83" s="2" t="s">
        <v>234</v>
      </c>
    </row>
    <row r="84" customFormat="false" ht="57.45" hidden="false" customHeight="false" outlineLevel="0" collapsed="false">
      <c r="A84" s="2" t="s">
        <v>489</v>
      </c>
      <c r="B84" s="2" t="s">
        <v>17</v>
      </c>
      <c r="C84" s="2" t="s">
        <v>490</v>
      </c>
      <c r="D84" s="2" t="s">
        <v>160</v>
      </c>
      <c r="E84" s="2" t="s">
        <v>20</v>
      </c>
      <c r="F84" s="2" t="s">
        <v>21</v>
      </c>
      <c r="G84" s="2" t="s">
        <v>80</v>
      </c>
      <c r="H84" s="2" t="s">
        <v>491</v>
      </c>
      <c r="I84" s="2"/>
      <c r="J84" s="2" t="s">
        <v>492</v>
      </c>
      <c r="K84" s="2" t="s">
        <v>493</v>
      </c>
      <c r="L84" s="2" t="s">
        <v>25</v>
      </c>
      <c r="M84" s="2" t="s">
        <v>184</v>
      </c>
      <c r="N84" s="2" t="s">
        <v>37</v>
      </c>
      <c r="O84" s="2" t="s">
        <v>494</v>
      </c>
      <c r="P84" s="2" t="s">
        <v>317</v>
      </c>
    </row>
    <row r="85" customFormat="false" ht="57.45" hidden="false" customHeight="false" outlineLevel="0" collapsed="false">
      <c r="A85" s="2" t="s">
        <v>495</v>
      </c>
      <c r="B85" s="2" t="s">
        <v>17</v>
      </c>
      <c r="C85" s="2" t="s">
        <v>496</v>
      </c>
      <c r="D85" s="2" t="s">
        <v>164</v>
      </c>
      <c r="E85" s="2" t="s">
        <v>20</v>
      </c>
      <c r="F85" s="2" t="s">
        <v>21</v>
      </c>
      <c r="G85" s="2" t="s">
        <v>22</v>
      </c>
      <c r="H85" s="2" t="s">
        <v>491</v>
      </c>
      <c r="I85" s="2"/>
      <c r="J85" s="2" t="s">
        <v>492</v>
      </c>
      <c r="K85" s="2" t="s">
        <v>493</v>
      </c>
      <c r="L85" s="2" t="s">
        <v>25</v>
      </c>
      <c r="M85" s="2" t="s">
        <v>184</v>
      </c>
      <c r="N85" s="2" t="s">
        <v>37</v>
      </c>
      <c r="O85" s="2" t="s">
        <v>494</v>
      </c>
      <c r="P85" s="2" t="s">
        <v>317</v>
      </c>
    </row>
    <row r="86" customFormat="false" ht="57.45" hidden="false" customHeight="false" outlineLevel="0" collapsed="false">
      <c r="A86" s="2" t="s">
        <v>497</v>
      </c>
      <c r="B86" s="2" t="s">
        <v>17</v>
      </c>
      <c r="C86" s="2" t="s">
        <v>498</v>
      </c>
      <c r="D86" s="2" t="s">
        <v>160</v>
      </c>
      <c r="E86" s="2" t="s">
        <v>20</v>
      </c>
      <c r="F86" s="2" t="s">
        <v>21</v>
      </c>
      <c r="G86" s="2" t="s">
        <v>22</v>
      </c>
      <c r="H86" s="2" t="s">
        <v>499</v>
      </c>
      <c r="I86" s="2"/>
      <c r="J86" s="2" t="s">
        <v>24</v>
      </c>
      <c r="K86" s="2" t="s">
        <v>20</v>
      </c>
      <c r="L86" s="2" t="s">
        <v>25</v>
      </c>
      <c r="M86" s="2" t="s">
        <v>184</v>
      </c>
      <c r="N86" s="2" t="s">
        <v>27</v>
      </c>
      <c r="O86" s="2" t="s">
        <v>500</v>
      </c>
      <c r="P86" s="2" t="s">
        <v>234</v>
      </c>
    </row>
    <row r="87" customFormat="false" ht="57.45" hidden="false" customHeight="false" outlineLevel="0" collapsed="false">
      <c r="A87" s="2" t="s">
        <v>501</v>
      </c>
      <c r="B87" s="2" t="s">
        <v>17</v>
      </c>
      <c r="C87" s="2" t="s">
        <v>502</v>
      </c>
      <c r="D87" s="2" t="s">
        <v>160</v>
      </c>
      <c r="E87" s="2" t="s">
        <v>20</v>
      </c>
      <c r="F87" s="2" t="s">
        <v>21</v>
      </c>
      <c r="G87" s="2" t="s">
        <v>22</v>
      </c>
      <c r="H87" s="2" t="s">
        <v>503</v>
      </c>
      <c r="I87" s="2"/>
      <c r="J87" s="2" t="s">
        <v>24</v>
      </c>
      <c r="K87" s="2" t="s">
        <v>20</v>
      </c>
      <c r="L87" s="2" t="s">
        <v>25</v>
      </c>
      <c r="M87" s="2" t="s">
        <v>184</v>
      </c>
      <c r="N87" s="2" t="s">
        <v>27</v>
      </c>
      <c r="O87" s="2" t="s">
        <v>504</v>
      </c>
      <c r="P87" s="2" t="s">
        <v>234</v>
      </c>
    </row>
    <row r="88" customFormat="false" ht="57.45" hidden="false" customHeight="false" outlineLevel="0" collapsed="false">
      <c r="A88" s="2" t="s">
        <v>505</v>
      </c>
      <c r="B88" s="2" t="s">
        <v>17</v>
      </c>
      <c r="C88" s="2" t="s">
        <v>506</v>
      </c>
      <c r="D88" s="2" t="s">
        <v>160</v>
      </c>
      <c r="E88" s="2" t="s">
        <v>20</v>
      </c>
      <c r="F88" s="2" t="s">
        <v>21</v>
      </c>
      <c r="G88" s="2" t="s">
        <v>22</v>
      </c>
      <c r="H88" s="2" t="s">
        <v>503</v>
      </c>
      <c r="I88" s="2"/>
      <c r="J88" s="2" t="s">
        <v>24</v>
      </c>
      <c r="K88" s="2" t="s">
        <v>20</v>
      </c>
      <c r="L88" s="2" t="s">
        <v>25</v>
      </c>
      <c r="M88" s="2" t="s">
        <v>184</v>
      </c>
      <c r="N88" s="2" t="s">
        <v>27</v>
      </c>
      <c r="O88" s="2" t="s">
        <v>507</v>
      </c>
      <c r="P88" s="2" t="s">
        <v>234</v>
      </c>
    </row>
    <row r="89" customFormat="false" ht="57.45" hidden="false" customHeight="false" outlineLevel="0" collapsed="false">
      <c r="A89" s="2" t="s">
        <v>508</v>
      </c>
      <c r="B89" s="2" t="s">
        <v>17</v>
      </c>
      <c r="C89" s="2" t="s">
        <v>509</v>
      </c>
      <c r="D89" s="2" t="s">
        <v>426</v>
      </c>
      <c r="E89" s="2" t="s">
        <v>20</v>
      </c>
      <c r="F89" s="2" t="s">
        <v>21</v>
      </c>
      <c r="G89" s="2" t="s">
        <v>22</v>
      </c>
      <c r="H89" s="2" t="s">
        <v>510</v>
      </c>
      <c r="I89" s="2" t="s">
        <v>511</v>
      </c>
      <c r="J89" s="2" t="s">
        <v>512</v>
      </c>
      <c r="K89" s="2" t="s">
        <v>196</v>
      </c>
      <c r="L89" s="2" t="s">
        <v>25</v>
      </c>
      <c r="M89" s="2" t="s">
        <v>184</v>
      </c>
      <c r="N89" s="2" t="s">
        <v>37</v>
      </c>
      <c r="O89" s="2" t="s">
        <v>513</v>
      </c>
      <c r="P89" s="2" t="s">
        <v>363</v>
      </c>
    </row>
    <row r="90" customFormat="false" ht="57.45" hidden="false" customHeight="false" outlineLevel="0" collapsed="false">
      <c r="A90" s="2" t="s">
        <v>514</v>
      </c>
      <c r="B90" s="2" t="s">
        <v>17</v>
      </c>
      <c r="C90" s="2" t="s">
        <v>515</v>
      </c>
      <c r="D90" s="2" t="s">
        <v>426</v>
      </c>
      <c r="E90" s="2" t="s">
        <v>20</v>
      </c>
      <c r="F90" s="2" t="s">
        <v>21</v>
      </c>
      <c r="G90" s="2" t="s">
        <v>22</v>
      </c>
      <c r="H90" s="2" t="s">
        <v>516</v>
      </c>
      <c r="I90" s="2" t="s">
        <v>517</v>
      </c>
      <c r="J90" s="2" t="s">
        <v>518</v>
      </c>
      <c r="K90" s="2" t="s">
        <v>196</v>
      </c>
      <c r="L90" s="2" t="s">
        <v>25</v>
      </c>
      <c r="M90" s="2" t="s">
        <v>184</v>
      </c>
      <c r="N90" s="2" t="s">
        <v>37</v>
      </c>
      <c r="O90" s="2" t="s">
        <v>519</v>
      </c>
      <c r="P90" s="2" t="s">
        <v>363</v>
      </c>
    </row>
    <row r="91" customFormat="false" ht="57.45" hidden="false" customHeight="false" outlineLevel="0" collapsed="false">
      <c r="A91" s="2" t="s">
        <v>520</v>
      </c>
      <c r="B91" s="2" t="s">
        <v>17</v>
      </c>
      <c r="C91" s="2" t="s">
        <v>521</v>
      </c>
      <c r="D91" s="2" t="s">
        <v>460</v>
      </c>
      <c r="E91" s="2" t="s">
        <v>20</v>
      </c>
      <c r="F91" s="2" t="s">
        <v>21</v>
      </c>
      <c r="G91" s="2" t="s">
        <v>22</v>
      </c>
      <c r="H91" s="2" t="s">
        <v>522</v>
      </c>
      <c r="I91" s="2" t="s">
        <v>523</v>
      </c>
      <c r="J91" s="2" t="s">
        <v>524</v>
      </c>
      <c r="K91" s="2" t="s">
        <v>196</v>
      </c>
      <c r="L91" s="2" t="s">
        <v>25</v>
      </c>
      <c r="M91" s="2" t="s">
        <v>184</v>
      </c>
      <c r="N91" s="2" t="s">
        <v>37</v>
      </c>
      <c r="O91" s="2" t="s">
        <v>525</v>
      </c>
      <c r="P91" s="2" t="s">
        <v>317</v>
      </c>
    </row>
    <row r="92" customFormat="false" ht="68.65" hidden="false" customHeight="false" outlineLevel="0" collapsed="false">
      <c r="A92" s="2" t="s">
        <v>526</v>
      </c>
      <c r="B92" s="2" t="s">
        <v>17</v>
      </c>
      <c r="C92" s="2" t="s">
        <v>527</v>
      </c>
      <c r="D92" s="2" t="s">
        <v>426</v>
      </c>
      <c r="E92" s="2" t="s">
        <v>20</v>
      </c>
      <c r="F92" s="2" t="s">
        <v>21</v>
      </c>
      <c r="G92" s="2" t="s">
        <v>22</v>
      </c>
      <c r="H92" s="2" t="s">
        <v>528</v>
      </c>
      <c r="I92" s="2" t="s">
        <v>529</v>
      </c>
      <c r="J92" s="2" t="s">
        <v>530</v>
      </c>
      <c r="K92" s="2" t="s">
        <v>196</v>
      </c>
      <c r="L92" s="2" t="s">
        <v>25</v>
      </c>
      <c r="M92" s="2" t="s">
        <v>184</v>
      </c>
      <c r="N92" s="2" t="s">
        <v>37</v>
      </c>
      <c r="O92" s="2" t="s">
        <v>531</v>
      </c>
      <c r="P92" s="2" t="s">
        <v>256</v>
      </c>
    </row>
    <row r="93" customFormat="false" ht="57.45" hidden="false" customHeight="false" outlineLevel="0" collapsed="false">
      <c r="A93" s="2" t="s">
        <v>532</v>
      </c>
      <c r="B93" s="2" t="s">
        <v>17</v>
      </c>
      <c r="C93" s="2" t="s">
        <v>533</v>
      </c>
      <c r="D93" s="2" t="s">
        <v>19</v>
      </c>
      <c r="E93" s="2" t="s">
        <v>20</v>
      </c>
      <c r="F93" s="2" t="s">
        <v>21</v>
      </c>
      <c r="G93" s="2" t="s">
        <v>22</v>
      </c>
      <c r="H93" s="2" t="s">
        <v>534</v>
      </c>
      <c r="I93" s="2" t="s">
        <v>535</v>
      </c>
      <c r="J93" s="2" t="s">
        <v>536</v>
      </c>
      <c r="K93" s="2" t="s">
        <v>196</v>
      </c>
      <c r="L93" s="2" t="s">
        <v>25</v>
      </c>
      <c r="M93" s="2" t="s">
        <v>184</v>
      </c>
      <c r="N93" s="2" t="s">
        <v>37</v>
      </c>
      <c r="O93" s="2" t="s">
        <v>537</v>
      </c>
      <c r="P93" s="2" t="s">
        <v>317</v>
      </c>
    </row>
    <row r="94" customFormat="false" ht="57.45" hidden="false" customHeight="false" outlineLevel="0" collapsed="false">
      <c r="A94" s="2" t="s">
        <v>538</v>
      </c>
      <c r="B94" s="2" t="s">
        <v>17</v>
      </c>
      <c r="C94" s="2" t="s">
        <v>539</v>
      </c>
      <c r="D94" s="2" t="s">
        <v>279</v>
      </c>
      <c r="E94" s="2" t="s">
        <v>20</v>
      </c>
      <c r="F94" s="2" t="s">
        <v>21</v>
      </c>
      <c r="G94" s="2" t="s">
        <v>22</v>
      </c>
      <c r="H94" s="2" t="s">
        <v>534</v>
      </c>
      <c r="I94" s="2" t="s">
        <v>535</v>
      </c>
      <c r="J94" s="2" t="s">
        <v>536</v>
      </c>
      <c r="K94" s="2" t="s">
        <v>196</v>
      </c>
      <c r="L94" s="2" t="s">
        <v>25</v>
      </c>
      <c r="M94" s="2" t="s">
        <v>184</v>
      </c>
      <c r="N94" s="2" t="s">
        <v>37</v>
      </c>
      <c r="O94" s="2" t="s">
        <v>537</v>
      </c>
      <c r="P94" s="2" t="s">
        <v>317</v>
      </c>
    </row>
    <row r="95" customFormat="false" ht="57.45" hidden="false" customHeight="false" outlineLevel="0" collapsed="false">
      <c r="A95" s="2" t="s">
        <v>540</v>
      </c>
      <c r="B95" s="2" t="s">
        <v>17</v>
      </c>
      <c r="C95" s="2" t="s">
        <v>541</v>
      </c>
      <c r="D95" s="2" t="s">
        <v>149</v>
      </c>
      <c r="E95" s="2" t="s">
        <v>20</v>
      </c>
      <c r="F95" s="2" t="s">
        <v>21</v>
      </c>
      <c r="G95" s="2" t="s">
        <v>542</v>
      </c>
      <c r="H95" s="2" t="s">
        <v>534</v>
      </c>
      <c r="I95" s="2" t="s">
        <v>535</v>
      </c>
      <c r="J95" s="2" t="s">
        <v>536</v>
      </c>
      <c r="K95" s="2" t="s">
        <v>196</v>
      </c>
      <c r="L95" s="2" t="s">
        <v>25</v>
      </c>
      <c r="M95" s="2" t="s">
        <v>184</v>
      </c>
      <c r="N95" s="2" t="s">
        <v>37</v>
      </c>
      <c r="O95" s="2" t="s">
        <v>537</v>
      </c>
      <c r="P95" s="2" t="s">
        <v>317</v>
      </c>
    </row>
    <row r="96" customFormat="false" ht="57.45" hidden="false" customHeight="false" outlineLevel="0" collapsed="false">
      <c r="A96" s="2" t="s">
        <v>543</v>
      </c>
      <c r="B96" s="2" t="s">
        <v>17</v>
      </c>
      <c r="C96" s="2" t="s">
        <v>544</v>
      </c>
      <c r="D96" s="2" t="s">
        <v>19</v>
      </c>
      <c r="E96" s="2" t="s">
        <v>20</v>
      </c>
      <c r="F96" s="2" t="s">
        <v>21</v>
      </c>
      <c r="G96" s="2" t="s">
        <v>22</v>
      </c>
      <c r="H96" s="2" t="s">
        <v>545</v>
      </c>
      <c r="I96" s="2" t="s">
        <v>546</v>
      </c>
      <c r="J96" s="2" t="s">
        <v>547</v>
      </c>
      <c r="K96" s="2" t="s">
        <v>548</v>
      </c>
      <c r="L96" s="2" t="s">
        <v>25</v>
      </c>
      <c r="M96" s="2" t="s">
        <v>184</v>
      </c>
      <c r="N96" s="2" t="s">
        <v>37</v>
      </c>
      <c r="O96" s="2" t="s">
        <v>549</v>
      </c>
      <c r="P96" s="2" t="s">
        <v>317</v>
      </c>
    </row>
    <row r="97" customFormat="false" ht="57.45" hidden="false" customHeight="false" outlineLevel="0" collapsed="false">
      <c r="A97" s="2" t="s">
        <v>550</v>
      </c>
      <c r="B97" s="2" t="s">
        <v>17</v>
      </c>
      <c r="C97" s="2" t="s">
        <v>551</v>
      </c>
      <c r="D97" s="2" t="s">
        <v>160</v>
      </c>
      <c r="E97" s="2" t="s">
        <v>20</v>
      </c>
      <c r="F97" s="2" t="s">
        <v>21</v>
      </c>
      <c r="G97" s="2" t="s">
        <v>22</v>
      </c>
      <c r="H97" s="2" t="s">
        <v>545</v>
      </c>
      <c r="I97" s="2" t="s">
        <v>546</v>
      </c>
      <c r="J97" s="2" t="s">
        <v>547</v>
      </c>
      <c r="K97" s="2" t="s">
        <v>548</v>
      </c>
      <c r="L97" s="2" t="s">
        <v>25</v>
      </c>
      <c r="M97" s="2" t="s">
        <v>184</v>
      </c>
      <c r="N97" s="2" t="s">
        <v>37</v>
      </c>
      <c r="O97" s="2" t="s">
        <v>552</v>
      </c>
      <c r="P97" s="2" t="s">
        <v>317</v>
      </c>
    </row>
    <row r="98" customFormat="false" ht="57.45" hidden="false" customHeight="false" outlineLevel="0" collapsed="false">
      <c r="A98" s="2" t="s">
        <v>553</v>
      </c>
      <c r="B98" s="2" t="s">
        <v>17</v>
      </c>
      <c r="C98" s="2" t="s">
        <v>554</v>
      </c>
      <c r="D98" s="2" t="s">
        <v>149</v>
      </c>
      <c r="E98" s="2" t="s">
        <v>20</v>
      </c>
      <c r="F98" s="2" t="s">
        <v>21</v>
      </c>
      <c r="G98" s="2" t="s">
        <v>22</v>
      </c>
      <c r="H98" s="2" t="s">
        <v>555</v>
      </c>
      <c r="I98" s="2" t="s">
        <v>556</v>
      </c>
      <c r="J98" s="2" t="s">
        <v>557</v>
      </c>
      <c r="K98" s="2" t="s">
        <v>558</v>
      </c>
      <c r="L98" s="2" t="s">
        <v>25</v>
      </c>
      <c r="M98" s="2" t="s">
        <v>184</v>
      </c>
      <c r="N98" s="2" t="s">
        <v>37</v>
      </c>
      <c r="O98" s="2" t="s">
        <v>559</v>
      </c>
      <c r="P98" s="2" t="s">
        <v>317</v>
      </c>
    </row>
    <row r="99" customFormat="false" ht="57.45" hidden="false" customHeight="false" outlineLevel="0" collapsed="false">
      <c r="A99" s="2" t="s">
        <v>560</v>
      </c>
      <c r="B99" s="2" t="s">
        <v>17</v>
      </c>
      <c r="C99" s="2" t="s">
        <v>561</v>
      </c>
      <c r="D99" s="2" t="s">
        <v>149</v>
      </c>
      <c r="E99" s="2" t="s">
        <v>20</v>
      </c>
      <c r="F99" s="2" t="s">
        <v>21</v>
      </c>
      <c r="G99" s="2" t="s">
        <v>80</v>
      </c>
      <c r="H99" s="2" t="s">
        <v>555</v>
      </c>
      <c r="I99" s="2" t="s">
        <v>556</v>
      </c>
      <c r="J99" s="2" t="s">
        <v>557</v>
      </c>
      <c r="K99" s="2" t="s">
        <v>558</v>
      </c>
      <c r="L99" s="2" t="s">
        <v>25</v>
      </c>
      <c r="M99" s="2" t="s">
        <v>184</v>
      </c>
      <c r="N99" s="2" t="s">
        <v>37</v>
      </c>
      <c r="O99" s="2" t="s">
        <v>559</v>
      </c>
      <c r="P99" s="2" t="s">
        <v>317</v>
      </c>
    </row>
    <row r="100" customFormat="false" ht="57.45" hidden="false" customHeight="false" outlineLevel="0" collapsed="false">
      <c r="A100" s="2" t="s">
        <v>562</v>
      </c>
      <c r="B100" s="2" t="s">
        <v>17</v>
      </c>
      <c r="C100" s="2" t="s">
        <v>563</v>
      </c>
      <c r="D100" s="2" t="s">
        <v>149</v>
      </c>
      <c r="E100" s="2" t="s">
        <v>20</v>
      </c>
      <c r="F100" s="2" t="s">
        <v>21</v>
      </c>
      <c r="G100" s="2" t="s">
        <v>80</v>
      </c>
      <c r="H100" s="2" t="s">
        <v>564</v>
      </c>
      <c r="I100" s="2" t="s">
        <v>565</v>
      </c>
      <c r="J100" s="2" t="s">
        <v>566</v>
      </c>
      <c r="K100" s="2" t="s">
        <v>196</v>
      </c>
      <c r="L100" s="2" t="s">
        <v>25</v>
      </c>
      <c r="M100" s="2" t="s">
        <v>184</v>
      </c>
      <c r="N100" s="2" t="s">
        <v>37</v>
      </c>
      <c r="O100" s="2" t="s">
        <v>567</v>
      </c>
      <c r="P100" s="2" t="s">
        <v>568</v>
      </c>
    </row>
    <row r="101" customFormat="false" ht="57.45" hidden="false" customHeight="false" outlineLevel="0" collapsed="false">
      <c r="A101" s="2" t="s">
        <v>569</v>
      </c>
      <c r="B101" s="2" t="s">
        <v>17</v>
      </c>
      <c r="C101" s="2" t="s">
        <v>570</v>
      </c>
      <c r="D101" s="2" t="s">
        <v>19</v>
      </c>
      <c r="E101" s="2" t="s">
        <v>20</v>
      </c>
      <c r="F101" s="2" t="s">
        <v>21</v>
      </c>
      <c r="G101" s="2" t="s">
        <v>22</v>
      </c>
      <c r="H101" s="2" t="s">
        <v>564</v>
      </c>
      <c r="I101" s="2" t="s">
        <v>565</v>
      </c>
      <c r="J101" s="2" t="s">
        <v>566</v>
      </c>
      <c r="K101" s="2" t="s">
        <v>196</v>
      </c>
      <c r="L101" s="2" t="s">
        <v>25</v>
      </c>
      <c r="M101" s="2" t="s">
        <v>184</v>
      </c>
      <c r="N101" s="2" t="s">
        <v>37</v>
      </c>
      <c r="O101" s="2" t="s">
        <v>567</v>
      </c>
      <c r="P101" s="2" t="s">
        <v>568</v>
      </c>
    </row>
    <row r="102" customFormat="false" ht="57.45" hidden="false" customHeight="false" outlineLevel="0" collapsed="false">
      <c r="A102" s="2" t="s">
        <v>571</v>
      </c>
      <c r="B102" s="2" t="s">
        <v>17</v>
      </c>
      <c r="C102" s="2" t="s">
        <v>572</v>
      </c>
      <c r="D102" s="2" t="s">
        <v>160</v>
      </c>
      <c r="E102" s="2" t="s">
        <v>20</v>
      </c>
      <c r="F102" s="2" t="s">
        <v>21</v>
      </c>
      <c r="G102" s="2" t="s">
        <v>22</v>
      </c>
      <c r="H102" s="2" t="s">
        <v>573</v>
      </c>
      <c r="I102" s="2"/>
      <c r="J102" s="2" t="s">
        <v>24</v>
      </c>
      <c r="K102" s="2" t="s">
        <v>20</v>
      </c>
      <c r="L102" s="2" t="s">
        <v>25</v>
      </c>
      <c r="M102" s="2" t="s">
        <v>26</v>
      </c>
      <c r="N102" s="2" t="s">
        <v>27</v>
      </c>
      <c r="O102" s="2" t="s">
        <v>574</v>
      </c>
      <c r="P102" s="2" t="s">
        <v>234</v>
      </c>
    </row>
    <row r="103" customFormat="false" ht="57.45" hidden="false" customHeight="false" outlineLevel="0" collapsed="false">
      <c r="A103" s="2" t="s">
        <v>575</v>
      </c>
      <c r="B103" s="2" t="s">
        <v>17</v>
      </c>
      <c r="C103" s="2" t="s">
        <v>576</v>
      </c>
      <c r="D103" s="2" t="s">
        <v>160</v>
      </c>
      <c r="E103" s="2" t="s">
        <v>20</v>
      </c>
      <c r="F103" s="2" t="s">
        <v>21</v>
      </c>
      <c r="G103" s="2" t="s">
        <v>577</v>
      </c>
      <c r="H103" s="2" t="s">
        <v>578</v>
      </c>
      <c r="I103" s="2" t="s">
        <v>579</v>
      </c>
      <c r="J103" s="2" t="s">
        <v>580</v>
      </c>
      <c r="K103" s="2" t="s">
        <v>63</v>
      </c>
      <c r="L103" s="2" t="s">
        <v>25</v>
      </c>
      <c r="M103" s="2" t="s">
        <v>26</v>
      </c>
      <c r="N103" s="2" t="s">
        <v>37</v>
      </c>
      <c r="O103" s="2" t="s">
        <v>581</v>
      </c>
      <c r="P103" s="2" t="s">
        <v>317</v>
      </c>
    </row>
    <row r="104" customFormat="false" ht="57.45" hidden="false" customHeight="false" outlineLevel="0" collapsed="false">
      <c r="A104" s="2" t="s">
        <v>582</v>
      </c>
      <c r="B104" s="2" t="s">
        <v>17</v>
      </c>
      <c r="C104" s="2" t="s">
        <v>583</v>
      </c>
      <c r="D104" s="2" t="s">
        <v>584</v>
      </c>
      <c r="E104" s="2" t="s">
        <v>585</v>
      </c>
      <c r="F104" s="2" t="s">
        <v>21</v>
      </c>
      <c r="G104" s="2" t="s">
        <v>22</v>
      </c>
      <c r="H104" s="2" t="s">
        <v>586</v>
      </c>
      <c r="I104" s="2" t="s">
        <v>579</v>
      </c>
      <c r="J104" s="2" t="s">
        <v>580</v>
      </c>
      <c r="K104" s="2" t="s">
        <v>63</v>
      </c>
      <c r="L104" s="2" t="s">
        <v>25</v>
      </c>
      <c r="M104" s="2" t="s">
        <v>26</v>
      </c>
      <c r="N104" s="2" t="s">
        <v>37</v>
      </c>
      <c r="O104" s="2" t="s">
        <v>587</v>
      </c>
      <c r="P104" s="2" t="s">
        <v>317</v>
      </c>
    </row>
    <row r="105" customFormat="false" ht="57.45" hidden="false" customHeight="false" outlineLevel="0" collapsed="false">
      <c r="A105" s="2" t="s">
        <v>588</v>
      </c>
      <c r="B105" s="2" t="s">
        <v>17</v>
      </c>
      <c r="C105" s="2" t="s">
        <v>589</v>
      </c>
      <c r="D105" s="2" t="s">
        <v>408</v>
      </c>
      <c r="E105" s="2" t="s">
        <v>20</v>
      </c>
      <c r="F105" s="2" t="s">
        <v>21</v>
      </c>
      <c r="G105" s="2" t="s">
        <v>22</v>
      </c>
      <c r="H105" s="2" t="s">
        <v>590</v>
      </c>
      <c r="I105" s="2" t="s">
        <v>591</v>
      </c>
      <c r="J105" s="2" t="s">
        <v>592</v>
      </c>
      <c r="K105" s="2" t="s">
        <v>593</v>
      </c>
      <c r="L105" s="2" t="s">
        <v>25</v>
      </c>
      <c r="M105" s="2" t="s">
        <v>26</v>
      </c>
      <c r="N105" s="2" t="s">
        <v>37</v>
      </c>
      <c r="O105" s="2" t="s">
        <v>594</v>
      </c>
      <c r="P105" s="2" t="s">
        <v>376</v>
      </c>
    </row>
    <row r="106" customFormat="false" ht="91" hidden="false" customHeight="false" outlineLevel="0" collapsed="false">
      <c r="A106" s="2" t="s">
        <v>595</v>
      </c>
      <c r="B106" s="2" t="s">
        <v>17</v>
      </c>
      <c r="C106" s="2" t="s">
        <v>596</v>
      </c>
      <c r="D106" s="2" t="s">
        <v>160</v>
      </c>
      <c r="E106" s="2" t="s">
        <v>20</v>
      </c>
      <c r="F106" s="2" t="s">
        <v>21</v>
      </c>
      <c r="G106" s="2" t="s">
        <v>22</v>
      </c>
      <c r="H106" s="2" t="s">
        <v>597</v>
      </c>
      <c r="I106" s="2" t="s">
        <v>598</v>
      </c>
      <c r="J106" s="2" t="s">
        <v>599</v>
      </c>
      <c r="K106" s="2" t="s">
        <v>600</v>
      </c>
      <c r="L106" s="2" t="s">
        <v>25</v>
      </c>
      <c r="M106" s="2" t="s">
        <v>26</v>
      </c>
      <c r="N106" s="2" t="s">
        <v>37</v>
      </c>
      <c r="O106" s="2" t="s">
        <v>601</v>
      </c>
      <c r="P106" s="2" t="s">
        <v>348</v>
      </c>
    </row>
    <row r="107" customFormat="false" ht="57.45" hidden="false" customHeight="false" outlineLevel="0" collapsed="false">
      <c r="A107" s="2" t="s">
        <v>602</v>
      </c>
      <c r="B107" s="2" t="s">
        <v>17</v>
      </c>
      <c r="C107" s="2" t="s">
        <v>603</v>
      </c>
      <c r="D107" s="2" t="s">
        <v>68</v>
      </c>
      <c r="E107" s="2" t="s">
        <v>20</v>
      </c>
      <c r="F107" s="2" t="s">
        <v>21</v>
      </c>
      <c r="G107" s="2" t="s">
        <v>22</v>
      </c>
      <c r="H107" s="2" t="s">
        <v>604</v>
      </c>
      <c r="I107" s="2" t="s">
        <v>605</v>
      </c>
      <c r="J107" s="2" t="s">
        <v>606</v>
      </c>
      <c r="K107" s="2" t="s">
        <v>607</v>
      </c>
      <c r="L107" s="2" t="s">
        <v>25</v>
      </c>
      <c r="M107" s="2" t="s">
        <v>26</v>
      </c>
      <c r="N107" s="2" t="s">
        <v>37</v>
      </c>
      <c r="O107" s="2" t="s">
        <v>608</v>
      </c>
      <c r="P107" s="2" t="s">
        <v>317</v>
      </c>
    </row>
    <row r="108" customFormat="false" ht="57.45" hidden="false" customHeight="false" outlineLevel="0" collapsed="false">
      <c r="A108" s="2" t="s">
        <v>609</v>
      </c>
      <c r="B108" s="2" t="s">
        <v>17</v>
      </c>
      <c r="C108" s="2" t="s">
        <v>610</v>
      </c>
      <c r="D108" s="2" t="s">
        <v>611</v>
      </c>
      <c r="E108" s="2" t="s">
        <v>612</v>
      </c>
      <c r="F108" s="2" t="s">
        <v>21</v>
      </c>
      <c r="G108" s="2" t="s">
        <v>206</v>
      </c>
      <c r="H108" s="2" t="s">
        <v>613</v>
      </c>
      <c r="I108" s="2" t="s">
        <v>614</v>
      </c>
      <c r="J108" s="2" t="s">
        <v>615</v>
      </c>
      <c r="K108" s="2" t="s">
        <v>63</v>
      </c>
      <c r="L108" s="2" t="s">
        <v>25</v>
      </c>
      <c r="M108" s="2" t="s">
        <v>26</v>
      </c>
      <c r="N108" s="2" t="s">
        <v>37</v>
      </c>
      <c r="O108" s="2" t="s">
        <v>616</v>
      </c>
      <c r="P108" s="2" t="s">
        <v>376</v>
      </c>
    </row>
    <row r="109" customFormat="false" ht="57.45" hidden="false" customHeight="false" outlineLevel="0" collapsed="false">
      <c r="A109" s="2" t="s">
        <v>617</v>
      </c>
      <c r="B109" s="2" t="s">
        <v>17</v>
      </c>
      <c r="C109" s="2" t="s">
        <v>618</v>
      </c>
      <c r="D109" s="2" t="s">
        <v>68</v>
      </c>
      <c r="E109" s="2" t="s">
        <v>20</v>
      </c>
      <c r="F109" s="2" t="s">
        <v>21</v>
      </c>
      <c r="G109" s="2" t="s">
        <v>22</v>
      </c>
      <c r="H109" s="2" t="s">
        <v>613</v>
      </c>
      <c r="I109" s="2" t="s">
        <v>614</v>
      </c>
      <c r="J109" s="2" t="s">
        <v>615</v>
      </c>
      <c r="K109" s="2" t="s">
        <v>63</v>
      </c>
      <c r="L109" s="2" t="s">
        <v>25</v>
      </c>
      <c r="M109" s="2" t="s">
        <v>26</v>
      </c>
      <c r="N109" s="2" t="s">
        <v>37</v>
      </c>
      <c r="O109" s="2" t="s">
        <v>619</v>
      </c>
      <c r="P109" s="2" t="s">
        <v>376</v>
      </c>
    </row>
    <row r="110" customFormat="false" ht="57.45" hidden="false" customHeight="false" outlineLevel="0" collapsed="false">
      <c r="A110" s="2" t="s">
        <v>620</v>
      </c>
      <c r="B110" s="2" t="s">
        <v>17</v>
      </c>
      <c r="C110" s="2" t="s">
        <v>621</v>
      </c>
      <c r="D110" s="2" t="s">
        <v>622</v>
      </c>
      <c r="E110" s="2" t="s">
        <v>20</v>
      </c>
      <c r="F110" s="2" t="s">
        <v>21</v>
      </c>
      <c r="G110" s="2" t="s">
        <v>74</v>
      </c>
      <c r="H110" s="2" t="s">
        <v>623</v>
      </c>
      <c r="I110" s="2" t="s">
        <v>624</v>
      </c>
      <c r="J110" s="2" t="s">
        <v>625</v>
      </c>
      <c r="K110" s="2" t="s">
        <v>63</v>
      </c>
      <c r="L110" s="2" t="s">
        <v>25</v>
      </c>
      <c r="M110" s="2" t="s">
        <v>26</v>
      </c>
      <c r="N110" s="2" t="s">
        <v>37</v>
      </c>
      <c r="O110" s="2" t="s">
        <v>626</v>
      </c>
      <c r="P110" s="2" t="s">
        <v>317</v>
      </c>
    </row>
    <row r="111" customFormat="false" ht="147" hidden="false" customHeight="false" outlineLevel="0" collapsed="false">
      <c r="A111" s="2" t="s">
        <v>627</v>
      </c>
      <c r="B111" s="2" t="s">
        <v>17</v>
      </c>
      <c r="C111" s="2" t="s">
        <v>628</v>
      </c>
      <c r="D111" s="2" t="s">
        <v>149</v>
      </c>
      <c r="E111" s="2" t="s">
        <v>20</v>
      </c>
      <c r="F111" s="2" t="s">
        <v>21</v>
      </c>
      <c r="G111" s="2" t="s">
        <v>22</v>
      </c>
      <c r="H111" s="2" t="s">
        <v>629</v>
      </c>
      <c r="I111" s="2" t="s">
        <v>630</v>
      </c>
      <c r="J111" s="2" t="s">
        <v>631</v>
      </c>
      <c r="K111" s="2" t="s">
        <v>63</v>
      </c>
      <c r="L111" s="2" t="s">
        <v>25</v>
      </c>
      <c r="M111" s="2" t="s">
        <v>26</v>
      </c>
      <c r="N111" s="2" t="s">
        <v>37</v>
      </c>
      <c r="O111" s="2" t="s">
        <v>632</v>
      </c>
      <c r="P111" s="2" t="s">
        <v>633</v>
      </c>
    </row>
    <row r="112" customFormat="false" ht="158.2" hidden="false" customHeight="false" outlineLevel="0" collapsed="false">
      <c r="A112" s="2" t="s">
        <v>634</v>
      </c>
      <c r="B112" s="2" t="s">
        <v>17</v>
      </c>
      <c r="C112" s="2" t="s">
        <v>635</v>
      </c>
      <c r="D112" s="2" t="s">
        <v>636</v>
      </c>
      <c r="E112" s="2" t="s">
        <v>20</v>
      </c>
      <c r="F112" s="2" t="s">
        <v>21</v>
      </c>
      <c r="G112" s="2" t="s">
        <v>22</v>
      </c>
      <c r="H112" s="2" t="s">
        <v>637</v>
      </c>
      <c r="I112" s="2" t="s">
        <v>638</v>
      </c>
      <c r="J112" s="2" t="s">
        <v>639</v>
      </c>
      <c r="K112" s="2" t="s">
        <v>63</v>
      </c>
      <c r="L112" s="2" t="s">
        <v>25</v>
      </c>
      <c r="M112" s="2" t="s">
        <v>26</v>
      </c>
      <c r="N112" s="2" t="s">
        <v>37</v>
      </c>
      <c r="O112" s="2" t="s">
        <v>640</v>
      </c>
      <c r="P112" s="2" t="s">
        <v>641</v>
      </c>
    </row>
    <row r="113" customFormat="false" ht="158.2" hidden="false" customHeight="false" outlineLevel="0" collapsed="false">
      <c r="A113" s="2" t="s">
        <v>642</v>
      </c>
      <c r="B113" s="2" t="s">
        <v>17</v>
      </c>
      <c r="C113" s="2" t="s">
        <v>643</v>
      </c>
      <c r="D113" s="2" t="s">
        <v>160</v>
      </c>
      <c r="E113" s="2" t="s">
        <v>644</v>
      </c>
      <c r="F113" s="2" t="s">
        <v>21</v>
      </c>
      <c r="G113" s="2" t="s">
        <v>22</v>
      </c>
      <c r="H113" s="2" t="s">
        <v>637</v>
      </c>
      <c r="I113" s="2" t="s">
        <v>638</v>
      </c>
      <c r="J113" s="2" t="s">
        <v>639</v>
      </c>
      <c r="K113" s="2" t="s">
        <v>63</v>
      </c>
      <c r="L113" s="2" t="s">
        <v>25</v>
      </c>
      <c r="M113" s="2" t="s">
        <v>26</v>
      </c>
      <c r="N113" s="2" t="s">
        <v>37</v>
      </c>
      <c r="O113" s="2" t="s">
        <v>645</v>
      </c>
      <c r="P113" s="2" t="s">
        <v>641</v>
      </c>
    </row>
    <row r="114" customFormat="false" ht="57.45" hidden="false" customHeight="false" outlineLevel="0" collapsed="false">
      <c r="A114" s="2" t="s">
        <v>646</v>
      </c>
      <c r="B114" s="2" t="s">
        <v>17</v>
      </c>
      <c r="C114" s="2" t="s">
        <v>647</v>
      </c>
      <c r="D114" s="2" t="s">
        <v>270</v>
      </c>
      <c r="E114" s="2" t="s">
        <v>20</v>
      </c>
      <c r="F114" s="2" t="s">
        <v>21</v>
      </c>
      <c r="G114" s="2" t="s">
        <v>22</v>
      </c>
      <c r="H114" s="2" t="s">
        <v>648</v>
      </c>
      <c r="I114" s="2" t="s">
        <v>649</v>
      </c>
      <c r="J114" s="2" t="s">
        <v>650</v>
      </c>
      <c r="K114" s="2" t="s">
        <v>63</v>
      </c>
      <c r="L114" s="2" t="s">
        <v>25</v>
      </c>
      <c r="M114" s="2" t="s">
        <v>26</v>
      </c>
      <c r="N114" s="2" t="s">
        <v>37</v>
      </c>
      <c r="O114" s="2" t="s">
        <v>651</v>
      </c>
      <c r="P114" s="2" t="s">
        <v>376</v>
      </c>
    </row>
    <row r="115" customFormat="false" ht="57.45" hidden="false" customHeight="false" outlineLevel="0" collapsed="false">
      <c r="A115" s="2" t="s">
        <v>652</v>
      </c>
      <c r="B115" s="2" t="s">
        <v>17</v>
      </c>
      <c r="C115" s="2" t="s">
        <v>653</v>
      </c>
      <c r="D115" s="2" t="s">
        <v>654</v>
      </c>
      <c r="E115" s="2" t="s">
        <v>20</v>
      </c>
      <c r="F115" s="2" t="s">
        <v>21</v>
      </c>
      <c r="G115" s="2" t="s">
        <v>542</v>
      </c>
      <c r="H115" s="2" t="s">
        <v>655</v>
      </c>
      <c r="I115" s="2" t="s">
        <v>656</v>
      </c>
      <c r="J115" s="2" t="s">
        <v>657</v>
      </c>
      <c r="K115" s="2" t="s">
        <v>63</v>
      </c>
      <c r="L115" s="2" t="s">
        <v>25</v>
      </c>
      <c r="M115" s="2" t="s">
        <v>26</v>
      </c>
      <c r="N115" s="2" t="s">
        <v>37</v>
      </c>
      <c r="O115" s="2" t="s">
        <v>658</v>
      </c>
      <c r="P115" s="2" t="s">
        <v>363</v>
      </c>
    </row>
    <row r="116" customFormat="false" ht="57.45" hidden="false" customHeight="false" outlineLevel="0" collapsed="false">
      <c r="A116" s="2" t="s">
        <v>659</v>
      </c>
      <c r="B116" s="2" t="s">
        <v>17</v>
      </c>
      <c r="C116" s="2" t="s">
        <v>660</v>
      </c>
      <c r="D116" s="2" t="s">
        <v>661</v>
      </c>
      <c r="E116" s="2" t="s">
        <v>20</v>
      </c>
      <c r="F116" s="2" t="s">
        <v>21</v>
      </c>
      <c r="G116" s="2" t="s">
        <v>80</v>
      </c>
      <c r="H116" s="2" t="s">
        <v>655</v>
      </c>
      <c r="I116" s="2" t="s">
        <v>656</v>
      </c>
      <c r="J116" s="2" t="s">
        <v>657</v>
      </c>
      <c r="K116" s="2" t="s">
        <v>63</v>
      </c>
      <c r="L116" s="2" t="s">
        <v>25</v>
      </c>
      <c r="M116" s="2" t="s">
        <v>26</v>
      </c>
      <c r="N116" s="2" t="s">
        <v>37</v>
      </c>
      <c r="O116" s="2" t="s">
        <v>662</v>
      </c>
      <c r="P116" s="2" t="s">
        <v>363</v>
      </c>
    </row>
    <row r="117" customFormat="false" ht="57.45" hidden="false" customHeight="false" outlineLevel="0" collapsed="false">
      <c r="A117" s="2" t="s">
        <v>663</v>
      </c>
      <c r="B117" s="2" t="s">
        <v>17</v>
      </c>
      <c r="C117" s="2" t="s">
        <v>664</v>
      </c>
      <c r="D117" s="2" t="s">
        <v>164</v>
      </c>
      <c r="E117" s="2" t="s">
        <v>20</v>
      </c>
      <c r="F117" s="2" t="s">
        <v>21</v>
      </c>
      <c r="G117" s="2" t="s">
        <v>80</v>
      </c>
      <c r="H117" s="2" t="s">
        <v>655</v>
      </c>
      <c r="I117" s="2" t="s">
        <v>656</v>
      </c>
      <c r="J117" s="2" t="s">
        <v>657</v>
      </c>
      <c r="K117" s="2" t="s">
        <v>63</v>
      </c>
      <c r="L117" s="2" t="s">
        <v>25</v>
      </c>
      <c r="M117" s="2" t="s">
        <v>26</v>
      </c>
      <c r="N117" s="2" t="s">
        <v>37</v>
      </c>
      <c r="O117" s="2" t="s">
        <v>665</v>
      </c>
      <c r="P117" s="2" t="s">
        <v>363</v>
      </c>
    </row>
    <row r="118" customFormat="false" ht="68.65" hidden="false" customHeight="false" outlineLevel="0" collapsed="false">
      <c r="A118" s="2" t="s">
        <v>666</v>
      </c>
      <c r="B118" s="2" t="s">
        <v>17</v>
      </c>
      <c r="C118" s="2" t="s">
        <v>667</v>
      </c>
      <c r="D118" s="2" t="s">
        <v>160</v>
      </c>
      <c r="E118" s="2" t="s">
        <v>20</v>
      </c>
      <c r="F118" s="2" t="s">
        <v>21</v>
      </c>
      <c r="G118" s="2" t="s">
        <v>22</v>
      </c>
      <c r="H118" s="2" t="s">
        <v>668</v>
      </c>
      <c r="I118" s="2" t="s">
        <v>669</v>
      </c>
      <c r="J118" s="2" t="s">
        <v>670</v>
      </c>
      <c r="K118" s="2" t="s">
        <v>63</v>
      </c>
      <c r="L118" s="2" t="s">
        <v>671</v>
      </c>
      <c r="M118" s="2" t="s">
        <v>26</v>
      </c>
      <c r="N118" s="2" t="s">
        <v>37</v>
      </c>
      <c r="O118" s="2" t="s">
        <v>672</v>
      </c>
      <c r="P118" s="2" t="s">
        <v>673</v>
      </c>
    </row>
    <row r="119" customFormat="false" ht="57.45" hidden="false" customHeight="false" outlineLevel="0" collapsed="false">
      <c r="A119" s="2" t="s">
        <v>674</v>
      </c>
      <c r="B119" s="2" t="s">
        <v>17</v>
      </c>
      <c r="C119" s="2" t="s">
        <v>675</v>
      </c>
      <c r="D119" s="2" t="s">
        <v>676</v>
      </c>
      <c r="E119" s="2" t="s">
        <v>20</v>
      </c>
      <c r="F119" s="2" t="s">
        <v>21</v>
      </c>
      <c r="G119" s="2" t="s">
        <v>80</v>
      </c>
      <c r="H119" s="2" t="s">
        <v>677</v>
      </c>
      <c r="I119" s="2" t="s">
        <v>678</v>
      </c>
      <c r="J119" s="2" t="s">
        <v>679</v>
      </c>
      <c r="K119" s="2" t="s">
        <v>63</v>
      </c>
      <c r="L119" s="2" t="s">
        <v>25</v>
      </c>
      <c r="M119" s="2" t="s">
        <v>36</v>
      </c>
      <c r="N119" s="2" t="s">
        <v>37</v>
      </c>
      <c r="O119" s="2" t="s">
        <v>680</v>
      </c>
      <c r="P119" s="2" t="s">
        <v>317</v>
      </c>
    </row>
    <row r="120" customFormat="false" ht="57.45" hidden="false" customHeight="false" outlineLevel="0" collapsed="false">
      <c r="A120" s="2" t="s">
        <v>681</v>
      </c>
      <c r="B120" s="2" t="s">
        <v>17</v>
      </c>
      <c r="C120" s="2" t="s">
        <v>682</v>
      </c>
      <c r="D120" s="2" t="s">
        <v>426</v>
      </c>
      <c r="E120" s="2" t="s">
        <v>20</v>
      </c>
      <c r="F120" s="2" t="s">
        <v>21</v>
      </c>
      <c r="G120" s="2" t="s">
        <v>22</v>
      </c>
      <c r="H120" s="2" t="s">
        <v>683</v>
      </c>
      <c r="I120" s="2" t="s">
        <v>684</v>
      </c>
      <c r="J120" s="2" t="s">
        <v>685</v>
      </c>
      <c r="K120" s="2" t="s">
        <v>686</v>
      </c>
      <c r="L120" s="2" t="s">
        <v>25</v>
      </c>
      <c r="M120" s="2" t="s">
        <v>36</v>
      </c>
      <c r="N120" s="2" t="s">
        <v>37</v>
      </c>
      <c r="O120" s="2" t="s">
        <v>687</v>
      </c>
      <c r="P120" s="2" t="s">
        <v>363</v>
      </c>
    </row>
    <row r="121" customFormat="false" ht="57.45" hidden="false" customHeight="false" outlineLevel="0" collapsed="false">
      <c r="A121" s="2" t="s">
        <v>688</v>
      </c>
      <c r="B121" s="2" t="s">
        <v>17</v>
      </c>
      <c r="C121" s="2" t="s">
        <v>689</v>
      </c>
      <c r="D121" s="2" t="s">
        <v>432</v>
      </c>
      <c r="E121" s="2" t="s">
        <v>20</v>
      </c>
      <c r="F121" s="2" t="s">
        <v>21</v>
      </c>
      <c r="G121" s="2" t="s">
        <v>22</v>
      </c>
      <c r="H121" s="2" t="s">
        <v>690</v>
      </c>
      <c r="I121" s="2" t="s">
        <v>691</v>
      </c>
      <c r="J121" s="2" t="s">
        <v>692</v>
      </c>
      <c r="K121" s="2" t="s">
        <v>90</v>
      </c>
      <c r="L121" s="2" t="s">
        <v>25</v>
      </c>
      <c r="M121" s="2" t="s">
        <v>36</v>
      </c>
      <c r="N121" s="2" t="s">
        <v>37</v>
      </c>
      <c r="O121" s="2" t="s">
        <v>693</v>
      </c>
      <c r="P121" s="2" t="s">
        <v>376</v>
      </c>
    </row>
    <row r="122" customFormat="false" ht="91" hidden="false" customHeight="false" outlineLevel="0" collapsed="false">
      <c r="A122" s="2" t="s">
        <v>694</v>
      </c>
      <c r="B122" s="2" t="s">
        <v>17</v>
      </c>
      <c r="C122" s="2" t="s">
        <v>695</v>
      </c>
      <c r="D122" s="2" t="s">
        <v>676</v>
      </c>
      <c r="E122" s="2" t="s">
        <v>20</v>
      </c>
      <c r="F122" s="2" t="s">
        <v>21</v>
      </c>
      <c r="G122" s="2" t="s">
        <v>696</v>
      </c>
      <c r="H122" s="2" t="s">
        <v>697</v>
      </c>
      <c r="I122" s="2" t="s">
        <v>698</v>
      </c>
      <c r="J122" s="2" t="s">
        <v>699</v>
      </c>
      <c r="K122" s="2" t="s">
        <v>90</v>
      </c>
      <c r="L122" s="2" t="s">
        <v>482</v>
      </c>
      <c r="M122" s="2" t="s">
        <v>36</v>
      </c>
      <c r="N122" s="2" t="s">
        <v>37</v>
      </c>
      <c r="O122" s="2" t="s">
        <v>700</v>
      </c>
      <c r="P122" s="2" t="s">
        <v>701</v>
      </c>
    </row>
    <row r="123" customFormat="false" ht="57.45" hidden="false" customHeight="false" outlineLevel="0" collapsed="false">
      <c r="A123" s="2" t="s">
        <v>702</v>
      </c>
      <c r="B123" s="2" t="s">
        <v>17</v>
      </c>
      <c r="C123" s="2" t="s">
        <v>703</v>
      </c>
      <c r="D123" s="2" t="s">
        <v>160</v>
      </c>
      <c r="E123" s="2" t="s">
        <v>20</v>
      </c>
      <c r="F123" s="2" t="s">
        <v>21</v>
      </c>
      <c r="G123" s="2" t="s">
        <v>22</v>
      </c>
      <c r="H123" s="2" t="s">
        <v>704</v>
      </c>
      <c r="I123" s="2" t="s">
        <v>705</v>
      </c>
      <c r="J123" s="2" t="s">
        <v>706</v>
      </c>
      <c r="K123" s="2" t="s">
        <v>63</v>
      </c>
      <c r="L123" s="2" t="s">
        <v>25</v>
      </c>
      <c r="M123" s="2" t="s">
        <v>36</v>
      </c>
      <c r="N123" s="2" t="s">
        <v>37</v>
      </c>
      <c r="O123" s="2" t="s">
        <v>707</v>
      </c>
      <c r="P123" s="2" t="s">
        <v>363</v>
      </c>
    </row>
    <row r="124" customFormat="false" ht="57.45" hidden="false" customHeight="false" outlineLevel="0" collapsed="false">
      <c r="A124" s="2" t="s">
        <v>708</v>
      </c>
      <c r="B124" s="2" t="s">
        <v>17</v>
      </c>
      <c r="C124" s="2" t="s">
        <v>709</v>
      </c>
      <c r="D124" s="2" t="s">
        <v>160</v>
      </c>
      <c r="E124" s="2" t="s">
        <v>20</v>
      </c>
      <c r="F124" s="2" t="s">
        <v>21</v>
      </c>
      <c r="G124" s="2" t="s">
        <v>22</v>
      </c>
      <c r="H124" s="2" t="s">
        <v>704</v>
      </c>
      <c r="I124" s="2" t="s">
        <v>705</v>
      </c>
      <c r="J124" s="2" t="s">
        <v>706</v>
      </c>
      <c r="K124" s="2" t="s">
        <v>63</v>
      </c>
      <c r="L124" s="2" t="s">
        <v>25</v>
      </c>
      <c r="M124" s="2" t="s">
        <v>36</v>
      </c>
      <c r="N124" s="2" t="s">
        <v>37</v>
      </c>
      <c r="O124" s="2" t="s">
        <v>710</v>
      </c>
      <c r="P124" s="2" t="s">
        <v>363</v>
      </c>
    </row>
    <row r="125" customFormat="false" ht="57.45" hidden="false" customHeight="false" outlineLevel="0" collapsed="false">
      <c r="A125" s="2" t="s">
        <v>711</v>
      </c>
      <c r="B125" s="2" t="s">
        <v>17</v>
      </c>
      <c r="C125" s="2" t="s">
        <v>712</v>
      </c>
      <c r="D125" s="2" t="s">
        <v>149</v>
      </c>
      <c r="E125" s="2" t="s">
        <v>20</v>
      </c>
      <c r="F125" s="2" t="s">
        <v>21</v>
      </c>
      <c r="G125" s="2" t="s">
        <v>80</v>
      </c>
      <c r="H125" s="2" t="s">
        <v>704</v>
      </c>
      <c r="I125" s="2" t="s">
        <v>705</v>
      </c>
      <c r="J125" s="2" t="s">
        <v>706</v>
      </c>
      <c r="K125" s="2" t="s">
        <v>63</v>
      </c>
      <c r="L125" s="2" t="s">
        <v>25</v>
      </c>
      <c r="M125" s="2" t="s">
        <v>36</v>
      </c>
      <c r="N125" s="2" t="s">
        <v>37</v>
      </c>
      <c r="O125" s="2" t="s">
        <v>713</v>
      </c>
      <c r="P125" s="2" t="s">
        <v>363</v>
      </c>
    </row>
    <row r="126" customFormat="false" ht="79.85" hidden="false" customHeight="false" outlineLevel="0" collapsed="false">
      <c r="A126" s="2" t="s">
        <v>714</v>
      </c>
      <c r="B126" s="2" t="s">
        <v>17</v>
      </c>
      <c r="C126" s="2" t="s">
        <v>715</v>
      </c>
      <c r="D126" s="2" t="s">
        <v>160</v>
      </c>
      <c r="E126" s="2" t="s">
        <v>20</v>
      </c>
      <c r="F126" s="2" t="s">
        <v>21</v>
      </c>
      <c r="G126" s="2" t="s">
        <v>80</v>
      </c>
      <c r="H126" s="2" t="s">
        <v>716</v>
      </c>
      <c r="I126" s="2" t="s">
        <v>684</v>
      </c>
      <c r="J126" s="2" t="s">
        <v>717</v>
      </c>
      <c r="K126" s="2" t="s">
        <v>686</v>
      </c>
      <c r="L126" s="2" t="s">
        <v>25</v>
      </c>
      <c r="M126" s="2" t="s">
        <v>36</v>
      </c>
      <c r="N126" s="2" t="s">
        <v>37</v>
      </c>
      <c r="O126" s="2" t="s">
        <v>718</v>
      </c>
      <c r="P126" s="2" t="s">
        <v>376</v>
      </c>
    </row>
    <row r="127" customFormat="false" ht="68.65" hidden="false" customHeight="false" outlineLevel="0" collapsed="false">
      <c r="A127" s="2" t="s">
        <v>719</v>
      </c>
      <c r="B127" s="2" t="s">
        <v>17</v>
      </c>
      <c r="C127" s="2" t="s">
        <v>720</v>
      </c>
      <c r="D127" s="2" t="s">
        <v>53</v>
      </c>
      <c r="E127" s="2" t="s">
        <v>20</v>
      </c>
      <c r="F127" s="2" t="s">
        <v>21</v>
      </c>
      <c r="G127" s="2" t="s">
        <v>22</v>
      </c>
      <c r="H127" s="2" t="s">
        <v>721</v>
      </c>
      <c r="I127" s="2" t="s">
        <v>722</v>
      </c>
      <c r="J127" s="2" t="s">
        <v>723</v>
      </c>
      <c r="K127" s="2" t="s">
        <v>436</v>
      </c>
      <c r="L127" s="2" t="s">
        <v>25</v>
      </c>
      <c r="M127" s="2" t="s">
        <v>36</v>
      </c>
      <c r="N127" s="2" t="s">
        <v>37</v>
      </c>
      <c r="O127" s="2" t="s">
        <v>724</v>
      </c>
      <c r="P127" s="2" t="s">
        <v>376</v>
      </c>
    </row>
    <row r="128" customFormat="false" ht="68.65" hidden="false" customHeight="false" outlineLevel="0" collapsed="false">
      <c r="A128" s="2" t="s">
        <v>725</v>
      </c>
      <c r="B128" s="2" t="s">
        <v>17</v>
      </c>
      <c r="C128" s="2" t="s">
        <v>726</v>
      </c>
      <c r="D128" s="2" t="s">
        <v>727</v>
      </c>
      <c r="E128" s="2" t="s">
        <v>20</v>
      </c>
      <c r="F128" s="2" t="s">
        <v>21</v>
      </c>
      <c r="G128" s="2" t="s">
        <v>22</v>
      </c>
      <c r="H128" s="2" t="s">
        <v>721</v>
      </c>
      <c r="I128" s="2" t="s">
        <v>722</v>
      </c>
      <c r="J128" s="2" t="s">
        <v>723</v>
      </c>
      <c r="K128" s="2" t="s">
        <v>436</v>
      </c>
      <c r="L128" s="2" t="s">
        <v>25</v>
      </c>
      <c r="M128" s="2" t="s">
        <v>36</v>
      </c>
      <c r="N128" s="2" t="s">
        <v>37</v>
      </c>
      <c r="O128" s="2" t="s">
        <v>728</v>
      </c>
      <c r="P128" s="2" t="s">
        <v>376</v>
      </c>
    </row>
    <row r="129" customFormat="false" ht="57.45" hidden="false" customHeight="false" outlineLevel="0" collapsed="false">
      <c r="A129" s="2" t="s">
        <v>729</v>
      </c>
      <c r="B129" s="2" t="s">
        <v>17</v>
      </c>
      <c r="C129" s="2" t="s">
        <v>730</v>
      </c>
      <c r="D129" s="2" t="s">
        <v>676</v>
      </c>
      <c r="E129" s="2" t="s">
        <v>20</v>
      </c>
      <c r="F129" s="2" t="s">
        <v>21</v>
      </c>
      <c r="G129" s="2" t="s">
        <v>74</v>
      </c>
      <c r="H129" s="2" t="s">
        <v>731</v>
      </c>
      <c r="I129" s="2" t="s">
        <v>732</v>
      </c>
      <c r="J129" s="2" t="s">
        <v>733</v>
      </c>
      <c r="K129" s="2" t="s">
        <v>63</v>
      </c>
      <c r="L129" s="2" t="s">
        <v>25</v>
      </c>
      <c r="M129" s="2" t="s">
        <v>36</v>
      </c>
      <c r="N129" s="2" t="s">
        <v>37</v>
      </c>
      <c r="O129" s="2" t="s">
        <v>734</v>
      </c>
      <c r="P129" s="2" t="s">
        <v>317</v>
      </c>
    </row>
    <row r="130" customFormat="false" ht="135.8" hidden="false" customHeight="false" outlineLevel="0" collapsed="false">
      <c r="A130" s="2" t="s">
        <v>735</v>
      </c>
      <c r="B130" s="2" t="s">
        <v>17</v>
      </c>
      <c r="C130" s="2" t="s">
        <v>736</v>
      </c>
      <c r="D130" s="2" t="s">
        <v>19</v>
      </c>
      <c r="E130" s="2" t="s">
        <v>20</v>
      </c>
      <c r="F130" s="2" t="s">
        <v>21</v>
      </c>
      <c r="G130" s="2" t="s">
        <v>80</v>
      </c>
      <c r="H130" s="2" t="s">
        <v>737</v>
      </c>
      <c r="I130" s="2" t="s">
        <v>738</v>
      </c>
      <c r="J130" s="2" t="s">
        <v>739</v>
      </c>
      <c r="K130" s="2" t="s">
        <v>190</v>
      </c>
      <c r="L130" s="2" t="s">
        <v>25</v>
      </c>
      <c r="M130" s="2" t="s">
        <v>36</v>
      </c>
      <c r="N130" s="2" t="s">
        <v>37</v>
      </c>
      <c r="O130" s="2" t="s">
        <v>740</v>
      </c>
      <c r="P130" s="2" t="s">
        <v>741</v>
      </c>
    </row>
    <row r="131" customFormat="false" ht="135.8" hidden="false" customHeight="false" outlineLevel="0" collapsed="false">
      <c r="A131" s="2" t="s">
        <v>742</v>
      </c>
      <c r="B131" s="2" t="s">
        <v>17</v>
      </c>
      <c r="C131" s="2" t="s">
        <v>743</v>
      </c>
      <c r="D131" s="2" t="s">
        <v>19</v>
      </c>
      <c r="E131" s="2" t="s">
        <v>744</v>
      </c>
      <c r="F131" s="2" t="s">
        <v>21</v>
      </c>
      <c r="G131" s="2" t="s">
        <v>80</v>
      </c>
      <c r="H131" s="2" t="s">
        <v>737</v>
      </c>
      <c r="I131" s="2" t="s">
        <v>738</v>
      </c>
      <c r="J131" s="2" t="s">
        <v>739</v>
      </c>
      <c r="K131" s="2" t="s">
        <v>190</v>
      </c>
      <c r="L131" s="2" t="s">
        <v>25</v>
      </c>
      <c r="M131" s="2" t="s">
        <v>36</v>
      </c>
      <c r="N131" s="2" t="s">
        <v>37</v>
      </c>
      <c r="O131" s="2" t="s">
        <v>745</v>
      </c>
      <c r="P131" s="2" t="s">
        <v>741</v>
      </c>
    </row>
    <row r="132" customFormat="false" ht="57.45" hidden="false" customHeight="false" outlineLevel="0" collapsed="false">
      <c r="A132" s="2" t="s">
        <v>746</v>
      </c>
      <c r="B132" s="2" t="s">
        <v>17</v>
      </c>
      <c r="C132" s="2" t="s">
        <v>747</v>
      </c>
      <c r="D132" s="2" t="s">
        <v>19</v>
      </c>
      <c r="E132" s="2" t="s">
        <v>748</v>
      </c>
      <c r="F132" s="2" t="s">
        <v>21</v>
      </c>
      <c r="G132" s="2" t="s">
        <v>22</v>
      </c>
      <c r="H132" s="2" t="s">
        <v>749</v>
      </c>
      <c r="I132" s="2" t="s">
        <v>750</v>
      </c>
      <c r="J132" s="2" t="s">
        <v>751</v>
      </c>
      <c r="K132" s="2" t="s">
        <v>97</v>
      </c>
      <c r="L132" s="2" t="s">
        <v>25</v>
      </c>
      <c r="M132" s="2" t="s">
        <v>36</v>
      </c>
      <c r="N132" s="2" t="s">
        <v>37</v>
      </c>
      <c r="O132" s="2" t="s">
        <v>752</v>
      </c>
      <c r="P132" s="2" t="s">
        <v>363</v>
      </c>
    </row>
    <row r="133" customFormat="false" ht="79.85" hidden="false" customHeight="false" outlineLevel="0" collapsed="false">
      <c r="A133" s="2" t="s">
        <v>753</v>
      </c>
      <c r="B133" s="2" t="s">
        <v>17</v>
      </c>
      <c r="C133" s="2" t="s">
        <v>754</v>
      </c>
      <c r="D133" s="2" t="s">
        <v>19</v>
      </c>
      <c r="E133" s="2" t="s">
        <v>20</v>
      </c>
      <c r="F133" s="2" t="s">
        <v>21</v>
      </c>
      <c r="G133" s="2" t="s">
        <v>22</v>
      </c>
      <c r="H133" s="2" t="s">
        <v>749</v>
      </c>
      <c r="I133" s="2" t="s">
        <v>750</v>
      </c>
      <c r="J133" s="2" t="s">
        <v>751</v>
      </c>
      <c r="K133" s="2" t="s">
        <v>97</v>
      </c>
      <c r="L133" s="2" t="s">
        <v>25</v>
      </c>
      <c r="M133" s="2" t="s">
        <v>36</v>
      </c>
      <c r="N133" s="2" t="s">
        <v>37</v>
      </c>
      <c r="O133" s="2" t="s">
        <v>755</v>
      </c>
      <c r="P133" s="2" t="s">
        <v>363</v>
      </c>
    </row>
    <row r="134" customFormat="false" ht="79.85" hidden="false" customHeight="false" outlineLevel="0" collapsed="false">
      <c r="A134" s="2" t="s">
        <v>756</v>
      </c>
      <c r="B134" s="2" t="s">
        <v>17</v>
      </c>
      <c r="C134" s="2" t="s">
        <v>757</v>
      </c>
      <c r="D134" s="2" t="s">
        <v>19</v>
      </c>
      <c r="E134" s="2" t="s">
        <v>20</v>
      </c>
      <c r="F134" s="2" t="s">
        <v>21</v>
      </c>
      <c r="G134" s="2" t="s">
        <v>22</v>
      </c>
      <c r="H134" s="2" t="s">
        <v>749</v>
      </c>
      <c r="I134" s="2" t="s">
        <v>750</v>
      </c>
      <c r="J134" s="2" t="s">
        <v>751</v>
      </c>
      <c r="K134" s="2" t="s">
        <v>97</v>
      </c>
      <c r="L134" s="2" t="s">
        <v>25</v>
      </c>
      <c r="M134" s="2" t="s">
        <v>36</v>
      </c>
      <c r="N134" s="2" t="s">
        <v>37</v>
      </c>
      <c r="O134" s="2" t="s">
        <v>758</v>
      </c>
      <c r="P134" s="2" t="s">
        <v>363</v>
      </c>
    </row>
    <row r="135" customFormat="false" ht="57.45" hidden="false" customHeight="false" outlineLevel="0" collapsed="false">
      <c r="A135" s="2" t="s">
        <v>759</v>
      </c>
      <c r="B135" s="2" t="s">
        <v>17</v>
      </c>
      <c r="C135" s="2" t="s">
        <v>760</v>
      </c>
      <c r="D135" s="2" t="s">
        <v>19</v>
      </c>
      <c r="E135" s="2" t="s">
        <v>20</v>
      </c>
      <c r="F135" s="2" t="s">
        <v>21</v>
      </c>
      <c r="G135" s="2" t="s">
        <v>74</v>
      </c>
      <c r="H135" s="2" t="s">
        <v>749</v>
      </c>
      <c r="I135" s="2" t="s">
        <v>750</v>
      </c>
      <c r="J135" s="2" t="s">
        <v>751</v>
      </c>
      <c r="K135" s="2" t="s">
        <v>97</v>
      </c>
      <c r="L135" s="2" t="s">
        <v>25</v>
      </c>
      <c r="M135" s="2" t="s">
        <v>36</v>
      </c>
      <c r="N135" s="2" t="s">
        <v>37</v>
      </c>
      <c r="O135" s="2" t="s">
        <v>761</v>
      </c>
      <c r="P135" s="2" t="s">
        <v>363</v>
      </c>
    </row>
    <row r="136" customFormat="false" ht="57.45" hidden="false" customHeight="false" outlineLevel="0" collapsed="false">
      <c r="A136" s="2" t="s">
        <v>762</v>
      </c>
      <c r="B136" s="2" t="s">
        <v>17</v>
      </c>
      <c r="C136" s="2" t="s">
        <v>763</v>
      </c>
      <c r="D136" s="2" t="s">
        <v>764</v>
      </c>
      <c r="E136" s="2" t="s">
        <v>20</v>
      </c>
      <c r="F136" s="2" t="s">
        <v>21</v>
      </c>
      <c r="G136" s="2" t="s">
        <v>80</v>
      </c>
      <c r="H136" s="2" t="s">
        <v>749</v>
      </c>
      <c r="I136" s="2" t="s">
        <v>750</v>
      </c>
      <c r="J136" s="2" t="s">
        <v>751</v>
      </c>
      <c r="K136" s="2" t="s">
        <v>97</v>
      </c>
      <c r="L136" s="2" t="s">
        <v>25</v>
      </c>
      <c r="M136" s="2" t="s">
        <v>36</v>
      </c>
      <c r="N136" s="2" t="s">
        <v>37</v>
      </c>
      <c r="O136" s="2" t="s">
        <v>765</v>
      </c>
      <c r="P136" s="2" t="s">
        <v>363</v>
      </c>
    </row>
    <row r="137" customFormat="false" ht="57.45" hidden="false" customHeight="false" outlineLevel="0" collapsed="false">
      <c r="A137" s="2" t="s">
        <v>766</v>
      </c>
      <c r="B137" s="2" t="s">
        <v>17</v>
      </c>
      <c r="C137" s="2" t="s">
        <v>767</v>
      </c>
      <c r="D137" s="2" t="s">
        <v>768</v>
      </c>
      <c r="E137" s="2" t="s">
        <v>20</v>
      </c>
      <c r="F137" s="2" t="s">
        <v>21</v>
      </c>
      <c r="G137" s="2" t="s">
        <v>74</v>
      </c>
      <c r="H137" s="2" t="s">
        <v>769</v>
      </c>
      <c r="I137" s="2"/>
      <c r="J137" s="2" t="s">
        <v>770</v>
      </c>
      <c r="K137" s="2" t="s">
        <v>63</v>
      </c>
      <c r="L137" s="2" t="s">
        <v>25</v>
      </c>
      <c r="M137" s="2" t="s">
        <v>36</v>
      </c>
      <c r="N137" s="2" t="s">
        <v>37</v>
      </c>
      <c r="O137" s="2" t="s">
        <v>771</v>
      </c>
      <c r="P137" s="2" t="s">
        <v>317</v>
      </c>
    </row>
    <row r="138" customFormat="false" ht="169.4" hidden="false" customHeight="false" outlineLevel="0" collapsed="false">
      <c r="A138" s="2" t="s">
        <v>772</v>
      </c>
      <c r="B138" s="2" t="s">
        <v>17</v>
      </c>
      <c r="C138" s="2" t="s">
        <v>773</v>
      </c>
      <c r="D138" s="2" t="s">
        <v>774</v>
      </c>
      <c r="E138" s="2" t="s">
        <v>20</v>
      </c>
      <c r="F138" s="2" t="s">
        <v>21</v>
      </c>
      <c r="G138" s="2" t="s">
        <v>22</v>
      </c>
      <c r="H138" s="2" t="s">
        <v>775</v>
      </c>
      <c r="I138" s="2" t="s">
        <v>776</v>
      </c>
      <c r="J138" s="2" t="s">
        <v>777</v>
      </c>
      <c r="K138" s="2" t="s">
        <v>778</v>
      </c>
      <c r="L138" s="2" t="s">
        <v>25</v>
      </c>
      <c r="M138" s="2" t="s">
        <v>36</v>
      </c>
      <c r="N138" s="2" t="s">
        <v>37</v>
      </c>
      <c r="O138" s="2" t="s">
        <v>779</v>
      </c>
      <c r="P138" s="2" t="s">
        <v>780</v>
      </c>
    </row>
    <row r="139" customFormat="false" ht="57.45" hidden="false" customHeight="false" outlineLevel="0" collapsed="false">
      <c r="A139" s="2" t="s">
        <v>781</v>
      </c>
      <c r="B139" s="2" t="s">
        <v>17</v>
      </c>
      <c r="C139" s="2" t="s">
        <v>782</v>
      </c>
      <c r="D139" s="2" t="s">
        <v>149</v>
      </c>
      <c r="E139" s="2" t="s">
        <v>20</v>
      </c>
      <c r="F139" s="2" t="s">
        <v>21</v>
      </c>
      <c r="G139" s="2" t="s">
        <v>22</v>
      </c>
      <c r="H139" s="2" t="s">
        <v>783</v>
      </c>
      <c r="I139" s="2"/>
      <c r="J139" s="2" t="s">
        <v>24</v>
      </c>
      <c r="K139" s="2" t="s">
        <v>20</v>
      </c>
      <c r="L139" s="2" t="s">
        <v>25</v>
      </c>
      <c r="M139" s="2" t="s">
        <v>232</v>
      </c>
      <c r="N139" s="2" t="s">
        <v>27</v>
      </c>
      <c r="O139" s="2" t="s">
        <v>784</v>
      </c>
      <c r="P139" s="2" t="s">
        <v>234</v>
      </c>
    </row>
    <row r="140" customFormat="false" ht="57.45" hidden="false" customHeight="false" outlineLevel="0" collapsed="false">
      <c r="A140" s="2" t="s">
        <v>785</v>
      </c>
      <c r="B140" s="2" t="s">
        <v>17</v>
      </c>
      <c r="C140" s="2" t="s">
        <v>786</v>
      </c>
      <c r="D140" s="2" t="s">
        <v>149</v>
      </c>
      <c r="E140" s="2" t="s">
        <v>20</v>
      </c>
      <c r="F140" s="2" t="s">
        <v>21</v>
      </c>
      <c r="G140" s="2" t="s">
        <v>22</v>
      </c>
      <c r="H140" s="2" t="s">
        <v>783</v>
      </c>
      <c r="I140" s="2"/>
      <c r="J140" s="2" t="s">
        <v>24</v>
      </c>
      <c r="K140" s="2" t="s">
        <v>20</v>
      </c>
      <c r="L140" s="2" t="s">
        <v>25</v>
      </c>
      <c r="M140" s="2" t="s">
        <v>232</v>
      </c>
      <c r="N140" s="2" t="s">
        <v>27</v>
      </c>
      <c r="O140" s="2" t="s">
        <v>787</v>
      </c>
      <c r="P140" s="2" t="s">
        <v>234</v>
      </c>
    </row>
    <row r="141" customFormat="false" ht="79.85" hidden="false" customHeight="false" outlineLevel="0" collapsed="false">
      <c r="A141" s="2" t="s">
        <v>788</v>
      </c>
      <c r="B141" s="2" t="s">
        <v>17</v>
      </c>
      <c r="C141" s="2" t="s">
        <v>789</v>
      </c>
      <c r="D141" s="2" t="s">
        <v>20</v>
      </c>
      <c r="E141" s="2" t="s">
        <v>20</v>
      </c>
      <c r="F141" s="2" t="s">
        <v>20</v>
      </c>
      <c r="G141" s="2" t="s">
        <v>20</v>
      </c>
      <c r="H141" s="2" t="s">
        <v>790</v>
      </c>
      <c r="I141" s="2" t="s">
        <v>791</v>
      </c>
      <c r="J141" s="2" t="s">
        <v>792</v>
      </c>
      <c r="K141" s="2" t="s">
        <v>793</v>
      </c>
      <c r="L141" s="2" t="s">
        <v>25</v>
      </c>
      <c r="M141" s="2" t="s">
        <v>794</v>
      </c>
      <c r="N141" s="2" t="s">
        <v>137</v>
      </c>
      <c r="O141" s="2" t="s">
        <v>795</v>
      </c>
      <c r="P141" s="2" t="s">
        <v>796</v>
      </c>
    </row>
    <row r="142" customFormat="false" ht="46.25" hidden="false" customHeight="false" outlineLevel="0" collapsed="false">
      <c r="A142" s="2" t="s">
        <v>797</v>
      </c>
      <c r="B142" s="2" t="s">
        <v>17</v>
      </c>
      <c r="C142" s="2" t="s">
        <v>798</v>
      </c>
      <c r="D142" s="2" t="s">
        <v>20</v>
      </c>
      <c r="E142" s="2" t="s">
        <v>20</v>
      </c>
      <c r="F142" s="2" t="s">
        <v>20</v>
      </c>
      <c r="G142" s="2" t="s">
        <v>20</v>
      </c>
      <c r="H142" s="2" t="s">
        <v>799</v>
      </c>
      <c r="I142" s="2" t="s">
        <v>88</v>
      </c>
      <c r="J142" s="2" t="s">
        <v>800</v>
      </c>
      <c r="K142" s="2" t="s">
        <v>63</v>
      </c>
      <c r="L142" s="2" t="s">
        <v>25</v>
      </c>
      <c r="M142" s="2" t="s">
        <v>801</v>
      </c>
      <c r="N142" s="2" t="s">
        <v>137</v>
      </c>
      <c r="O142" s="2" t="s">
        <v>795</v>
      </c>
      <c r="P142" s="2" t="s">
        <v>796</v>
      </c>
    </row>
    <row r="143" customFormat="false" ht="46.25" hidden="false" customHeight="false" outlineLevel="0" collapsed="false">
      <c r="A143" s="2" t="s">
        <v>802</v>
      </c>
      <c r="B143" s="2" t="s">
        <v>17</v>
      </c>
      <c r="C143" s="2" t="s">
        <v>803</v>
      </c>
      <c r="D143" s="2" t="s">
        <v>20</v>
      </c>
      <c r="E143" s="2" t="s">
        <v>20</v>
      </c>
      <c r="F143" s="2" t="s">
        <v>20</v>
      </c>
      <c r="G143" s="2" t="s">
        <v>20</v>
      </c>
      <c r="H143" s="2" t="s">
        <v>804</v>
      </c>
      <c r="I143" s="2" t="s">
        <v>398</v>
      </c>
      <c r="J143" s="2" t="s">
        <v>805</v>
      </c>
      <c r="K143" s="2" t="s">
        <v>63</v>
      </c>
      <c r="L143" s="2" t="s">
        <v>25</v>
      </c>
      <c r="M143" s="2" t="s">
        <v>136</v>
      </c>
      <c r="N143" s="2" t="s">
        <v>137</v>
      </c>
      <c r="O143" s="2" t="s">
        <v>795</v>
      </c>
      <c r="P143" s="2" t="s">
        <v>796</v>
      </c>
    </row>
    <row r="144" customFormat="false" ht="281.3" hidden="false" customHeight="false" outlineLevel="0" collapsed="false">
      <c r="A144" s="2" t="s">
        <v>806</v>
      </c>
      <c r="B144" s="2" t="s">
        <v>17</v>
      </c>
      <c r="C144" s="2" t="s">
        <v>807</v>
      </c>
      <c r="D144" s="2" t="s">
        <v>20</v>
      </c>
      <c r="E144" s="2" t="s">
        <v>20</v>
      </c>
      <c r="F144" s="2" t="s">
        <v>20</v>
      </c>
      <c r="G144" s="2" t="s">
        <v>20</v>
      </c>
      <c r="H144" s="2" t="s">
        <v>808</v>
      </c>
      <c r="I144" s="2" t="s">
        <v>809</v>
      </c>
      <c r="J144" s="2" t="s">
        <v>810</v>
      </c>
      <c r="K144" s="2" t="s">
        <v>190</v>
      </c>
      <c r="L144" s="2" t="s">
        <v>811</v>
      </c>
      <c r="M144" s="2" t="s">
        <v>812</v>
      </c>
      <c r="N144" s="2" t="s">
        <v>137</v>
      </c>
      <c r="O144" s="2" t="s">
        <v>813</v>
      </c>
      <c r="P144" s="2" t="s">
        <v>796</v>
      </c>
    </row>
    <row r="145" customFormat="false" ht="79.85" hidden="false" customHeight="false" outlineLevel="0" collapsed="false">
      <c r="A145" s="2" t="s">
        <v>814</v>
      </c>
      <c r="B145" s="2" t="s">
        <v>17</v>
      </c>
      <c r="C145" s="2" t="s">
        <v>815</v>
      </c>
      <c r="D145" s="2" t="s">
        <v>20</v>
      </c>
      <c r="E145" s="2" t="s">
        <v>20</v>
      </c>
      <c r="F145" s="2" t="s">
        <v>20</v>
      </c>
      <c r="G145" s="2" t="s">
        <v>20</v>
      </c>
      <c r="H145" s="2" t="s">
        <v>816</v>
      </c>
      <c r="I145" s="2" t="s">
        <v>817</v>
      </c>
      <c r="J145" s="2" t="s">
        <v>818</v>
      </c>
      <c r="K145" s="2" t="s">
        <v>63</v>
      </c>
      <c r="L145" s="2" t="s">
        <v>25</v>
      </c>
      <c r="M145" s="2" t="s">
        <v>26</v>
      </c>
      <c r="N145" s="2" t="s">
        <v>137</v>
      </c>
      <c r="O145" s="2" t="s">
        <v>795</v>
      </c>
      <c r="P145" s="2" t="s">
        <v>796</v>
      </c>
    </row>
    <row r="146" customFormat="false" ht="46.25" hidden="false" customHeight="false" outlineLevel="0" collapsed="false">
      <c r="A146" s="2" t="s">
        <v>819</v>
      </c>
      <c r="B146" s="2" t="s">
        <v>17</v>
      </c>
      <c r="C146" s="2" t="s">
        <v>820</v>
      </c>
      <c r="D146" s="2" t="s">
        <v>20</v>
      </c>
      <c r="E146" s="2" t="s">
        <v>20</v>
      </c>
      <c r="F146" s="2" t="s">
        <v>20</v>
      </c>
      <c r="G146" s="2" t="s">
        <v>20</v>
      </c>
      <c r="H146" s="2" t="s">
        <v>821</v>
      </c>
      <c r="I146" s="2" t="s">
        <v>684</v>
      </c>
      <c r="J146" s="2" t="s">
        <v>822</v>
      </c>
      <c r="K146" s="2" t="s">
        <v>686</v>
      </c>
      <c r="L146" s="2" t="s">
        <v>25</v>
      </c>
      <c r="M146" s="2" t="s">
        <v>36</v>
      </c>
      <c r="N146" s="2" t="s">
        <v>137</v>
      </c>
      <c r="O146" s="2" t="s">
        <v>795</v>
      </c>
      <c r="P146" s="2" t="s">
        <v>796</v>
      </c>
    </row>
  </sheetData>
  <autoFilter ref="A1:P1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70"/>
    <col collapsed="false" customWidth="true" hidden="false" outlineLevel="0" max="4" min="4" style="0" width="24"/>
    <col collapsed="false" customWidth="true" hidden="false" outlineLevel="0" max="5" min="5" style="0" width="26"/>
    <col collapsed="false" customWidth="true" hidden="false" outlineLevel="0" max="6" min="6" style="0" width="28"/>
    <col collapsed="false" customWidth="true" hidden="false" outlineLevel="0" max="7" min="7" style="0" width="22"/>
    <col collapsed="false" customWidth="true" hidden="false" outlineLevel="0" max="8" min="8" style="0" width="14"/>
    <col collapsed="false" customWidth="true" hidden="false" outlineLevel="0" max="9" min="9" style="0" width="22"/>
    <col collapsed="false" customWidth="true" hidden="false" outlineLevel="0" max="10" min="10" style="0" width="36"/>
    <col collapsed="false" customWidth="true" hidden="false" outlineLevel="0" max="11" min="11" style="0" width="16"/>
    <col collapsed="false" customWidth="true" hidden="false" outlineLevel="0" max="12" min="12" style="0" width="20"/>
    <col collapsed="false" customWidth="true" hidden="false" outlineLevel="0" max="13" min="13" style="0" width="18"/>
    <col collapsed="false" customWidth="true" hidden="false" outlineLevel="0" max="14" min="14" style="0" width="14"/>
    <col collapsed="false" customWidth="true" hidden="false" outlineLevel="0" max="16" min="15" style="0" width="50"/>
  </cols>
  <sheetData>
    <row r="1" customFormat="false" ht="57.4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57.45" hidden="false" customHeight="false" outlineLevel="0" collapsed="false">
      <c r="A2" s="2" t="s">
        <v>823</v>
      </c>
      <c r="B2" s="2" t="s">
        <v>824</v>
      </c>
      <c r="C2" s="2" t="s">
        <v>825</v>
      </c>
      <c r="D2" s="2" t="s">
        <v>826</v>
      </c>
      <c r="E2" s="2" t="s">
        <v>827</v>
      </c>
      <c r="F2" s="2" t="s">
        <v>20</v>
      </c>
      <c r="G2" s="2" t="s">
        <v>828</v>
      </c>
      <c r="H2" s="2"/>
      <c r="I2" s="2" t="s">
        <v>829</v>
      </c>
      <c r="J2" s="2" t="s">
        <v>830</v>
      </c>
      <c r="K2" s="2" t="s">
        <v>493</v>
      </c>
      <c r="L2" s="2" t="s">
        <v>25</v>
      </c>
      <c r="M2" s="2" t="s">
        <v>26</v>
      </c>
      <c r="N2" s="2" t="s">
        <v>37</v>
      </c>
      <c r="O2" s="2" t="s">
        <v>831</v>
      </c>
      <c r="P2" s="2" t="s">
        <v>832</v>
      </c>
    </row>
    <row r="3" customFormat="false" ht="135.8" hidden="false" customHeight="false" outlineLevel="0" collapsed="false">
      <c r="A3" s="2" t="s">
        <v>833</v>
      </c>
      <c r="B3" s="2" t="s">
        <v>834</v>
      </c>
      <c r="C3" s="2" t="s">
        <v>41</v>
      </c>
      <c r="D3" s="2" t="s">
        <v>835</v>
      </c>
      <c r="E3" s="2" t="s">
        <v>20</v>
      </c>
      <c r="F3" s="2" t="s">
        <v>20</v>
      </c>
      <c r="G3" s="2" t="s">
        <v>836</v>
      </c>
      <c r="H3" s="2"/>
      <c r="I3" s="2" t="s">
        <v>42</v>
      </c>
      <c r="J3" s="2" t="s">
        <v>837</v>
      </c>
      <c r="K3" s="2" t="s">
        <v>35</v>
      </c>
      <c r="L3" s="2" t="s">
        <v>25</v>
      </c>
      <c r="M3" s="2" t="s">
        <v>36</v>
      </c>
      <c r="N3" s="2" t="s">
        <v>37</v>
      </c>
      <c r="O3" s="2" t="s">
        <v>44</v>
      </c>
      <c r="P3" s="2" t="s">
        <v>58</v>
      </c>
    </row>
    <row r="4" customFormat="false" ht="169.4" hidden="false" customHeight="false" outlineLevel="0" collapsed="false">
      <c r="A4" s="2" t="s">
        <v>838</v>
      </c>
      <c r="B4" s="2" t="s">
        <v>839</v>
      </c>
      <c r="C4" s="2" t="s">
        <v>840</v>
      </c>
      <c r="D4" s="2" t="s">
        <v>841</v>
      </c>
      <c r="E4" s="2" t="s">
        <v>20</v>
      </c>
      <c r="F4" s="2" t="s">
        <v>20</v>
      </c>
      <c r="G4" s="2" t="s">
        <v>836</v>
      </c>
      <c r="H4" s="2"/>
      <c r="I4" s="2" t="s">
        <v>842</v>
      </c>
      <c r="J4" s="2" t="s">
        <v>843</v>
      </c>
      <c r="K4" s="2" t="s">
        <v>844</v>
      </c>
      <c r="L4" s="2" t="s">
        <v>25</v>
      </c>
      <c r="M4" s="2" t="s">
        <v>36</v>
      </c>
      <c r="N4" s="2" t="s">
        <v>37</v>
      </c>
      <c r="O4" s="2" t="s">
        <v>845</v>
      </c>
      <c r="P4" s="2" t="s">
        <v>211</v>
      </c>
    </row>
    <row r="5" customFormat="false" ht="57.45" hidden="false" customHeight="false" outlineLevel="0" collapsed="false">
      <c r="A5" s="2" t="s">
        <v>846</v>
      </c>
      <c r="B5" s="2" t="s">
        <v>834</v>
      </c>
      <c r="C5" s="2" t="s">
        <v>847</v>
      </c>
      <c r="D5" s="2" t="s">
        <v>848</v>
      </c>
      <c r="E5" s="2" t="s">
        <v>20</v>
      </c>
      <c r="F5" s="2" t="s">
        <v>20</v>
      </c>
      <c r="G5" s="2" t="s">
        <v>20</v>
      </c>
      <c r="H5" s="2"/>
      <c r="I5" s="2" t="s">
        <v>849</v>
      </c>
      <c r="J5" s="2" t="s">
        <v>850</v>
      </c>
      <c r="K5" s="2" t="s">
        <v>63</v>
      </c>
      <c r="L5" s="2" t="s">
        <v>851</v>
      </c>
      <c r="M5" s="2" t="s">
        <v>26</v>
      </c>
      <c r="N5" s="2" t="s">
        <v>37</v>
      </c>
      <c r="O5" s="2" t="s">
        <v>852</v>
      </c>
      <c r="P5" s="2" t="s">
        <v>99</v>
      </c>
    </row>
    <row r="6" customFormat="false" ht="57.45" hidden="false" customHeight="false" outlineLevel="0" collapsed="false">
      <c r="A6" s="2" t="s">
        <v>853</v>
      </c>
      <c r="B6" s="2" t="s">
        <v>834</v>
      </c>
      <c r="C6" s="2" t="s">
        <v>854</v>
      </c>
      <c r="D6" s="2" t="s">
        <v>848</v>
      </c>
      <c r="E6" s="2" t="s">
        <v>20</v>
      </c>
      <c r="F6" s="2" t="s">
        <v>20</v>
      </c>
      <c r="G6" s="2" t="s">
        <v>855</v>
      </c>
      <c r="H6" s="2"/>
      <c r="I6" s="2" t="s">
        <v>849</v>
      </c>
      <c r="J6" s="2" t="s">
        <v>850</v>
      </c>
      <c r="K6" s="2" t="s">
        <v>63</v>
      </c>
      <c r="L6" s="2" t="s">
        <v>851</v>
      </c>
      <c r="M6" s="2" t="s">
        <v>26</v>
      </c>
      <c r="N6" s="2" t="s">
        <v>37</v>
      </c>
      <c r="O6" s="2" t="s">
        <v>856</v>
      </c>
      <c r="P6" s="2" t="s">
        <v>99</v>
      </c>
    </row>
    <row r="7" customFormat="false" ht="79.85" hidden="false" customHeight="false" outlineLevel="0" collapsed="false">
      <c r="A7" s="2" t="s">
        <v>857</v>
      </c>
      <c r="B7" s="2" t="s">
        <v>834</v>
      </c>
      <c r="C7" s="2" t="s">
        <v>858</v>
      </c>
      <c r="D7" s="2" t="s">
        <v>835</v>
      </c>
      <c r="E7" s="2" t="s">
        <v>20</v>
      </c>
      <c r="F7" s="2" t="s">
        <v>20</v>
      </c>
      <c r="G7" s="2" t="s">
        <v>836</v>
      </c>
      <c r="H7" s="2"/>
      <c r="I7" s="2" t="s">
        <v>859</v>
      </c>
      <c r="J7" s="2" t="s">
        <v>860</v>
      </c>
      <c r="K7" s="2" t="s">
        <v>63</v>
      </c>
      <c r="L7" s="2" t="s">
        <v>861</v>
      </c>
      <c r="M7" s="2" t="s">
        <v>26</v>
      </c>
      <c r="N7" s="2" t="s">
        <v>37</v>
      </c>
      <c r="O7" s="2" t="s">
        <v>862</v>
      </c>
      <c r="P7" s="2" t="s">
        <v>863</v>
      </c>
    </row>
    <row r="8" customFormat="false" ht="68.65" hidden="false" customHeight="false" outlineLevel="0" collapsed="false">
      <c r="A8" s="2" t="s">
        <v>864</v>
      </c>
      <c r="B8" s="2" t="s">
        <v>834</v>
      </c>
      <c r="C8" s="2" t="s">
        <v>60</v>
      </c>
      <c r="D8" s="2" t="s">
        <v>835</v>
      </c>
      <c r="E8" s="2" t="s">
        <v>20</v>
      </c>
      <c r="F8" s="2" t="s">
        <v>20</v>
      </c>
      <c r="G8" s="2" t="s">
        <v>836</v>
      </c>
      <c r="H8" s="2"/>
      <c r="I8" s="2" t="s">
        <v>61</v>
      </c>
      <c r="J8" s="2" t="s">
        <v>62</v>
      </c>
      <c r="K8" s="2" t="s">
        <v>63</v>
      </c>
      <c r="L8" s="2" t="s">
        <v>25</v>
      </c>
      <c r="M8" s="2" t="s">
        <v>26</v>
      </c>
      <c r="N8" s="2" t="s">
        <v>37</v>
      </c>
      <c r="O8" s="2" t="s">
        <v>64</v>
      </c>
      <c r="P8" s="2" t="s">
        <v>65</v>
      </c>
    </row>
    <row r="9" customFormat="false" ht="57.45" hidden="false" customHeight="false" outlineLevel="0" collapsed="false">
      <c r="A9" s="2" t="s">
        <v>865</v>
      </c>
      <c r="B9" s="2" t="s">
        <v>824</v>
      </c>
      <c r="C9" s="2" t="s">
        <v>866</v>
      </c>
      <c r="D9" s="2" t="s">
        <v>848</v>
      </c>
      <c r="E9" s="2" t="s">
        <v>20</v>
      </c>
      <c r="F9" s="2" t="s">
        <v>867</v>
      </c>
      <c r="G9" s="2" t="s">
        <v>20</v>
      </c>
      <c r="H9" s="2"/>
      <c r="I9" s="2" t="s">
        <v>868</v>
      </c>
      <c r="J9" s="2" t="s">
        <v>24</v>
      </c>
      <c r="K9" s="2" t="s">
        <v>20</v>
      </c>
      <c r="L9" s="2" t="s">
        <v>25</v>
      </c>
      <c r="M9" s="2" t="s">
        <v>26</v>
      </c>
      <c r="N9" s="2" t="s">
        <v>27</v>
      </c>
      <c r="O9" s="2" t="s">
        <v>869</v>
      </c>
      <c r="P9" s="2" t="s">
        <v>29</v>
      </c>
    </row>
    <row r="10" customFormat="false" ht="68.65" hidden="false" customHeight="false" outlineLevel="0" collapsed="false">
      <c r="A10" s="2" t="s">
        <v>870</v>
      </c>
      <c r="B10" s="2" t="s">
        <v>834</v>
      </c>
      <c r="C10" s="2" t="s">
        <v>871</v>
      </c>
      <c r="D10" s="2" t="s">
        <v>848</v>
      </c>
      <c r="E10" s="2" t="s">
        <v>20</v>
      </c>
      <c r="F10" s="2" t="s">
        <v>20</v>
      </c>
      <c r="G10" s="2" t="s">
        <v>20</v>
      </c>
      <c r="H10" s="2"/>
      <c r="I10" s="2" t="s">
        <v>70</v>
      </c>
      <c r="J10" s="2" t="s">
        <v>24</v>
      </c>
      <c r="K10" s="2" t="s">
        <v>20</v>
      </c>
      <c r="L10" s="2" t="s">
        <v>25</v>
      </c>
      <c r="M10" s="2" t="s">
        <v>36</v>
      </c>
      <c r="N10" s="2" t="s">
        <v>49</v>
      </c>
      <c r="O10" s="2" t="s">
        <v>872</v>
      </c>
      <c r="P10" s="2" t="s">
        <v>29</v>
      </c>
    </row>
    <row r="11" customFormat="false" ht="124.6" hidden="false" customHeight="false" outlineLevel="0" collapsed="false">
      <c r="A11" s="2" t="s">
        <v>873</v>
      </c>
      <c r="B11" s="2" t="s">
        <v>834</v>
      </c>
      <c r="C11" s="2" t="s">
        <v>874</v>
      </c>
      <c r="D11" s="2" t="s">
        <v>875</v>
      </c>
      <c r="E11" s="2" t="s">
        <v>20</v>
      </c>
      <c r="F11" s="2" t="s">
        <v>876</v>
      </c>
      <c r="G11" s="2" t="s">
        <v>877</v>
      </c>
      <c r="H11" s="2"/>
      <c r="I11" s="2" t="s">
        <v>878</v>
      </c>
      <c r="J11" s="2" t="s">
        <v>879</v>
      </c>
      <c r="K11" s="2" t="s">
        <v>63</v>
      </c>
      <c r="L11" s="2" t="s">
        <v>25</v>
      </c>
      <c r="M11" s="2" t="s">
        <v>36</v>
      </c>
      <c r="N11" s="2" t="s">
        <v>37</v>
      </c>
      <c r="O11" s="2" t="s">
        <v>880</v>
      </c>
      <c r="P11" s="2" t="s">
        <v>832</v>
      </c>
    </row>
    <row r="12" customFormat="false" ht="91" hidden="false" customHeight="false" outlineLevel="0" collapsed="false">
      <c r="A12" s="2" t="s">
        <v>881</v>
      </c>
      <c r="B12" s="2" t="s">
        <v>834</v>
      </c>
      <c r="C12" s="2" t="s">
        <v>94</v>
      </c>
      <c r="D12" s="2" t="s">
        <v>835</v>
      </c>
      <c r="E12" s="2" t="s">
        <v>20</v>
      </c>
      <c r="F12" s="2" t="s">
        <v>882</v>
      </c>
      <c r="G12" s="2" t="s">
        <v>836</v>
      </c>
      <c r="H12" s="2"/>
      <c r="I12" s="2" t="s">
        <v>95</v>
      </c>
      <c r="J12" s="2" t="s">
        <v>883</v>
      </c>
      <c r="K12" s="2" t="s">
        <v>97</v>
      </c>
      <c r="L12" s="2" t="s">
        <v>25</v>
      </c>
      <c r="M12" s="2" t="s">
        <v>36</v>
      </c>
      <c r="N12" s="2" t="s">
        <v>37</v>
      </c>
      <c r="O12" s="2" t="s">
        <v>98</v>
      </c>
      <c r="P12" s="2" t="s">
        <v>122</v>
      </c>
    </row>
    <row r="13" customFormat="false" ht="124.6" hidden="false" customHeight="false" outlineLevel="0" collapsed="false">
      <c r="A13" s="2" t="s">
        <v>884</v>
      </c>
      <c r="B13" s="2" t="s">
        <v>834</v>
      </c>
      <c r="C13" s="2" t="s">
        <v>885</v>
      </c>
      <c r="D13" s="2" t="s">
        <v>835</v>
      </c>
      <c r="E13" s="2" t="s">
        <v>886</v>
      </c>
      <c r="F13" s="2" t="s">
        <v>20</v>
      </c>
      <c r="G13" s="2" t="s">
        <v>836</v>
      </c>
      <c r="H13" s="2"/>
      <c r="I13" s="2" t="s">
        <v>887</v>
      </c>
      <c r="J13" s="2" t="s">
        <v>883</v>
      </c>
      <c r="K13" s="2" t="s">
        <v>97</v>
      </c>
      <c r="L13" s="2" t="s">
        <v>25</v>
      </c>
      <c r="M13" s="2" t="s">
        <v>36</v>
      </c>
      <c r="N13" s="2" t="s">
        <v>37</v>
      </c>
      <c r="O13" s="2" t="s">
        <v>888</v>
      </c>
      <c r="P13" s="2" t="s">
        <v>122</v>
      </c>
    </row>
    <row r="14" customFormat="false" ht="57.45" hidden="false" customHeight="false" outlineLevel="0" collapsed="false">
      <c r="A14" s="2" t="s">
        <v>889</v>
      </c>
      <c r="B14" s="2" t="s">
        <v>834</v>
      </c>
      <c r="C14" s="2" t="s">
        <v>890</v>
      </c>
      <c r="D14" s="2" t="s">
        <v>848</v>
      </c>
      <c r="E14" s="2" t="s">
        <v>20</v>
      </c>
      <c r="F14" s="2" t="s">
        <v>20</v>
      </c>
      <c r="G14" s="2" t="s">
        <v>891</v>
      </c>
      <c r="H14" s="2"/>
      <c r="I14" s="2" t="s">
        <v>110</v>
      </c>
      <c r="J14" s="2" t="s">
        <v>892</v>
      </c>
      <c r="K14" s="2" t="s">
        <v>63</v>
      </c>
      <c r="L14" s="2" t="s">
        <v>25</v>
      </c>
      <c r="M14" s="2" t="s">
        <v>26</v>
      </c>
      <c r="N14" s="2" t="s">
        <v>37</v>
      </c>
      <c r="O14" s="2" t="s">
        <v>893</v>
      </c>
      <c r="P14" s="2" t="s">
        <v>122</v>
      </c>
    </row>
    <row r="15" customFormat="false" ht="79.85" hidden="false" customHeight="false" outlineLevel="0" collapsed="false">
      <c r="A15" s="2" t="s">
        <v>894</v>
      </c>
      <c r="B15" s="2" t="s">
        <v>834</v>
      </c>
      <c r="C15" s="2" t="s">
        <v>895</v>
      </c>
      <c r="D15" s="2" t="s">
        <v>835</v>
      </c>
      <c r="E15" s="2" t="s">
        <v>20</v>
      </c>
      <c r="F15" s="2" t="s">
        <v>20</v>
      </c>
      <c r="G15" s="2" t="s">
        <v>896</v>
      </c>
      <c r="H15" s="2"/>
      <c r="I15" s="2" t="s">
        <v>897</v>
      </c>
      <c r="J15" s="2" t="s">
        <v>898</v>
      </c>
      <c r="K15" s="2" t="s">
        <v>63</v>
      </c>
      <c r="L15" s="2" t="s">
        <v>25</v>
      </c>
      <c r="M15" s="2" t="s">
        <v>26</v>
      </c>
      <c r="N15" s="2" t="s">
        <v>37</v>
      </c>
      <c r="O15" s="2" t="s">
        <v>899</v>
      </c>
      <c r="P15" s="2" t="s">
        <v>211</v>
      </c>
    </row>
    <row r="16" customFormat="false" ht="102.2" hidden="false" customHeight="false" outlineLevel="0" collapsed="false">
      <c r="A16" s="2" t="s">
        <v>900</v>
      </c>
      <c r="B16" s="2" t="s">
        <v>824</v>
      </c>
      <c r="C16" s="2" t="s">
        <v>901</v>
      </c>
      <c r="D16" s="2" t="s">
        <v>826</v>
      </c>
      <c r="E16" s="2" t="s">
        <v>20</v>
      </c>
      <c r="F16" s="2" t="s">
        <v>20</v>
      </c>
      <c r="G16" s="2" t="s">
        <v>902</v>
      </c>
      <c r="H16" s="2"/>
      <c r="I16" s="2" t="s">
        <v>143</v>
      </c>
      <c r="J16" s="2" t="s">
        <v>903</v>
      </c>
      <c r="K16" s="2" t="s">
        <v>63</v>
      </c>
      <c r="L16" s="2" t="s">
        <v>25</v>
      </c>
      <c r="M16" s="2" t="s">
        <v>136</v>
      </c>
      <c r="N16" s="2" t="s">
        <v>37</v>
      </c>
      <c r="O16" s="2" t="s">
        <v>904</v>
      </c>
      <c r="P16" s="2" t="s">
        <v>45</v>
      </c>
    </row>
    <row r="17" customFormat="false" ht="57.45" hidden="false" customHeight="false" outlineLevel="0" collapsed="false">
      <c r="A17" s="2" t="s">
        <v>905</v>
      </c>
      <c r="B17" s="2" t="s">
        <v>824</v>
      </c>
      <c r="C17" s="2" t="s">
        <v>906</v>
      </c>
      <c r="D17" s="2" t="s">
        <v>826</v>
      </c>
      <c r="E17" s="2" t="s">
        <v>20</v>
      </c>
      <c r="F17" s="2" t="s">
        <v>20</v>
      </c>
      <c r="G17" s="2" t="s">
        <v>902</v>
      </c>
      <c r="H17" s="2"/>
      <c r="I17" s="2" t="s">
        <v>165</v>
      </c>
      <c r="J17" s="2" t="s">
        <v>907</v>
      </c>
      <c r="K17" s="2" t="s">
        <v>63</v>
      </c>
      <c r="L17" s="2" t="s">
        <v>167</v>
      </c>
      <c r="M17" s="2" t="s">
        <v>136</v>
      </c>
      <c r="N17" s="2" t="s">
        <v>37</v>
      </c>
      <c r="O17" s="2" t="s">
        <v>908</v>
      </c>
      <c r="P17" s="2" t="s">
        <v>92</v>
      </c>
    </row>
    <row r="18" customFormat="false" ht="57.45" hidden="false" customHeight="false" outlineLevel="0" collapsed="false">
      <c r="A18" s="2" t="s">
        <v>909</v>
      </c>
      <c r="B18" s="2" t="s">
        <v>834</v>
      </c>
      <c r="C18" s="2" t="s">
        <v>910</v>
      </c>
      <c r="D18" s="2" t="s">
        <v>835</v>
      </c>
      <c r="E18" s="2" t="s">
        <v>20</v>
      </c>
      <c r="F18" s="2" t="s">
        <v>20</v>
      </c>
      <c r="G18" s="2" t="s">
        <v>836</v>
      </c>
      <c r="H18" s="2"/>
      <c r="I18" s="2" t="s">
        <v>911</v>
      </c>
      <c r="J18" s="2" t="s">
        <v>912</v>
      </c>
      <c r="K18" s="2" t="s">
        <v>196</v>
      </c>
      <c r="L18" s="2" t="s">
        <v>25</v>
      </c>
      <c r="M18" s="2" t="s">
        <v>184</v>
      </c>
      <c r="N18" s="2" t="s">
        <v>37</v>
      </c>
      <c r="O18" s="2" t="s">
        <v>913</v>
      </c>
      <c r="P18" s="2" t="s">
        <v>832</v>
      </c>
    </row>
    <row r="19" customFormat="false" ht="57.45" hidden="false" customHeight="false" outlineLevel="0" collapsed="false">
      <c r="A19" s="2" t="s">
        <v>914</v>
      </c>
      <c r="B19" s="2" t="s">
        <v>834</v>
      </c>
      <c r="C19" s="2" t="s">
        <v>915</v>
      </c>
      <c r="D19" s="2" t="s">
        <v>835</v>
      </c>
      <c r="E19" s="2" t="s">
        <v>20</v>
      </c>
      <c r="F19" s="2" t="s">
        <v>20</v>
      </c>
      <c r="G19" s="2" t="s">
        <v>836</v>
      </c>
      <c r="H19" s="2"/>
      <c r="I19" s="2" t="s">
        <v>916</v>
      </c>
      <c r="J19" s="2" t="s">
        <v>24</v>
      </c>
      <c r="K19" s="2" t="s">
        <v>20</v>
      </c>
      <c r="L19" s="2" t="s">
        <v>25</v>
      </c>
      <c r="M19" s="2" t="s">
        <v>184</v>
      </c>
      <c r="N19" s="2" t="s">
        <v>27</v>
      </c>
      <c r="O19" s="2" t="s">
        <v>917</v>
      </c>
      <c r="P19" s="2" t="s">
        <v>29</v>
      </c>
    </row>
    <row r="20" customFormat="false" ht="169.4" hidden="false" customHeight="false" outlineLevel="0" collapsed="false">
      <c r="A20" s="2" t="s">
        <v>918</v>
      </c>
      <c r="B20" s="2" t="s">
        <v>834</v>
      </c>
      <c r="C20" s="2" t="s">
        <v>919</v>
      </c>
      <c r="D20" s="2" t="s">
        <v>920</v>
      </c>
      <c r="E20" s="2" t="s">
        <v>20</v>
      </c>
      <c r="F20" s="2" t="s">
        <v>20</v>
      </c>
      <c r="G20" s="2" t="s">
        <v>877</v>
      </c>
      <c r="H20" s="2"/>
      <c r="I20" s="2" t="s">
        <v>194</v>
      </c>
      <c r="J20" s="2" t="s">
        <v>921</v>
      </c>
      <c r="K20" s="2" t="s">
        <v>196</v>
      </c>
      <c r="L20" s="2" t="s">
        <v>25</v>
      </c>
      <c r="M20" s="2" t="s">
        <v>184</v>
      </c>
      <c r="N20" s="2" t="s">
        <v>37</v>
      </c>
      <c r="O20" s="2" t="s">
        <v>197</v>
      </c>
      <c r="P20" s="2" t="s">
        <v>922</v>
      </c>
    </row>
    <row r="21" customFormat="false" ht="79.85" hidden="false" customHeight="false" outlineLevel="0" collapsed="false">
      <c r="A21" s="2" t="s">
        <v>923</v>
      </c>
      <c r="B21" s="2" t="s">
        <v>834</v>
      </c>
      <c r="C21" s="2" t="s">
        <v>924</v>
      </c>
      <c r="D21" s="2" t="s">
        <v>835</v>
      </c>
      <c r="E21" s="2" t="s">
        <v>20</v>
      </c>
      <c r="F21" s="2" t="s">
        <v>20</v>
      </c>
      <c r="G21" s="2" t="s">
        <v>836</v>
      </c>
      <c r="H21" s="2"/>
      <c r="I21" s="2" t="s">
        <v>925</v>
      </c>
      <c r="J21" s="2" t="s">
        <v>926</v>
      </c>
      <c r="K21" s="2" t="s">
        <v>196</v>
      </c>
      <c r="L21" s="2" t="s">
        <v>25</v>
      </c>
      <c r="M21" s="2" t="s">
        <v>184</v>
      </c>
      <c r="N21" s="2" t="s">
        <v>37</v>
      </c>
      <c r="O21" s="2" t="s">
        <v>927</v>
      </c>
      <c r="P21" s="2" t="s">
        <v>58</v>
      </c>
    </row>
    <row r="22" customFormat="false" ht="113.4" hidden="false" customHeight="false" outlineLevel="0" collapsed="false">
      <c r="A22" s="2" t="s">
        <v>928</v>
      </c>
      <c r="B22" s="2" t="s">
        <v>834</v>
      </c>
      <c r="C22" s="2" t="s">
        <v>929</v>
      </c>
      <c r="D22" s="2" t="s">
        <v>848</v>
      </c>
      <c r="E22" s="2" t="s">
        <v>20</v>
      </c>
      <c r="F22" s="2" t="s">
        <v>20</v>
      </c>
      <c r="G22" s="2" t="s">
        <v>20</v>
      </c>
      <c r="H22" s="2"/>
      <c r="I22" s="2" t="s">
        <v>930</v>
      </c>
      <c r="J22" s="2" t="s">
        <v>931</v>
      </c>
      <c r="K22" s="2" t="s">
        <v>196</v>
      </c>
      <c r="L22" s="2" t="s">
        <v>25</v>
      </c>
      <c r="M22" s="2" t="s">
        <v>184</v>
      </c>
      <c r="N22" s="2" t="s">
        <v>37</v>
      </c>
      <c r="O22" s="2" t="s">
        <v>932</v>
      </c>
      <c r="P22" s="2" t="s">
        <v>39</v>
      </c>
    </row>
    <row r="23" customFormat="false" ht="57.45" hidden="false" customHeight="false" outlineLevel="0" collapsed="false">
      <c r="A23" s="2" t="s">
        <v>933</v>
      </c>
      <c r="B23" s="2" t="s">
        <v>834</v>
      </c>
      <c r="C23" s="2" t="s">
        <v>934</v>
      </c>
      <c r="D23" s="2" t="s">
        <v>848</v>
      </c>
      <c r="E23" s="2" t="s">
        <v>20</v>
      </c>
      <c r="F23" s="2" t="s">
        <v>20</v>
      </c>
      <c r="G23" s="2" t="s">
        <v>20</v>
      </c>
      <c r="H23" s="2"/>
      <c r="I23" s="2" t="s">
        <v>935</v>
      </c>
      <c r="J23" s="2" t="s">
        <v>936</v>
      </c>
      <c r="K23" s="2" t="s">
        <v>196</v>
      </c>
      <c r="L23" s="2" t="s">
        <v>25</v>
      </c>
      <c r="M23" s="2" t="s">
        <v>184</v>
      </c>
      <c r="N23" s="2" t="s">
        <v>37</v>
      </c>
      <c r="O23" s="2" t="s">
        <v>937</v>
      </c>
      <c r="P23" s="2" t="s">
        <v>58</v>
      </c>
    </row>
    <row r="24" customFormat="false" ht="57.45" hidden="false" customHeight="false" outlineLevel="0" collapsed="false">
      <c r="A24" s="2" t="s">
        <v>938</v>
      </c>
      <c r="B24" s="2" t="s">
        <v>834</v>
      </c>
      <c r="C24" s="2" t="s">
        <v>939</v>
      </c>
      <c r="D24" s="2" t="s">
        <v>848</v>
      </c>
      <c r="E24" s="2" t="s">
        <v>20</v>
      </c>
      <c r="F24" s="2" t="s">
        <v>20</v>
      </c>
      <c r="G24" s="2" t="s">
        <v>20</v>
      </c>
      <c r="H24" s="2"/>
      <c r="I24" s="2" t="s">
        <v>225</v>
      </c>
      <c r="J24" s="2" t="s">
        <v>226</v>
      </c>
      <c r="K24" s="2" t="s">
        <v>196</v>
      </c>
      <c r="L24" s="2" t="s">
        <v>25</v>
      </c>
      <c r="M24" s="2" t="s">
        <v>184</v>
      </c>
      <c r="N24" s="2" t="s">
        <v>37</v>
      </c>
      <c r="O24" s="2" t="s">
        <v>940</v>
      </c>
      <c r="P24" s="2" t="s">
        <v>122</v>
      </c>
    </row>
    <row r="25" customFormat="false" ht="68.65" hidden="false" customHeight="false" outlineLevel="0" collapsed="false">
      <c r="A25" s="2" t="s">
        <v>941</v>
      </c>
      <c r="B25" s="2" t="s">
        <v>834</v>
      </c>
      <c r="C25" s="2" t="s">
        <v>942</v>
      </c>
      <c r="D25" s="2" t="s">
        <v>835</v>
      </c>
      <c r="E25" s="2" t="s">
        <v>943</v>
      </c>
      <c r="F25" s="2" t="s">
        <v>20</v>
      </c>
      <c r="G25" s="2" t="s">
        <v>836</v>
      </c>
      <c r="H25" s="2"/>
      <c r="I25" s="2" t="s">
        <v>944</v>
      </c>
      <c r="J25" s="2" t="s">
        <v>945</v>
      </c>
      <c r="K25" s="2" t="s">
        <v>63</v>
      </c>
      <c r="L25" s="2" t="s">
        <v>946</v>
      </c>
      <c r="M25" s="2" t="s">
        <v>26</v>
      </c>
      <c r="N25" s="2" t="s">
        <v>37</v>
      </c>
      <c r="O25" s="2" t="s">
        <v>947</v>
      </c>
      <c r="P25" s="2" t="s">
        <v>45</v>
      </c>
    </row>
    <row r="26" customFormat="false" ht="135.8" hidden="false" customHeight="false" outlineLevel="0" collapsed="false">
      <c r="A26" s="2" t="s">
        <v>948</v>
      </c>
      <c r="B26" s="2" t="s">
        <v>824</v>
      </c>
      <c r="C26" s="2" t="s">
        <v>949</v>
      </c>
      <c r="D26" s="2" t="s">
        <v>848</v>
      </c>
      <c r="E26" s="2" t="s">
        <v>20</v>
      </c>
      <c r="F26" s="2" t="s">
        <v>950</v>
      </c>
      <c r="G26" s="2" t="s">
        <v>855</v>
      </c>
      <c r="H26" s="2" t="s">
        <v>251</v>
      </c>
      <c r="I26" s="2" t="s">
        <v>252</v>
      </c>
      <c r="J26" s="2" t="s">
        <v>951</v>
      </c>
      <c r="K26" s="2" t="s">
        <v>952</v>
      </c>
      <c r="L26" s="2" t="s">
        <v>25</v>
      </c>
      <c r="M26" s="2" t="s">
        <v>232</v>
      </c>
      <c r="N26" s="2" t="s">
        <v>37</v>
      </c>
      <c r="O26" s="2" t="s">
        <v>953</v>
      </c>
      <c r="P26" s="2" t="s">
        <v>954</v>
      </c>
    </row>
    <row r="27" customFormat="false" ht="135.8" hidden="false" customHeight="false" outlineLevel="0" collapsed="false">
      <c r="A27" s="2" t="s">
        <v>955</v>
      </c>
      <c r="B27" s="2" t="s">
        <v>834</v>
      </c>
      <c r="C27" s="2" t="s">
        <v>956</v>
      </c>
      <c r="D27" s="2" t="s">
        <v>848</v>
      </c>
      <c r="E27" s="2" t="s">
        <v>20</v>
      </c>
      <c r="F27" s="2" t="s">
        <v>20</v>
      </c>
      <c r="G27" s="2" t="s">
        <v>20</v>
      </c>
      <c r="H27" s="2" t="s">
        <v>251</v>
      </c>
      <c r="I27" s="2" t="s">
        <v>252</v>
      </c>
      <c r="J27" s="2" t="s">
        <v>951</v>
      </c>
      <c r="K27" s="2" t="s">
        <v>952</v>
      </c>
      <c r="L27" s="2" t="s">
        <v>25</v>
      </c>
      <c r="M27" s="2" t="s">
        <v>232</v>
      </c>
      <c r="N27" s="2" t="s">
        <v>37</v>
      </c>
      <c r="O27" s="2" t="s">
        <v>957</v>
      </c>
      <c r="P27" s="2" t="s">
        <v>954</v>
      </c>
    </row>
    <row r="28" customFormat="false" ht="191.75" hidden="false" customHeight="false" outlineLevel="0" collapsed="false">
      <c r="A28" s="2" t="s">
        <v>958</v>
      </c>
      <c r="B28" s="2" t="s">
        <v>834</v>
      </c>
      <c r="C28" s="2" t="s">
        <v>274</v>
      </c>
      <c r="D28" s="2" t="s">
        <v>848</v>
      </c>
      <c r="E28" s="2" t="s">
        <v>20</v>
      </c>
      <c r="F28" s="2" t="s">
        <v>20</v>
      </c>
      <c r="G28" s="2" t="s">
        <v>877</v>
      </c>
      <c r="H28" s="2" t="s">
        <v>259</v>
      </c>
      <c r="I28" s="2"/>
      <c r="J28" s="2" t="s">
        <v>959</v>
      </c>
      <c r="K28" s="2" t="s">
        <v>261</v>
      </c>
      <c r="L28" s="2" t="s">
        <v>25</v>
      </c>
      <c r="M28" s="2" t="s">
        <v>232</v>
      </c>
      <c r="N28" s="2" t="s">
        <v>37</v>
      </c>
      <c r="O28" s="2" t="s">
        <v>276</v>
      </c>
      <c r="P28" s="2" t="s">
        <v>960</v>
      </c>
    </row>
    <row r="29" customFormat="false" ht="191.75" hidden="false" customHeight="false" outlineLevel="0" collapsed="false">
      <c r="A29" s="2" t="s">
        <v>961</v>
      </c>
      <c r="B29" s="2" t="s">
        <v>834</v>
      </c>
      <c r="C29" s="2" t="s">
        <v>962</v>
      </c>
      <c r="D29" s="2" t="s">
        <v>848</v>
      </c>
      <c r="E29" s="2" t="s">
        <v>963</v>
      </c>
      <c r="F29" s="2" t="s">
        <v>20</v>
      </c>
      <c r="G29" s="2" t="s">
        <v>964</v>
      </c>
      <c r="H29" s="2" t="s">
        <v>790</v>
      </c>
      <c r="I29" s="2" t="s">
        <v>791</v>
      </c>
      <c r="J29" s="2" t="s">
        <v>965</v>
      </c>
      <c r="K29" s="2" t="s">
        <v>966</v>
      </c>
      <c r="L29" s="2" t="s">
        <v>25</v>
      </c>
      <c r="M29" s="2" t="s">
        <v>232</v>
      </c>
      <c r="N29" s="2" t="s">
        <v>37</v>
      </c>
      <c r="O29" s="2" t="s">
        <v>967</v>
      </c>
      <c r="P29" s="2" t="s">
        <v>968</v>
      </c>
    </row>
    <row r="30" customFormat="false" ht="191.75" hidden="false" customHeight="false" outlineLevel="0" collapsed="false">
      <c r="A30" s="2" t="s">
        <v>969</v>
      </c>
      <c r="B30" s="2" t="s">
        <v>834</v>
      </c>
      <c r="C30" s="2" t="s">
        <v>970</v>
      </c>
      <c r="D30" s="2" t="s">
        <v>971</v>
      </c>
      <c r="E30" s="2" t="s">
        <v>20</v>
      </c>
      <c r="F30" s="2" t="s">
        <v>20</v>
      </c>
      <c r="G30" s="2" t="s">
        <v>877</v>
      </c>
      <c r="H30" s="2" t="s">
        <v>790</v>
      </c>
      <c r="I30" s="2" t="s">
        <v>791</v>
      </c>
      <c r="J30" s="2" t="s">
        <v>965</v>
      </c>
      <c r="K30" s="2" t="s">
        <v>966</v>
      </c>
      <c r="L30" s="2" t="s">
        <v>25</v>
      </c>
      <c r="M30" s="2" t="s">
        <v>232</v>
      </c>
      <c r="N30" s="2" t="s">
        <v>37</v>
      </c>
      <c r="O30" s="2" t="s">
        <v>972</v>
      </c>
      <c r="P30" s="2" t="s">
        <v>968</v>
      </c>
    </row>
    <row r="31" customFormat="false" ht="191.75" hidden="false" customHeight="false" outlineLevel="0" collapsed="false">
      <c r="A31" s="2" t="s">
        <v>973</v>
      </c>
      <c r="B31" s="2" t="s">
        <v>834</v>
      </c>
      <c r="C31" s="2" t="s">
        <v>974</v>
      </c>
      <c r="D31" s="2" t="s">
        <v>975</v>
      </c>
      <c r="E31" s="2" t="s">
        <v>976</v>
      </c>
      <c r="F31" s="2" t="s">
        <v>977</v>
      </c>
      <c r="G31" s="2" t="s">
        <v>978</v>
      </c>
      <c r="H31" s="2" t="s">
        <v>790</v>
      </c>
      <c r="I31" s="2" t="s">
        <v>791</v>
      </c>
      <c r="J31" s="2" t="s">
        <v>965</v>
      </c>
      <c r="K31" s="2" t="s">
        <v>966</v>
      </c>
      <c r="L31" s="2" t="s">
        <v>25</v>
      </c>
      <c r="M31" s="2" t="s">
        <v>232</v>
      </c>
      <c r="N31" s="2" t="s">
        <v>37</v>
      </c>
      <c r="O31" s="2" t="s">
        <v>979</v>
      </c>
      <c r="P31" s="2" t="s">
        <v>968</v>
      </c>
    </row>
    <row r="32" customFormat="false" ht="102.2" hidden="false" customHeight="false" outlineLevel="0" collapsed="false">
      <c r="A32" s="2" t="s">
        <v>980</v>
      </c>
      <c r="B32" s="2" t="s">
        <v>834</v>
      </c>
      <c r="C32" s="2" t="s">
        <v>981</v>
      </c>
      <c r="D32" s="2" t="s">
        <v>875</v>
      </c>
      <c r="E32" s="2" t="s">
        <v>20</v>
      </c>
      <c r="F32" s="2" t="s">
        <v>20</v>
      </c>
      <c r="G32" s="2" t="s">
        <v>836</v>
      </c>
      <c r="H32" s="2" t="s">
        <v>799</v>
      </c>
      <c r="I32" s="2" t="s">
        <v>88</v>
      </c>
      <c r="J32" s="2" t="s">
        <v>982</v>
      </c>
      <c r="K32" s="2" t="s">
        <v>63</v>
      </c>
      <c r="L32" s="2" t="s">
        <v>25</v>
      </c>
      <c r="M32" s="2" t="s">
        <v>232</v>
      </c>
      <c r="N32" s="2" t="s">
        <v>37</v>
      </c>
      <c r="O32" s="2" t="s">
        <v>983</v>
      </c>
      <c r="P32" s="2" t="s">
        <v>335</v>
      </c>
    </row>
    <row r="33" customFormat="false" ht="57.45" hidden="false" customHeight="false" outlineLevel="0" collapsed="false">
      <c r="A33" s="2" t="s">
        <v>984</v>
      </c>
      <c r="B33" s="2" t="s">
        <v>824</v>
      </c>
      <c r="C33" s="2" t="s">
        <v>985</v>
      </c>
      <c r="D33" s="2" t="s">
        <v>848</v>
      </c>
      <c r="E33" s="2" t="s">
        <v>20</v>
      </c>
      <c r="F33" s="2" t="s">
        <v>20</v>
      </c>
      <c r="G33" s="2" t="s">
        <v>986</v>
      </c>
      <c r="H33" s="2" t="s">
        <v>987</v>
      </c>
      <c r="I33" s="2"/>
      <c r="J33" s="2" t="s">
        <v>24</v>
      </c>
      <c r="K33" s="2" t="s">
        <v>20</v>
      </c>
      <c r="L33" s="2" t="s">
        <v>25</v>
      </c>
      <c r="M33" s="2" t="s">
        <v>232</v>
      </c>
      <c r="N33" s="2" t="s">
        <v>27</v>
      </c>
      <c r="O33" s="2" t="s">
        <v>988</v>
      </c>
      <c r="P33" s="2" t="s">
        <v>234</v>
      </c>
    </row>
    <row r="34" customFormat="false" ht="202.95" hidden="false" customHeight="false" outlineLevel="0" collapsed="false">
      <c r="A34" s="2" t="s">
        <v>989</v>
      </c>
      <c r="B34" s="2" t="s">
        <v>834</v>
      </c>
      <c r="C34" s="2" t="s">
        <v>283</v>
      </c>
      <c r="D34" s="2" t="s">
        <v>841</v>
      </c>
      <c r="E34" s="2" t="s">
        <v>20</v>
      </c>
      <c r="F34" s="2" t="s">
        <v>20</v>
      </c>
      <c r="G34" s="2" t="s">
        <v>877</v>
      </c>
      <c r="H34" s="2" t="s">
        <v>285</v>
      </c>
      <c r="I34" s="2" t="s">
        <v>252</v>
      </c>
      <c r="J34" s="2" t="s">
        <v>286</v>
      </c>
      <c r="K34" s="2" t="s">
        <v>261</v>
      </c>
      <c r="L34" s="2" t="s">
        <v>25</v>
      </c>
      <c r="M34" s="2" t="s">
        <v>232</v>
      </c>
      <c r="N34" s="2" t="s">
        <v>37</v>
      </c>
      <c r="O34" s="2" t="s">
        <v>287</v>
      </c>
      <c r="P34" s="2" t="s">
        <v>263</v>
      </c>
    </row>
    <row r="35" customFormat="false" ht="202.95" hidden="false" customHeight="false" outlineLevel="0" collapsed="false">
      <c r="A35" s="2" t="s">
        <v>990</v>
      </c>
      <c r="B35" s="2" t="s">
        <v>834</v>
      </c>
      <c r="C35" s="2" t="s">
        <v>296</v>
      </c>
      <c r="D35" s="2" t="s">
        <v>841</v>
      </c>
      <c r="E35" s="2" t="s">
        <v>297</v>
      </c>
      <c r="F35" s="2" t="s">
        <v>20</v>
      </c>
      <c r="G35" s="2" t="s">
        <v>991</v>
      </c>
      <c r="H35" s="2" t="s">
        <v>285</v>
      </c>
      <c r="I35" s="2" t="s">
        <v>252</v>
      </c>
      <c r="J35" s="2" t="s">
        <v>286</v>
      </c>
      <c r="K35" s="2" t="s">
        <v>261</v>
      </c>
      <c r="L35" s="2" t="s">
        <v>25</v>
      </c>
      <c r="M35" s="2" t="s">
        <v>232</v>
      </c>
      <c r="N35" s="2" t="s">
        <v>37</v>
      </c>
      <c r="O35" s="2" t="s">
        <v>299</v>
      </c>
      <c r="P35" s="2" t="s">
        <v>263</v>
      </c>
    </row>
    <row r="36" customFormat="false" ht="124.6" hidden="false" customHeight="false" outlineLevel="0" collapsed="false">
      <c r="A36" s="2" t="s">
        <v>992</v>
      </c>
      <c r="B36" s="2" t="s">
        <v>839</v>
      </c>
      <c r="C36" s="2" t="s">
        <v>301</v>
      </c>
      <c r="D36" s="2" t="s">
        <v>993</v>
      </c>
      <c r="E36" s="2" t="s">
        <v>20</v>
      </c>
      <c r="F36" s="2" t="s">
        <v>20</v>
      </c>
      <c r="G36" s="2" t="s">
        <v>994</v>
      </c>
      <c r="H36" s="2" t="s">
        <v>302</v>
      </c>
      <c r="I36" s="2"/>
      <c r="J36" s="2" t="s">
        <v>995</v>
      </c>
      <c r="K36" s="2" t="s">
        <v>304</v>
      </c>
      <c r="L36" s="2" t="s">
        <v>25</v>
      </c>
      <c r="M36" s="2" t="s">
        <v>232</v>
      </c>
      <c r="N36" s="2" t="s">
        <v>37</v>
      </c>
      <c r="O36" s="2" t="s">
        <v>305</v>
      </c>
      <c r="P36" s="2" t="s">
        <v>954</v>
      </c>
    </row>
    <row r="37" customFormat="false" ht="102.2" hidden="false" customHeight="false" outlineLevel="0" collapsed="false">
      <c r="A37" s="2" t="s">
        <v>996</v>
      </c>
      <c r="B37" s="2" t="s">
        <v>834</v>
      </c>
      <c r="C37" s="2" t="s">
        <v>997</v>
      </c>
      <c r="D37" s="2" t="s">
        <v>998</v>
      </c>
      <c r="E37" s="2" t="s">
        <v>20</v>
      </c>
      <c r="F37" s="2" t="s">
        <v>20</v>
      </c>
      <c r="G37" s="2" t="s">
        <v>999</v>
      </c>
      <c r="H37" s="2" t="s">
        <v>331</v>
      </c>
      <c r="I37" s="2" t="s">
        <v>332</v>
      </c>
      <c r="J37" s="2" t="s">
        <v>333</v>
      </c>
      <c r="K37" s="2" t="s">
        <v>63</v>
      </c>
      <c r="L37" s="2" t="s">
        <v>25</v>
      </c>
      <c r="M37" s="2" t="s">
        <v>136</v>
      </c>
      <c r="N37" s="2" t="s">
        <v>37</v>
      </c>
      <c r="O37" s="2" t="s">
        <v>1000</v>
      </c>
      <c r="P37" s="2" t="s">
        <v>335</v>
      </c>
    </row>
    <row r="38" customFormat="false" ht="57.45" hidden="false" customHeight="false" outlineLevel="0" collapsed="false">
      <c r="A38" s="2" t="s">
        <v>1001</v>
      </c>
      <c r="B38" s="2" t="s">
        <v>824</v>
      </c>
      <c r="C38" s="2" t="s">
        <v>342</v>
      </c>
      <c r="D38" s="2" t="s">
        <v>848</v>
      </c>
      <c r="E38" s="2" t="s">
        <v>344</v>
      </c>
      <c r="F38" s="2" t="s">
        <v>20</v>
      </c>
      <c r="G38" s="2" t="s">
        <v>1002</v>
      </c>
      <c r="H38" s="2" t="s">
        <v>345</v>
      </c>
      <c r="I38" s="2"/>
      <c r="J38" s="2" t="s">
        <v>24</v>
      </c>
      <c r="K38" s="2" t="s">
        <v>20</v>
      </c>
      <c r="L38" s="2" t="s">
        <v>25</v>
      </c>
      <c r="M38" s="2" t="s">
        <v>136</v>
      </c>
      <c r="N38" s="2" t="s">
        <v>137</v>
      </c>
      <c r="O38" s="2" t="s">
        <v>347</v>
      </c>
      <c r="P38" s="2" t="s">
        <v>234</v>
      </c>
    </row>
    <row r="39" customFormat="false" ht="57.45" hidden="false" customHeight="false" outlineLevel="0" collapsed="false">
      <c r="A39" s="2" t="s">
        <v>1003</v>
      </c>
      <c r="B39" s="2" t="s">
        <v>834</v>
      </c>
      <c r="C39" s="2" t="s">
        <v>1004</v>
      </c>
      <c r="D39" s="2" t="s">
        <v>848</v>
      </c>
      <c r="E39" s="2" t="s">
        <v>20</v>
      </c>
      <c r="F39" s="2" t="s">
        <v>1005</v>
      </c>
      <c r="G39" s="2" t="s">
        <v>896</v>
      </c>
      <c r="H39" s="2" t="s">
        <v>418</v>
      </c>
      <c r="I39" s="2"/>
      <c r="J39" s="2" t="s">
        <v>419</v>
      </c>
      <c r="K39" s="2" t="s">
        <v>63</v>
      </c>
      <c r="L39" s="2" t="s">
        <v>25</v>
      </c>
      <c r="M39" s="2" t="s">
        <v>136</v>
      </c>
      <c r="N39" s="2" t="s">
        <v>37</v>
      </c>
      <c r="O39" s="2" t="s">
        <v>1006</v>
      </c>
      <c r="P39" s="2" t="s">
        <v>317</v>
      </c>
    </row>
    <row r="40" customFormat="false" ht="57.45" hidden="false" customHeight="false" outlineLevel="0" collapsed="false">
      <c r="A40" s="2" t="s">
        <v>1007</v>
      </c>
      <c r="B40" s="2" t="s">
        <v>824</v>
      </c>
      <c r="C40" s="2" t="s">
        <v>1008</v>
      </c>
      <c r="D40" s="2" t="s">
        <v>848</v>
      </c>
      <c r="E40" s="2" t="s">
        <v>20</v>
      </c>
      <c r="F40" s="2" t="s">
        <v>20</v>
      </c>
      <c r="G40" s="2" t="s">
        <v>20</v>
      </c>
      <c r="H40" s="2" t="s">
        <v>427</v>
      </c>
      <c r="I40" s="2" t="s">
        <v>133</v>
      </c>
      <c r="J40" s="2" t="s">
        <v>428</v>
      </c>
      <c r="K40" s="2" t="s">
        <v>63</v>
      </c>
      <c r="L40" s="2" t="s">
        <v>25</v>
      </c>
      <c r="M40" s="2" t="s">
        <v>136</v>
      </c>
      <c r="N40" s="2" t="s">
        <v>37</v>
      </c>
      <c r="O40" s="2" t="s">
        <v>1009</v>
      </c>
      <c r="P40" s="2" t="s">
        <v>317</v>
      </c>
    </row>
    <row r="41" customFormat="false" ht="68.65" hidden="false" customHeight="false" outlineLevel="0" collapsed="false">
      <c r="A41" s="2" t="s">
        <v>1010</v>
      </c>
      <c r="B41" s="2" t="s">
        <v>824</v>
      </c>
      <c r="C41" s="2" t="s">
        <v>1011</v>
      </c>
      <c r="D41" s="2" t="s">
        <v>848</v>
      </c>
      <c r="E41" s="2" t="s">
        <v>20</v>
      </c>
      <c r="F41" s="2" t="s">
        <v>20</v>
      </c>
      <c r="G41" s="2" t="s">
        <v>877</v>
      </c>
      <c r="H41" s="2" t="s">
        <v>433</v>
      </c>
      <c r="I41" s="2" t="s">
        <v>434</v>
      </c>
      <c r="J41" s="2" t="s">
        <v>435</v>
      </c>
      <c r="K41" s="2" t="s">
        <v>436</v>
      </c>
      <c r="L41" s="2" t="s">
        <v>25</v>
      </c>
      <c r="M41" s="2" t="s">
        <v>36</v>
      </c>
      <c r="N41" s="2" t="s">
        <v>37</v>
      </c>
      <c r="O41" s="2" t="s">
        <v>1012</v>
      </c>
      <c r="P41" s="2" t="s">
        <v>317</v>
      </c>
    </row>
    <row r="42" customFormat="false" ht="57.45" hidden="false" customHeight="false" outlineLevel="0" collapsed="false">
      <c r="A42" s="2" t="s">
        <v>1013</v>
      </c>
      <c r="B42" s="2" t="s">
        <v>834</v>
      </c>
      <c r="C42" s="2" t="s">
        <v>431</v>
      </c>
      <c r="D42" s="2" t="s">
        <v>993</v>
      </c>
      <c r="E42" s="2" t="s">
        <v>20</v>
      </c>
      <c r="F42" s="2" t="s">
        <v>20</v>
      </c>
      <c r="G42" s="2" t="s">
        <v>986</v>
      </c>
      <c r="H42" s="2" t="s">
        <v>433</v>
      </c>
      <c r="I42" s="2" t="s">
        <v>434</v>
      </c>
      <c r="J42" s="2" t="s">
        <v>435</v>
      </c>
      <c r="K42" s="2" t="s">
        <v>436</v>
      </c>
      <c r="L42" s="2" t="s">
        <v>25</v>
      </c>
      <c r="M42" s="2" t="s">
        <v>36</v>
      </c>
      <c r="N42" s="2" t="s">
        <v>37</v>
      </c>
      <c r="O42" s="2" t="s">
        <v>437</v>
      </c>
      <c r="P42" s="2" t="s">
        <v>317</v>
      </c>
    </row>
    <row r="43" customFormat="false" ht="57.45" hidden="false" customHeight="false" outlineLevel="0" collapsed="false">
      <c r="A43" s="2" t="s">
        <v>1014</v>
      </c>
      <c r="B43" s="2" t="s">
        <v>834</v>
      </c>
      <c r="C43" s="2" t="s">
        <v>1015</v>
      </c>
      <c r="D43" s="2" t="s">
        <v>848</v>
      </c>
      <c r="E43" s="2" t="s">
        <v>20</v>
      </c>
      <c r="F43" s="2" t="s">
        <v>20</v>
      </c>
      <c r="G43" s="2" t="s">
        <v>986</v>
      </c>
      <c r="H43" s="2" t="s">
        <v>468</v>
      </c>
      <c r="I43" s="2" t="s">
        <v>1016</v>
      </c>
      <c r="J43" s="2" t="s">
        <v>1017</v>
      </c>
      <c r="K43" s="2" t="s">
        <v>83</v>
      </c>
      <c r="L43" s="2" t="s">
        <v>25</v>
      </c>
      <c r="M43" s="2" t="s">
        <v>36</v>
      </c>
      <c r="N43" s="2" t="s">
        <v>37</v>
      </c>
      <c r="O43" s="2" t="s">
        <v>1018</v>
      </c>
      <c r="P43" s="2" t="s">
        <v>363</v>
      </c>
    </row>
    <row r="44" customFormat="false" ht="68.65" hidden="false" customHeight="false" outlineLevel="0" collapsed="false">
      <c r="A44" s="2" t="s">
        <v>1019</v>
      </c>
      <c r="B44" s="2" t="s">
        <v>834</v>
      </c>
      <c r="C44" s="2" t="s">
        <v>465</v>
      </c>
      <c r="D44" s="2" t="s">
        <v>1020</v>
      </c>
      <c r="E44" s="2" t="s">
        <v>467</v>
      </c>
      <c r="F44" s="2" t="s">
        <v>20</v>
      </c>
      <c r="G44" s="2" t="s">
        <v>994</v>
      </c>
      <c r="H44" s="2" t="s">
        <v>468</v>
      </c>
      <c r="I44" s="2" t="s">
        <v>1016</v>
      </c>
      <c r="J44" s="2" t="s">
        <v>1017</v>
      </c>
      <c r="K44" s="2" t="s">
        <v>83</v>
      </c>
      <c r="L44" s="2" t="s">
        <v>25</v>
      </c>
      <c r="M44" s="2" t="s">
        <v>36</v>
      </c>
      <c r="N44" s="2" t="s">
        <v>37</v>
      </c>
      <c r="O44" s="2" t="s">
        <v>471</v>
      </c>
      <c r="P44" s="2" t="s">
        <v>363</v>
      </c>
    </row>
    <row r="45" customFormat="false" ht="124.6" hidden="false" customHeight="false" outlineLevel="0" collapsed="false">
      <c r="A45" s="2" t="s">
        <v>1021</v>
      </c>
      <c r="B45" s="2" t="s">
        <v>834</v>
      </c>
      <c r="C45" s="2" t="s">
        <v>477</v>
      </c>
      <c r="D45" s="2" t="s">
        <v>993</v>
      </c>
      <c r="E45" s="2" t="s">
        <v>20</v>
      </c>
      <c r="F45" s="2" t="s">
        <v>20</v>
      </c>
      <c r="G45" s="2" t="s">
        <v>994</v>
      </c>
      <c r="H45" s="2" t="s">
        <v>479</v>
      </c>
      <c r="I45" s="2" t="s">
        <v>480</v>
      </c>
      <c r="J45" s="2" t="s">
        <v>1022</v>
      </c>
      <c r="K45" s="2" t="s">
        <v>90</v>
      </c>
      <c r="L45" s="2" t="s">
        <v>482</v>
      </c>
      <c r="M45" s="2" t="s">
        <v>36</v>
      </c>
      <c r="N45" s="2" t="s">
        <v>37</v>
      </c>
      <c r="O45" s="2" t="s">
        <v>483</v>
      </c>
      <c r="P45" s="2" t="s">
        <v>363</v>
      </c>
    </row>
    <row r="46" customFormat="false" ht="57.45" hidden="false" customHeight="false" outlineLevel="0" collapsed="false">
      <c r="A46" s="2" t="s">
        <v>1023</v>
      </c>
      <c r="B46" s="2" t="s">
        <v>834</v>
      </c>
      <c r="C46" s="2" t="s">
        <v>496</v>
      </c>
      <c r="D46" s="2" t="s">
        <v>993</v>
      </c>
      <c r="E46" s="2" t="s">
        <v>20</v>
      </c>
      <c r="F46" s="2" t="s">
        <v>20</v>
      </c>
      <c r="G46" s="2" t="s">
        <v>836</v>
      </c>
      <c r="H46" s="2" t="s">
        <v>491</v>
      </c>
      <c r="I46" s="2" t="s">
        <v>1024</v>
      </c>
      <c r="J46" s="2" t="s">
        <v>1025</v>
      </c>
      <c r="K46" s="2" t="s">
        <v>558</v>
      </c>
      <c r="L46" s="2" t="s">
        <v>25</v>
      </c>
      <c r="M46" s="2" t="s">
        <v>184</v>
      </c>
      <c r="N46" s="2" t="s">
        <v>37</v>
      </c>
      <c r="O46" s="2" t="s">
        <v>494</v>
      </c>
      <c r="P46" s="2" t="s">
        <v>376</v>
      </c>
    </row>
    <row r="47" customFormat="false" ht="57.45" hidden="false" customHeight="false" outlineLevel="0" collapsed="false">
      <c r="A47" s="2" t="s">
        <v>1026</v>
      </c>
      <c r="B47" s="2" t="s">
        <v>834</v>
      </c>
      <c r="C47" s="2" t="s">
        <v>1027</v>
      </c>
      <c r="D47" s="2" t="s">
        <v>1028</v>
      </c>
      <c r="E47" s="2" t="s">
        <v>20</v>
      </c>
      <c r="F47" s="2" t="s">
        <v>20</v>
      </c>
      <c r="G47" s="2" t="s">
        <v>1029</v>
      </c>
      <c r="H47" s="2" t="s">
        <v>499</v>
      </c>
      <c r="I47" s="2" t="s">
        <v>1030</v>
      </c>
      <c r="J47" s="2" t="s">
        <v>1031</v>
      </c>
      <c r="K47" s="2" t="s">
        <v>196</v>
      </c>
      <c r="L47" s="2" t="s">
        <v>25</v>
      </c>
      <c r="M47" s="2" t="s">
        <v>184</v>
      </c>
      <c r="N47" s="2" t="s">
        <v>37</v>
      </c>
      <c r="O47" s="2" t="s">
        <v>500</v>
      </c>
      <c r="P47" s="2" t="s">
        <v>363</v>
      </c>
    </row>
    <row r="48" customFormat="false" ht="57.45" hidden="false" customHeight="false" outlineLevel="0" collapsed="false">
      <c r="A48" s="2" t="s">
        <v>1032</v>
      </c>
      <c r="B48" s="2" t="s">
        <v>834</v>
      </c>
      <c r="C48" s="2" t="s">
        <v>1033</v>
      </c>
      <c r="D48" s="2" t="s">
        <v>1028</v>
      </c>
      <c r="E48" s="2" t="s">
        <v>20</v>
      </c>
      <c r="F48" s="2" t="s">
        <v>20</v>
      </c>
      <c r="G48" s="2" t="s">
        <v>836</v>
      </c>
      <c r="H48" s="2" t="s">
        <v>1034</v>
      </c>
      <c r="I48" s="2" t="s">
        <v>1035</v>
      </c>
      <c r="J48" s="2" t="s">
        <v>1036</v>
      </c>
      <c r="K48" s="2" t="s">
        <v>196</v>
      </c>
      <c r="L48" s="2" t="s">
        <v>25</v>
      </c>
      <c r="M48" s="2" t="s">
        <v>184</v>
      </c>
      <c r="N48" s="2" t="s">
        <v>37</v>
      </c>
      <c r="O48" s="2" t="s">
        <v>1037</v>
      </c>
      <c r="P48" s="2" t="s">
        <v>376</v>
      </c>
    </row>
    <row r="49" customFormat="false" ht="57.45" hidden="false" customHeight="false" outlineLevel="0" collapsed="false">
      <c r="A49" s="2" t="s">
        <v>1038</v>
      </c>
      <c r="B49" s="2" t="s">
        <v>834</v>
      </c>
      <c r="C49" s="2" t="s">
        <v>506</v>
      </c>
      <c r="D49" s="2" t="s">
        <v>848</v>
      </c>
      <c r="E49" s="2" t="s">
        <v>20</v>
      </c>
      <c r="F49" s="2" t="s">
        <v>20</v>
      </c>
      <c r="G49" s="2" t="s">
        <v>20</v>
      </c>
      <c r="H49" s="2" t="s">
        <v>503</v>
      </c>
      <c r="I49" s="2" t="s">
        <v>1030</v>
      </c>
      <c r="J49" s="2" t="s">
        <v>1031</v>
      </c>
      <c r="K49" s="2" t="s">
        <v>196</v>
      </c>
      <c r="L49" s="2" t="s">
        <v>25</v>
      </c>
      <c r="M49" s="2" t="s">
        <v>184</v>
      </c>
      <c r="N49" s="2" t="s">
        <v>37</v>
      </c>
      <c r="O49" s="2" t="s">
        <v>507</v>
      </c>
      <c r="P49" s="2" t="s">
        <v>363</v>
      </c>
    </row>
    <row r="50" customFormat="false" ht="57.45" hidden="false" customHeight="false" outlineLevel="0" collapsed="false">
      <c r="A50" s="2" t="s">
        <v>1039</v>
      </c>
      <c r="B50" s="2" t="s">
        <v>824</v>
      </c>
      <c r="C50" s="2" t="s">
        <v>1040</v>
      </c>
      <c r="D50" s="2" t="s">
        <v>848</v>
      </c>
      <c r="E50" s="2" t="s">
        <v>1041</v>
      </c>
      <c r="F50" s="2" t="s">
        <v>1042</v>
      </c>
      <c r="G50" s="2" t="s">
        <v>20</v>
      </c>
      <c r="H50" s="2" t="s">
        <v>516</v>
      </c>
      <c r="I50" s="2" t="s">
        <v>517</v>
      </c>
      <c r="J50" s="2" t="s">
        <v>518</v>
      </c>
      <c r="K50" s="2" t="s">
        <v>196</v>
      </c>
      <c r="L50" s="2" t="s">
        <v>25</v>
      </c>
      <c r="M50" s="2" t="s">
        <v>184</v>
      </c>
      <c r="N50" s="2" t="s">
        <v>37</v>
      </c>
      <c r="O50" s="2" t="s">
        <v>519</v>
      </c>
      <c r="P50" s="2" t="s">
        <v>363</v>
      </c>
    </row>
    <row r="51" customFormat="false" ht="57.45" hidden="false" customHeight="false" outlineLevel="0" collapsed="false">
      <c r="A51" s="2" t="s">
        <v>1043</v>
      </c>
      <c r="B51" s="2" t="s">
        <v>834</v>
      </c>
      <c r="C51" s="2" t="s">
        <v>1044</v>
      </c>
      <c r="D51" s="2" t="s">
        <v>920</v>
      </c>
      <c r="E51" s="2" t="s">
        <v>20</v>
      </c>
      <c r="F51" s="2" t="s">
        <v>1045</v>
      </c>
      <c r="G51" s="2" t="s">
        <v>877</v>
      </c>
      <c r="H51" s="2" t="s">
        <v>522</v>
      </c>
      <c r="I51" s="2" t="s">
        <v>523</v>
      </c>
      <c r="J51" s="2" t="s">
        <v>524</v>
      </c>
      <c r="K51" s="2" t="s">
        <v>196</v>
      </c>
      <c r="L51" s="2" t="s">
        <v>25</v>
      </c>
      <c r="M51" s="2" t="s">
        <v>184</v>
      </c>
      <c r="N51" s="2" t="s">
        <v>37</v>
      </c>
      <c r="O51" s="2" t="s">
        <v>525</v>
      </c>
      <c r="P51" s="2" t="s">
        <v>317</v>
      </c>
    </row>
    <row r="52" customFormat="false" ht="57.45" hidden="false" customHeight="false" outlineLevel="0" collapsed="false">
      <c r="A52" s="2" t="s">
        <v>1046</v>
      </c>
      <c r="B52" s="2" t="s">
        <v>834</v>
      </c>
      <c r="C52" s="2" t="s">
        <v>1047</v>
      </c>
      <c r="D52" s="2" t="s">
        <v>848</v>
      </c>
      <c r="E52" s="2" t="s">
        <v>20</v>
      </c>
      <c r="F52" s="2" t="s">
        <v>20</v>
      </c>
      <c r="G52" s="2" t="s">
        <v>20</v>
      </c>
      <c r="H52" s="2" t="s">
        <v>1048</v>
      </c>
      <c r="I52" s="2" t="s">
        <v>1049</v>
      </c>
      <c r="J52" s="2" t="s">
        <v>1050</v>
      </c>
      <c r="K52" s="2" t="s">
        <v>196</v>
      </c>
      <c r="L52" s="2" t="s">
        <v>25</v>
      </c>
      <c r="M52" s="2" t="s">
        <v>184</v>
      </c>
      <c r="N52" s="2" t="s">
        <v>37</v>
      </c>
      <c r="O52" s="2" t="s">
        <v>1051</v>
      </c>
      <c r="P52" s="2" t="s">
        <v>376</v>
      </c>
    </row>
    <row r="53" customFormat="false" ht="57.45" hidden="false" customHeight="false" outlineLevel="0" collapsed="false">
      <c r="A53" s="2" t="s">
        <v>1052</v>
      </c>
      <c r="B53" s="2" t="s">
        <v>834</v>
      </c>
      <c r="C53" s="2" t="s">
        <v>541</v>
      </c>
      <c r="D53" s="2" t="s">
        <v>1020</v>
      </c>
      <c r="E53" s="2" t="s">
        <v>20</v>
      </c>
      <c r="F53" s="2" t="s">
        <v>1053</v>
      </c>
      <c r="G53" s="2" t="s">
        <v>1029</v>
      </c>
      <c r="H53" s="2" t="s">
        <v>534</v>
      </c>
      <c r="I53" s="2" t="s">
        <v>535</v>
      </c>
      <c r="J53" s="2" t="s">
        <v>536</v>
      </c>
      <c r="K53" s="2" t="s">
        <v>196</v>
      </c>
      <c r="L53" s="2" t="s">
        <v>25</v>
      </c>
      <c r="M53" s="2" t="s">
        <v>184</v>
      </c>
      <c r="N53" s="2" t="s">
        <v>37</v>
      </c>
      <c r="O53" s="2" t="s">
        <v>537</v>
      </c>
      <c r="P53" s="2" t="s">
        <v>317</v>
      </c>
    </row>
    <row r="54" customFormat="false" ht="57.45" hidden="false" customHeight="false" outlineLevel="0" collapsed="false">
      <c r="A54" s="2" t="s">
        <v>1054</v>
      </c>
      <c r="B54" s="2" t="s">
        <v>839</v>
      </c>
      <c r="C54" s="2" t="s">
        <v>1055</v>
      </c>
      <c r="D54" s="2" t="s">
        <v>993</v>
      </c>
      <c r="E54" s="2" t="s">
        <v>20</v>
      </c>
      <c r="F54" s="2" t="s">
        <v>1056</v>
      </c>
      <c r="G54" s="2" t="s">
        <v>836</v>
      </c>
      <c r="H54" s="2" t="s">
        <v>545</v>
      </c>
      <c r="I54" s="2" t="s">
        <v>546</v>
      </c>
      <c r="J54" s="2" t="s">
        <v>547</v>
      </c>
      <c r="K54" s="2" t="s">
        <v>548</v>
      </c>
      <c r="L54" s="2" t="s">
        <v>25</v>
      </c>
      <c r="M54" s="2" t="s">
        <v>184</v>
      </c>
      <c r="N54" s="2" t="s">
        <v>37</v>
      </c>
      <c r="O54" s="2" t="s">
        <v>549</v>
      </c>
      <c r="P54" s="2" t="s">
        <v>317</v>
      </c>
    </row>
    <row r="55" customFormat="false" ht="57.45" hidden="false" customHeight="false" outlineLevel="0" collapsed="false">
      <c r="A55" s="2" t="s">
        <v>1057</v>
      </c>
      <c r="B55" s="2" t="s">
        <v>834</v>
      </c>
      <c r="C55" s="2" t="s">
        <v>1058</v>
      </c>
      <c r="D55" s="2" t="s">
        <v>848</v>
      </c>
      <c r="E55" s="2" t="s">
        <v>20</v>
      </c>
      <c r="F55" s="2" t="s">
        <v>20</v>
      </c>
      <c r="G55" s="2" t="s">
        <v>20</v>
      </c>
      <c r="H55" s="2" t="s">
        <v>555</v>
      </c>
      <c r="I55" s="2" t="s">
        <v>556</v>
      </c>
      <c r="J55" s="2" t="s">
        <v>557</v>
      </c>
      <c r="K55" s="2" t="s">
        <v>558</v>
      </c>
      <c r="L55" s="2" t="s">
        <v>25</v>
      </c>
      <c r="M55" s="2" t="s">
        <v>184</v>
      </c>
      <c r="N55" s="2" t="s">
        <v>37</v>
      </c>
      <c r="O55" s="2" t="s">
        <v>1059</v>
      </c>
      <c r="P55" s="2" t="s">
        <v>317</v>
      </c>
    </row>
    <row r="56" customFormat="false" ht="57.45" hidden="false" customHeight="false" outlineLevel="0" collapsed="false">
      <c r="A56" s="2" t="s">
        <v>1060</v>
      </c>
      <c r="B56" s="2" t="s">
        <v>834</v>
      </c>
      <c r="C56" s="2" t="s">
        <v>561</v>
      </c>
      <c r="D56" s="2" t="s">
        <v>920</v>
      </c>
      <c r="E56" s="2" t="s">
        <v>20</v>
      </c>
      <c r="F56" s="2" t="s">
        <v>20</v>
      </c>
      <c r="G56" s="2" t="s">
        <v>994</v>
      </c>
      <c r="H56" s="2" t="s">
        <v>555</v>
      </c>
      <c r="I56" s="2" t="s">
        <v>556</v>
      </c>
      <c r="J56" s="2" t="s">
        <v>557</v>
      </c>
      <c r="K56" s="2" t="s">
        <v>558</v>
      </c>
      <c r="L56" s="2" t="s">
        <v>25</v>
      </c>
      <c r="M56" s="2" t="s">
        <v>184</v>
      </c>
      <c r="N56" s="2" t="s">
        <v>37</v>
      </c>
      <c r="O56" s="2" t="s">
        <v>559</v>
      </c>
      <c r="P56" s="2" t="s">
        <v>317</v>
      </c>
    </row>
    <row r="57" customFormat="false" ht="57.45" hidden="false" customHeight="false" outlineLevel="0" collapsed="false">
      <c r="A57" s="2" t="s">
        <v>1061</v>
      </c>
      <c r="B57" s="2" t="s">
        <v>834</v>
      </c>
      <c r="C57" s="2" t="s">
        <v>1062</v>
      </c>
      <c r="D57" s="2" t="s">
        <v>848</v>
      </c>
      <c r="E57" s="2" t="s">
        <v>20</v>
      </c>
      <c r="F57" s="2" t="s">
        <v>20</v>
      </c>
      <c r="G57" s="2" t="s">
        <v>20</v>
      </c>
      <c r="H57" s="2" t="s">
        <v>564</v>
      </c>
      <c r="I57" s="2" t="s">
        <v>565</v>
      </c>
      <c r="J57" s="2" t="s">
        <v>566</v>
      </c>
      <c r="K57" s="2" t="s">
        <v>196</v>
      </c>
      <c r="L57" s="2" t="s">
        <v>25</v>
      </c>
      <c r="M57" s="2" t="s">
        <v>184</v>
      </c>
      <c r="N57" s="2" t="s">
        <v>37</v>
      </c>
      <c r="O57" s="2" t="s">
        <v>567</v>
      </c>
      <c r="P57" s="2" t="s">
        <v>568</v>
      </c>
    </row>
    <row r="58" customFormat="false" ht="281.3" hidden="false" customHeight="false" outlineLevel="0" collapsed="false">
      <c r="A58" s="2" t="s">
        <v>1063</v>
      </c>
      <c r="B58" s="2" t="s">
        <v>839</v>
      </c>
      <c r="C58" s="2" t="s">
        <v>1064</v>
      </c>
      <c r="D58" s="2" t="s">
        <v>841</v>
      </c>
      <c r="E58" s="2" t="s">
        <v>20</v>
      </c>
      <c r="F58" s="2" t="s">
        <v>20</v>
      </c>
      <c r="G58" s="2" t="s">
        <v>986</v>
      </c>
      <c r="H58" s="2" t="s">
        <v>808</v>
      </c>
      <c r="I58" s="2" t="s">
        <v>809</v>
      </c>
      <c r="J58" s="2" t="s">
        <v>810</v>
      </c>
      <c r="K58" s="2" t="s">
        <v>190</v>
      </c>
      <c r="L58" s="2" t="s">
        <v>811</v>
      </c>
      <c r="M58" s="2" t="s">
        <v>184</v>
      </c>
      <c r="N58" s="2" t="s">
        <v>37</v>
      </c>
      <c r="O58" s="2" t="s">
        <v>1065</v>
      </c>
      <c r="P58" s="2" t="s">
        <v>1066</v>
      </c>
    </row>
    <row r="59" customFormat="false" ht="281.3" hidden="false" customHeight="false" outlineLevel="0" collapsed="false">
      <c r="A59" s="2" t="s">
        <v>1067</v>
      </c>
      <c r="B59" s="2" t="s">
        <v>834</v>
      </c>
      <c r="C59" s="2" t="s">
        <v>1068</v>
      </c>
      <c r="D59" s="2" t="s">
        <v>1069</v>
      </c>
      <c r="E59" s="2" t="s">
        <v>20</v>
      </c>
      <c r="F59" s="2" t="s">
        <v>20</v>
      </c>
      <c r="G59" s="2" t="s">
        <v>1002</v>
      </c>
      <c r="H59" s="2" t="s">
        <v>808</v>
      </c>
      <c r="I59" s="2" t="s">
        <v>809</v>
      </c>
      <c r="J59" s="2" t="s">
        <v>810</v>
      </c>
      <c r="K59" s="2" t="s">
        <v>190</v>
      </c>
      <c r="L59" s="2" t="s">
        <v>811</v>
      </c>
      <c r="M59" s="2" t="s">
        <v>184</v>
      </c>
      <c r="N59" s="2" t="s">
        <v>37</v>
      </c>
      <c r="O59" s="2" t="s">
        <v>1070</v>
      </c>
      <c r="P59" s="2" t="s">
        <v>1066</v>
      </c>
    </row>
    <row r="60" customFormat="false" ht="57.45" hidden="false" customHeight="false" outlineLevel="0" collapsed="false">
      <c r="A60" s="2" t="s">
        <v>1071</v>
      </c>
      <c r="B60" s="2" t="s">
        <v>834</v>
      </c>
      <c r="C60" s="2" t="s">
        <v>572</v>
      </c>
      <c r="D60" s="2" t="s">
        <v>848</v>
      </c>
      <c r="E60" s="2" t="s">
        <v>20</v>
      </c>
      <c r="F60" s="2" t="s">
        <v>20</v>
      </c>
      <c r="G60" s="2" t="s">
        <v>20</v>
      </c>
      <c r="H60" s="2" t="s">
        <v>573</v>
      </c>
      <c r="I60" s="2"/>
      <c r="J60" s="2" t="s">
        <v>24</v>
      </c>
      <c r="K60" s="2" t="s">
        <v>20</v>
      </c>
      <c r="L60" s="2" t="s">
        <v>25</v>
      </c>
      <c r="M60" s="2" t="s">
        <v>26</v>
      </c>
      <c r="N60" s="2" t="s">
        <v>27</v>
      </c>
      <c r="O60" s="2" t="s">
        <v>574</v>
      </c>
      <c r="P60" s="2" t="s">
        <v>234</v>
      </c>
    </row>
    <row r="61" customFormat="false" ht="57.45" hidden="false" customHeight="false" outlineLevel="0" collapsed="false">
      <c r="A61" s="2" t="s">
        <v>1072</v>
      </c>
      <c r="B61" s="2" t="s">
        <v>834</v>
      </c>
      <c r="C61" s="2" t="s">
        <v>576</v>
      </c>
      <c r="D61" s="2" t="s">
        <v>1073</v>
      </c>
      <c r="E61" s="2" t="s">
        <v>20</v>
      </c>
      <c r="F61" s="2" t="s">
        <v>20</v>
      </c>
      <c r="G61" s="2" t="s">
        <v>1074</v>
      </c>
      <c r="H61" s="2" t="s">
        <v>578</v>
      </c>
      <c r="I61" s="2" t="s">
        <v>579</v>
      </c>
      <c r="J61" s="2" t="s">
        <v>580</v>
      </c>
      <c r="K61" s="2" t="s">
        <v>63</v>
      </c>
      <c r="L61" s="2" t="s">
        <v>25</v>
      </c>
      <c r="M61" s="2" t="s">
        <v>26</v>
      </c>
      <c r="N61" s="2" t="s">
        <v>37</v>
      </c>
      <c r="O61" s="2" t="s">
        <v>581</v>
      </c>
      <c r="P61" s="2" t="s">
        <v>317</v>
      </c>
    </row>
    <row r="62" customFormat="false" ht="57.45" hidden="false" customHeight="false" outlineLevel="0" collapsed="false">
      <c r="A62" s="2" t="s">
        <v>1075</v>
      </c>
      <c r="B62" s="2" t="s">
        <v>834</v>
      </c>
      <c r="C62" s="2" t="s">
        <v>1076</v>
      </c>
      <c r="D62" s="2" t="s">
        <v>848</v>
      </c>
      <c r="E62" s="2" t="s">
        <v>20</v>
      </c>
      <c r="F62" s="2" t="s">
        <v>1077</v>
      </c>
      <c r="G62" s="2" t="s">
        <v>896</v>
      </c>
      <c r="H62" s="2" t="s">
        <v>578</v>
      </c>
      <c r="I62" s="2" t="s">
        <v>579</v>
      </c>
      <c r="J62" s="2" t="s">
        <v>580</v>
      </c>
      <c r="K62" s="2" t="s">
        <v>63</v>
      </c>
      <c r="L62" s="2" t="s">
        <v>25</v>
      </c>
      <c r="M62" s="2" t="s">
        <v>26</v>
      </c>
      <c r="N62" s="2" t="s">
        <v>37</v>
      </c>
      <c r="O62" s="2" t="s">
        <v>1078</v>
      </c>
      <c r="P62" s="2" t="s">
        <v>317</v>
      </c>
    </row>
    <row r="63" customFormat="false" ht="57.45" hidden="false" customHeight="false" outlineLevel="0" collapsed="false">
      <c r="A63" s="2" t="s">
        <v>1079</v>
      </c>
      <c r="B63" s="2" t="s">
        <v>834</v>
      </c>
      <c r="C63" s="2" t="s">
        <v>1080</v>
      </c>
      <c r="D63" s="2" t="s">
        <v>848</v>
      </c>
      <c r="E63" s="2" t="s">
        <v>827</v>
      </c>
      <c r="F63" s="2" t="s">
        <v>20</v>
      </c>
      <c r="G63" s="2" t="s">
        <v>20</v>
      </c>
      <c r="H63" s="2" t="s">
        <v>586</v>
      </c>
      <c r="I63" s="2" t="s">
        <v>579</v>
      </c>
      <c r="J63" s="2" t="s">
        <v>580</v>
      </c>
      <c r="K63" s="2" t="s">
        <v>63</v>
      </c>
      <c r="L63" s="2" t="s">
        <v>25</v>
      </c>
      <c r="M63" s="2" t="s">
        <v>26</v>
      </c>
      <c r="N63" s="2" t="s">
        <v>37</v>
      </c>
      <c r="O63" s="2" t="s">
        <v>1081</v>
      </c>
      <c r="P63" s="2" t="s">
        <v>317</v>
      </c>
    </row>
    <row r="64" customFormat="false" ht="57.45" hidden="false" customHeight="false" outlineLevel="0" collapsed="false">
      <c r="A64" s="2" t="s">
        <v>1082</v>
      </c>
      <c r="B64" s="2" t="s">
        <v>834</v>
      </c>
      <c r="C64" s="2" t="s">
        <v>589</v>
      </c>
      <c r="D64" s="2" t="s">
        <v>1073</v>
      </c>
      <c r="E64" s="2" t="s">
        <v>20</v>
      </c>
      <c r="F64" s="2" t="s">
        <v>20</v>
      </c>
      <c r="G64" s="2" t="s">
        <v>1083</v>
      </c>
      <c r="H64" s="2" t="s">
        <v>590</v>
      </c>
      <c r="I64" s="2"/>
      <c r="J64" s="2" t="s">
        <v>24</v>
      </c>
      <c r="K64" s="2" t="s">
        <v>20</v>
      </c>
      <c r="L64" s="2" t="s">
        <v>25</v>
      </c>
      <c r="M64" s="2" t="s">
        <v>26</v>
      </c>
      <c r="N64" s="2" t="s">
        <v>27</v>
      </c>
      <c r="O64" s="2" t="s">
        <v>594</v>
      </c>
      <c r="P64" s="2" t="s">
        <v>234</v>
      </c>
    </row>
    <row r="65" customFormat="false" ht="57.45" hidden="false" customHeight="false" outlineLevel="0" collapsed="false">
      <c r="A65" s="2" t="s">
        <v>1084</v>
      </c>
      <c r="B65" s="2" t="s">
        <v>834</v>
      </c>
      <c r="C65" s="2" t="s">
        <v>1085</v>
      </c>
      <c r="D65" s="2" t="s">
        <v>848</v>
      </c>
      <c r="E65" s="2" t="s">
        <v>1086</v>
      </c>
      <c r="F65" s="2" t="s">
        <v>1087</v>
      </c>
      <c r="G65" s="2" t="s">
        <v>20</v>
      </c>
      <c r="H65" s="2" t="s">
        <v>590</v>
      </c>
      <c r="I65" s="2"/>
      <c r="J65" s="2" t="s">
        <v>24</v>
      </c>
      <c r="K65" s="2" t="s">
        <v>20</v>
      </c>
      <c r="L65" s="2" t="s">
        <v>25</v>
      </c>
      <c r="M65" s="2" t="s">
        <v>26</v>
      </c>
      <c r="N65" s="2" t="s">
        <v>27</v>
      </c>
      <c r="O65" s="2" t="s">
        <v>1088</v>
      </c>
      <c r="P65" s="2" t="s">
        <v>234</v>
      </c>
    </row>
    <row r="66" customFormat="false" ht="57.45" hidden="false" customHeight="false" outlineLevel="0" collapsed="false">
      <c r="A66" s="2" t="s">
        <v>1089</v>
      </c>
      <c r="B66" s="2" t="s">
        <v>824</v>
      </c>
      <c r="C66" s="2" t="s">
        <v>1090</v>
      </c>
      <c r="D66" s="2" t="s">
        <v>848</v>
      </c>
      <c r="E66" s="2" t="s">
        <v>20</v>
      </c>
      <c r="F66" s="2" t="s">
        <v>20</v>
      </c>
      <c r="G66" s="2" t="s">
        <v>855</v>
      </c>
      <c r="H66" s="2" t="s">
        <v>597</v>
      </c>
      <c r="I66" s="2"/>
      <c r="J66" s="2" t="s">
        <v>24</v>
      </c>
      <c r="K66" s="2" t="s">
        <v>20</v>
      </c>
      <c r="L66" s="2" t="s">
        <v>25</v>
      </c>
      <c r="M66" s="2" t="s">
        <v>26</v>
      </c>
      <c r="N66" s="2" t="s">
        <v>27</v>
      </c>
      <c r="O66" s="2" t="s">
        <v>1091</v>
      </c>
      <c r="P66" s="2" t="s">
        <v>234</v>
      </c>
    </row>
    <row r="67" customFormat="false" ht="57.45" hidden="false" customHeight="false" outlineLevel="0" collapsed="false">
      <c r="A67" s="2" t="s">
        <v>1092</v>
      </c>
      <c r="B67" s="2" t="s">
        <v>834</v>
      </c>
      <c r="C67" s="2" t="s">
        <v>1093</v>
      </c>
      <c r="D67" s="2" t="s">
        <v>1073</v>
      </c>
      <c r="E67" s="2" t="s">
        <v>20</v>
      </c>
      <c r="F67" s="2" t="s">
        <v>20</v>
      </c>
      <c r="G67" s="2" t="s">
        <v>877</v>
      </c>
      <c r="H67" s="2" t="s">
        <v>613</v>
      </c>
      <c r="I67" s="2" t="s">
        <v>614</v>
      </c>
      <c r="J67" s="2" t="s">
        <v>615</v>
      </c>
      <c r="K67" s="2" t="s">
        <v>63</v>
      </c>
      <c r="L67" s="2" t="s">
        <v>25</v>
      </c>
      <c r="M67" s="2" t="s">
        <v>26</v>
      </c>
      <c r="N67" s="2" t="s">
        <v>37</v>
      </c>
      <c r="O67" s="2" t="s">
        <v>1094</v>
      </c>
      <c r="P67" s="2" t="s">
        <v>376</v>
      </c>
    </row>
    <row r="68" customFormat="false" ht="57.45" hidden="false" customHeight="false" outlineLevel="0" collapsed="false">
      <c r="A68" s="2" t="s">
        <v>1095</v>
      </c>
      <c r="B68" s="2" t="s">
        <v>834</v>
      </c>
      <c r="C68" s="2" t="s">
        <v>1096</v>
      </c>
      <c r="D68" s="2" t="s">
        <v>848</v>
      </c>
      <c r="E68" s="2" t="s">
        <v>1097</v>
      </c>
      <c r="F68" s="2" t="s">
        <v>20</v>
      </c>
      <c r="G68" s="2" t="s">
        <v>855</v>
      </c>
      <c r="H68" s="2" t="s">
        <v>623</v>
      </c>
      <c r="I68" s="2" t="s">
        <v>624</v>
      </c>
      <c r="J68" s="2" t="s">
        <v>625</v>
      </c>
      <c r="K68" s="2" t="s">
        <v>63</v>
      </c>
      <c r="L68" s="2" t="s">
        <v>25</v>
      </c>
      <c r="M68" s="2" t="s">
        <v>26</v>
      </c>
      <c r="N68" s="2" t="s">
        <v>37</v>
      </c>
      <c r="O68" s="2" t="s">
        <v>1098</v>
      </c>
      <c r="P68" s="2" t="s">
        <v>317</v>
      </c>
    </row>
    <row r="69" customFormat="false" ht="158.2" hidden="false" customHeight="false" outlineLevel="0" collapsed="false">
      <c r="A69" s="2" t="s">
        <v>1099</v>
      </c>
      <c r="B69" s="2" t="s">
        <v>834</v>
      </c>
      <c r="C69" s="2" t="s">
        <v>1100</v>
      </c>
      <c r="D69" s="2" t="s">
        <v>875</v>
      </c>
      <c r="E69" s="2" t="s">
        <v>1101</v>
      </c>
      <c r="F69" s="2" t="s">
        <v>1102</v>
      </c>
      <c r="G69" s="2" t="s">
        <v>836</v>
      </c>
      <c r="H69" s="2" t="s">
        <v>637</v>
      </c>
      <c r="I69" s="2" t="s">
        <v>1103</v>
      </c>
      <c r="J69" s="2" t="s">
        <v>1104</v>
      </c>
      <c r="K69" s="2" t="s">
        <v>63</v>
      </c>
      <c r="L69" s="2" t="s">
        <v>25</v>
      </c>
      <c r="M69" s="2" t="s">
        <v>26</v>
      </c>
      <c r="N69" s="2" t="s">
        <v>37</v>
      </c>
      <c r="O69" s="2" t="s">
        <v>1105</v>
      </c>
      <c r="P69" s="2" t="s">
        <v>1106</v>
      </c>
    </row>
    <row r="70" customFormat="false" ht="158.2" hidden="false" customHeight="false" outlineLevel="0" collapsed="false">
      <c r="A70" s="2" t="s">
        <v>1107</v>
      </c>
      <c r="B70" s="2" t="s">
        <v>834</v>
      </c>
      <c r="C70" s="2" t="s">
        <v>1108</v>
      </c>
      <c r="D70" s="2" t="s">
        <v>971</v>
      </c>
      <c r="E70" s="2" t="s">
        <v>20</v>
      </c>
      <c r="F70" s="2" t="s">
        <v>1109</v>
      </c>
      <c r="G70" s="2" t="s">
        <v>1110</v>
      </c>
      <c r="H70" s="2" t="s">
        <v>637</v>
      </c>
      <c r="I70" s="2" t="s">
        <v>1103</v>
      </c>
      <c r="J70" s="2" t="s">
        <v>1104</v>
      </c>
      <c r="K70" s="2" t="s">
        <v>63</v>
      </c>
      <c r="L70" s="2" t="s">
        <v>25</v>
      </c>
      <c r="M70" s="2" t="s">
        <v>26</v>
      </c>
      <c r="N70" s="2" t="s">
        <v>137</v>
      </c>
      <c r="O70" s="2" t="s">
        <v>1111</v>
      </c>
      <c r="P70" s="2" t="s">
        <v>1106</v>
      </c>
    </row>
    <row r="71" customFormat="false" ht="91" hidden="false" customHeight="false" outlineLevel="0" collapsed="false">
      <c r="A71" s="2" t="s">
        <v>1112</v>
      </c>
      <c r="B71" s="2" t="s">
        <v>834</v>
      </c>
      <c r="C71" s="2" t="s">
        <v>1113</v>
      </c>
      <c r="D71" s="2" t="s">
        <v>848</v>
      </c>
      <c r="E71" s="2" t="s">
        <v>20</v>
      </c>
      <c r="F71" s="2" t="s">
        <v>20</v>
      </c>
      <c r="G71" s="2" t="s">
        <v>20</v>
      </c>
      <c r="H71" s="2" t="s">
        <v>816</v>
      </c>
      <c r="I71" s="2" t="s">
        <v>1114</v>
      </c>
      <c r="J71" s="2" t="s">
        <v>1115</v>
      </c>
      <c r="K71" s="2" t="s">
        <v>63</v>
      </c>
      <c r="L71" s="2" t="s">
        <v>25</v>
      </c>
      <c r="M71" s="2" t="s">
        <v>26</v>
      </c>
      <c r="N71" s="2" t="s">
        <v>37</v>
      </c>
      <c r="O71" s="2" t="s">
        <v>1116</v>
      </c>
      <c r="P71" s="2" t="s">
        <v>1117</v>
      </c>
    </row>
    <row r="72" customFormat="false" ht="57.45" hidden="false" customHeight="false" outlineLevel="0" collapsed="false">
      <c r="A72" s="2" t="s">
        <v>1118</v>
      </c>
      <c r="B72" s="2" t="s">
        <v>834</v>
      </c>
      <c r="C72" s="2" t="s">
        <v>1119</v>
      </c>
      <c r="D72" s="2" t="s">
        <v>1120</v>
      </c>
      <c r="E72" s="2" t="s">
        <v>20</v>
      </c>
      <c r="F72" s="2" t="s">
        <v>20</v>
      </c>
      <c r="G72" s="2" t="s">
        <v>836</v>
      </c>
      <c r="H72" s="2" t="s">
        <v>648</v>
      </c>
      <c r="I72" s="2" t="s">
        <v>649</v>
      </c>
      <c r="J72" s="2" t="s">
        <v>650</v>
      </c>
      <c r="K72" s="2" t="s">
        <v>63</v>
      </c>
      <c r="L72" s="2" t="s">
        <v>25</v>
      </c>
      <c r="M72" s="2" t="s">
        <v>26</v>
      </c>
      <c r="N72" s="2" t="s">
        <v>37</v>
      </c>
      <c r="O72" s="2" t="s">
        <v>1121</v>
      </c>
      <c r="P72" s="2" t="s">
        <v>376</v>
      </c>
    </row>
    <row r="73" customFormat="false" ht="57.45" hidden="false" customHeight="false" outlineLevel="0" collapsed="false">
      <c r="A73" s="2" t="s">
        <v>1122</v>
      </c>
      <c r="B73" s="2" t="s">
        <v>834</v>
      </c>
      <c r="C73" s="2" t="s">
        <v>1123</v>
      </c>
      <c r="D73" s="2" t="s">
        <v>875</v>
      </c>
      <c r="E73" s="2" t="s">
        <v>20</v>
      </c>
      <c r="F73" s="2" t="s">
        <v>1124</v>
      </c>
      <c r="G73" s="2" t="s">
        <v>836</v>
      </c>
      <c r="H73" s="2" t="s">
        <v>648</v>
      </c>
      <c r="I73" s="2" t="s">
        <v>649</v>
      </c>
      <c r="J73" s="2" t="s">
        <v>650</v>
      </c>
      <c r="K73" s="2" t="s">
        <v>63</v>
      </c>
      <c r="L73" s="2" t="s">
        <v>25</v>
      </c>
      <c r="M73" s="2" t="s">
        <v>26</v>
      </c>
      <c r="N73" s="2" t="s">
        <v>37</v>
      </c>
      <c r="O73" s="2" t="s">
        <v>1125</v>
      </c>
      <c r="P73" s="2" t="s">
        <v>376</v>
      </c>
    </row>
    <row r="74" customFormat="false" ht="57.45" hidden="false" customHeight="false" outlineLevel="0" collapsed="false">
      <c r="A74" s="2" t="s">
        <v>1126</v>
      </c>
      <c r="B74" s="2" t="s">
        <v>834</v>
      </c>
      <c r="C74" s="2" t="s">
        <v>1127</v>
      </c>
      <c r="D74" s="2" t="s">
        <v>835</v>
      </c>
      <c r="E74" s="2" t="s">
        <v>20</v>
      </c>
      <c r="F74" s="2" t="s">
        <v>20</v>
      </c>
      <c r="G74" s="2" t="s">
        <v>836</v>
      </c>
      <c r="H74" s="2" t="s">
        <v>648</v>
      </c>
      <c r="I74" s="2" t="s">
        <v>649</v>
      </c>
      <c r="J74" s="2" t="s">
        <v>650</v>
      </c>
      <c r="K74" s="2" t="s">
        <v>63</v>
      </c>
      <c r="L74" s="2" t="s">
        <v>25</v>
      </c>
      <c r="M74" s="2" t="s">
        <v>26</v>
      </c>
      <c r="N74" s="2" t="s">
        <v>37</v>
      </c>
      <c r="O74" s="2" t="s">
        <v>1128</v>
      </c>
      <c r="P74" s="2" t="s">
        <v>376</v>
      </c>
    </row>
    <row r="75" customFormat="false" ht="57.45" hidden="false" customHeight="false" outlineLevel="0" collapsed="false">
      <c r="A75" s="2" t="s">
        <v>1129</v>
      </c>
      <c r="B75" s="2" t="s">
        <v>834</v>
      </c>
      <c r="C75" s="2" t="s">
        <v>664</v>
      </c>
      <c r="D75" s="2" t="s">
        <v>848</v>
      </c>
      <c r="E75" s="2" t="s">
        <v>20</v>
      </c>
      <c r="F75" s="2" t="s">
        <v>1130</v>
      </c>
      <c r="G75" s="2" t="s">
        <v>994</v>
      </c>
      <c r="H75" s="2" t="s">
        <v>655</v>
      </c>
      <c r="I75" s="2" t="s">
        <v>656</v>
      </c>
      <c r="J75" s="2" t="s">
        <v>657</v>
      </c>
      <c r="K75" s="2" t="s">
        <v>63</v>
      </c>
      <c r="L75" s="2" t="s">
        <v>25</v>
      </c>
      <c r="M75" s="2" t="s">
        <v>26</v>
      </c>
      <c r="N75" s="2" t="s">
        <v>37</v>
      </c>
      <c r="O75" s="2" t="s">
        <v>665</v>
      </c>
      <c r="P75" s="2" t="s">
        <v>363</v>
      </c>
    </row>
    <row r="76" customFormat="false" ht="57.45" hidden="false" customHeight="false" outlineLevel="0" collapsed="false">
      <c r="A76" s="2" t="s">
        <v>1131</v>
      </c>
      <c r="B76" s="2" t="s">
        <v>834</v>
      </c>
      <c r="C76" s="2" t="s">
        <v>1132</v>
      </c>
      <c r="D76" s="2" t="s">
        <v>875</v>
      </c>
      <c r="E76" s="2" t="s">
        <v>20</v>
      </c>
      <c r="F76" s="2" t="s">
        <v>20</v>
      </c>
      <c r="G76" s="2" t="s">
        <v>836</v>
      </c>
      <c r="H76" s="2" t="s">
        <v>655</v>
      </c>
      <c r="I76" s="2" t="s">
        <v>656</v>
      </c>
      <c r="J76" s="2" t="s">
        <v>657</v>
      </c>
      <c r="K76" s="2" t="s">
        <v>63</v>
      </c>
      <c r="L76" s="2" t="s">
        <v>25</v>
      </c>
      <c r="M76" s="2" t="s">
        <v>26</v>
      </c>
      <c r="N76" s="2" t="s">
        <v>37</v>
      </c>
      <c r="O76" s="2" t="s">
        <v>1133</v>
      </c>
      <c r="P76" s="2" t="s">
        <v>363</v>
      </c>
    </row>
    <row r="77" customFormat="false" ht="57.45" hidden="false" customHeight="false" outlineLevel="0" collapsed="false">
      <c r="A77" s="2" t="s">
        <v>1134</v>
      </c>
      <c r="B77" s="2" t="s">
        <v>824</v>
      </c>
      <c r="C77" s="2" t="s">
        <v>1135</v>
      </c>
      <c r="D77" s="2" t="s">
        <v>848</v>
      </c>
      <c r="E77" s="2" t="s">
        <v>20</v>
      </c>
      <c r="F77" s="2" t="s">
        <v>867</v>
      </c>
      <c r="G77" s="2" t="s">
        <v>20</v>
      </c>
      <c r="H77" s="2" t="s">
        <v>668</v>
      </c>
      <c r="I77" s="2" t="s">
        <v>1136</v>
      </c>
      <c r="J77" s="2" t="s">
        <v>1137</v>
      </c>
      <c r="K77" s="2" t="s">
        <v>63</v>
      </c>
      <c r="L77" s="2" t="s">
        <v>671</v>
      </c>
      <c r="M77" s="2" t="s">
        <v>26</v>
      </c>
      <c r="N77" s="2" t="s">
        <v>37</v>
      </c>
      <c r="O77" s="2" t="s">
        <v>1138</v>
      </c>
      <c r="P77" s="2" t="s">
        <v>256</v>
      </c>
    </row>
    <row r="78" customFormat="false" ht="57.45" hidden="false" customHeight="false" outlineLevel="0" collapsed="false">
      <c r="A78" s="2" t="s">
        <v>1139</v>
      </c>
      <c r="B78" s="2" t="s">
        <v>834</v>
      </c>
      <c r="C78" s="2" t="s">
        <v>689</v>
      </c>
      <c r="D78" s="2" t="s">
        <v>920</v>
      </c>
      <c r="E78" s="2" t="s">
        <v>20</v>
      </c>
      <c r="F78" s="2" t="s">
        <v>1140</v>
      </c>
      <c r="G78" s="2" t="s">
        <v>836</v>
      </c>
      <c r="H78" s="2" t="s">
        <v>690</v>
      </c>
      <c r="I78" s="2" t="s">
        <v>691</v>
      </c>
      <c r="J78" s="2" t="s">
        <v>692</v>
      </c>
      <c r="K78" s="2" t="s">
        <v>90</v>
      </c>
      <c r="L78" s="2" t="s">
        <v>25</v>
      </c>
      <c r="M78" s="2" t="s">
        <v>36</v>
      </c>
      <c r="N78" s="2" t="s">
        <v>37</v>
      </c>
      <c r="O78" s="2" t="s">
        <v>693</v>
      </c>
      <c r="P78" s="2" t="s">
        <v>376</v>
      </c>
    </row>
    <row r="79" customFormat="false" ht="124.6" hidden="false" customHeight="false" outlineLevel="0" collapsed="false">
      <c r="A79" s="2" t="s">
        <v>1141</v>
      </c>
      <c r="B79" s="2" t="s">
        <v>834</v>
      </c>
      <c r="C79" s="2" t="s">
        <v>1142</v>
      </c>
      <c r="D79" s="2" t="s">
        <v>848</v>
      </c>
      <c r="E79" s="2" t="s">
        <v>20</v>
      </c>
      <c r="F79" s="2" t="s">
        <v>20</v>
      </c>
      <c r="G79" s="2" t="s">
        <v>20</v>
      </c>
      <c r="H79" s="2" t="s">
        <v>704</v>
      </c>
      <c r="I79" s="2" t="s">
        <v>705</v>
      </c>
      <c r="J79" s="2" t="s">
        <v>706</v>
      </c>
      <c r="K79" s="2" t="s">
        <v>63</v>
      </c>
      <c r="L79" s="2" t="s">
        <v>25</v>
      </c>
      <c r="M79" s="2" t="s">
        <v>36</v>
      </c>
      <c r="N79" s="2" t="s">
        <v>37</v>
      </c>
      <c r="O79" s="2" t="s">
        <v>1143</v>
      </c>
      <c r="P79" s="2" t="s">
        <v>363</v>
      </c>
    </row>
    <row r="80" customFormat="false" ht="57.45" hidden="false" customHeight="false" outlineLevel="0" collapsed="false">
      <c r="A80" s="2" t="s">
        <v>1144</v>
      </c>
      <c r="B80" s="2" t="s">
        <v>834</v>
      </c>
      <c r="C80" s="2" t="s">
        <v>712</v>
      </c>
      <c r="D80" s="2" t="s">
        <v>848</v>
      </c>
      <c r="E80" s="2" t="s">
        <v>20</v>
      </c>
      <c r="F80" s="2" t="s">
        <v>20</v>
      </c>
      <c r="G80" s="2" t="s">
        <v>994</v>
      </c>
      <c r="H80" s="2" t="s">
        <v>704</v>
      </c>
      <c r="I80" s="2" t="s">
        <v>705</v>
      </c>
      <c r="J80" s="2" t="s">
        <v>706</v>
      </c>
      <c r="K80" s="2" t="s">
        <v>63</v>
      </c>
      <c r="L80" s="2" t="s">
        <v>25</v>
      </c>
      <c r="M80" s="2" t="s">
        <v>36</v>
      </c>
      <c r="N80" s="2" t="s">
        <v>37</v>
      </c>
      <c r="O80" s="2" t="s">
        <v>713</v>
      </c>
      <c r="P80" s="2" t="s">
        <v>363</v>
      </c>
    </row>
    <row r="81" customFormat="false" ht="68.65" hidden="false" customHeight="false" outlineLevel="0" collapsed="false">
      <c r="A81" s="2" t="s">
        <v>1145</v>
      </c>
      <c r="B81" s="2" t="s">
        <v>834</v>
      </c>
      <c r="C81" s="2" t="s">
        <v>726</v>
      </c>
      <c r="D81" s="2" t="s">
        <v>1146</v>
      </c>
      <c r="E81" s="2" t="s">
        <v>20</v>
      </c>
      <c r="F81" s="2" t="s">
        <v>20</v>
      </c>
      <c r="G81" s="2" t="s">
        <v>877</v>
      </c>
      <c r="H81" s="2" t="s">
        <v>721</v>
      </c>
      <c r="I81" s="2" t="s">
        <v>722</v>
      </c>
      <c r="J81" s="2" t="s">
        <v>1147</v>
      </c>
      <c r="K81" s="2" t="s">
        <v>436</v>
      </c>
      <c r="L81" s="2" t="s">
        <v>25</v>
      </c>
      <c r="M81" s="2" t="s">
        <v>36</v>
      </c>
      <c r="N81" s="2" t="s">
        <v>37</v>
      </c>
      <c r="O81" s="2" t="s">
        <v>728</v>
      </c>
      <c r="P81" s="2" t="s">
        <v>317</v>
      </c>
    </row>
    <row r="82" customFormat="false" ht="124.6" hidden="false" customHeight="false" outlineLevel="0" collapsed="false">
      <c r="A82" s="2" t="s">
        <v>1148</v>
      </c>
      <c r="B82" s="2" t="s">
        <v>834</v>
      </c>
      <c r="C82" s="2" t="s">
        <v>1149</v>
      </c>
      <c r="D82" s="2" t="s">
        <v>1120</v>
      </c>
      <c r="E82" s="2" t="s">
        <v>20</v>
      </c>
      <c r="F82" s="2" t="s">
        <v>1150</v>
      </c>
      <c r="G82" s="2" t="s">
        <v>994</v>
      </c>
      <c r="H82" s="2" t="s">
        <v>737</v>
      </c>
      <c r="I82" s="2" t="s">
        <v>1151</v>
      </c>
      <c r="J82" s="2" t="s">
        <v>1152</v>
      </c>
      <c r="K82" s="2" t="s">
        <v>190</v>
      </c>
      <c r="L82" s="2" t="s">
        <v>25</v>
      </c>
      <c r="M82" s="2" t="s">
        <v>36</v>
      </c>
      <c r="N82" s="2" t="s">
        <v>37</v>
      </c>
      <c r="O82" s="2" t="s">
        <v>1153</v>
      </c>
      <c r="P82" s="2" t="s">
        <v>954</v>
      </c>
    </row>
    <row r="83" customFormat="false" ht="57.45" hidden="false" customHeight="false" outlineLevel="0" collapsed="false">
      <c r="A83" s="2" t="s">
        <v>1154</v>
      </c>
      <c r="B83" s="2" t="s">
        <v>834</v>
      </c>
      <c r="C83" s="2" t="s">
        <v>747</v>
      </c>
      <c r="D83" s="2" t="s">
        <v>971</v>
      </c>
      <c r="E83" s="2" t="s">
        <v>748</v>
      </c>
      <c r="F83" s="2" t="s">
        <v>1155</v>
      </c>
      <c r="G83" s="2" t="s">
        <v>836</v>
      </c>
      <c r="H83" s="2" t="s">
        <v>749</v>
      </c>
      <c r="I83" s="2" t="s">
        <v>750</v>
      </c>
      <c r="J83" s="2" t="s">
        <v>751</v>
      </c>
      <c r="K83" s="2" t="s">
        <v>97</v>
      </c>
      <c r="L83" s="2" t="s">
        <v>25</v>
      </c>
      <c r="M83" s="2" t="s">
        <v>36</v>
      </c>
      <c r="N83" s="2" t="s">
        <v>37</v>
      </c>
      <c r="O83" s="2" t="s">
        <v>752</v>
      </c>
      <c r="P83" s="2" t="s">
        <v>363</v>
      </c>
    </row>
    <row r="84" customFormat="false" ht="57.45" hidden="false" customHeight="false" outlineLevel="0" collapsed="false">
      <c r="A84" s="2" t="s">
        <v>1156</v>
      </c>
      <c r="B84" s="2" t="s">
        <v>834</v>
      </c>
      <c r="C84" s="2" t="s">
        <v>763</v>
      </c>
      <c r="D84" s="2" t="s">
        <v>993</v>
      </c>
      <c r="E84" s="2" t="s">
        <v>20</v>
      </c>
      <c r="F84" s="2" t="s">
        <v>20</v>
      </c>
      <c r="G84" s="2" t="s">
        <v>994</v>
      </c>
      <c r="H84" s="2" t="s">
        <v>749</v>
      </c>
      <c r="I84" s="2" t="s">
        <v>750</v>
      </c>
      <c r="J84" s="2" t="s">
        <v>751</v>
      </c>
      <c r="K84" s="2" t="s">
        <v>97</v>
      </c>
      <c r="L84" s="2" t="s">
        <v>25</v>
      </c>
      <c r="M84" s="2" t="s">
        <v>36</v>
      </c>
      <c r="N84" s="2" t="s">
        <v>37</v>
      </c>
      <c r="O84" s="2" t="s">
        <v>765</v>
      </c>
      <c r="P84" s="2" t="s">
        <v>363</v>
      </c>
    </row>
    <row r="85" customFormat="false" ht="57.45" hidden="false" customHeight="false" outlineLevel="0" collapsed="false">
      <c r="A85" s="2" t="s">
        <v>1157</v>
      </c>
      <c r="B85" s="2" t="s">
        <v>834</v>
      </c>
      <c r="C85" s="2" t="s">
        <v>767</v>
      </c>
      <c r="D85" s="2" t="s">
        <v>993</v>
      </c>
      <c r="E85" s="2" t="s">
        <v>20</v>
      </c>
      <c r="F85" s="2" t="s">
        <v>20</v>
      </c>
      <c r="G85" s="2" t="s">
        <v>986</v>
      </c>
      <c r="H85" s="2" t="s">
        <v>769</v>
      </c>
      <c r="I85" s="2"/>
      <c r="J85" s="2" t="s">
        <v>770</v>
      </c>
      <c r="K85" s="2" t="s">
        <v>63</v>
      </c>
      <c r="L85" s="2" t="s">
        <v>25</v>
      </c>
      <c r="M85" s="2" t="s">
        <v>36</v>
      </c>
      <c r="N85" s="2" t="s">
        <v>37</v>
      </c>
      <c r="O85" s="2" t="s">
        <v>771</v>
      </c>
      <c r="P85" s="2" t="s">
        <v>317</v>
      </c>
    </row>
    <row r="86" customFormat="false" ht="79.85" hidden="false" customHeight="false" outlineLevel="0" collapsed="false">
      <c r="A86" s="2" t="s">
        <v>1158</v>
      </c>
      <c r="B86" s="2" t="s">
        <v>834</v>
      </c>
      <c r="C86" s="2" t="s">
        <v>1159</v>
      </c>
      <c r="D86" s="2" t="s">
        <v>920</v>
      </c>
      <c r="E86" s="2" t="s">
        <v>20</v>
      </c>
      <c r="F86" s="2" t="s">
        <v>20</v>
      </c>
      <c r="G86" s="2" t="s">
        <v>896</v>
      </c>
      <c r="H86" s="2" t="s">
        <v>775</v>
      </c>
      <c r="I86" s="2" t="s">
        <v>1160</v>
      </c>
      <c r="J86" s="2" t="s">
        <v>1161</v>
      </c>
      <c r="K86" s="2" t="s">
        <v>778</v>
      </c>
      <c r="L86" s="2" t="s">
        <v>25</v>
      </c>
      <c r="M86" s="2" t="s">
        <v>36</v>
      </c>
      <c r="N86" s="2" t="s">
        <v>37</v>
      </c>
      <c r="O86" s="2" t="s">
        <v>1162</v>
      </c>
      <c r="P86" s="2" t="s">
        <v>348</v>
      </c>
    </row>
    <row r="87" customFormat="false" ht="79.85" hidden="false" customHeight="false" outlineLevel="0" collapsed="false">
      <c r="A87" s="2" t="s">
        <v>1163</v>
      </c>
      <c r="B87" s="2" t="s">
        <v>834</v>
      </c>
      <c r="C87" s="2" t="s">
        <v>1164</v>
      </c>
      <c r="D87" s="2" t="s">
        <v>920</v>
      </c>
      <c r="E87" s="2" t="s">
        <v>20</v>
      </c>
      <c r="F87" s="2" t="s">
        <v>1165</v>
      </c>
      <c r="G87" s="2" t="s">
        <v>836</v>
      </c>
      <c r="H87" s="2" t="s">
        <v>775</v>
      </c>
      <c r="I87" s="2" t="s">
        <v>1160</v>
      </c>
      <c r="J87" s="2" t="s">
        <v>1161</v>
      </c>
      <c r="K87" s="2" t="s">
        <v>778</v>
      </c>
      <c r="L87" s="2" t="s">
        <v>25</v>
      </c>
      <c r="M87" s="2" t="s">
        <v>36</v>
      </c>
      <c r="N87" s="2" t="s">
        <v>37</v>
      </c>
      <c r="O87" s="2" t="s">
        <v>1166</v>
      </c>
      <c r="P87" s="2" t="s">
        <v>348</v>
      </c>
    </row>
    <row r="88" customFormat="false" ht="79.85" hidden="false" customHeight="false" outlineLevel="0" collapsed="false">
      <c r="A88" s="2" t="s">
        <v>1167</v>
      </c>
      <c r="B88" s="2" t="s">
        <v>834</v>
      </c>
      <c r="C88" s="2" t="s">
        <v>773</v>
      </c>
      <c r="D88" s="2" t="s">
        <v>993</v>
      </c>
      <c r="E88" s="2" t="s">
        <v>20</v>
      </c>
      <c r="F88" s="2" t="s">
        <v>20</v>
      </c>
      <c r="G88" s="2" t="s">
        <v>836</v>
      </c>
      <c r="H88" s="2" t="s">
        <v>775</v>
      </c>
      <c r="I88" s="2" t="s">
        <v>1160</v>
      </c>
      <c r="J88" s="2" t="s">
        <v>1161</v>
      </c>
      <c r="K88" s="2" t="s">
        <v>778</v>
      </c>
      <c r="L88" s="2" t="s">
        <v>25</v>
      </c>
      <c r="M88" s="2" t="s">
        <v>36</v>
      </c>
      <c r="N88" s="2" t="s">
        <v>37</v>
      </c>
      <c r="O88" s="2" t="s">
        <v>779</v>
      </c>
      <c r="P88" s="2" t="s">
        <v>348</v>
      </c>
    </row>
    <row r="89" customFormat="false" ht="57.45" hidden="false" customHeight="false" outlineLevel="0" collapsed="false">
      <c r="A89" s="2" t="s">
        <v>1168</v>
      </c>
      <c r="B89" s="2" t="s">
        <v>839</v>
      </c>
      <c r="C89" s="2" t="s">
        <v>1169</v>
      </c>
      <c r="D89" s="2" t="s">
        <v>841</v>
      </c>
      <c r="E89" s="2" t="s">
        <v>20</v>
      </c>
      <c r="F89" s="2" t="s">
        <v>20</v>
      </c>
      <c r="G89" s="2" t="s">
        <v>836</v>
      </c>
      <c r="H89" s="2" t="s">
        <v>1170</v>
      </c>
      <c r="I89" s="2" t="s">
        <v>1171</v>
      </c>
      <c r="J89" s="2" t="s">
        <v>1172</v>
      </c>
      <c r="K89" s="2" t="s">
        <v>63</v>
      </c>
      <c r="L89" s="2" t="s">
        <v>25</v>
      </c>
      <c r="M89" s="2" t="s">
        <v>26</v>
      </c>
      <c r="N89" s="2" t="s">
        <v>37</v>
      </c>
      <c r="O89" s="2" t="s">
        <v>1173</v>
      </c>
      <c r="P89" s="2" t="s">
        <v>317</v>
      </c>
    </row>
    <row r="90" customFormat="false" ht="57.45" hidden="false" customHeight="false" outlineLevel="0" collapsed="false">
      <c r="A90" s="2" t="s">
        <v>1174</v>
      </c>
      <c r="B90" s="2" t="s">
        <v>834</v>
      </c>
      <c r="C90" s="2" t="s">
        <v>1175</v>
      </c>
      <c r="D90" s="2" t="s">
        <v>835</v>
      </c>
      <c r="E90" s="2" t="s">
        <v>20</v>
      </c>
      <c r="F90" s="2" t="s">
        <v>20</v>
      </c>
      <c r="G90" s="2" t="s">
        <v>836</v>
      </c>
      <c r="H90" s="2" t="s">
        <v>1170</v>
      </c>
      <c r="I90" s="2" t="s">
        <v>1171</v>
      </c>
      <c r="J90" s="2" t="s">
        <v>1172</v>
      </c>
      <c r="K90" s="2" t="s">
        <v>63</v>
      </c>
      <c r="L90" s="2" t="s">
        <v>25</v>
      </c>
      <c r="M90" s="2" t="s">
        <v>26</v>
      </c>
      <c r="N90" s="2" t="s">
        <v>37</v>
      </c>
      <c r="O90" s="2" t="s">
        <v>1176</v>
      </c>
      <c r="P90" s="2" t="s">
        <v>317</v>
      </c>
    </row>
    <row r="91" customFormat="false" ht="68.65" hidden="false" customHeight="false" outlineLevel="0" collapsed="false">
      <c r="A91" s="2" t="s">
        <v>1177</v>
      </c>
      <c r="B91" s="2" t="s">
        <v>839</v>
      </c>
      <c r="C91" s="2" t="s">
        <v>1178</v>
      </c>
      <c r="D91" s="2" t="s">
        <v>1179</v>
      </c>
      <c r="E91" s="2" t="s">
        <v>20</v>
      </c>
      <c r="F91" s="2" t="s">
        <v>20</v>
      </c>
      <c r="G91" s="2" t="s">
        <v>877</v>
      </c>
      <c r="H91" s="2" t="s">
        <v>1170</v>
      </c>
      <c r="I91" s="2" t="s">
        <v>1171</v>
      </c>
      <c r="J91" s="2" t="s">
        <v>1172</v>
      </c>
      <c r="K91" s="2" t="s">
        <v>63</v>
      </c>
      <c r="L91" s="2" t="s">
        <v>25</v>
      </c>
      <c r="M91" s="2" t="s">
        <v>26</v>
      </c>
      <c r="N91" s="2" t="s">
        <v>37</v>
      </c>
      <c r="O91" s="2" t="s">
        <v>1180</v>
      </c>
      <c r="P91" s="2" t="s">
        <v>317</v>
      </c>
    </row>
    <row r="92" customFormat="false" ht="57.45" hidden="false" customHeight="false" outlineLevel="0" collapsed="false">
      <c r="A92" s="2" t="s">
        <v>1181</v>
      </c>
      <c r="B92" s="2" t="s">
        <v>834</v>
      </c>
      <c r="C92" s="2" t="s">
        <v>1182</v>
      </c>
      <c r="D92" s="2" t="s">
        <v>1120</v>
      </c>
      <c r="E92" s="2" t="s">
        <v>1183</v>
      </c>
      <c r="F92" s="2" t="s">
        <v>20</v>
      </c>
      <c r="G92" s="2" t="s">
        <v>896</v>
      </c>
      <c r="H92" s="2" t="s">
        <v>1170</v>
      </c>
      <c r="I92" s="2" t="s">
        <v>1171</v>
      </c>
      <c r="J92" s="2" t="s">
        <v>1172</v>
      </c>
      <c r="K92" s="2" t="s">
        <v>63</v>
      </c>
      <c r="L92" s="2" t="s">
        <v>25</v>
      </c>
      <c r="M92" s="2" t="s">
        <v>26</v>
      </c>
      <c r="N92" s="2" t="s">
        <v>37</v>
      </c>
      <c r="O92" s="2" t="s">
        <v>1184</v>
      </c>
      <c r="P92" s="2" t="s">
        <v>317</v>
      </c>
    </row>
    <row r="93" customFormat="false" ht="57.45" hidden="false" customHeight="false" outlineLevel="0" collapsed="false">
      <c r="A93" s="2" t="s">
        <v>1185</v>
      </c>
      <c r="B93" s="2" t="s">
        <v>834</v>
      </c>
      <c r="C93" s="2" t="s">
        <v>1186</v>
      </c>
      <c r="D93" s="2" t="s">
        <v>1028</v>
      </c>
      <c r="E93" s="2" t="s">
        <v>20</v>
      </c>
      <c r="F93" s="2" t="s">
        <v>1187</v>
      </c>
      <c r="G93" s="2" t="s">
        <v>836</v>
      </c>
      <c r="H93" s="2" t="s">
        <v>1188</v>
      </c>
      <c r="I93" s="2" t="s">
        <v>556</v>
      </c>
      <c r="J93" s="2" t="s">
        <v>1189</v>
      </c>
      <c r="K93" s="2" t="s">
        <v>558</v>
      </c>
      <c r="L93" s="2" t="s">
        <v>1190</v>
      </c>
      <c r="M93" s="2" t="s">
        <v>184</v>
      </c>
      <c r="N93" s="2" t="s">
        <v>37</v>
      </c>
      <c r="O93" s="2" t="s">
        <v>1191</v>
      </c>
      <c r="P93" s="2" t="s">
        <v>376</v>
      </c>
    </row>
    <row r="94" customFormat="false" ht="46.25" hidden="false" customHeight="false" outlineLevel="0" collapsed="false">
      <c r="A94" s="2" t="s">
        <v>1192</v>
      </c>
      <c r="B94" s="2" t="s">
        <v>834</v>
      </c>
      <c r="C94" s="2" t="s">
        <v>1193</v>
      </c>
      <c r="D94" s="2" t="s">
        <v>20</v>
      </c>
      <c r="E94" s="2" t="s">
        <v>20</v>
      </c>
      <c r="F94" s="2" t="s">
        <v>20</v>
      </c>
      <c r="G94" s="2" t="s">
        <v>20</v>
      </c>
      <c r="H94" s="2" t="s">
        <v>352</v>
      </c>
      <c r="I94" s="2" t="s">
        <v>353</v>
      </c>
      <c r="J94" s="2" t="s">
        <v>354</v>
      </c>
      <c r="K94" s="2" t="s">
        <v>63</v>
      </c>
      <c r="L94" s="2" t="s">
        <v>25</v>
      </c>
      <c r="M94" s="2" t="s">
        <v>136</v>
      </c>
      <c r="N94" s="2" t="s">
        <v>137</v>
      </c>
      <c r="O94" s="2" t="s">
        <v>795</v>
      </c>
      <c r="P94" s="2" t="s">
        <v>796</v>
      </c>
    </row>
    <row r="95" customFormat="false" ht="46.25" hidden="false" customHeight="false" outlineLevel="0" collapsed="false">
      <c r="A95" s="2" t="s">
        <v>1194</v>
      </c>
      <c r="B95" s="2" t="s">
        <v>834</v>
      </c>
      <c r="C95" s="2" t="s">
        <v>1195</v>
      </c>
      <c r="D95" s="2" t="s">
        <v>20</v>
      </c>
      <c r="E95" s="2" t="s">
        <v>20</v>
      </c>
      <c r="F95" s="2" t="s">
        <v>20</v>
      </c>
      <c r="G95" s="2" t="s">
        <v>20</v>
      </c>
      <c r="H95" s="2" t="s">
        <v>387</v>
      </c>
      <c r="I95" s="2" t="s">
        <v>252</v>
      </c>
      <c r="J95" s="2" t="s">
        <v>388</v>
      </c>
      <c r="K95" s="2" t="s">
        <v>63</v>
      </c>
      <c r="L95" s="2" t="s">
        <v>25</v>
      </c>
      <c r="M95" s="2" t="s">
        <v>1196</v>
      </c>
      <c r="N95" s="2" t="s">
        <v>137</v>
      </c>
      <c r="O95" s="2" t="s">
        <v>795</v>
      </c>
      <c r="P95" s="2" t="s">
        <v>796</v>
      </c>
    </row>
    <row r="96" customFormat="false" ht="46.25" hidden="false" customHeight="false" outlineLevel="0" collapsed="false">
      <c r="A96" s="2" t="s">
        <v>1197</v>
      </c>
      <c r="B96" s="2" t="s">
        <v>834</v>
      </c>
      <c r="C96" s="2" t="s">
        <v>803</v>
      </c>
      <c r="D96" s="2" t="s">
        <v>20</v>
      </c>
      <c r="E96" s="2" t="s">
        <v>20</v>
      </c>
      <c r="F96" s="2" t="s">
        <v>20</v>
      </c>
      <c r="G96" s="2" t="s">
        <v>20</v>
      </c>
      <c r="H96" s="2" t="s">
        <v>804</v>
      </c>
      <c r="I96" s="2" t="s">
        <v>398</v>
      </c>
      <c r="J96" s="2" t="s">
        <v>805</v>
      </c>
      <c r="K96" s="2" t="s">
        <v>63</v>
      </c>
      <c r="L96" s="2" t="s">
        <v>25</v>
      </c>
      <c r="M96" s="2" t="s">
        <v>136</v>
      </c>
      <c r="N96" s="2" t="s">
        <v>137</v>
      </c>
      <c r="O96" s="2" t="s">
        <v>795</v>
      </c>
      <c r="P96" s="2" t="s">
        <v>796</v>
      </c>
    </row>
    <row r="97" customFormat="false" ht="46.25" hidden="false" customHeight="false" outlineLevel="0" collapsed="false">
      <c r="A97" s="2" t="s">
        <v>1198</v>
      </c>
      <c r="B97" s="2" t="s">
        <v>834</v>
      </c>
      <c r="C97" s="2" t="s">
        <v>1199</v>
      </c>
      <c r="D97" s="2" t="s">
        <v>20</v>
      </c>
      <c r="E97" s="2" t="s">
        <v>20</v>
      </c>
      <c r="F97" s="2" t="s">
        <v>20</v>
      </c>
      <c r="G97" s="2" t="s">
        <v>20</v>
      </c>
      <c r="H97" s="2" t="s">
        <v>397</v>
      </c>
      <c r="I97" s="2" t="s">
        <v>398</v>
      </c>
      <c r="J97" s="2" t="s">
        <v>805</v>
      </c>
      <c r="K97" s="2" t="s">
        <v>63</v>
      </c>
      <c r="L97" s="2" t="s">
        <v>25</v>
      </c>
      <c r="M97" s="2" t="s">
        <v>136</v>
      </c>
      <c r="N97" s="2" t="s">
        <v>137</v>
      </c>
      <c r="O97" s="2" t="s">
        <v>1200</v>
      </c>
      <c r="P97" s="2" t="s">
        <v>796</v>
      </c>
    </row>
    <row r="98" customFormat="false" ht="46.25" hidden="false" customHeight="false" outlineLevel="0" collapsed="false">
      <c r="A98" s="2" t="s">
        <v>1201</v>
      </c>
      <c r="B98" s="2" t="s">
        <v>834</v>
      </c>
      <c r="C98" s="2" t="s">
        <v>1202</v>
      </c>
      <c r="D98" s="2" t="s">
        <v>20</v>
      </c>
      <c r="E98" s="2" t="s">
        <v>20</v>
      </c>
      <c r="F98" s="2" t="s">
        <v>20</v>
      </c>
      <c r="G98" s="2" t="s">
        <v>20</v>
      </c>
      <c r="H98" s="2" t="s">
        <v>404</v>
      </c>
      <c r="I98" s="2" t="s">
        <v>252</v>
      </c>
      <c r="J98" s="2" t="s">
        <v>388</v>
      </c>
      <c r="K98" s="2" t="s">
        <v>63</v>
      </c>
      <c r="L98" s="2" t="s">
        <v>25</v>
      </c>
      <c r="M98" s="2" t="s">
        <v>1196</v>
      </c>
      <c r="N98" s="2" t="s">
        <v>137</v>
      </c>
      <c r="O98" s="2" t="s">
        <v>795</v>
      </c>
      <c r="P98" s="2" t="s">
        <v>796</v>
      </c>
    </row>
    <row r="99" customFormat="false" ht="57.45" hidden="false" customHeight="false" outlineLevel="0" collapsed="false">
      <c r="A99" s="2" t="s">
        <v>1203</v>
      </c>
      <c r="B99" s="2" t="s">
        <v>834</v>
      </c>
      <c r="C99" s="2" t="s">
        <v>1204</v>
      </c>
      <c r="D99" s="2" t="s">
        <v>20</v>
      </c>
      <c r="E99" s="2" t="s">
        <v>20</v>
      </c>
      <c r="F99" s="2" t="s">
        <v>20</v>
      </c>
      <c r="G99" s="2" t="s">
        <v>20</v>
      </c>
      <c r="H99" s="2" t="s">
        <v>411</v>
      </c>
      <c r="I99" s="2" t="s">
        <v>252</v>
      </c>
      <c r="J99" s="2" t="s">
        <v>412</v>
      </c>
      <c r="K99" s="2" t="s">
        <v>63</v>
      </c>
      <c r="L99" s="2" t="s">
        <v>413</v>
      </c>
      <c r="M99" s="2" t="s">
        <v>1205</v>
      </c>
      <c r="N99" s="2" t="s">
        <v>137</v>
      </c>
      <c r="O99" s="2" t="s">
        <v>795</v>
      </c>
      <c r="P99" s="2" t="s">
        <v>796</v>
      </c>
    </row>
    <row r="100" customFormat="false" ht="46.25" hidden="false" customHeight="false" outlineLevel="0" collapsed="false">
      <c r="A100" s="2" t="s">
        <v>1206</v>
      </c>
      <c r="B100" s="2" t="s">
        <v>834</v>
      </c>
      <c r="C100" s="2" t="s">
        <v>1207</v>
      </c>
      <c r="D100" s="2" t="s">
        <v>20</v>
      </c>
      <c r="E100" s="2" t="s">
        <v>20</v>
      </c>
      <c r="F100" s="2" t="s">
        <v>20</v>
      </c>
      <c r="G100" s="2" t="s">
        <v>20</v>
      </c>
      <c r="H100" s="2" t="s">
        <v>443</v>
      </c>
      <c r="I100" s="2" t="s">
        <v>252</v>
      </c>
      <c r="J100" s="2" t="s">
        <v>388</v>
      </c>
      <c r="K100" s="2" t="s">
        <v>63</v>
      </c>
      <c r="L100" s="2" t="s">
        <v>444</v>
      </c>
      <c r="M100" s="2" t="s">
        <v>1196</v>
      </c>
      <c r="N100" s="2" t="s">
        <v>137</v>
      </c>
      <c r="O100" s="2" t="s">
        <v>795</v>
      </c>
      <c r="P100" s="2" t="s">
        <v>796</v>
      </c>
    </row>
    <row r="101" customFormat="false" ht="147" hidden="false" customHeight="false" outlineLevel="0" collapsed="false">
      <c r="A101" s="2" t="s">
        <v>1208</v>
      </c>
      <c r="B101" s="2" t="s">
        <v>834</v>
      </c>
      <c r="C101" s="2" t="s">
        <v>1209</v>
      </c>
      <c r="D101" s="2" t="s">
        <v>20</v>
      </c>
      <c r="E101" s="2" t="s">
        <v>20</v>
      </c>
      <c r="F101" s="2" t="s">
        <v>20</v>
      </c>
      <c r="G101" s="2" t="s">
        <v>20</v>
      </c>
      <c r="H101" s="2" t="s">
        <v>629</v>
      </c>
      <c r="I101" s="2" t="s">
        <v>630</v>
      </c>
      <c r="J101" s="2" t="s">
        <v>631</v>
      </c>
      <c r="K101" s="2" t="s">
        <v>63</v>
      </c>
      <c r="L101" s="2" t="s">
        <v>25</v>
      </c>
      <c r="M101" s="2" t="s">
        <v>26</v>
      </c>
      <c r="N101" s="2" t="s">
        <v>137</v>
      </c>
      <c r="O101" s="2" t="s">
        <v>795</v>
      </c>
      <c r="P101" s="2" t="s">
        <v>796</v>
      </c>
    </row>
    <row r="102" customFormat="false" ht="46.25" hidden="false" customHeight="false" outlineLevel="0" collapsed="false">
      <c r="A102" s="2" t="s">
        <v>1210</v>
      </c>
      <c r="B102" s="2" t="s">
        <v>834</v>
      </c>
      <c r="C102" s="2" t="s">
        <v>1211</v>
      </c>
      <c r="D102" s="2" t="s">
        <v>20</v>
      </c>
      <c r="E102" s="2" t="s">
        <v>20</v>
      </c>
      <c r="F102" s="2" t="s">
        <v>20</v>
      </c>
      <c r="G102" s="2" t="s">
        <v>20</v>
      </c>
      <c r="H102" s="2" t="s">
        <v>683</v>
      </c>
      <c r="I102" s="2" t="s">
        <v>684</v>
      </c>
      <c r="J102" s="2" t="s">
        <v>685</v>
      </c>
      <c r="K102" s="2" t="s">
        <v>686</v>
      </c>
      <c r="L102" s="2" t="s">
        <v>25</v>
      </c>
      <c r="M102" s="2" t="s">
        <v>36</v>
      </c>
      <c r="N102" s="2" t="s">
        <v>137</v>
      </c>
      <c r="O102" s="2" t="s">
        <v>795</v>
      </c>
      <c r="P102" s="2" t="s">
        <v>796</v>
      </c>
    </row>
    <row r="103" customFormat="false" ht="46.25" hidden="false" customHeight="false" outlineLevel="0" collapsed="false">
      <c r="A103" s="2" t="s">
        <v>1212</v>
      </c>
      <c r="B103" s="2" t="s">
        <v>834</v>
      </c>
      <c r="C103" s="2" t="s">
        <v>1213</v>
      </c>
      <c r="D103" s="2" t="s">
        <v>20</v>
      </c>
      <c r="E103" s="2" t="s">
        <v>20</v>
      </c>
      <c r="F103" s="2" t="s">
        <v>20</v>
      </c>
      <c r="G103" s="2" t="s">
        <v>20</v>
      </c>
      <c r="H103" s="2" t="s">
        <v>697</v>
      </c>
      <c r="I103" s="2" t="s">
        <v>1214</v>
      </c>
      <c r="J103" s="2" t="s">
        <v>1215</v>
      </c>
      <c r="K103" s="2" t="s">
        <v>90</v>
      </c>
      <c r="L103" s="2" t="s">
        <v>482</v>
      </c>
      <c r="M103" s="2" t="s">
        <v>1216</v>
      </c>
      <c r="N103" s="2" t="s">
        <v>137</v>
      </c>
      <c r="O103" s="2" t="s">
        <v>795</v>
      </c>
      <c r="P103" s="2" t="s">
        <v>796</v>
      </c>
    </row>
    <row r="104" customFormat="false" ht="46.25" hidden="false" customHeight="false" outlineLevel="0" collapsed="false">
      <c r="A104" s="2" t="s">
        <v>1217</v>
      </c>
      <c r="B104" s="2" t="s">
        <v>834</v>
      </c>
      <c r="C104" s="2" t="s">
        <v>820</v>
      </c>
      <c r="D104" s="2" t="s">
        <v>20</v>
      </c>
      <c r="E104" s="2" t="s">
        <v>20</v>
      </c>
      <c r="F104" s="2" t="s">
        <v>20</v>
      </c>
      <c r="G104" s="2" t="s">
        <v>20</v>
      </c>
      <c r="H104" s="2" t="s">
        <v>821</v>
      </c>
      <c r="I104" s="2" t="s">
        <v>684</v>
      </c>
      <c r="J104" s="2" t="s">
        <v>822</v>
      </c>
      <c r="K104" s="2" t="s">
        <v>686</v>
      </c>
      <c r="L104" s="2" t="s">
        <v>25</v>
      </c>
      <c r="M104" s="2" t="s">
        <v>36</v>
      </c>
      <c r="N104" s="2" t="s">
        <v>137</v>
      </c>
      <c r="O104" s="2" t="s">
        <v>795</v>
      </c>
      <c r="P104" s="2" t="s">
        <v>796</v>
      </c>
    </row>
  </sheetData>
  <autoFilter ref="A1:P1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80"/>
    <col collapsed="false" customWidth="true" hidden="false" outlineLevel="0" max="4" min="4" style="0" width="50"/>
  </cols>
  <sheetData>
    <row r="1" customFormat="false" ht="23.85" hidden="false" customHeight="false" outlineLevel="0" collapsed="false">
      <c r="A1" s="1" t="s">
        <v>1218</v>
      </c>
      <c r="B1" s="1" t="s">
        <v>1219</v>
      </c>
      <c r="C1" s="1" t="s">
        <v>1220</v>
      </c>
      <c r="D1" s="1" t="s">
        <v>1221</v>
      </c>
    </row>
    <row r="2" customFormat="false" ht="23.85" hidden="false" customHeight="false" outlineLevel="0" collapsed="false">
      <c r="A2" s="2" t="s">
        <v>1222</v>
      </c>
      <c r="B2" s="2" t="s">
        <v>1223</v>
      </c>
      <c r="C2" s="2" t="s">
        <v>1224</v>
      </c>
      <c r="D2" s="2" t="s">
        <v>1225</v>
      </c>
    </row>
    <row r="3" customFormat="false" ht="23.85" hidden="false" customHeight="false" outlineLevel="0" collapsed="false">
      <c r="A3" s="2" t="s">
        <v>1226</v>
      </c>
      <c r="B3" s="2" t="s">
        <v>1227</v>
      </c>
      <c r="C3" s="2" t="s">
        <v>1228</v>
      </c>
      <c r="D3" s="2" t="s">
        <v>1229</v>
      </c>
    </row>
    <row r="4" customFormat="false" ht="23.85" hidden="false" customHeight="false" outlineLevel="0" collapsed="false">
      <c r="A4" s="2" t="s">
        <v>1230</v>
      </c>
      <c r="B4" s="2" t="s">
        <v>1227</v>
      </c>
      <c r="C4" s="2" t="s">
        <v>1231</v>
      </c>
      <c r="D4" s="2" t="s">
        <v>1232</v>
      </c>
    </row>
    <row r="5" customFormat="false" ht="23.85" hidden="false" customHeight="false" outlineLevel="0" collapsed="false">
      <c r="A5" s="2" t="s">
        <v>1233</v>
      </c>
      <c r="B5" s="2" t="s">
        <v>1234</v>
      </c>
      <c r="C5" s="2" t="s">
        <v>1235</v>
      </c>
      <c r="D5" s="2" t="s">
        <v>1236</v>
      </c>
    </row>
    <row r="6" customFormat="false" ht="23.85" hidden="false" customHeight="false" outlineLevel="0" collapsed="false">
      <c r="A6" s="2" t="s">
        <v>1237</v>
      </c>
      <c r="B6" s="2" t="s">
        <v>1227</v>
      </c>
      <c r="C6" s="2" t="s">
        <v>1238</v>
      </c>
      <c r="D6" s="2" t="s">
        <v>1239</v>
      </c>
    </row>
    <row r="7" customFormat="false" ht="46.25" hidden="false" customHeight="false" outlineLevel="0" collapsed="false">
      <c r="A7" s="2" t="s">
        <v>1240</v>
      </c>
      <c r="B7" s="2" t="s">
        <v>1227</v>
      </c>
      <c r="C7" s="2" t="s">
        <v>1241</v>
      </c>
      <c r="D7" s="2" t="s">
        <v>1242</v>
      </c>
    </row>
    <row r="8" customFormat="false" ht="23.85" hidden="false" customHeight="false" outlineLevel="0" collapsed="false">
      <c r="A8" s="2" t="s">
        <v>1243</v>
      </c>
      <c r="B8" s="2" t="s">
        <v>1244</v>
      </c>
      <c r="C8" s="2" t="s">
        <v>1245</v>
      </c>
      <c r="D8" s="2" t="s">
        <v>1246</v>
      </c>
    </row>
    <row r="9" customFormat="false" ht="35.05" hidden="false" customHeight="false" outlineLevel="0" collapsed="false">
      <c r="A9" s="2" t="s">
        <v>1247</v>
      </c>
      <c r="B9" s="2" t="s">
        <v>1244</v>
      </c>
      <c r="C9" s="2" t="s">
        <v>1248</v>
      </c>
      <c r="D9" s="2" t="s">
        <v>1249</v>
      </c>
    </row>
    <row r="10" customFormat="false" ht="35.05" hidden="false" customHeight="false" outlineLevel="0" collapsed="false">
      <c r="A10" s="2" t="s">
        <v>1250</v>
      </c>
      <c r="B10" s="2" t="s">
        <v>1227</v>
      </c>
      <c r="C10" s="2" t="s">
        <v>1251</v>
      </c>
      <c r="D10" s="2" t="s">
        <v>1252</v>
      </c>
    </row>
    <row r="11" customFormat="false" ht="23.85" hidden="false" customHeight="false" outlineLevel="0" collapsed="false">
      <c r="A11" s="2" t="s">
        <v>1253</v>
      </c>
      <c r="B11" s="2" t="s">
        <v>1223</v>
      </c>
      <c r="C11" s="2" t="s">
        <v>1254</v>
      </c>
      <c r="D11" s="2" t="s">
        <v>1255</v>
      </c>
    </row>
    <row r="12" customFormat="false" ht="35.05" hidden="false" customHeight="false" outlineLevel="0" collapsed="false">
      <c r="A12" s="2" t="s">
        <v>1256</v>
      </c>
      <c r="B12" s="2" t="s">
        <v>1223</v>
      </c>
      <c r="C12" s="2" t="s">
        <v>1257</v>
      </c>
      <c r="D12" s="2" t="s">
        <v>1258</v>
      </c>
    </row>
  </sheetData>
  <autoFilter ref="A1:D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8"/>
    <col collapsed="false" customWidth="true" hidden="false" outlineLevel="0" max="3" min="3" style="0" width="30"/>
  </cols>
  <sheetData>
    <row r="1" customFormat="false" ht="15" hidden="false" customHeight="false" outlineLevel="0" collapsed="false">
      <c r="A1" s="1" t="s">
        <v>1259</v>
      </c>
      <c r="B1" s="1" t="s">
        <v>1260</v>
      </c>
      <c r="C1" s="1" t="s">
        <v>1261</v>
      </c>
    </row>
    <row r="2" customFormat="false" ht="15" hidden="false" customHeight="false" outlineLevel="0" collapsed="false">
      <c r="A2" s="2" t="s">
        <v>1262</v>
      </c>
      <c r="B2" s="2" t="n">
        <f aca="false">COUNTA('Submittal Register'!A:A)-1</f>
        <v>145</v>
      </c>
      <c r="C2" s="2" t="n">
        <f aca="false">COUNTA('Inspection &amp; Test Plan'!A:A)-1</f>
        <v>103</v>
      </c>
    </row>
    <row r="3" customFormat="false" ht="15" hidden="false" customHeight="false" outlineLevel="0" collapsed="false">
      <c r="A3" s="2" t="s">
        <v>1263</v>
      </c>
      <c r="B3" s="2" t="n">
        <f aca="false">COUNTIF('Submittal Register'!A:A,"*-00")</f>
        <v>6</v>
      </c>
      <c r="C3" s="2" t="n">
        <f aca="false">COUNTIF('Inspection &amp; Test Plan'!A:A,"*-00")</f>
        <v>11</v>
      </c>
    </row>
    <row r="4" customFormat="false" ht="15" hidden="false" customHeight="false" outlineLevel="0" collapsed="false">
      <c r="A4" s="2" t="s">
        <v>1264</v>
      </c>
      <c r="B4" s="2" t="n">
        <f aca="false">COUNTIF('Submittal Register'!E:E,"Not stated")</f>
        <v>129</v>
      </c>
      <c r="C4" s="2" t="n">
        <f aca="false">COUNTIF('Inspection &amp; Test Plan'!E:E,"Not stated")</f>
        <v>88</v>
      </c>
    </row>
    <row r="5" customFormat="false" ht="15" hidden="false" customHeight="false" outlineLevel="0" collapsed="false">
      <c r="A5" s="2" t="s">
        <v>1265</v>
      </c>
      <c r="B5" s="2" t="n">
        <f aca="false">COUNTIF('Submittal Register'!F:F,"Not stated")</f>
        <v>6</v>
      </c>
      <c r="C5" s="2" t="n">
        <f aca="false">COUNTIF('Inspection &amp; Test Plan'!F:F,"Not stated")</f>
        <v>81</v>
      </c>
    </row>
    <row r="6" customFormat="false" ht="15" hidden="false" customHeight="false" outlineLevel="0" collapsed="false">
      <c r="A6" s="2" t="s">
        <v>1266</v>
      </c>
      <c r="B6" s="2" t="n">
        <f aca="false">COUNTIF('Submittal Register'!J:J,"None linked")</f>
        <v>20</v>
      </c>
      <c r="C6" s="2" t="n">
        <f aca="false">COUNTIF('Inspection &amp; Test Plan'!J:J,"None linked")</f>
        <v>9</v>
      </c>
    </row>
    <row r="7" customFormat="false" ht="15" hidden="false" customHeight="false" outlineLevel="0" collapsed="false">
      <c r="A7" s="2" t="s">
        <v>1267</v>
      </c>
      <c r="B7" s="2" t="n">
        <f aca="false">COUNTIF('Submittal Register'!N:N,"Verified")</f>
        <v>15</v>
      </c>
      <c r="C7" s="2" t="n">
        <f aca="false">COUNTIF('Inspection &amp; Test Plan'!N:N,"Verified")</f>
        <v>7</v>
      </c>
    </row>
    <row r="8" customFormat="false" ht="15" hidden="false" customHeight="false" outlineLevel="0" collapsed="false">
      <c r="A8" s="2" t="s">
        <v>1268</v>
      </c>
      <c r="B8" s="2" t="n">
        <f aca="false">COUNTIF('Submittal Register'!N:N,"Verified-Visual")</f>
        <v>4</v>
      </c>
      <c r="C8" s="2" t="n">
        <f aca="false">COUNTIF('Inspection &amp; Test Plan'!N:N,"Verified-Visual")</f>
        <v>1</v>
      </c>
    </row>
    <row r="9" customFormat="false" ht="15" hidden="false" customHeight="false" outlineLevel="0" collapsed="false">
      <c r="A9" s="2" t="s">
        <v>1269</v>
      </c>
      <c r="B9" s="2" t="n">
        <f aca="false">COUNTIF('Submittal Register'!N:N,"Inferred")</f>
        <v>116</v>
      </c>
      <c r="C9" s="2" t="n">
        <f aca="false">COUNTIF('Inspection &amp; Test Plan'!N:N,"Inferred")</f>
        <v>82</v>
      </c>
    </row>
    <row r="10" customFormat="false" ht="15" hidden="false" customHeight="false" outlineLevel="0" collapsed="false">
      <c r="A10" s="2" t="s">
        <v>1270</v>
      </c>
      <c r="B10" s="2" t="n">
        <f aca="false">COUNTIF('Submittal Register'!N:N,"Unresolved")</f>
        <v>10</v>
      </c>
      <c r="C10" s="2" t="n">
        <f aca="false">COUNTIF('Inspection &amp; Test Plan'!N:N,"Unresolved")</f>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2026-09-30T14:54:06Z</dcterms:created>
  <dc:creator>openpyxl</dc:creator>
  <dc:description/>
  <dc:language>en-US</dc:language>
  <cp:lastModifiedBy/>
  <dcterms:modified xsi:type="dcterms:W3CDTF">2026-09-30T14:54:06Z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