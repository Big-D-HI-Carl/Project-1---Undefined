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C Requirements" sheetId="1" state="visible" r:id="rId3"/>
    <sheet name="ITP Line Map" sheetId="2" state="visible" r:id="rId4"/>
  </sheets>
  <definedNames>
    <definedName function="false" hidden="true" localSheetId="1" name="_xlnm._FilterDatabase" vbProcedure="false">'ITP Line Map'!$A$1:$F$104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<sst xmlns="http://schemas.openxmlformats.org/spreadsheetml/2006/main" count="480" uniqueCount="320">
  <si>
    <t xml:space="preserve">Eastsound WWTP Upgrade Phase I — QC Requirements (one page)</t>
  </si>
  <si>
    <t xml:space="preserve">One row per QC log the field keeps, rolled up from the Inspection &amp; Test Plan lines. Values are quoted from the cited paragraphs through the Project Wiki; line-by-line test values (by pipe or structure) stay in the ITP by design. Who pays follows 01 45 00 ¶1.05.B. The QA plan is informational, not a Contract Document.</t>
  </si>
  <si>
    <t xml:space="preserve">#</t>
  </si>
  <si>
    <t xml:space="preserve">QC log</t>
  </si>
  <si>
    <t xml:space="preserve">CWPs</t>
  </si>
  <si>
    <t xml:space="preserve">What to record</t>
  </si>
  <si>
    <t xml:space="preserve">When / how often</t>
  </si>
  <si>
    <t xml:space="preserve">Acceptance criteria (as stated)</t>
  </si>
  <si>
    <t xml:space="preserve">Performed / paid by</t>
  </si>
  <si>
    <t xml:space="preserve">Witness / notice</t>
  </si>
  <si>
    <t xml:space="preserve">Governing sections</t>
  </si>
  <si>
    <t xml:space="preserve">ITP lines, primary + also (formula)</t>
  </si>
  <si>
    <t xml:space="preserve">Tracker step</t>
  </si>
  <si>
    <t xml:space="preserve">Tag</t>
  </si>
  <si>
    <t xml:space="preserve">Gaps / notes</t>
  </si>
  <si>
    <t xml:space="preserve">Inspection notice &amp; hold-point log</t>
  </si>
  <si>
    <t xml:space="preserve">All</t>
  </si>
  <si>
    <t xml:space="preserve">Date and time notice sent; who was notified (Engineer, Owner, County, special inspector); work and location; inspection or test; result; re-inspection.</t>
  </si>
  <si>
    <t xml:space="preserve">Before every inspection, witnessed test, shutdown or tie-in.</t>
  </si>
  <si>
    <t xml:space="preserve">Notice: 48 h before work needing inspection (01 45 00); 48 h for witnessed pipe tests (33 30 00 ¶3.04); 24 h for dewatering discharge tests (31 23 19); 1 week to the Engineer for VFD start-up (26 29 23 ¶3.03); start-up procedures 14 days ahead (01 70 00 ¶1.06). Plant disruptions limited to 1 hour (Appendix F §5.1–5.2). Removals and tie-ins only after the replacement is tested (C0.5, C3.1).</t>
  </si>
  <si>
    <t xml:space="preserve">Contractor gives notice. Inspection beyond 40 hr/week is charged at $150/hr (00 73 00 SC 7–14).</t>
  </si>
  <si>
    <t xml:space="preserve">Engineer; Owner; County — footings, concrete structures, electrical, final (G0.3); special inspector (S1.1).</t>
  </si>
  <si>
    <t xml:space="preserve">01 45 00 ¶1.05; 33 30 00 ¶3.04; 31 23 19 ¶3.2; 26 29 23 ¶3.03; 01 70 00 ¶1.06; 00 73 00 SC 7–14; G0.3; C0.5; C3.1; Appendix F §5</t>
  </si>
  <si>
    <t xml:space="preserve">All steps with a witness</t>
  </si>
  <si>
    <t xml:space="preserve">Verified</t>
  </si>
  <si>
    <t xml:space="preserve">Requirements_Schema.csv has no hold/witness column (Issues Log). Appendix F is not a Contract Document.</t>
  </si>
  <si>
    <t xml:space="preserve">Test report &amp; retest register</t>
  </si>
  <si>
    <t xml:space="preserve">Test; laboratory; sample and location; date; result; pass or fail; report copies sent; failure, retest and who pays.</t>
  </si>
  <si>
    <t xml:space="preserve">Every test; reports as issued.</t>
  </si>
  <si>
    <t xml:space="preserve">Owner-approved laboratories only. Test reports in 3 copies, product certificates in triplicate (01 33 00 ¶1.04–1.05). The Contractor keeps records of all inspections and tests and pays for repeat tests after any failure, including Owner-responsibility tests (01 45 00 ¶1.05.A–E, ¶1.06.C).</t>
  </si>
  <si>
    <t xml:space="preserve">Split per 01 45 00 ¶1.05.B: Contractor pays pipe pressure, potable disinfection, equipment, clean-water leakage and mechanical tests; Owner pays special inspections, earthwork, concrete, asphalt, coatings and field welding.</t>
  </si>
  <si>
    <t xml:space="preserve">—</t>
  </si>
  <si>
    <t xml:space="preserve">01 45 00 ¶1.05.A–E, ¶1.06.C; 01 33 00 ¶1.04–1.05</t>
  </si>
  <si>
    <t xml:space="preserve">Tested / inspected</t>
  </si>
  <si>
    <t xml:space="preserve">No non-conformance procedure beyond retests is specified.</t>
  </si>
  <si>
    <t xml:space="preserve">Material receiving inspection log</t>
  </si>
  <si>
    <t xml:space="preserve">Item or tag; delivery date; condition; labels and original containers; certificates received; storage; shortages or damage.</t>
  </si>
  <si>
    <t xml:space="preserve">Each delivery.</t>
  </si>
  <si>
    <t xml:space="preserve">Products arrive in labeled original containers, are inspected on delivery, are accepted only when unloading forces are on site, and are stored per the manufacturer (01 60 00 ¶1.04–1.05). Product certificates in triplicate (01 33 00).</t>
  </si>
  <si>
    <t xml:space="preserve">Contractor.</t>
  </si>
  <si>
    <t xml:space="preserve">01 60 00 ¶1.04–1.05; 01 33 00 ¶1.05</t>
  </si>
  <si>
    <t xml:space="preserve">On site / ready</t>
  </si>
  <si>
    <t xml:space="preserve">Survey &amp; layout verification log</t>
  </si>
  <si>
    <t xml:space="preserve">03; site</t>
  </si>
  <si>
    <t xml:space="preserve">Control used; layout checked; anchor bolt positions against tolerance; monuments disturbed and replaced.</t>
  </si>
  <si>
    <t xml:space="preserve">Before placements; anchor bolts before concrete; monuments as disturbed.</t>
  </si>
  <si>
    <t xml:space="preserve">Anchor bolts to AISC 303-16 §7.5 tolerances, set by a registered land surveyor (03 30 00 ¶3.012 A). Disturbed survey monuments need a WA DNR permit (WAC 332-120) and replacement by a registered land surveyor at Contractor cost (G0.3).</t>
  </si>
  <si>
    <t xml:space="preserve">03 30 00 ¶3.012 A; G0.3; 00 73 00 SC 7–14</t>
  </si>
  <si>
    <t xml:space="preserve">Installed / removed</t>
  </si>
  <si>
    <t xml:space="preserve">Unresolved</t>
  </si>
  <si>
    <t xml:space="preserve">Who stakes the work conflicts: 00 73 00 SC 7–14 says the Contractor; G0.3 Note 9 says the Engineer (Civil &amp; Site CS-32).</t>
  </si>
  <si>
    <t xml:space="preserve">Soils &amp; compaction test log</t>
  </si>
  <si>
    <t xml:space="preserve">31; 33; 03; 32</t>
  </si>
  <si>
    <t xml:space="preserve">Location or station; lift; material; proctor (MDD, optimum moisture); field density %; pass or fail; retests; imported-material gradations.</t>
  </si>
  <si>
    <t xml:space="preserve">One test per 100 LF of roadway, 1,000 SF of subgrade, 500 CY of structural backfill (31 20 00 ¶1.03); retaining wall foundation soils before the leveling pad (32 32 23 ¶3.01).</t>
  </si>
  <si>
    <t xml:space="preserve">Structural fill 95% MDD (ASTM D1557) in 10-in loose lifts (31 20 00 ¶3.03). Pipe bedding 90% MDD in 6-in lifts; trench backfill 95% under paving or within 5 ft of roadway, 90% in landscaped areas (31 23 33 ¶3.03–3.04).</t>
  </si>
  <si>
    <t xml:space="preserve">Owner — the Engineer's independent lab (01 45 00 ¶1.05.B.2). Contractor pays retests and submits gradations and proctors for imported material (31 20 00 ¶1.02; 31 23 33 ¶1.05 C).</t>
  </si>
  <si>
    <t xml:space="preserve">Engineer's laboratory.</t>
  </si>
  <si>
    <t xml:space="preserve">31 20 00 ¶1.02–1.03, ¶3.03; 31 23 33 ¶3.03–3.04; 32 32 23 ¶3.01; 01 45 00; QA plan §7</t>
  </si>
  <si>
    <t xml:space="preserve">Bedding and backfill values conflict with C7.4 (Civil &amp; Site Issues).</t>
  </si>
  <si>
    <t xml:space="preserve">Concrete placement &amp; testing log</t>
  </si>
  <si>
    <t xml:space="preserve">03</t>
  </si>
  <si>
    <t xml:space="preserve">Placement and location; mix; tickets; slump, air, temperature; cylinder sets and breaks; reinforcing and subgrade sign-off; curing.</t>
  </si>
  <si>
    <t xml:space="preserve">Slump, air and temperature on each initial load; 4 cylinders per mix per day or per 150 CY, whichever is less (QA plan §7).</t>
  </si>
  <si>
    <t xml:space="preserve">Per 03 30 00 — strength and slump limits are not carried in the Wiki note.</t>
  </si>
  <si>
    <t xml:space="preserve">Owner provides independent testing and inspection: subgrade compaction and moisture, reinforcing placement, concrete placement and cylinders (03 30 00 ¶1.07 B). Contractor coordinates.</t>
  </si>
  <si>
    <t xml:space="preserve">Special inspector (S1.1).</t>
  </si>
  <si>
    <t xml:space="preserve">03 30 00 ¶1.07 B; 01 45 00 ¶1.05.B.2; S1.1; QA plan §7 (informational)</t>
  </si>
  <si>
    <t xml:space="preserve">Acceptance values not captured in the Wiki; the QA plan frequencies are not a Contract Document.</t>
  </si>
  <si>
    <t xml:space="preserve">Precast structure receiving &amp; inspection log</t>
  </si>
  <si>
    <t xml:space="preserve">Structure; supplier certification; mix design and material certificates; sealed shop drawings approved; plant inspection if made; delivery condition; exterior joint sealant.</t>
  </si>
  <si>
    <t xml:space="preserve">Mix designs 15 days ahead; at delivery; joints at setting.</t>
  </si>
  <si>
    <t xml:space="preserve">WA-engineer-sealed shop drawings and calculations; material certificates; 5 years of NPCA certification; Owner and Engineer may inspect the plant (03 40 00 ¶1.06–1.07). Exterior sealant at precast wet well and vault joints per Add. 4 Clarification 2 (Add. 4 governs).</t>
  </si>
  <si>
    <t xml:space="preserve">Contractor; Owner / Engineer plant inspection optional.</t>
  </si>
  <si>
    <t xml:space="preserve">03 40 00 ¶1.01, ¶1.06–1.07; Add. 4 p.1 Clarification 2</t>
  </si>
  <si>
    <t xml:space="preserve">Special inspection log (structural)</t>
  </si>
  <si>
    <t xml:space="preserve">03; 05; 13</t>
  </si>
  <si>
    <t xml:space="preserve">Item; inspection type per the S1.1 schedule; inspector; date; result; deficiencies closed.</t>
  </si>
  <si>
    <t xml:space="preserve">Per the S1.1 special inspection schedule.</t>
  </si>
  <si>
    <t xml:space="preserve">Structural steel to AISC 303-16 with A325 bolts and E70XX welds, exterior steel hot-dip galvanized; schedule covers steel, concrete, post-installed anchors, and soils and foundations (S1.1). The Add. 4 dowels into the existing foundation need no special inspection (S2.3, Add. 4 p.9).</t>
  </si>
  <si>
    <t xml:space="preserve">Owner — building special inspections for concrete and structural steel, air barrier testing (WA Energy Code 402), field welding (01 45 00 ¶1.05.B.2). Contractor coordinates.</t>
  </si>
  <si>
    <t xml:space="preserve">Special inspector.</t>
  </si>
  <si>
    <t xml:space="preserve">S1.1; S2.3 (Add. 4 p.9); 01 45 00 ¶1.05.B.2</t>
  </si>
  <si>
    <t xml:space="preserve">Verified-Visual</t>
  </si>
  <si>
    <t xml:space="preserve">Continuous vs periodic frequencies and acceptance per inspection type are not in the Wiki note.</t>
  </si>
  <si>
    <t xml:space="preserve">Pipe pressure &amp; leakage test log</t>
  </si>
  <si>
    <t xml:space="preserve">33; 22; 43; 46</t>
  </si>
  <si>
    <t xml:space="preserve">Line or segment; medium; test pressure; duration; gauge and calibration; pressure loss or leakage; witness; result. HDPE fusion data logs and destructive tests. Tracer wire locate test.</t>
  </si>
  <si>
    <t xml:space="preserve">After installation, before backfill or tie-in as the section requires; witnessed with 48-hour notice.</t>
  </si>
  <si>
    <t xml:space="preserve">Force mains at 1.5 × operating or 150 psi for 15 min; mixed liquor and West Plant Drain Pump Station force mains 150 psi; 2W and 3W piping 200 psi; HDPE per ASTM F2164 and PPI TN-802; valves tested with their pipelines (33 30 00 ¶3.04; 33 33 00 ¶3.04; 45 05 00 ¶3.02). Hydrants: 200 psi hydrostatic plus a flow test (33 32 00). Aeration air header: 15 psi, 60-minute low-pressure air test (46 53 00 ¶2.01 D–E). HDPE joints all visually inspected and data-logged; 3 joints or 3%, whichever is greater, destructively tested (33 33 00 ¶3.03). Tracer wire conductivity / locate test on completion (C7.1 Det. 6).</t>
  </si>
  <si>
    <t xml:space="preserve">Contractor (01 45 00 ¶1.05.B.1); Inspector present for all pipe testing (QA plan §7).</t>
  </si>
  <si>
    <t xml:space="preserve">Inspector / Engineer; 48-hour notice.</t>
  </si>
  <si>
    <t xml:space="preserve">33 30 00 ¶3.04; 33 32 00; 33 33 00 ¶3.03–3.04; 45 05 00 ¶3.02; 46 53 00 ¶2.01 D–E; C7.1</t>
  </si>
  <si>
    <t xml:space="preserve">Gravity storm/sewer and water-line methods defer to WSDOT 4-04.3(1), 7-17.3(2), 7-09.3(23) — external reference, not staged. Values by line stay in the ITP.</t>
  </si>
  <si>
    <t xml:space="preserve">Water line disinfection &amp; bacteriological log</t>
  </si>
  <si>
    <t xml:space="preserve">33</t>
  </si>
  <si>
    <t xml:space="preserve">Line; chlorination date; initial chlorine; 24-hour residual; flushing; sample IDs; DOH-lab results.</t>
  </si>
  <si>
    <t xml:space="preserve">After the pressure test, before service.</t>
  </si>
  <si>
    <t xml:space="preserve">Chlorine 50 mg/L initial and 25 mg/L at 24 hours; bacteriological reports from a DOH lab (33 30 00 ¶3.04.7, 9). Water main work per 33 32 00 ¶3.05–3.06; only Association staff operate existing isolation valves.</t>
  </si>
  <si>
    <t xml:space="preserve">Contractor (01 45 00 ¶1.05.B.1).</t>
  </si>
  <si>
    <t xml:space="preserve">DOH-certified laboratory.</t>
  </si>
  <si>
    <t xml:space="preserve">33 30 00 ¶3.04; 33 32 00 ¶3.05–3.06</t>
  </si>
  <si>
    <t xml:space="preserve">WSDOT 7-09.3(23) method not staged.</t>
  </si>
  <si>
    <t xml:space="preserve">Structure clean-water leakage test log</t>
  </si>
  <si>
    <t xml:space="preserve">03; 46; 43; 22</t>
  </si>
  <si>
    <t xml:space="preserve">Structure; fill date and time; level at the rim; 2-hour readings; visible leakage; repairs; retest.</t>
  </si>
  <si>
    <t xml:space="preserve">Before start-up of each structure.</t>
  </si>
  <si>
    <t xml:space="preserve">Filled to the rim, held 2 hours, no visible leakage (01 45 00 ¶1.09). Structures: influent pump station, flow splitter, UV channels 1 and 2, aerobic digester, Train 3 aeration and anoxic basins and clarifier, 2W pump station wet well (01 45 00; 01 50 00 ¶1.04.C).</t>
  </si>
  <si>
    <t xml:space="preserve">Not stated.</t>
  </si>
  <si>
    <t xml:space="preserve">01 45 00 ¶1.09; 01 50 00 ¶1.04.C; Appendix F §6.0</t>
  </si>
  <si>
    <t xml:space="preserve">The two structure lists name the structures differently (Contract &amp; General Issues 1.22).</t>
  </si>
  <si>
    <t xml:space="preserve">Equipment testing, start-up &amp; training log</t>
  </si>
  <si>
    <t xml:space="preserve">22; 23; 40; 41; 43; 46; 10</t>
  </si>
  <si>
    <t xml:space="preserve">Tag; factory test certificate; manufacturer installation certification; motor amps and rotation; controls check; functional / performance test; clean-water mechanical tests; start-up sign-off; training hours and attendees; O&amp;M manual reviewed.</t>
  </si>
  <si>
    <t xml:space="preserve">Factory tests before shipment; procedures 14 days before start-up; start-up witnessed; training before Substantial Completion.</t>
  </si>
  <si>
    <t xml:space="preserve">Blowers slip tested and run 30 min at maximum speed and differential; each package runs 15 min before shipment with a conformance certificate (43 11 00 ¶2.01 L–N). Influent pumps: certified factory performance tests to Hydraulic Institute standards and a factory operational test of the station (22 13 29 ¶1.04). Train 3: witnessed Functional Acceptance Test (46 53 00 ¶3.03). UV: 2 days start-up and field testing, 1 day training (46 66 00 ¶3.02). Supplier start-up and training minimums per 01 91 00 ¶1.01.B. All equipment tested before any facility operates, Engineer witness, joint sign-off (01 70 00 ¶1.06).</t>
  </si>
  <si>
    <t xml:space="preserve">Contractor pays equipment and clean-water mechanical testing (01 45 00 ¶1.05.B.1); manufacturers' representatives perform.</t>
  </si>
  <si>
    <t xml:space="preserve">Engineer (01 70 00 ¶1.06; QA plan §7).</t>
  </si>
  <si>
    <t xml:space="preserve">01 70 00 ¶1.06; 01 91 00; 43 11 00; 22 13 29; 22 13 36; 46 41 23; 46 53 00; 46 66 00; 46 66 10; 46 76 26; 10 73 05</t>
  </si>
  <si>
    <t xml:space="preserve">46 76 26 has no field start-up paragraph (Process &amp; Mechanical Issue 37); 01 91 00 gives the press 1 or 2 days (Contract &amp; General Issues 1.21).</t>
  </si>
  <si>
    <t xml:space="preserve">Electrical testing &amp; energization log (incl. generators)</t>
  </si>
  <si>
    <t xml:space="preserve">26</t>
  </si>
  <si>
    <t xml:space="preserve">Equipment or circuit; test; instrument; reading; pass or fail; date; witness. Generator load bank steps and transfer tests.</t>
  </si>
  <si>
    <t xml:space="preserve">Before energization; MCC shop test before shipment; VFD start-up with 1-week notice; generators at commissioning.</t>
  </si>
  <si>
    <t xml:space="preserve">Insulation resistance at 1,000 VDC for 30 s, 1 megohm minimum at 20 °C; continuity; thermal imaging of all power terminations; ground resistance 25 ohms per rod (three-rod method), 15 ohms composite (26 05 19 ¶3.07). Panelboard phase balance within 20% and torque checks (26 24 16). MCC shop-tested with the control system at rated voltage, every I/O point (26 24 19 ¶3.02). VFDs tested under motor load with simulated overload and 100% parameter verification, on utility and standby power (26 29 23). ATS factory dielectric test (NEMA ICS 1) and manufacturer field tests (26 36 00). Generator: resistive load bank at full load for at least 2 hours (NFPA 110), full fuel tank at final commissioning, 4 hours of training (26 32 13 ¶3.06–3.09). Temporary generator: connection and automatic load transfer test, 60 dBA or lower at full load (Add. 4 Clarification 5 — Add. 4 governs).</t>
  </si>
  <si>
    <t xml:space="preserve">Contractor; manufacturers' representatives for ATS and VFDs.</t>
  </si>
  <si>
    <t xml:space="preserve">Engineer (1-week notice for VFD start-up).</t>
  </si>
  <si>
    <t xml:space="preserve">26 05 00 ¶3.04; 26 05 19 ¶3.07; 26 24 16; 26 24 19 ¶3.02; 26 29 23; 26 32 13 ¶3.06–3.09; 26 36 00; 26 51 19; Add. 4 Clarification 5</t>
  </si>
  <si>
    <t xml:space="preserve">Controls &amp; SCADA test log (factory and site acceptance)</t>
  </si>
  <si>
    <t xml:space="preserve">I/O and loop checks; factory simulation; field acceptance test; alarm and float tests; programming changes; operator training.</t>
  </si>
  <si>
    <t xml:space="preserve">Factory simulation before shipment; field acceptance test before start-up.</t>
  </si>
  <si>
    <t xml:space="preserve">Factory simulation witnessed by the Engineer and Owner before shipment; field acceptance test and operator training by the system integrator, then programming, start-up and commissioning (26 80 00). Float test buttons and hardwired high-level backup circuits checked (E8.1, E8.3).</t>
  </si>
  <si>
    <t xml:space="preserve">Contractor through the system integrator; equipment suppliers commission packaged controls (26 80 00).</t>
  </si>
  <si>
    <t xml:space="preserve">Engineer and Owner (factory simulation).</t>
  </si>
  <si>
    <t xml:space="preserve">26 80 00; E8.1; E8.3; E9.2</t>
  </si>
  <si>
    <t xml:space="preserve">Coatings inspection log</t>
  </si>
  <si>
    <t xml:space="preserve">09</t>
  </si>
  <si>
    <t xml:space="preserve">Surface preparation; ambient conditions; wet and dry film thickness; holiday test; adhesion pulls; repairs.</t>
  </si>
  <si>
    <t xml:space="preserve">Each coat and test area.</t>
  </si>
  <si>
    <t xml:space="preserve">Wet-film readings (ASTM D4414); optional ultrasonic dry-film checks (SSPC-PA 9); holiday testing at 100 V/mil (NACE RP0188 or ASTM D4787); pull-off adhesion (ASTM D7234) with 2 of 3 pulls over 200 psi per test area; all documented to the Owner (09 97 23 ¶3.06).</t>
  </si>
  <si>
    <t xml:space="preserve">Owner-paid coatings inspection (01 45 00 ¶1.05.B.2).</t>
  </si>
  <si>
    <t xml:space="preserve">09 97 23 ¶3.06; 01 45 00</t>
  </si>
  <si>
    <t xml:space="preserve">Asphalt paving QC log</t>
  </si>
  <si>
    <t xml:space="preserve">32</t>
  </si>
  <si>
    <t xml:space="preserve">Mix; asphalt content; gradation; voids; fracture; sand equivalent; in-place density; Rice density.</t>
  </si>
  <si>
    <t xml:space="preserve">During paving (frequency not stated).</t>
  </si>
  <si>
    <t xml:space="preserve">Contractor QC testing (asphalt content, gradation, voids, fracture, equivalence, in-place density) "with Section 01400", which is not in the manual (32 12 16 ¶3.05). Owner-paid asphalt testing: Rice density, compaction, extraction and gradation (01 45 00 ¶1.05.B.2).</t>
  </si>
  <si>
    <t xml:space="preserve">Contractor QC plus Owner QA.</t>
  </si>
  <si>
    <t xml:space="preserve">32 12 16 ¶3.05; 01 45 00</t>
  </si>
  <si>
    <t xml:space="preserve">"Section 01400" is cited but not in the project manual.</t>
  </si>
  <si>
    <t xml:space="preserve">Dewatering &amp; erosion control monitoring log</t>
  </si>
  <si>
    <t xml:space="preserve">31</t>
  </si>
  <si>
    <t xml:space="preserve">Dewatering discharge sand content; settlement point readings; BMP inspections, deficiencies, corrective actions, street sweeping.</t>
  </si>
  <si>
    <t xml:space="preserve">Discharge tests with 24-hour notice; settlement points near critical structures; BMPs periodically and after any impairment.</t>
  </si>
  <si>
    <t xml:space="preserve">Discharge no more than 10 ppm silica by Rossum sand tester (31 23 19 ¶3.2–3.3). BMP impairments corrected immediately; streets swept if soil migrates (31 32 11 ¶3.03).</t>
  </si>
  <si>
    <t xml:space="preserve">Contractor; the Owner joins BMP inspections.</t>
  </si>
  <si>
    <t xml:space="preserve">24-hour notice for discharge tests.</t>
  </si>
  <si>
    <t xml:space="preserve">31 23 19 ¶3.2–3.3; 31 32 11 ¶3.03</t>
  </si>
  <si>
    <t xml:space="preserve">Permit inspection frequency (NPDES / SWPPP) is outside the library.</t>
  </si>
  <si>
    <t xml:space="preserve">Turnover &amp; closeout checklist</t>
  </si>
  <si>
    <t xml:space="preserve">Start-up testing and training complete; O&amp;M manuals; spare parts, tools, extra stock; keys and lock changeover; record information; temporary facilities removed; cleanup; extinguisher tags; Substantial Completion systems in beneficial use.</t>
  </si>
  <si>
    <t xml:space="preserve">Before requesting Substantial Completion; again at Final Completion.</t>
  </si>
  <si>
    <t xml:space="preserve">Items in 01 70 00 ¶1.03.A. SC 19 defines Substantial Completion (influent pump station, flow splitter, Train 3, digester, dewatering, Blower Building, UV, yard piping, electrical, instruments, controls, backup generator, SCADA/PLC programming in beneficial use) and Final Completion (including removal of temporary pump and process equipment). Fire extinguishers visually inspected and tagged (10 52 00 ¶3.01 C).</t>
  </si>
  <si>
    <t xml:space="preserve">Engineer and Owner.</t>
  </si>
  <si>
    <t xml:space="preserve">01 70 00 ¶1.03.A; 00 73 00 SC 19; 10 52 00 ¶3.01 C</t>
  </si>
  <si>
    <t xml:space="preserve">Turned over / closed</t>
  </si>
  <si>
    <t xml:space="preserve">Temporary-facility removal timing conflicts (Contract &amp; General Issues 1.19).</t>
  </si>
  <si>
    <t xml:space="preserve">ITP lines reconciled (formulas)</t>
  </si>
  <si>
    <t xml:space="preserve">Descriptive — no QC requirement</t>
  </si>
  <si>
    <t xml:space="preserve">Gap lines (requirement not summarized; placed by division)</t>
  </si>
  <si>
    <t xml:space="preserve">Requirement lines rolled into a QC log</t>
  </si>
  <si>
    <t xml:space="preserve">Total ITP lines</t>
  </si>
  <si>
    <t xml:space="preserve">ITP line</t>
  </si>
  <si>
    <t xml:space="preserve">ITP subtype</t>
  </si>
  <si>
    <t xml:space="preserve">QC log #</t>
  </si>
  <si>
    <t xml:space="preserve">Also used in</t>
  </si>
  <si>
    <t xml:space="preserve">Note</t>
  </si>
  <si>
    <t xml:space="preserve">QC log name (formula)</t>
  </si>
  <si>
    <t xml:space="preserve">ITP G0.3-01</t>
  </si>
  <si>
    <t xml:space="preserve">Special inspection</t>
  </si>
  <si>
    <t xml:space="preserve">#4, #8</t>
  </si>
  <si>
    <t xml:space="preserve">ITP G0.6-01</t>
  </si>
  <si>
    <t xml:space="preserve">Disinfection / bacteriological</t>
  </si>
  <si>
    <t xml:space="preserve">Descriptive line — no test or inspection requirement (keyword false positive in the ITP build)</t>
  </si>
  <si>
    <t xml:space="preserve">ITP G0.7-01</t>
  </si>
  <si>
    <t xml:space="preserve">Start-up / commissioning</t>
  </si>
  <si>
    <t xml:space="preserve">ITP C0.5-01</t>
  </si>
  <si>
    <t xml:space="preserve">Test / inspection</t>
  </si>
  <si>
    <t xml:space="preserve">Sequence: removal after replacement is tested</t>
  </si>
  <si>
    <t xml:space="preserve">ITP C0.5-02</t>
  </si>
  <si>
    <t xml:space="preserve">Sequence: keep services live until replacements are tested</t>
  </si>
  <si>
    <t xml:space="preserve">ITP C1.3-01</t>
  </si>
  <si>
    <t xml:space="preserve">ITP C1.4-01</t>
  </si>
  <si>
    <t xml:space="preserve">ITP C2.4-01</t>
  </si>
  <si>
    <t xml:space="preserve">ITP C3.1-01</t>
  </si>
  <si>
    <t xml:space="preserve">Sequence: connect after the new splitter and piping are tested</t>
  </si>
  <si>
    <t xml:space="preserve">ITP C4.3-01</t>
  </si>
  <si>
    <t xml:space="preserve">Field pressure / leakage test</t>
  </si>
  <si>
    <t xml:space="preserve">ITP C5.1-01</t>
  </si>
  <si>
    <t xml:space="preserve">ITP C5.4-01</t>
  </si>
  <si>
    <t xml:space="preserve">ITP C7.1-01</t>
  </si>
  <si>
    <t xml:space="preserve">ITP C7.3-01</t>
  </si>
  <si>
    <t xml:space="preserve">ITP S1.1-01</t>
  </si>
  <si>
    <t xml:space="preserve">ITP S2.3-01</t>
  </si>
  <si>
    <t xml:space="preserve">ITP E0.3-01</t>
  </si>
  <si>
    <t xml:space="preserve">ITP E0.4-01</t>
  </si>
  <si>
    <t xml:space="preserve">ITP E4.1-01</t>
  </si>
  <si>
    <t xml:space="preserve">Factory / shop test</t>
  </si>
  <si>
    <t xml:space="preserve">ITP E5.1-01</t>
  </si>
  <si>
    <t xml:space="preserve">ITP E8.1-01</t>
  </si>
  <si>
    <t xml:space="preserve">ITP E8.3-01</t>
  </si>
  <si>
    <t xml:space="preserve">ITP E9.2-01</t>
  </si>
  <si>
    <t xml:space="preserve">ITP C1.6A-01</t>
  </si>
  <si>
    <t xml:space="preserve">ITP 00 73 00-01</t>
  </si>
  <si>
    <t xml:space="preserve">#4</t>
  </si>
  <si>
    <t xml:space="preserve">ITP 00 73 00-02</t>
  </si>
  <si>
    <t xml:space="preserve">ITP 01 33 00-01</t>
  </si>
  <si>
    <t xml:space="preserve">#3</t>
  </si>
  <si>
    <t xml:space="preserve">ITP 01 45 00-01</t>
  </si>
  <si>
    <t xml:space="preserve">#1</t>
  </si>
  <si>
    <t xml:space="preserve">ITP 01 45 00-02</t>
  </si>
  <si>
    <t xml:space="preserve">Field pressure / leakage test; Disinfection / bacteriological</t>
  </si>
  <si>
    <t xml:space="preserve">#9, #10, #11, #12</t>
  </si>
  <si>
    <t xml:space="preserve">Contractor-paid split</t>
  </si>
  <si>
    <t xml:space="preserve">ITP 01 45 00-03</t>
  </si>
  <si>
    <t xml:space="preserve">Field pressure / leakage test; Start-up / commissioning; Special inspection; Material testing; Disinfection / bacteriological</t>
  </si>
  <si>
    <t xml:space="preserve">#2, #5, #6, #8, #15, #16</t>
  </si>
  <si>
    <t xml:space="preserve">Owner-paid split; leakage test</t>
  </si>
  <si>
    <t xml:space="preserve">ITP 01 50 00-01</t>
  </si>
  <si>
    <t xml:space="preserve">ITP 01 60 00-01</t>
  </si>
  <si>
    <t xml:space="preserve">ITP 01 70 00-01</t>
  </si>
  <si>
    <t xml:space="preserve">ITP 01 70 00-02</t>
  </si>
  <si>
    <t xml:space="preserve">#13</t>
  </si>
  <si>
    <t xml:space="preserve">ITP 01 91 00-01</t>
  </si>
  <si>
    <t xml:space="preserve">Start-up / commissioning; Training</t>
  </si>
  <si>
    <t xml:space="preserve">ITP 03 30 00-01</t>
  </si>
  <si>
    <t xml:space="preserve">Special inspection; Material testing</t>
  </si>
  <si>
    <t xml:space="preserve">ITP 03 40 00-01</t>
  </si>
  <si>
    <t xml:space="preserve">ITP 09 97 23-01</t>
  </si>
  <si>
    <t xml:space="preserve">ITP 10 52 00-01</t>
  </si>
  <si>
    <t xml:space="preserve">ITP 10 73 05-01</t>
  </si>
  <si>
    <t xml:space="preserve">ITP 10 73 05-02</t>
  </si>
  <si>
    <t xml:space="preserve">ITP 22 13 29-01</t>
  </si>
  <si>
    <t xml:space="preserve">ITP 22 13 29-02</t>
  </si>
  <si>
    <t xml:space="preserve">Factory / shop test; Start-up / commissioning</t>
  </si>
  <si>
    <t xml:space="preserve">ITP 22 13 36-01</t>
  </si>
  <si>
    <t xml:space="preserve">ITP 26 05 00-01</t>
  </si>
  <si>
    <t xml:space="preserve">ITP 26 05 19-01</t>
  </si>
  <si>
    <t xml:space="preserve">Electrical test</t>
  </si>
  <si>
    <t xml:space="preserve">ITP 26 05 26-01</t>
  </si>
  <si>
    <t xml:space="preserve">ITP 26 05 33-01</t>
  </si>
  <si>
    <t xml:space="preserve">ITP 26 24 16-01</t>
  </si>
  <si>
    <t xml:space="preserve">ITP 26 24 19-01</t>
  </si>
  <si>
    <t xml:space="preserve">#14</t>
  </si>
  <si>
    <t xml:space="preserve">ITP 26 27 26-01</t>
  </si>
  <si>
    <t xml:space="preserve">ITP 26 29 23-01</t>
  </si>
  <si>
    <t xml:space="preserve">ITP 26 32 13-01</t>
  </si>
  <si>
    <t xml:space="preserve">ITP 26 36 00-01</t>
  </si>
  <si>
    <t xml:space="preserve">ITP 26 36 00-02</t>
  </si>
  <si>
    <t xml:space="preserve">ITP 26 51 19-01</t>
  </si>
  <si>
    <t xml:space="preserve">ITP 26 80 00-01</t>
  </si>
  <si>
    <t xml:space="preserve">ITP 26 80 00-02</t>
  </si>
  <si>
    <t xml:space="preserve">Factory / shop test; Start-up / commissioning; Training</t>
  </si>
  <si>
    <t xml:space="preserve">ITP 31 10 00-01</t>
  </si>
  <si>
    <t xml:space="preserve">ITP 31 20 00-01</t>
  </si>
  <si>
    <t xml:space="preserve">Material testing</t>
  </si>
  <si>
    <t xml:space="preserve">ITP 31 20 00-02</t>
  </si>
  <si>
    <t xml:space="preserve">ITP 31 23 19-01</t>
  </si>
  <si>
    <t xml:space="preserve">ITP 31 23 33-01</t>
  </si>
  <si>
    <t xml:space="preserve">ITP 31 23 33-02</t>
  </si>
  <si>
    <t xml:space="preserve">ITP 31 32 11-01</t>
  </si>
  <si>
    <t xml:space="preserve">ITP 32 12 16-01</t>
  </si>
  <si>
    <t xml:space="preserve">ITP 32 32 23-01</t>
  </si>
  <si>
    <t xml:space="preserve">ITP 33 30 00-01</t>
  </si>
  <si>
    <t xml:space="preserve">ITP 33 30 00-02</t>
  </si>
  <si>
    <t xml:space="preserve">#9</t>
  </si>
  <si>
    <t xml:space="preserve">ITP 33 31 00-01</t>
  </si>
  <si>
    <t xml:space="preserve">Pointer to 33 30 00</t>
  </si>
  <si>
    <t xml:space="preserve">ITP 33 32 00-01</t>
  </si>
  <si>
    <t xml:space="preserve">Field pressure / leakage test; Start-up / commissioning</t>
  </si>
  <si>
    <t xml:space="preserve">#10</t>
  </si>
  <si>
    <t xml:space="preserve">ITP 33 32 00-02</t>
  </si>
  <si>
    <t xml:space="preserve">ITP 33 32 00-03</t>
  </si>
  <si>
    <t xml:space="preserve">ITP 33 33 00-01</t>
  </si>
  <si>
    <t xml:space="preserve">ITP 33 33 00-02</t>
  </si>
  <si>
    <t xml:space="preserve">ITP 33 41 00-01</t>
  </si>
  <si>
    <t xml:space="preserve">ITP 43 11 00-01</t>
  </si>
  <si>
    <t xml:space="preserve">ITP 45 05 00-01</t>
  </si>
  <si>
    <t xml:space="preserve">ITP 45 05 00-02</t>
  </si>
  <si>
    <t xml:space="preserve">ITP 46 41 23-01</t>
  </si>
  <si>
    <t xml:space="preserve">Factory / shop test; Field pressure / leakage test; Start-up / commissioning; Training</t>
  </si>
  <si>
    <t xml:space="preserve">ITP 46 53 00-01</t>
  </si>
  <si>
    <t xml:space="preserve">ITP 46 66 00-01</t>
  </si>
  <si>
    <t xml:space="preserve">ITP 46 66 00-02</t>
  </si>
  <si>
    <t xml:space="preserve">ITP 46 66 10-01</t>
  </si>
  <si>
    <t xml:space="preserve">ITP 46 76 26-01</t>
  </si>
  <si>
    <t xml:space="preserve">ITP 46 76 26-02</t>
  </si>
  <si>
    <t xml:space="preserve">ITP 46 76 26-03</t>
  </si>
  <si>
    <t xml:space="preserve">No field start-up paragraph</t>
  </si>
  <si>
    <t xml:space="preserve">ITP Appendix F-01</t>
  </si>
  <si>
    <t xml:space="preserve">ITP Appendix F-02</t>
  </si>
  <si>
    <t xml:space="preserve">ITP Appendix F-03</t>
  </si>
  <si>
    <t xml:space="preserve">Start-up / commissioning; Disinfection / bacteriological</t>
  </si>
  <si>
    <t xml:space="preserve">Interim operation limits</t>
  </si>
  <si>
    <t xml:space="preserve">ITP Appendix F-04</t>
  </si>
  <si>
    <t xml:space="preserve">#12</t>
  </si>
  <si>
    <t xml:space="preserve">ITP Add. 4 Generator Exhibit-01</t>
  </si>
  <si>
    <t xml:space="preserve">ITP 05 50 00-00</t>
  </si>
  <si>
    <t xml:space="preserve">Not stated</t>
  </si>
  <si>
    <t xml:space="preserve">Gap line: the Ledger flags testing for this section but the Wiki note has no test sentence</t>
  </si>
  <si>
    <t xml:space="preserve">ITP 07 20 00-00</t>
  </si>
  <si>
    <t xml:space="preserve">ITP 08 10 00-00</t>
  </si>
  <si>
    <t xml:space="preserve">ITP 08 70 00-00</t>
  </si>
  <si>
    <t xml:space="preserve">ITP 09 25 00-00</t>
  </si>
  <si>
    <t xml:space="preserve">ITP 09 90 00-00</t>
  </si>
  <si>
    <t xml:space="preserve">ITP 13 12 20-00</t>
  </si>
  <si>
    <t xml:space="preserve">ITP 33 05 00-00</t>
  </si>
  <si>
    <t xml:space="preserve">ITP 41 12 13-00</t>
  </si>
  <si>
    <t xml:space="preserve">ITP 43 22 10-00</t>
  </si>
  <si>
    <t xml:space="preserve">ITP 46 12 13-00</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</si>
</sst>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name val="Arial"/>
      <family val="0"/>
      <charset val="1"/>
    </font>
    <font>
      <b val="true"/>
      <sz val="10"/>
      <color rgb="FFFFFFFF"/>
      <name val="Arial"/>
      <family val="0"/>
      <charset val="1"/>
    </font>
    <font>
      <sz val="9"/>
      <name val="Arial"/>
      <family val="0"/>
      <charset val="1"/>
    </font>
    <font>
      <b val="true"/>
      <sz val="9"/>
      <name val="Arial"/>
      <family val="0"/>
      <charset val="1"/>
    </font>
    <font>
      <b val="true"/>
      <sz val="11"/>
      <name val="Arial"/>
      <family val="0"/>
      <charset val="1"/>
    </font>
    <font>
      <b val="true"/>
      <sz val="11"/>
      <color rgb="FFFFFFFF"/>
      <name val="Arial"/>
      <family val="0"/>
      <charset val="1"/>
    </font>
  </fonts>
  <fills count="12">
    <fill>
      <patternFill patternType="none"/>
    </fill>
    <fill>
      <patternFill patternType="gray125"/>
    </fill>
    <fill>
      <patternFill patternType="solid">
        <fgColor rgb="FF1F3864"/>
        <bgColor rgb="FF333333"/>
      </patternFill>
    </fill>
    <fill>
      <patternFill patternType="solid">
        <fgColor rgb="FFFFFFFF"/>
        <bgColor rgb="FFF2F2F2"/>
      </patternFill>
    </fill>
    <fill>
      <patternFill patternType="solid">
        <fgColor rgb="FFF2F2F2"/>
        <bgColor rgb="FFEEE8E2"/>
      </patternFill>
    </fill>
    <fill>
      <patternFill patternType="solid">
        <fgColor rgb="FFEEE8E2"/>
        <bgColor rgb="FFFBE4D5"/>
      </patternFill>
    </fill>
    <fill>
      <patternFill patternType="solid">
        <fgColor rgb="FFFBE4D5"/>
        <bgColor rgb="FFEEE8E2"/>
      </patternFill>
    </fill>
    <fill>
      <patternFill patternType="solid">
        <fgColor rgb="FFD2EEE6"/>
        <bgColor rgb="FFDDEBF7"/>
      </patternFill>
    </fill>
    <fill>
      <patternFill patternType="solid">
        <fgColor rgb="FFDDEBF7"/>
        <bgColor rgb="FFD2EEE6"/>
      </patternFill>
    </fill>
    <fill>
      <patternFill patternType="solid">
        <fgColor rgb="FFFFF2CC"/>
        <bgColor rgb="FFFBE4D5"/>
      </patternFill>
    </fill>
    <fill>
      <patternFill patternType="solid">
        <fgColor rgb="FFF9D9EA"/>
        <bgColor rgb="FFFBE4D5"/>
      </patternFill>
    </fill>
    <fill>
      <patternFill patternType="solid">
        <fgColor rgb="FFE2EFDA"/>
        <bgColor rgb="FFEEE8E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7" fillId="11"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2EEE6"/>
      <rgbColor rgb="FF660066"/>
      <rgbColor rgb="FFFF8080"/>
      <rgbColor rgb="FF0066CC"/>
      <rgbColor rgb="FFF9D9EA"/>
      <rgbColor rgb="FF000080"/>
      <rgbColor rgb="FFFF00FF"/>
      <rgbColor rgb="FFFFFF00"/>
      <rgbColor rgb="FF00FFFF"/>
      <rgbColor rgb="FF800080"/>
      <rgbColor rgb="FF800000"/>
      <rgbColor rgb="FF008080"/>
      <rgbColor rgb="FF0000FF"/>
      <rgbColor rgb="FF00CCFF"/>
      <rgbColor rgb="FFDDEBF7"/>
      <rgbColor rgb="FFE2EFDA"/>
      <rgbColor rgb="FFEEE8E2"/>
      <rgbColor rgb="FFF2F2F2"/>
      <rgbColor rgb="FFFF99CC"/>
      <rgbColor rgb="FFCC99FF"/>
      <rgbColor rgb="FFFBE4D5"/>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3" min="3" style="0" width="11"/>
    <col collapsed="false" customWidth="true" hidden="false" outlineLevel="0" max="4" min="4" style="0" width="34"/>
    <col collapsed="false" customWidth="true" hidden="false" outlineLevel="0" max="5" min="5" style="0" width="26"/>
    <col collapsed="false" customWidth="true" hidden="false" outlineLevel="0" max="6" min="6" style="0" width="64"/>
    <col collapsed="false" customWidth="true" hidden="false" outlineLevel="0" max="7" min="7" style="0" width="30"/>
    <col collapsed="false" customWidth="true" hidden="false" outlineLevel="0" max="8" min="8" style="0" width="22"/>
    <col collapsed="false" customWidth="true" hidden="false" outlineLevel="0" max="9" min="9" style="0" width="30"/>
    <col collapsed="false" customWidth="true" hidden="false" outlineLevel="0" max="10" min="10" style="0" width="11"/>
    <col collapsed="false" customWidth="true" hidden="false" outlineLevel="0" max="11" min="11" style="0" width="14"/>
    <col collapsed="false" customWidth="true" hidden="false" outlineLevel="0" max="12" min="12" style="0" width="12"/>
    <col collapsed="false" customWidth="true" hidden="false" outlineLevel="0" max="13" min="13" style="0" width="34"/>
  </cols>
  <sheetData>
    <row r="1" customFormat="false" ht="16.15" hidden="false" customHeight="false" outlineLevel="0" collapsed="false">
      <c r="A1" s="1" t="s">
        <v>0</v>
      </c>
    </row>
    <row r="2" customFormat="false" ht="30" hidden="false" customHeight="true" outlineLevel="0" collapsed="false">
      <c r="A2" s="2" t="s">
        <v>1</v>
      </c>
      <c r="B2" s="2"/>
      <c r="C2" s="2"/>
      <c r="D2" s="2"/>
      <c r="E2" s="2"/>
      <c r="F2" s="2"/>
      <c r="G2" s="2"/>
      <c r="H2" s="2"/>
      <c r="I2" s="2"/>
      <c r="J2" s="2"/>
      <c r="K2" s="2"/>
      <c r="L2" s="2"/>
      <c r="M2" s="2"/>
    </row>
    <row r="4" customFormat="false" ht="46.25"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c r="M4" s="3" t="s">
        <v>14</v>
      </c>
    </row>
    <row r="5" customFormat="false" ht="53.7" hidden="false" customHeight="false" outlineLevel="0" collapsed="false">
      <c r="A5" s="4" t="n">
        <v>1</v>
      </c>
      <c r="B5" s="5" t="s">
        <v>15</v>
      </c>
      <c r="C5" s="4" t="s">
        <v>16</v>
      </c>
      <c r="D5" s="4" t="s">
        <v>17</v>
      </c>
      <c r="E5" s="4" t="s">
        <v>18</v>
      </c>
      <c r="F5" s="4" t="s">
        <v>19</v>
      </c>
      <c r="G5" s="4" t="s">
        <v>20</v>
      </c>
      <c r="H5" s="4" t="s">
        <v>21</v>
      </c>
      <c r="I5" s="4" t="s">
        <v>22</v>
      </c>
      <c r="J5" s="4" t="n">
        <f aca="false">COUNTIF('ITP Line Map'!$C$2:$C$200,A5)+SUMPRODUCT(--ISNUMBER(SEARCH(","&amp;A5&amp;",",","&amp;SUBSTITUTE(SUBSTITUTE('ITP Line Map'!$D$2:$D$200,"#","")," ","")&amp;",")))</f>
        <v>7</v>
      </c>
      <c r="K5" s="4" t="s">
        <v>23</v>
      </c>
      <c r="L5" s="4" t="s">
        <v>24</v>
      </c>
      <c r="M5" s="4" t="s">
        <v>25</v>
      </c>
    </row>
    <row r="6" customFormat="false" ht="74.6" hidden="false" customHeight="false" outlineLevel="0" collapsed="false">
      <c r="A6" s="6" t="n">
        <v>2</v>
      </c>
      <c r="B6" s="7" t="s">
        <v>26</v>
      </c>
      <c r="C6" s="6" t="s">
        <v>16</v>
      </c>
      <c r="D6" s="6" t="s">
        <v>27</v>
      </c>
      <c r="E6" s="6" t="s">
        <v>28</v>
      </c>
      <c r="F6" s="6" t="s">
        <v>29</v>
      </c>
      <c r="G6" s="6" t="s">
        <v>30</v>
      </c>
      <c r="H6" s="6" t="s">
        <v>31</v>
      </c>
      <c r="I6" s="6" t="s">
        <v>32</v>
      </c>
      <c r="J6" s="6" t="n">
        <f aca="false">COUNTIF('ITP Line Map'!$C$2:$C$200,A6)+SUMPRODUCT(--ISNUMBER(SEARCH(","&amp;A6&amp;",",","&amp;SUBSTITUTE(SUBSTITUTE('ITP Line Map'!$D$2:$D$200,"#","")," ","")&amp;",")))</f>
        <v>7</v>
      </c>
      <c r="K6" s="6" t="s">
        <v>33</v>
      </c>
      <c r="L6" s="6" t="s">
        <v>24</v>
      </c>
      <c r="M6" s="6" t="s">
        <v>34</v>
      </c>
    </row>
    <row r="7" customFormat="false" ht="32.8" hidden="false" customHeight="false" outlineLevel="0" collapsed="false">
      <c r="A7" s="4" t="n">
        <v>3</v>
      </c>
      <c r="B7" s="5" t="s">
        <v>35</v>
      </c>
      <c r="C7" s="4" t="s">
        <v>16</v>
      </c>
      <c r="D7" s="4" t="s">
        <v>36</v>
      </c>
      <c r="E7" s="4" t="s">
        <v>37</v>
      </c>
      <c r="F7" s="4" t="s">
        <v>38</v>
      </c>
      <c r="G7" s="4" t="s">
        <v>39</v>
      </c>
      <c r="H7" s="4" t="s">
        <v>31</v>
      </c>
      <c r="I7" s="4" t="s">
        <v>40</v>
      </c>
      <c r="J7" s="4" t="n">
        <f aca="false">COUNTIF('ITP Line Map'!$C$2:$C$200,A7)+SUMPRODUCT(--ISNUMBER(SEARCH(","&amp;A7&amp;",",","&amp;SUBSTITUTE(SUBSTITUTE('ITP Line Map'!$D$2:$D$200,"#","")," ","")&amp;",")))</f>
        <v>2</v>
      </c>
      <c r="K7" s="4" t="s">
        <v>41</v>
      </c>
      <c r="L7" s="4" t="s">
        <v>24</v>
      </c>
      <c r="M7" s="4"/>
    </row>
    <row r="8" customFormat="false" ht="32.8" hidden="false" customHeight="false" outlineLevel="0" collapsed="false">
      <c r="A8" s="6" t="n">
        <v>4</v>
      </c>
      <c r="B8" s="7" t="s">
        <v>42</v>
      </c>
      <c r="C8" s="8" t="s">
        <v>43</v>
      </c>
      <c r="D8" s="6" t="s">
        <v>44</v>
      </c>
      <c r="E8" s="6" t="s">
        <v>45</v>
      </c>
      <c r="F8" s="6" t="s">
        <v>46</v>
      </c>
      <c r="G8" s="6" t="s">
        <v>39</v>
      </c>
      <c r="H8" s="6" t="s">
        <v>31</v>
      </c>
      <c r="I8" s="6" t="s">
        <v>47</v>
      </c>
      <c r="J8" s="6" t="n">
        <f aca="false">COUNTIF('ITP Line Map'!$C$2:$C$200,A8)+SUMPRODUCT(--ISNUMBER(SEARCH(","&amp;A8&amp;",",","&amp;SUBSTITUTE(SUBSTITUTE('ITP Line Map'!$D$2:$D$200,"#","")," ","")&amp;",")))</f>
        <v>3</v>
      </c>
      <c r="K8" s="6" t="s">
        <v>48</v>
      </c>
      <c r="L8" s="6" t="s">
        <v>49</v>
      </c>
      <c r="M8" s="6" t="s">
        <v>50</v>
      </c>
    </row>
    <row r="9" customFormat="false" ht="64.15" hidden="false" customHeight="false" outlineLevel="0" collapsed="false">
      <c r="A9" s="4" t="n">
        <v>5</v>
      </c>
      <c r="B9" s="5" t="s">
        <v>51</v>
      </c>
      <c r="C9" s="9" t="s">
        <v>52</v>
      </c>
      <c r="D9" s="4" t="s">
        <v>53</v>
      </c>
      <c r="E9" s="4" t="s">
        <v>54</v>
      </c>
      <c r="F9" s="4" t="s">
        <v>55</v>
      </c>
      <c r="G9" s="4" t="s">
        <v>56</v>
      </c>
      <c r="H9" s="4" t="s">
        <v>57</v>
      </c>
      <c r="I9" s="4" t="s">
        <v>58</v>
      </c>
      <c r="J9" s="4" t="n">
        <f aca="false">COUNTIF('ITP Line Map'!$C$2:$C$200,A9)+SUMPRODUCT(--ISNUMBER(SEARCH(","&amp;A9&amp;",",","&amp;SUBSTITUTE(SUBSTITUTE('ITP Line Map'!$D$2:$D$200,"#","")," ","")&amp;",")))</f>
        <v>6</v>
      </c>
      <c r="K9" s="4" t="s">
        <v>33</v>
      </c>
      <c r="L9" s="4" t="s">
        <v>24</v>
      </c>
      <c r="M9" s="4" t="s">
        <v>59</v>
      </c>
    </row>
    <row r="10" customFormat="false" ht="53.7" hidden="false" customHeight="false" outlineLevel="0" collapsed="false">
      <c r="A10" s="6" t="n">
        <v>6</v>
      </c>
      <c r="B10" s="7" t="s">
        <v>60</v>
      </c>
      <c r="C10" s="8" t="s">
        <v>61</v>
      </c>
      <c r="D10" s="6" t="s">
        <v>62</v>
      </c>
      <c r="E10" s="6" t="s">
        <v>63</v>
      </c>
      <c r="F10" s="6" t="s">
        <v>64</v>
      </c>
      <c r="G10" s="6" t="s">
        <v>65</v>
      </c>
      <c r="H10" s="6" t="s">
        <v>66</v>
      </c>
      <c r="I10" s="6" t="s">
        <v>67</v>
      </c>
      <c r="J10" s="6" t="n">
        <f aca="false">COUNTIF('ITP Line Map'!$C$2:$C$200,A10)+SUMPRODUCT(--ISNUMBER(SEARCH(","&amp;A10&amp;",",","&amp;SUBSTITUTE(SUBSTITUTE('ITP Line Map'!$D$2:$D$200,"#","")," ","")&amp;",")))</f>
        <v>2</v>
      </c>
      <c r="K10" s="6" t="s">
        <v>33</v>
      </c>
      <c r="L10" s="6" t="s">
        <v>49</v>
      </c>
      <c r="M10" s="6" t="s">
        <v>68</v>
      </c>
    </row>
    <row r="11" customFormat="false" ht="43.25" hidden="false" customHeight="false" outlineLevel="0" collapsed="false">
      <c r="A11" s="4" t="n">
        <v>7</v>
      </c>
      <c r="B11" s="5" t="s">
        <v>69</v>
      </c>
      <c r="C11" s="8" t="s">
        <v>61</v>
      </c>
      <c r="D11" s="4" t="s">
        <v>70</v>
      </c>
      <c r="E11" s="4" t="s">
        <v>71</v>
      </c>
      <c r="F11" s="4" t="s">
        <v>72</v>
      </c>
      <c r="G11" s="4" t="s">
        <v>73</v>
      </c>
      <c r="H11" s="4" t="s">
        <v>31</v>
      </c>
      <c r="I11" s="4" t="s">
        <v>74</v>
      </c>
      <c r="J11" s="4" t="n">
        <f aca="false">COUNTIF('ITP Line Map'!$C$2:$C$200,A11)+SUMPRODUCT(--ISNUMBER(SEARCH(","&amp;A11&amp;",",","&amp;SUBSTITUTE(SUBSTITUTE('ITP Line Map'!$D$2:$D$200,"#","")," ","")&amp;",")))</f>
        <v>1</v>
      </c>
      <c r="K11" s="4" t="s">
        <v>41</v>
      </c>
      <c r="L11" s="4" t="s">
        <v>24</v>
      </c>
      <c r="M11" s="4"/>
    </row>
    <row r="12" customFormat="false" ht="53.7" hidden="false" customHeight="false" outlineLevel="0" collapsed="false">
      <c r="A12" s="6" t="n">
        <v>8</v>
      </c>
      <c r="B12" s="7" t="s">
        <v>75</v>
      </c>
      <c r="C12" s="8" t="s">
        <v>76</v>
      </c>
      <c r="D12" s="6" t="s">
        <v>77</v>
      </c>
      <c r="E12" s="6" t="s">
        <v>78</v>
      </c>
      <c r="F12" s="6" t="s">
        <v>79</v>
      </c>
      <c r="G12" s="6" t="s">
        <v>80</v>
      </c>
      <c r="H12" s="6" t="s">
        <v>81</v>
      </c>
      <c r="I12" s="6" t="s">
        <v>82</v>
      </c>
      <c r="J12" s="6" t="n">
        <f aca="false">COUNTIF('ITP Line Map'!$C$2:$C$200,A12)+SUMPRODUCT(--ISNUMBER(SEARCH(","&amp;A12&amp;",",","&amp;SUBSTITUTE(SUBSTITUTE('ITP Line Map'!$D$2:$D$200,"#","")," ","")&amp;",")))</f>
        <v>7</v>
      </c>
      <c r="K12" s="6" t="s">
        <v>33</v>
      </c>
      <c r="L12" s="6" t="s">
        <v>83</v>
      </c>
      <c r="M12" s="6" t="s">
        <v>84</v>
      </c>
    </row>
    <row r="13" customFormat="false" ht="85.05" hidden="false" customHeight="false" outlineLevel="0" collapsed="false">
      <c r="A13" s="4" t="n">
        <v>9</v>
      </c>
      <c r="B13" s="5" t="s">
        <v>85</v>
      </c>
      <c r="C13" s="10" t="s">
        <v>86</v>
      </c>
      <c r="D13" s="4" t="s">
        <v>87</v>
      </c>
      <c r="E13" s="4" t="s">
        <v>88</v>
      </c>
      <c r="F13" s="4" t="s">
        <v>89</v>
      </c>
      <c r="G13" s="4" t="s">
        <v>90</v>
      </c>
      <c r="H13" s="4" t="s">
        <v>91</v>
      </c>
      <c r="I13" s="4" t="s">
        <v>92</v>
      </c>
      <c r="J13" s="4" t="n">
        <f aca="false">COUNTIF('ITP Line Map'!$C$2:$C$200,A13)+SUMPRODUCT(--ISNUMBER(SEARCH(","&amp;A13&amp;",",","&amp;SUBSTITUTE(SUBSTITUTE('ITP Line Map'!$D$2:$D$200,"#","")," ","")&amp;",")))</f>
        <v>12</v>
      </c>
      <c r="K13" s="4" t="s">
        <v>33</v>
      </c>
      <c r="L13" s="4" t="s">
        <v>49</v>
      </c>
      <c r="M13" s="4" t="s">
        <v>93</v>
      </c>
    </row>
    <row r="14" customFormat="false" ht="32.8" hidden="false" customHeight="false" outlineLevel="0" collapsed="false">
      <c r="A14" s="6" t="n">
        <v>10</v>
      </c>
      <c r="B14" s="7" t="s">
        <v>94</v>
      </c>
      <c r="C14" s="10" t="s">
        <v>95</v>
      </c>
      <c r="D14" s="6" t="s">
        <v>96</v>
      </c>
      <c r="E14" s="6" t="s">
        <v>97</v>
      </c>
      <c r="F14" s="6" t="s">
        <v>98</v>
      </c>
      <c r="G14" s="6" t="s">
        <v>99</v>
      </c>
      <c r="H14" s="6" t="s">
        <v>100</v>
      </c>
      <c r="I14" s="6" t="s">
        <v>101</v>
      </c>
      <c r="J14" s="6" t="n">
        <f aca="false">COUNTIF('ITP Line Map'!$C$2:$C$200,A14)+SUMPRODUCT(--ISNUMBER(SEARCH(","&amp;A14&amp;",",","&amp;SUBSTITUTE(SUBSTITUTE('ITP Line Map'!$D$2:$D$200,"#","")," ","")&amp;",")))</f>
        <v>4</v>
      </c>
      <c r="K14" s="6" t="s">
        <v>33</v>
      </c>
      <c r="L14" s="6" t="s">
        <v>49</v>
      </c>
      <c r="M14" s="6" t="s">
        <v>102</v>
      </c>
    </row>
    <row r="15" customFormat="false" ht="43.25" hidden="false" customHeight="false" outlineLevel="0" collapsed="false">
      <c r="A15" s="4" t="n">
        <v>11</v>
      </c>
      <c r="B15" s="5" t="s">
        <v>103</v>
      </c>
      <c r="C15" s="8" t="s">
        <v>104</v>
      </c>
      <c r="D15" s="4" t="s">
        <v>105</v>
      </c>
      <c r="E15" s="4" t="s">
        <v>106</v>
      </c>
      <c r="F15" s="4" t="s">
        <v>107</v>
      </c>
      <c r="G15" s="4" t="s">
        <v>99</v>
      </c>
      <c r="H15" s="4" t="s">
        <v>108</v>
      </c>
      <c r="I15" s="4" t="s">
        <v>109</v>
      </c>
      <c r="J15" s="4" t="n">
        <f aca="false">COUNTIF('ITP Line Map'!$C$2:$C$200,A15)+SUMPRODUCT(--ISNUMBER(SEARCH(","&amp;A15&amp;",",","&amp;SUBSTITUTE(SUBSTITUTE('ITP Line Map'!$D$2:$D$200,"#","")," ","")&amp;",")))</f>
        <v>4</v>
      </c>
      <c r="K15" s="4" t="s">
        <v>33</v>
      </c>
      <c r="L15" s="4" t="s">
        <v>24</v>
      </c>
      <c r="M15" s="4" t="s">
        <v>110</v>
      </c>
    </row>
    <row r="16" customFormat="false" ht="85.05" hidden="false" customHeight="false" outlineLevel="0" collapsed="false">
      <c r="A16" s="6" t="n">
        <v>12</v>
      </c>
      <c r="B16" s="7" t="s">
        <v>111</v>
      </c>
      <c r="C16" s="11" t="s">
        <v>112</v>
      </c>
      <c r="D16" s="6" t="s">
        <v>113</v>
      </c>
      <c r="E16" s="6" t="s">
        <v>114</v>
      </c>
      <c r="F16" s="6" t="s">
        <v>115</v>
      </c>
      <c r="G16" s="6" t="s">
        <v>116</v>
      </c>
      <c r="H16" s="6" t="s">
        <v>117</v>
      </c>
      <c r="I16" s="6" t="s">
        <v>118</v>
      </c>
      <c r="J16" s="6" t="n">
        <f aca="false">COUNTIF('ITP Line Map'!$C$2:$C$200,A16)+SUMPRODUCT(--ISNUMBER(SEARCH(","&amp;A16&amp;",",","&amp;SUBSTITUTE(SUBSTITUTE('ITP Line Map'!$D$2:$D$200,"#","")," ","")&amp;",")))</f>
        <v>19</v>
      </c>
      <c r="K16" s="6" t="s">
        <v>33</v>
      </c>
      <c r="L16" s="6" t="s">
        <v>24</v>
      </c>
      <c r="M16" s="6" t="s">
        <v>119</v>
      </c>
    </row>
    <row r="17" customFormat="false" ht="116.4" hidden="false" customHeight="false" outlineLevel="0" collapsed="false">
      <c r="A17" s="4" t="n">
        <v>13</v>
      </c>
      <c r="B17" s="5" t="s">
        <v>120</v>
      </c>
      <c r="C17" s="12" t="s">
        <v>121</v>
      </c>
      <c r="D17" s="4" t="s">
        <v>122</v>
      </c>
      <c r="E17" s="4" t="s">
        <v>123</v>
      </c>
      <c r="F17" s="4" t="s">
        <v>124</v>
      </c>
      <c r="G17" s="4" t="s">
        <v>125</v>
      </c>
      <c r="H17" s="4" t="s">
        <v>126</v>
      </c>
      <c r="I17" s="4" t="s">
        <v>127</v>
      </c>
      <c r="J17" s="4" t="n">
        <f aca="false">COUNTIF('ITP Line Map'!$C$2:$C$200,A17)+SUMPRODUCT(--ISNUMBER(SEARCH(","&amp;A17&amp;",",","&amp;SUBSTITUTE(SUBSTITUTE('ITP Line Map'!$D$2:$D$200,"#","")," ","")&amp;",")))</f>
        <v>12</v>
      </c>
      <c r="K17" s="4" t="s">
        <v>33</v>
      </c>
      <c r="L17" s="4" t="s">
        <v>24</v>
      </c>
      <c r="M17" s="4"/>
    </row>
    <row r="18" customFormat="false" ht="43.25" hidden="false" customHeight="false" outlineLevel="0" collapsed="false">
      <c r="A18" s="6" t="n">
        <v>14</v>
      </c>
      <c r="B18" s="7" t="s">
        <v>128</v>
      </c>
      <c r="C18" s="12" t="s">
        <v>121</v>
      </c>
      <c r="D18" s="6" t="s">
        <v>129</v>
      </c>
      <c r="E18" s="6" t="s">
        <v>130</v>
      </c>
      <c r="F18" s="6" t="s">
        <v>131</v>
      </c>
      <c r="G18" s="6" t="s">
        <v>132</v>
      </c>
      <c r="H18" s="6" t="s">
        <v>133</v>
      </c>
      <c r="I18" s="6" t="s">
        <v>134</v>
      </c>
      <c r="J18" s="6" t="n">
        <f aca="false">COUNTIF('ITP Line Map'!$C$2:$C$200,A18)+SUMPRODUCT(--ISNUMBER(SEARCH(","&amp;A18&amp;",",","&amp;SUBSTITUTE(SUBSTITUTE('ITP Line Map'!$D$2:$D$200,"#","")," ","")&amp;",")))</f>
        <v>6</v>
      </c>
      <c r="K18" s="6" t="s">
        <v>33</v>
      </c>
      <c r="L18" s="6" t="s">
        <v>83</v>
      </c>
      <c r="M18" s="6"/>
    </row>
    <row r="19" customFormat="false" ht="43.25" hidden="false" customHeight="false" outlineLevel="0" collapsed="false">
      <c r="A19" s="4" t="n">
        <v>15</v>
      </c>
      <c r="B19" s="5" t="s">
        <v>135</v>
      </c>
      <c r="C19" s="13" t="s">
        <v>136</v>
      </c>
      <c r="D19" s="4" t="s">
        <v>137</v>
      </c>
      <c r="E19" s="4" t="s">
        <v>138</v>
      </c>
      <c r="F19" s="4" t="s">
        <v>139</v>
      </c>
      <c r="G19" s="4" t="s">
        <v>140</v>
      </c>
      <c r="H19" s="4" t="s">
        <v>31</v>
      </c>
      <c r="I19" s="4" t="s">
        <v>141</v>
      </c>
      <c r="J19" s="4" t="n">
        <f aca="false">COUNTIF('ITP Line Map'!$C$2:$C$200,A19)+SUMPRODUCT(--ISNUMBER(SEARCH(","&amp;A19&amp;",",","&amp;SUBSTITUTE(SUBSTITUTE('ITP Line Map'!$D$2:$D$200,"#","")," ","")&amp;",")))</f>
        <v>4</v>
      </c>
      <c r="K19" s="4" t="s">
        <v>33</v>
      </c>
      <c r="L19" s="4" t="s">
        <v>24</v>
      </c>
      <c r="M19" s="4"/>
    </row>
    <row r="20" customFormat="false" ht="43.25" hidden="false" customHeight="false" outlineLevel="0" collapsed="false">
      <c r="A20" s="6" t="n">
        <v>16</v>
      </c>
      <c r="B20" s="7" t="s">
        <v>142</v>
      </c>
      <c r="C20" s="14" t="s">
        <v>143</v>
      </c>
      <c r="D20" s="6" t="s">
        <v>144</v>
      </c>
      <c r="E20" s="6" t="s">
        <v>145</v>
      </c>
      <c r="F20" s="6" t="s">
        <v>146</v>
      </c>
      <c r="G20" s="6" t="s">
        <v>147</v>
      </c>
      <c r="H20" s="6" t="s">
        <v>31</v>
      </c>
      <c r="I20" s="6" t="s">
        <v>148</v>
      </c>
      <c r="J20" s="6" t="n">
        <f aca="false">COUNTIF('ITP Line Map'!$C$2:$C$200,A20)+SUMPRODUCT(--ISNUMBER(SEARCH(","&amp;A20&amp;",",","&amp;SUBSTITUTE(SUBSTITUTE('ITP Line Map'!$D$2:$D$200,"#","")," ","")&amp;",")))</f>
        <v>2</v>
      </c>
      <c r="K20" s="6" t="s">
        <v>33</v>
      </c>
      <c r="L20" s="6" t="s">
        <v>49</v>
      </c>
      <c r="M20" s="6" t="s">
        <v>149</v>
      </c>
    </row>
    <row r="21" customFormat="false" ht="53.7" hidden="false" customHeight="false" outlineLevel="0" collapsed="false">
      <c r="A21" s="4" t="n">
        <v>17</v>
      </c>
      <c r="B21" s="5" t="s">
        <v>150</v>
      </c>
      <c r="C21" s="9" t="s">
        <v>151</v>
      </c>
      <c r="D21" s="4" t="s">
        <v>152</v>
      </c>
      <c r="E21" s="4" t="s">
        <v>153</v>
      </c>
      <c r="F21" s="4" t="s">
        <v>154</v>
      </c>
      <c r="G21" s="4" t="s">
        <v>155</v>
      </c>
      <c r="H21" s="4" t="s">
        <v>156</v>
      </c>
      <c r="I21" s="4" t="s">
        <v>157</v>
      </c>
      <c r="J21" s="4" t="n">
        <f aca="false">COUNTIF('ITP Line Map'!$C$2:$C$200,A21)+SUMPRODUCT(--ISNUMBER(SEARCH(","&amp;A21&amp;",",","&amp;SUBSTITUTE(SUBSTITUTE('ITP Line Map'!$D$2:$D$200,"#","")," ","")&amp;",")))</f>
        <v>2</v>
      </c>
      <c r="K21" s="4" t="s">
        <v>33</v>
      </c>
      <c r="L21" s="4" t="s">
        <v>49</v>
      </c>
      <c r="M21" s="4" t="s">
        <v>158</v>
      </c>
    </row>
    <row r="22" customFormat="false" ht="64.15" hidden="false" customHeight="false" outlineLevel="0" collapsed="false">
      <c r="A22" s="6" t="n">
        <v>18</v>
      </c>
      <c r="B22" s="7" t="s">
        <v>159</v>
      </c>
      <c r="C22" s="6" t="s">
        <v>16</v>
      </c>
      <c r="D22" s="6" t="s">
        <v>160</v>
      </c>
      <c r="E22" s="6" t="s">
        <v>161</v>
      </c>
      <c r="F22" s="6" t="s">
        <v>162</v>
      </c>
      <c r="G22" s="6" t="s">
        <v>39</v>
      </c>
      <c r="H22" s="6" t="s">
        <v>163</v>
      </c>
      <c r="I22" s="6" t="s">
        <v>164</v>
      </c>
      <c r="J22" s="6" t="n">
        <f aca="false">COUNTIF('ITP Line Map'!$C$2:$C$200,A22)+SUMPRODUCT(--ISNUMBER(SEARCH(","&amp;A22&amp;",",","&amp;SUBSTITUTE(SUBSTITUTE('ITP Line Map'!$D$2:$D$200,"#","")," ","")&amp;",")))</f>
        <v>3</v>
      </c>
      <c r="K22" s="6" t="s">
        <v>165</v>
      </c>
      <c r="L22" s="6" t="s">
        <v>24</v>
      </c>
      <c r="M22" s="6" t="s">
        <v>166</v>
      </c>
    </row>
    <row r="24" customFormat="false" ht="15" hidden="false" customHeight="false" outlineLevel="0" collapsed="false">
      <c r="B24" s="15" t="s">
        <v>167</v>
      </c>
    </row>
    <row r="25" customFormat="false" ht="15" hidden="false" customHeight="false" outlineLevel="0" collapsed="false">
      <c r="B25" s="16" t="s">
        <v>168</v>
      </c>
      <c r="C25" s="17" t="n">
        <f aca="false">COUNTIF('ITP Line Map'!E:E,"Descriptive*")</f>
        <v>23</v>
      </c>
    </row>
    <row r="26" customFormat="false" ht="15" hidden="false" customHeight="false" outlineLevel="0" collapsed="false">
      <c r="B26" s="16" t="s">
        <v>169</v>
      </c>
      <c r="C26" s="17" t="n">
        <f aca="false">COUNTIF('ITP Line Map'!E:E,"Gap line*")</f>
        <v>11</v>
      </c>
    </row>
    <row r="27" customFormat="false" ht="15" hidden="false" customHeight="false" outlineLevel="0" collapsed="false">
      <c r="B27" s="16" t="s">
        <v>170</v>
      </c>
      <c r="C27" s="17" t="n">
        <f aca="false">COUNTIF('ITP Line Map'!C:C,"&gt;0")-C26</f>
        <v>69</v>
      </c>
    </row>
    <row r="28" customFormat="false" ht="15" hidden="false" customHeight="false" outlineLevel="0" collapsed="false">
      <c r="B28" s="16" t="s">
        <v>171</v>
      </c>
      <c r="C28" s="17" t="n">
        <f aca="false">COUNTA('ITP Line Map'!A:A)-1</f>
        <v>103</v>
      </c>
    </row>
  </sheetData>
  <mergeCells count="1">
    <mergeCell ref="A2:M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9"/>
    <col collapsed="false" customWidth="true" hidden="false" outlineLevel="0" max="4" min="4" style="0" width="16"/>
    <col collapsed="false" customWidth="true" hidden="false" outlineLevel="0" max="5" min="5" style="0" width="60"/>
    <col collapsed="false" customWidth="true" hidden="false" outlineLevel="0" max="6" min="6" style="0" width="40"/>
  </cols>
  <sheetData>
    <row r="1" customFormat="false" ht="26.85" hidden="false" customHeight="false" outlineLevel="0" collapsed="false">
      <c r="A1" s="18" t="s">
        <v>172</v>
      </c>
      <c r="B1" s="18" t="s">
        <v>173</v>
      </c>
      <c r="C1" s="18" t="s">
        <v>174</v>
      </c>
      <c r="D1" s="18" t="s">
        <v>175</v>
      </c>
      <c r="E1" s="18" t="s">
        <v>176</v>
      </c>
      <c r="F1" s="18" t="s">
        <v>177</v>
      </c>
    </row>
    <row r="2" customFormat="false" ht="15" hidden="false" customHeight="false" outlineLevel="0" collapsed="false">
      <c r="A2" s="19" t="s">
        <v>178</v>
      </c>
      <c r="B2" s="19" t="s">
        <v>179</v>
      </c>
      <c r="C2" s="19" t="n">
        <v>1</v>
      </c>
      <c r="D2" s="19" t="s">
        <v>180</v>
      </c>
      <c r="E2" s="19"/>
      <c r="F2" s="19" t="str">
        <f aca="false">IF(C2="","",INDEX('QC Requirements'!$B$5:$B$22,C2))</f>
        <v>Inspection notice &amp; hold-point log</v>
      </c>
    </row>
    <row r="3" customFormat="false" ht="22.35" hidden="false" customHeight="false" outlineLevel="0" collapsed="false">
      <c r="A3" s="19" t="s">
        <v>181</v>
      </c>
      <c r="B3" s="19" t="s">
        <v>182</v>
      </c>
      <c r="C3" s="19"/>
      <c r="D3" s="19"/>
      <c r="E3" s="19" t="s">
        <v>183</v>
      </c>
      <c r="F3" s="19" t="str">
        <f aca="false">IF(C3="","",INDEX('QC Requirements'!$B$5:$B$22,C3))</f>
        <v/>
      </c>
    </row>
    <row r="4" customFormat="false" ht="22.35" hidden="false" customHeight="false" outlineLevel="0" collapsed="false">
      <c r="A4" s="19" t="s">
        <v>184</v>
      </c>
      <c r="B4" s="19" t="s">
        <v>185</v>
      </c>
      <c r="C4" s="19"/>
      <c r="D4" s="19"/>
      <c r="E4" s="19" t="s">
        <v>183</v>
      </c>
      <c r="F4" s="19" t="str">
        <f aca="false">IF(C4="","",INDEX('QC Requirements'!$B$5:$B$22,C4))</f>
        <v/>
      </c>
    </row>
    <row r="5" customFormat="false" ht="15" hidden="false" customHeight="false" outlineLevel="0" collapsed="false">
      <c r="A5" s="19" t="s">
        <v>186</v>
      </c>
      <c r="B5" s="19" t="s">
        <v>187</v>
      </c>
      <c r="C5" s="19" t="n">
        <v>1</v>
      </c>
      <c r="D5" s="19"/>
      <c r="E5" s="19" t="s">
        <v>188</v>
      </c>
      <c r="F5" s="19" t="str">
        <f aca="false">IF(C5="","",INDEX('QC Requirements'!$B$5:$B$22,C5))</f>
        <v>Inspection notice &amp; hold-point log</v>
      </c>
    </row>
    <row r="6" customFormat="false" ht="15" hidden="false" customHeight="false" outlineLevel="0" collapsed="false">
      <c r="A6" s="19" t="s">
        <v>189</v>
      </c>
      <c r="B6" s="19" t="s">
        <v>187</v>
      </c>
      <c r="C6" s="19" t="n">
        <v>1</v>
      </c>
      <c r="D6" s="19"/>
      <c r="E6" s="19" t="s">
        <v>190</v>
      </c>
      <c r="F6" s="19" t="str">
        <f aca="false">IF(C6="","",INDEX('QC Requirements'!$B$5:$B$22,C6))</f>
        <v>Inspection notice &amp; hold-point log</v>
      </c>
    </row>
    <row r="7" customFormat="false" ht="22.35" hidden="false" customHeight="false" outlineLevel="0" collapsed="false">
      <c r="A7" s="19" t="s">
        <v>191</v>
      </c>
      <c r="B7" s="19" t="s">
        <v>182</v>
      </c>
      <c r="C7" s="19"/>
      <c r="D7" s="19"/>
      <c r="E7" s="19" t="s">
        <v>183</v>
      </c>
      <c r="F7" s="19" t="str">
        <f aca="false">IF(C7="","",INDEX('QC Requirements'!$B$5:$B$22,C7))</f>
        <v/>
      </c>
    </row>
    <row r="8" customFormat="false" ht="22.35" hidden="false" customHeight="false" outlineLevel="0" collapsed="false">
      <c r="A8" s="19" t="s">
        <v>192</v>
      </c>
      <c r="B8" s="19" t="s">
        <v>182</v>
      </c>
      <c r="C8" s="19"/>
      <c r="D8" s="19"/>
      <c r="E8" s="19" t="s">
        <v>183</v>
      </c>
      <c r="F8" s="19" t="str">
        <f aca="false">IF(C8="","",INDEX('QC Requirements'!$B$5:$B$22,C8))</f>
        <v/>
      </c>
    </row>
    <row r="9" customFormat="false" ht="22.35" hidden="false" customHeight="false" outlineLevel="0" collapsed="false">
      <c r="A9" s="19" t="s">
        <v>193</v>
      </c>
      <c r="B9" s="19" t="s">
        <v>187</v>
      </c>
      <c r="C9" s="19"/>
      <c r="D9" s="19"/>
      <c r="E9" s="19" t="s">
        <v>183</v>
      </c>
      <c r="F9" s="19" t="str">
        <f aca="false">IF(C9="","",INDEX('QC Requirements'!$B$5:$B$22,C9))</f>
        <v/>
      </c>
    </row>
    <row r="10" customFormat="false" ht="15" hidden="false" customHeight="false" outlineLevel="0" collapsed="false">
      <c r="A10" s="19" t="s">
        <v>194</v>
      </c>
      <c r="B10" s="19" t="s">
        <v>187</v>
      </c>
      <c r="C10" s="19" t="n">
        <v>1</v>
      </c>
      <c r="D10" s="19"/>
      <c r="E10" s="19" t="s">
        <v>195</v>
      </c>
      <c r="F10" s="19" t="str">
        <f aca="false">IF(C10="","",INDEX('QC Requirements'!$B$5:$B$22,C10))</f>
        <v>Inspection notice &amp; hold-point log</v>
      </c>
    </row>
    <row r="11" customFormat="false" ht="22.35" hidden="false" customHeight="false" outlineLevel="0" collapsed="false">
      <c r="A11" s="19" t="s">
        <v>196</v>
      </c>
      <c r="B11" s="19" t="s">
        <v>197</v>
      </c>
      <c r="C11" s="19"/>
      <c r="D11" s="19"/>
      <c r="E11" s="19" t="s">
        <v>183</v>
      </c>
      <c r="F11" s="19" t="str">
        <f aca="false">IF(C11="","",INDEX('QC Requirements'!$B$5:$B$22,C11))</f>
        <v/>
      </c>
    </row>
    <row r="12" customFormat="false" ht="22.35" hidden="false" customHeight="false" outlineLevel="0" collapsed="false">
      <c r="A12" s="19" t="s">
        <v>198</v>
      </c>
      <c r="B12" s="19" t="s">
        <v>182</v>
      </c>
      <c r="C12" s="19"/>
      <c r="D12" s="19"/>
      <c r="E12" s="19" t="s">
        <v>183</v>
      </c>
      <c r="F12" s="19" t="str">
        <f aca="false">IF(C12="","",INDEX('QC Requirements'!$B$5:$B$22,C12))</f>
        <v/>
      </c>
    </row>
    <row r="13" customFormat="false" ht="22.35" hidden="false" customHeight="false" outlineLevel="0" collapsed="false">
      <c r="A13" s="19" t="s">
        <v>199</v>
      </c>
      <c r="B13" s="19" t="s">
        <v>182</v>
      </c>
      <c r="C13" s="19"/>
      <c r="D13" s="19"/>
      <c r="E13" s="19" t="s">
        <v>183</v>
      </c>
      <c r="F13" s="19" t="str">
        <f aca="false">IF(C13="","",INDEX('QC Requirements'!$B$5:$B$22,C13))</f>
        <v/>
      </c>
    </row>
    <row r="14" customFormat="false" ht="15" hidden="false" customHeight="false" outlineLevel="0" collapsed="false">
      <c r="A14" s="19" t="s">
        <v>200</v>
      </c>
      <c r="B14" s="19" t="s">
        <v>187</v>
      </c>
      <c r="C14" s="19" t="n">
        <v>9</v>
      </c>
      <c r="D14" s="19"/>
      <c r="E14" s="19"/>
      <c r="F14" s="19" t="str">
        <f aca="false">IF(C14="","",INDEX('QC Requirements'!$B$5:$B$22,C14))</f>
        <v>Pipe pressure &amp; leakage test log</v>
      </c>
    </row>
    <row r="15" customFormat="false" ht="22.35" hidden="false" customHeight="false" outlineLevel="0" collapsed="false">
      <c r="A15" s="19" t="s">
        <v>201</v>
      </c>
      <c r="B15" s="19" t="s">
        <v>182</v>
      </c>
      <c r="C15" s="19"/>
      <c r="D15" s="19"/>
      <c r="E15" s="19" t="s">
        <v>183</v>
      </c>
      <c r="F15" s="19" t="str">
        <f aca="false">IF(C15="","",INDEX('QC Requirements'!$B$5:$B$22,C15))</f>
        <v/>
      </c>
    </row>
    <row r="16" customFormat="false" ht="15" hidden="false" customHeight="false" outlineLevel="0" collapsed="false">
      <c r="A16" s="19" t="s">
        <v>202</v>
      </c>
      <c r="B16" s="19" t="s">
        <v>179</v>
      </c>
      <c r="C16" s="19" t="n">
        <v>8</v>
      </c>
      <c r="D16" s="19"/>
      <c r="E16" s="19"/>
      <c r="F16" s="19" t="str">
        <f aca="false">IF(C16="","",INDEX('QC Requirements'!$B$5:$B$22,C16))</f>
        <v>Special inspection log (structural)</v>
      </c>
    </row>
    <row r="17" customFormat="false" ht="15" hidden="false" customHeight="false" outlineLevel="0" collapsed="false">
      <c r="A17" s="19" t="s">
        <v>203</v>
      </c>
      <c r="B17" s="19" t="s">
        <v>179</v>
      </c>
      <c r="C17" s="19" t="n">
        <v>8</v>
      </c>
      <c r="D17" s="19"/>
      <c r="E17" s="19"/>
      <c r="F17" s="19" t="str">
        <f aca="false">IF(C17="","",INDEX('QC Requirements'!$B$5:$B$22,C17))</f>
        <v>Special inspection log (structural)</v>
      </c>
    </row>
    <row r="18" customFormat="false" ht="22.35" hidden="false" customHeight="false" outlineLevel="0" collapsed="false">
      <c r="A18" s="19" t="s">
        <v>204</v>
      </c>
      <c r="B18" s="19" t="s">
        <v>182</v>
      </c>
      <c r="C18" s="19"/>
      <c r="D18" s="19"/>
      <c r="E18" s="19" t="s">
        <v>183</v>
      </c>
      <c r="F18" s="19" t="str">
        <f aca="false">IF(C18="","",INDEX('QC Requirements'!$B$5:$B$22,C18))</f>
        <v/>
      </c>
    </row>
    <row r="19" customFormat="false" ht="22.35" hidden="false" customHeight="false" outlineLevel="0" collapsed="false">
      <c r="A19" s="19" t="s">
        <v>205</v>
      </c>
      <c r="B19" s="19" t="s">
        <v>182</v>
      </c>
      <c r="C19" s="19"/>
      <c r="D19" s="19"/>
      <c r="E19" s="19" t="s">
        <v>183</v>
      </c>
      <c r="F19" s="19" t="str">
        <f aca="false">IF(C19="","",INDEX('QC Requirements'!$B$5:$B$22,C19))</f>
        <v/>
      </c>
    </row>
    <row r="20" customFormat="false" ht="15" hidden="false" customHeight="false" outlineLevel="0" collapsed="false">
      <c r="A20" s="19" t="s">
        <v>206</v>
      </c>
      <c r="B20" s="19" t="s">
        <v>207</v>
      </c>
      <c r="C20" s="19" t="n">
        <v>12</v>
      </c>
      <c r="D20" s="19"/>
      <c r="E20" s="19"/>
      <c r="F20" s="19" t="str">
        <f aca="false">IF(C20="","",INDEX('QC Requirements'!$B$5:$B$22,C20))</f>
        <v>Equipment testing, start-up &amp; training log</v>
      </c>
    </row>
    <row r="21" customFormat="false" ht="22.35" hidden="false" customHeight="false" outlineLevel="0" collapsed="false">
      <c r="A21" s="19" t="s">
        <v>208</v>
      </c>
      <c r="B21" s="19" t="s">
        <v>182</v>
      </c>
      <c r="C21" s="19"/>
      <c r="D21" s="19"/>
      <c r="E21" s="19" t="s">
        <v>183</v>
      </c>
      <c r="F21" s="19" t="str">
        <f aca="false">IF(C21="","",INDEX('QC Requirements'!$B$5:$B$22,C21))</f>
        <v/>
      </c>
    </row>
    <row r="22" customFormat="false" ht="22.35" hidden="false" customHeight="false" outlineLevel="0" collapsed="false">
      <c r="A22" s="19" t="s">
        <v>209</v>
      </c>
      <c r="B22" s="19" t="s">
        <v>187</v>
      </c>
      <c r="C22" s="19" t="n">
        <v>14</v>
      </c>
      <c r="D22" s="19"/>
      <c r="E22" s="19"/>
      <c r="F22" s="19" t="str">
        <f aca="false">IF(C22="","",INDEX('QC Requirements'!$B$5:$B$22,C22))</f>
        <v>Controls &amp; SCADA test log (factory and site acceptance)</v>
      </c>
    </row>
    <row r="23" customFormat="false" ht="22.35" hidden="false" customHeight="false" outlineLevel="0" collapsed="false">
      <c r="A23" s="19" t="s">
        <v>210</v>
      </c>
      <c r="B23" s="19" t="s">
        <v>187</v>
      </c>
      <c r="C23" s="19" t="n">
        <v>14</v>
      </c>
      <c r="D23" s="19"/>
      <c r="E23" s="19"/>
      <c r="F23" s="19" t="str">
        <f aca="false">IF(C23="","",INDEX('QC Requirements'!$B$5:$B$22,C23))</f>
        <v>Controls &amp; SCADA test log (factory and site acceptance)</v>
      </c>
    </row>
    <row r="24" customFormat="false" ht="22.35" hidden="false" customHeight="false" outlineLevel="0" collapsed="false">
      <c r="A24" s="19" t="s">
        <v>211</v>
      </c>
      <c r="B24" s="19" t="s">
        <v>187</v>
      </c>
      <c r="C24" s="19" t="n">
        <v>14</v>
      </c>
      <c r="D24" s="19"/>
      <c r="E24" s="19"/>
      <c r="F24" s="19" t="str">
        <f aca="false">IF(C24="","",INDEX('QC Requirements'!$B$5:$B$22,C24))</f>
        <v>Controls &amp; SCADA test log (factory and site acceptance)</v>
      </c>
    </row>
    <row r="25" customFormat="false" ht="22.35" hidden="false" customHeight="false" outlineLevel="0" collapsed="false">
      <c r="A25" s="19" t="s">
        <v>212</v>
      </c>
      <c r="B25" s="19" t="s">
        <v>182</v>
      </c>
      <c r="C25" s="19"/>
      <c r="D25" s="19"/>
      <c r="E25" s="19" t="s">
        <v>183</v>
      </c>
      <c r="F25" s="19" t="str">
        <f aca="false">IF(C25="","",INDEX('QC Requirements'!$B$5:$B$22,C25))</f>
        <v/>
      </c>
    </row>
    <row r="26" customFormat="false" ht="15" hidden="false" customHeight="false" outlineLevel="0" collapsed="false">
      <c r="A26" s="19" t="s">
        <v>213</v>
      </c>
      <c r="B26" s="19" t="s">
        <v>187</v>
      </c>
      <c r="C26" s="19" t="n">
        <v>1</v>
      </c>
      <c r="D26" s="19" t="s">
        <v>214</v>
      </c>
      <c r="E26" s="19"/>
      <c r="F26" s="19" t="str">
        <f aca="false">IF(C26="","",INDEX('QC Requirements'!$B$5:$B$22,C26))</f>
        <v>Inspection notice &amp; hold-point log</v>
      </c>
    </row>
    <row r="27" customFormat="false" ht="15" hidden="false" customHeight="false" outlineLevel="0" collapsed="false">
      <c r="A27" s="19" t="s">
        <v>215</v>
      </c>
      <c r="B27" s="19" t="s">
        <v>187</v>
      </c>
      <c r="C27" s="19" t="n">
        <v>18</v>
      </c>
      <c r="D27" s="19"/>
      <c r="E27" s="19"/>
      <c r="F27" s="19" t="str">
        <f aca="false">IF(C27="","",INDEX('QC Requirements'!$B$5:$B$22,C27))</f>
        <v>Turnover &amp; closeout checklist</v>
      </c>
    </row>
    <row r="28" customFormat="false" ht="15" hidden="false" customHeight="false" outlineLevel="0" collapsed="false">
      <c r="A28" s="19" t="s">
        <v>216</v>
      </c>
      <c r="B28" s="19" t="s">
        <v>187</v>
      </c>
      <c r="C28" s="19" t="n">
        <v>2</v>
      </c>
      <c r="D28" s="19" t="s">
        <v>217</v>
      </c>
      <c r="E28" s="19"/>
      <c r="F28" s="19" t="str">
        <f aca="false">IF(C28="","",INDEX('QC Requirements'!$B$5:$B$22,C28))</f>
        <v>Test report &amp; retest register</v>
      </c>
    </row>
    <row r="29" customFormat="false" ht="15" hidden="false" customHeight="false" outlineLevel="0" collapsed="false">
      <c r="A29" s="19" t="s">
        <v>218</v>
      </c>
      <c r="B29" s="19" t="s">
        <v>187</v>
      </c>
      <c r="C29" s="19" t="n">
        <v>2</v>
      </c>
      <c r="D29" s="19" t="s">
        <v>219</v>
      </c>
      <c r="E29" s="19"/>
      <c r="F29" s="19" t="str">
        <f aca="false">IF(C29="","",INDEX('QC Requirements'!$B$5:$B$22,C29))</f>
        <v>Test report &amp; retest register</v>
      </c>
    </row>
    <row r="30" customFormat="false" ht="22.35" hidden="false" customHeight="false" outlineLevel="0" collapsed="false">
      <c r="A30" s="19" t="s">
        <v>220</v>
      </c>
      <c r="B30" s="19" t="s">
        <v>221</v>
      </c>
      <c r="C30" s="19" t="n">
        <v>2</v>
      </c>
      <c r="D30" s="19" t="s">
        <v>222</v>
      </c>
      <c r="E30" s="19" t="s">
        <v>223</v>
      </c>
      <c r="F30" s="19" t="str">
        <f aca="false">IF(C30="","",INDEX('QC Requirements'!$B$5:$B$22,C30))</f>
        <v>Test report &amp; retest register</v>
      </c>
    </row>
    <row r="31" customFormat="false" ht="43.25" hidden="false" customHeight="false" outlineLevel="0" collapsed="false">
      <c r="A31" s="19" t="s">
        <v>224</v>
      </c>
      <c r="B31" s="19" t="s">
        <v>225</v>
      </c>
      <c r="C31" s="19" t="n">
        <v>11</v>
      </c>
      <c r="D31" s="19" t="s">
        <v>226</v>
      </c>
      <c r="E31" s="19" t="s">
        <v>227</v>
      </c>
      <c r="F31" s="19" t="str">
        <f aca="false">IF(C31="","",INDEX('QC Requirements'!$B$5:$B$22,C31))</f>
        <v>Structure clean-water leakage test log</v>
      </c>
    </row>
    <row r="32" customFormat="false" ht="15" hidden="false" customHeight="false" outlineLevel="0" collapsed="false">
      <c r="A32" s="19" t="s">
        <v>228</v>
      </c>
      <c r="B32" s="19" t="s">
        <v>197</v>
      </c>
      <c r="C32" s="19" t="n">
        <v>11</v>
      </c>
      <c r="D32" s="19"/>
      <c r="E32" s="19"/>
      <c r="F32" s="19" t="str">
        <f aca="false">IF(C32="","",INDEX('QC Requirements'!$B$5:$B$22,C32))</f>
        <v>Structure clean-water leakage test log</v>
      </c>
    </row>
    <row r="33" customFormat="false" ht="15" hidden="false" customHeight="false" outlineLevel="0" collapsed="false">
      <c r="A33" s="19" t="s">
        <v>229</v>
      </c>
      <c r="B33" s="19" t="s">
        <v>187</v>
      </c>
      <c r="C33" s="19" t="n">
        <v>3</v>
      </c>
      <c r="D33" s="19"/>
      <c r="E33" s="19"/>
      <c r="F33" s="19" t="str">
        <f aca="false">IF(C33="","",INDEX('QC Requirements'!$B$5:$B$22,C33))</f>
        <v>Material receiving inspection log</v>
      </c>
    </row>
    <row r="34" customFormat="false" ht="15" hidden="false" customHeight="false" outlineLevel="0" collapsed="false">
      <c r="A34" s="19" t="s">
        <v>230</v>
      </c>
      <c r="B34" s="19" t="s">
        <v>185</v>
      </c>
      <c r="C34" s="19" t="n">
        <v>18</v>
      </c>
      <c r="D34" s="19"/>
      <c r="E34" s="19"/>
      <c r="F34" s="19" t="str">
        <f aca="false">IF(C34="","",INDEX('QC Requirements'!$B$5:$B$22,C34))</f>
        <v>Turnover &amp; closeout checklist</v>
      </c>
    </row>
    <row r="35" customFormat="false" ht="15" hidden="false" customHeight="false" outlineLevel="0" collapsed="false">
      <c r="A35" s="19" t="s">
        <v>231</v>
      </c>
      <c r="B35" s="19" t="s">
        <v>185</v>
      </c>
      <c r="C35" s="19" t="n">
        <v>12</v>
      </c>
      <c r="D35" s="19" t="s">
        <v>232</v>
      </c>
      <c r="E35" s="19"/>
      <c r="F35" s="19" t="str">
        <f aca="false">IF(C35="","",INDEX('QC Requirements'!$B$5:$B$22,C35))</f>
        <v>Equipment testing, start-up &amp; training log</v>
      </c>
    </row>
    <row r="36" customFormat="false" ht="15" hidden="false" customHeight="false" outlineLevel="0" collapsed="false">
      <c r="A36" s="19" t="s">
        <v>233</v>
      </c>
      <c r="B36" s="19" t="s">
        <v>234</v>
      </c>
      <c r="C36" s="19" t="n">
        <v>12</v>
      </c>
      <c r="D36" s="19"/>
      <c r="E36" s="19"/>
      <c r="F36" s="19" t="str">
        <f aca="false">IF(C36="","",INDEX('QC Requirements'!$B$5:$B$22,C36))</f>
        <v>Equipment testing, start-up &amp; training log</v>
      </c>
    </row>
    <row r="37" customFormat="false" ht="15" hidden="false" customHeight="false" outlineLevel="0" collapsed="false">
      <c r="A37" s="19" t="s">
        <v>235</v>
      </c>
      <c r="B37" s="19" t="s">
        <v>236</v>
      </c>
      <c r="C37" s="19" t="n">
        <v>6</v>
      </c>
      <c r="D37" s="19" t="s">
        <v>180</v>
      </c>
      <c r="E37" s="19"/>
      <c r="F37" s="19" t="str">
        <f aca="false">IF(C37="","",INDEX('QC Requirements'!$B$5:$B$22,C37))</f>
        <v>Concrete placement &amp; testing log</v>
      </c>
    </row>
    <row r="38" customFormat="false" ht="15" hidden="false" customHeight="false" outlineLevel="0" collapsed="false">
      <c r="A38" s="19" t="s">
        <v>237</v>
      </c>
      <c r="B38" s="19" t="s">
        <v>187</v>
      </c>
      <c r="C38" s="19" t="n">
        <v>7</v>
      </c>
      <c r="D38" s="19"/>
      <c r="E38" s="19"/>
      <c r="F38" s="19" t="str">
        <f aca="false">IF(C38="","",INDEX('QC Requirements'!$B$5:$B$22,C38))</f>
        <v>Precast structure receiving &amp; inspection log</v>
      </c>
    </row>
    <row r="39" customFormat="false" ht="15" hidden="false" customHeight="false" outlineLevel="0" collapsed="false">
      <c r="A39" s="19" t="s">
        <v>238</v>
      </c>
      <c r="B39" s="19" t="s">
        <v>187</v>
      </c>
      <c r="C39" s="19" t="n">
        <v>15</v>
      </c>
      <c r="D39" s="19"/>
      <c r="E39" s="19"/>
      <c r="F39" s="19" t="str">
        <f aca="false">IF(C39="","",INDEX('QC Requirements'!$B$5:$B$22,C39))</f>
        <v>Coatings inspection log</v>
      </c>
    </row>
    <row r="40" customFormat="false" ht="15" hidden="false" customHeight="false" outlineLevel="0" collapsed="false">
      <c r="A40" s="19" t="s">
        <v>239</v>
      </c>
      <c r="B40" s="19" t="s">
        <v>187</v>
      </c>
      <c r="C40" s="19" t="n">
        <v>18</v>
      </c>
      <c r="D40" s="19"/>
      <c r="E40" s="19"/>
      <c r="F40" s="19" t="str">
        <f aca="false">IF(C40="","",INDEX('QC Requirements'!$B$5:$B$22,C40))</f>
        <v>Turnover &amp; closeout checklist</v>
      </c>
    </row>
    <row r="41" customFormat="false" ht="22.35" hidden="false" customHeight="false" outlineLevel="0" collapsed="false">
      <c r="A41" s="19" t="s">
        <v>240</v>
      </c>
      <c r="B41" s="19" t="s">
        <v>187</v>
      </c>
      <c r="C41" s="19"/>
      <c r="D41" s="19"/>
      <c r="E41" s="19" t="s">
        <v>183</v>
      </c>
      <c r="F41" s="19" t="str">
        <f aca="false">IF(C41="","",INDEX('QC Requirements'!$B$5:$B$22,C41))</f>
        <v/>
      </c>
    </row>
    <row r="42" customFormat="false" ht="15" hidden="false" customHeight="false" outlineLevel="0" collapsed="false">
      <c r="A42" s="19" t="s">
        <v>241</v>
      </c>
      <c r="B42" s="19" t="s">
        <v>234</v>
      </c>
      <c r="C42" s="19" t="n">
        <v>12</v>
      </c>
      <c r="D42" s="19"/>
      <c r="E42" s="19"/>
      <c r="F42" s="19" t="str">
        <f aca="false">IF(C42="","",INDEX('QC Requirements'!$B$5:$B$22,C42))</f>
        <v>Equipment testing, start-up &amp; training log</v>
      </c>
    </row>
    <row r="43" customFormat="false" ht="15" hidden="false" customHeight="false" outlineLevel="0" collapsed="false">
      <c r="A43" s="19" t="s">
        <v>242</v>
      </c>
      <c r="B43" s="19" t="s">
        <v>187</v>
      </c>
      <c r="C43" s="19" t="n">
        <v>12</v>
      </c>
      <c r="D43" s="19"/>
      <c r="E43" s="19"/>
      <c r="F43" s="19" t="str">
        <f aca="false">IF(C43="","",INDEX('QC Requirements'!$B$5:$B$22,C43))</f>
        <v>Equipment testing, start-up &amp; training log</v>
      </c>
    </row>
    <row r="44" customFormat="false" ht="22.35" hidden="false" customHeight="false" outlineLevel="0" collapsed="false">
      <c r="A44" s="19" t="s">
        <v>243</v>
      </c>
      <c r="B44" s="19" t="s">
        <v>244</v>
      </c>
      <c r="C44" s="19" t="n">
        <v>12</v>
      </c>
      <c r="D44" s="19"/>
      <c r="E44" s="19"/>
      <c r="F44" s="19" t="str">
        <f aca="false">IF(C44="","",INDEX('QC Requirements'!$B$5:$B$22,C44))</f>
        <v>Equipment testing, start-up &amp; training log</v>
      </c>
    </row>
    <row r="45" customFormat="false" ht="15" hidden="false" customHeight="false" outlineLevel="0" collapsed="false">
      <c r="A45" s="19" t="s">
        <v>245</v>
      </c>
      <c r="B45" s="19" t="s">
        <v>234</v>
      </c>
      <c r="C45" s="19" t="n">
        <v>12</v>
      </c>
      <c r="D45" s="19"/>
      <c r="E45" s="19"/>
      <c r="F45" s="19" t="str">
        <f aca="false">IF(C45="","",INDEX('QC Requirements'!$B$5:$B$22,C45))</f>
        <v>Equipment testing, start-up &amp; training log</v>
      </c>
    </row>
    <row r="46" customFormat="false" ht="15" hidden="false" customHeight="false" outlineLevel="0" collapsed="false">
      <c r="A46" s="19" t="s">
        <v>246</v>
      </c>
      <c r="B46" s="19" t="s">
        <v>234</v>
      </c>
      <c r="C46" s="19" t="n">
        <v>13</v>
      </c>
      <c r="D46" s="19"/>
      <c r="E46" s="19"/>
      <c r="F46" s="19" t="str">
        <f aca="false">IF(C46="","",INDEX('QC Requirements'!$B$5:$B$22,C46))</f>
        <v>Electrical testing &amp; energization log (incl. generators)</v>
      </c>
    </row>
    <row r="47" customFormat="false" ht="15" hidden="false" customHeight="false" outlineLevel="0" collapsed="false">
      <c r="A47" s="19" t="s">
        <v>247</v>
      </c>
      <c r="B47" s="19" t="s">
        <v>248</v>
      </c>
      <c r="C47" s="19" t="n">
        <v>13</v>
      </c>
      <c r="D47" s="19"/>
      <c r="E47" s="19"/>
      <c r="F47" s="19" t="str">
        <f aca="false">IF(C47="","",INDEX('QC Requirements'!$B$5:$B$22,C47))</f>
        <v>Electrical testing &amp; energization log (incl. generators)</v>
      </c>
    </row>
    <row r="48" customFormat="false" ht="15" hidden="false" customHeight="false" outlineLevel="0" collapsed="false">
      <c r="A48" s="19" t="s">
        <v>249</v>
      </c>
      <c r="B48" s="19" t="s">
        <v>248</v>
      </c>
      <c r="C48" s="19" t="n">
        <v>13</v>
      </c>
      <c r="D48" s="19"/>
      <c r="E48" s="19"/>
      <c r="F48" s="19" t="str">
        <f aca="false">IF(C48="","",INDEX('QC Requirements'!$B$5:$B$22,C48))</f>
        <v>Electrical testing &amp; energization log (incl. generators)</v>
      </c>
    </row>
    <row r="49" customFormat="false" ht="22.35" hidden="false" customHeight="false" outlineLevel="0" collapsed="false">
      <c r="A49" s="19" t="s">
        <v>250</v>
      </c>
      <c r="B49" s="19" t="s">
        <v>187</v>
      </c>
      <c r="C49" s="19"/>
      <c r="D49" s="19"/>
      <c r="E49" s="19" t="s">
        <v>183</v>
      </c>
      <c r="F49" s="19" t="str">
        <f aca="false">IF(C49="","",INDEX('QC Requirements'!$B$5:$B$22,C49))</f>
        <v/>
      </c>
    </row>
    <row r="50" customFormat="false" ht="15" hidden="false" customHeight="false" outlineLevel="0" collapsed="false">
      <c r="A50" s="19" t="s">
        <v>251</v>
      </c>
      <c r="B50" s="19" t="s">
        <v>187</v>
      </c>
      <c r="C50" s="19" t="n">
        <v>13</v>
      </c>
      <c r="D50" s="19"/>
      <c r="E50" s="19"/>
      <c r="F50" s="19" t="str">
        <f aca="false">IF(C50="","",INDEX('QC Requirements'!$B$5:$B$22,C50))</f>
        <v>Electrical testing &amp; energization log (incl. generators)</v>
      </c>
    </row>
    <row r="51" customFormat="false" ht="15" hidden="false" customHeight="false" outlineLevel="0" collapsed="false">
      <c r="A51" s="19" t="s">
        <v>252</v>
      </c>
      <c r="B51" s="19" t="s">
        <v>207</v>
      </c>
      <c r="C51" s="19" t="n">
        <v>13</v>
      </c>
      <c r="D51" s="19" t="s">
        <v>253</v>
      </c>
      <c r="E51" s="19"/>
      <c r="F51" s="19" t="str">
        <f aca="false">IF(C51="","",INDEX('QC Requirements'!$B$5:$B$22,C51))</f>
        <v>Electrical testing &amp; energization log (incl. generators)</v>
      </c>
    </row>
    <row r="52" customFormat="false" ht="15" hidden="false" customHeight="false" outlineLevel="0" collapsed="false">
      <c r="A52" s="19" t="s">
        <v>254</v>
      </c>
      <c r="B52" s="19" t="s">
        <v>187</v>
      </c>
      <c r="C52" s="19" t="n">
        <v>13</v>
      </c>
      <c r="D52" s="19"/>
      <c r="E52" s="19"/>
      <c r="F52" s="19" t="str">
        <f aca="false">IF(C52="","",INDEX('QC Requirements'!$B$5:$B$22,C52))</f>
        <v>Electrical testing &amp; energization log (incl. generators)</v>
      </c>
    </row>
    <row r="53" customFormat="false" ht="22.35" hidden="false" customHeight="false" outlineLevel="0" collapsed="false">
      <c r="A53" s="19" t="s">
        <v>255</v>
      </c>
      <c r="B53" s="19" t="s">
        <v>244</v>
      </c>
      <c r="C53" s="19" t="n">
        <v>13</v>
      </c>
      <c r="D53" s="19"/>
      <c r="E53" s="19"/>
      <c r="F53" s="19" t="str">
        <f aca="false">IF(C53="","",INDEX('QC Requirements'!$B$5:$B$22,C53))</f>
        <v>Electrical testing &amp; energization log (incl. generators)</v>
      </c>
    </row>
    <row r="54" customFormat="false" ht="15" hidden="false" customHeight="false" outlineLevel="0" collapsed="false">
      <c r="A54" s="19" t="s">
        <v>256</v>
      </c>
      <c r="B54" s="19" t="s">
        <v>234</v>
      </c>
      <c r="C54" s="19" t="n">
        <v>13</v>
      </c>
      <c r="D54" s="19"/>
      <c r="E54" s="19"/>
      <c r="F54" s="19" t="str">
        <f aca="false">IF(C54="","",INDEX('QC Requirements'!$B$5:$B$22,C54))</f>
        <v>Electrical testing &amp; energization log (incl. generators)</v>
      </c>
    </row>
    <row r="55" customFormat="false" ht="22.35" hidden="false" customHeight="false" outlineLevel="0" collapsed="false">
      <c r="A55" s="19" t="s">
        <v>257</v>
      </c>
      <c r="B55" s="19" t="s">
        <v>187</v>
      </c>
      <c r="C55" s="19"/>
      <c r="D55" s="19"/>
      <c r="E55" s="19" t="s">
        <v>183</v>
      </c>
      <c r="F55" s="19" t="str">
        <f aca="false">IF(C55="","",INDEX('QC Requirements'!$B$5:$B$22,C55))</f>
        <v/>
      </c>
    </row>
    <row r="56" customFormat="false" ht="15" hidden="false" customHeight="false" outlineLevel="0" collapsed="false">
      <c r="A56" s="19" t="s">
        <v>258</v>
      </c>
      <c r="B56" s="19" t="s">
        <v>207</v>
      </c>
      <c r="C56" s="19" t="n">
        <v>13</v>
      </c>
      <c r="D56" s="19"/>
      <c r="E56" s="19"/>
      <c r="F56" s="19" t="str">
        <f aca="false">IF(C56="","",INDEX('QC Requirements'!$B$5:$B$22,C56))</f>
        <v>Electrical testing &amp; energization log (incl. generators)</v>
      </c>
    </row>
    <row r="57" customFormat="false" ht="15" hidden="false" customHeight="false" outlineLevel="0" collapsed="false">
      <c r="A57" s="19" t="s">
        <v>259</v>
      </c>
      <c r="B57" s="19" t="s">
        <v>187</v>
      </c>
      <c r="C57" s="19" t="n">
        <v>13</v>
      </c>
      <c r="D57" s="19"/>
      <c r="E57" s="19"/>
      <c r="F57" s="19" t="str">
        <f aca="false">IF(C57="","",INDEX('QC Requirements'!$B$5:$B$22,C57))</f>
        <v>Electrical testing &amp; energization log (incl. generators)</v>
      </c>
    </row>
    <row r="58" customFormat="false" ht="22.35" hidden="false" customHeight="false" outlineLevel="0" collapsed="false">
      <c r="A58" s="19" t="s">
        <v>260</v>
      </c>
      <c r="B58" s="19" t="s">
        <v>185</v>
      </c>
      <c r="C58" s="19" t="n">
        <v>14</v>
      </c>
      <c r="D58" s="19"/>
      <c r="E58" s="19"/>
      <c r="F58" s="19" t="str">
        <f aca="false">IF(C58="","",INDEX('QC Requirements'!$B$5:$B$22,C58))</f>
        <v>Controls &amp; SCADA test log (factory and site acceptance)</v>
      </c>
    </row>
    <row r="59" customFormat="false" ht="22.35" hidden="false" customHeight="false" outlineLevel="0" collapsed="false">
      <c r="A59" s="19" t="s">
        <v>261</v>
      </c>
      <c r="B59" s="19" t="s">
        <v>262</v>
      </c>
      <c r="C59" s="19" t="n">
        <v>14</v>
      </c>
      <c r="D59" s="19"/>
      <c r="E59" s="19"/>
      <c r="F59" s="19" t="str">
        <f aca="false">IF(C59="","",INDEX('QC Requirements'!$B$5:$B$22,C59))</f>
        <v>Controls &amp; SCADA test log (factory and site acceptance)</v>
      </c>
    </row>
    <row r="60" customFormat="false" ht="22.35" hidden="false" customHeight="false" outlineLevel="0" collapsed="false">
      <c r="A60" s="19" t="s">
        <v>263</v>
      </c>
      <c r="B60" s="19" t="s">
        <v>187</v>
      </c>
      <c r="C60" s="19"/>
      <c r="D60" s="19"/>
      <c r="E60" s="19" t="s">
        <v>183</v>
      </c>
      <c r="F60" s="19" t="str">
        <f aca="false">IF(C60="","",INDEX('QC Requirements'!$B$5:$B$22,C60))</f>
        <v/>
      </c>
    </row>
    <row r="61" customFormat="false" ht="15" hidden="false" customHeight="false" outlineLevel="0" collapsed="false">
      <c r="A61" s="19" t="s">
        <v>264</v>
      </c>
      <c r="B61" s="19" t="s">
        <v>265</v>
      </c>
      <c r="C61" s="19" t="n">
        <v>5</v>
      </c>
      <c r="D61" s="19"/>
      <c r="E61" s="19"/>
      <c r="F61" s="19" t="str">
        <f aca="false">IF(C61="","",INDEX('QC Requirements'!$B$5:$B$22,C61))</f>
        <v>Soils &amp; compaction test log</v>
      </c>
    </row>
    <row r="62" customFormat="false" ht="15" hidden="false" customHeight="false" outlineLevel="0" collapsed="false">
      <c r="A62" s="19" t="s">
        <v>266</v>
      </c>
      <c r="B62" s="19" t="s">
        <v>187</v>
      </c>
      <c r="C62" s="19" t="n">
        <v>5</v>
      </c>
      <c r="D62" s="19"/>
      <c r="E62" s="19"/>
      <c r="F62" s="19" t="str">
        <f aca="false">IF(C62="","",INDEX('QC Requirements'!$B$5:$B$22,C62))</f>
        <v>Soils &amp; compaction test log</v>
      </c>
    </row>
    <row r="63" customFormat="false" ht="15" hidden="false" customHeight="false" outlineLevel="0" collapsed="false">
      <c r="A63" s="19" t="s">
        <v>267</v>
      </c>
      <c r="B63" s="19" t="s">
        <v>187</v>
      </c>
      <c r="C63" s="19" t="n">
        <v>17</v>
      </c>
      <c r="D63" s="19"/>
      <c r="E63" s="19"/>
      <c r="F63" s="19" t="str">
        <f aca="false">IF(C63="","",INDEX('QC Requirements'!$B$5:$B$22,C63))</f>
        <v>Dewatering &amp; erosion control monitoring log</v>
      </c>
    </row>
    <row r="64" customFormat="false" ht="15" hidden="false" customHeight="false" outlineLevel="0" collapsed="false">
      <c r="A64" s="19" t="s">
        <v>268</v>
      </c>
      <c r="B64" s="19" t="s">
        <v>265</v>
      </c>
      <c r="C64" s="19" t="n">
        <v>5</v>
      </c>
      <c r="D64" s="19"/>
      <c r="E64" s="19"/>
      <c r="F64" s="19" t="str">
        <f aca="false">IF(C64="","",INDEX('QC Requirements'!$B$5:$B$22,C64))</f>
        <v>Soils &amp; compaction test log</v>
      </c>
    </row>
    <row r="65" customFormat="false" ht="15" hidden="false" customHeight="false" outlineLevel="0" collapsed="false">
      <c r="A65" s="19" t="s">
        <v>269</v>
      </c>
      <c r="B65" s="19" t="s">
        <v>187</v>
      </c>
      <c r="C65" s="19" t="n">
        <v>5</v>
      </c>
      <c r="D65" s="19"/>
      <c r="E65" s="19"/>
      <c r="F65" s="19" t="str">
        <f aca="false">IF(C65="","",INDEX('QC Requirements'!$B$5:$B$22,C65))</f>
        <v>Soils &amp; compaction test log</v>
      </c>
    </row>
    <row r="66" customFormat="false" ht="15" hidden="false" customHeight="false" outlineLevel="0" collapsed="false">
      <c r="A66" s="19" t="s">
        <v>270</v>
      </c>
      <c r="B66" s="19" t="s">
        <v>187</v>
      </c>
      <c r="C66" s="19" t="n">
        <v>17</v>
      </c>
      <c r="D66" s="19"/>
      <c r="E66" s="19"/>
      <c r="F66" s="19" t="str">
        <f aca="false">IF(C66="","",INDEX('QC Requirements'!$B$5:$B$22,C66))</f>
        <v>Dewatering &amp; erosion control monitoring log</v>
      </c>
    </row>
    <row r="67" customFormat="false" ht="15" hidden="false" customHeight="false" outlineLevel="0" collapsed="false">
      <c r="A67" s="19" t="s">
        <v>271</v>
      </c>
      <c r="B67" s="19" t="s">
        <v>265</v>
      </c>
      <c r="C67" s="19" t="n">
        <v>16</v>
      </c>
      <c r="D67" s="19"/>
      <c r="E67" s="19"/>
      <c r="F67" s="19" t="str">
        <f aca="false">IF(C67="","",INDEX('QC Requirements'!$B$5:$B$22,C67))</f>
        <v>Asphalt paving QC log</v>
      </c>
    </row>
    <row r="68" customFormat="false" ht="15" hidden="false" customHeight="false" outlineLevel="0" collapsed="false">
      <c r="A68" s="19" t="s">
        <v>272</v>
      </c>
      <c r="B68" s="19" t="s">
        <v>187</v>
      </c>
      <c r="C68" s="19" t="n">
        <v>5</v>
      </c>
      <c r="D68" s="19"/>
      <c r="E68" s="19"/>
      <c r="F68" s="19" t="str">
        <f aca="false">IF(C68="","",INDEX('QC Requirements'!$B$5:$B$22,C68))</f>
        <v>Soils &amp; compaction test log</v>
      </c>
    </row>
    <row r="69" customFormat="false" ht="15" hidden="false" customHeight="false" outlineLevel="0" collapsed="false">
      <c r="A69" s="19" t="s">
        <v>273</v>
      </c>
      <c r="B69" s="19" t="s">
        <v>197</v>
      </c>
      <c r="C69" s="19" t="n">
        <v>9</v>
      </c>
      <c r="D69" s="19"/>
      <c r="E69" s="19"/>
      <c r="F69" s="19" t="str">
        <f aca="false">IF(C69="","",INDEX('QC Requirements'!$B$5:$B$22,C69))</f>
        <v>Pipe pressure &amp; leakage test log</v>
      </c>
    </row>
    <row r="70" customFormat="false" ht="22.35" hidden="false" customHeight="false" outlineLevel="0" collapsed="false">
      <c r="A70" s="19" t="s">
        <v>274</v>
      </c>
      <c r="B70" s="19" t="s">
        <v>221</v>
      </c>
      <c r="C70" s="19" t="n">
        <v>10</v>
      </c>
      <c r="D70" s="19" t="s">
        <v>275</v>
      </c>
      <c r="E70" s="19"/>
      <c r="F70" s="19" t="str">
        <f aca="false">IF(C70="","",INDEX('QC Requirements'!$B$5:$B$22,C70))</f>
        <v>Water line disinfection &amp; bacteriological log</v>
      </c>
    </row>
    <row r="71" customFormat="false" ht="15" hidden="false" customHeight="false" outlineLevel="0" collapsed="false">
      <c r="A71" s="19" t="s">
        <v>276</v>
      </c>
      <c r="B71" s="19" t="s">
        <v>187</v>
      </c>
      <c r="C71" s="19" t="n">
        <v>9</v>
      </c>
      <c r="D71" s="19"/>
      <c r="E71" s="19" t="s">
        <v>277</v>
      </c>
      <c r="F71" s="19" t="str">
        <f aca="false">IF(C71="","",INDEX('QC Requirements'!$B$5:$B$22,C71))</f>
        <v>Pipe pressure &amp; leakage test log</v>
      </c>
    </row>
    <row r="72" customFormat="false" ht="22.35" hidden="false" customHeight="false" outlineLevel="0" collapsed="false">
      <c r="A72" s="19" t="s">
        <v>278</v>
      </c>
      <c r="B72" s="19" t="s">
        <v>279</v>
      </c>
      <c r="C72" s="19" t="n">
        <v>9</v>
      </c>
      <c r="D72" s="19" t="s">
        <v>280</v>
      </c>
      <c r="E72" s="19"/>
      <c r="F72" s="19" t="str">
        <f aca="false">IF(C72="","",INDEX('QC Requirements'!$B$5:$B$22,C72))</f>
        <v>Pipe pressure &amp; leakage test log</v>
      </c>
    </row>
    <row r="73" customFormat="false" ht="15" hidden="false" customHeight="false" outlineLevel="0" collapsed="false">
      <c r="A73" s="19" t="s">
        <v>281</v>
      </c>
      <c r="B73" s="19" t="s">
        <v>197</v>
      </c>
      <c r="C73" s="19" t="n">
        <v>9</v>
      </c>
      <c r="D73" s="19"/>
      <c r="E73" s="19"/>
      <c r="F73" s="19" t="str">
        <f aca="false">IF(C73="","",INDEX('QC Requirements'!$B$5:$B$22,C73))</f>
        <v>Pipe pressure &amp; leakage test log</v>
      </c>
    </row>
    <row r="74" customFormat="false" ht="15" hidden="false" customHeight="false" outlineLevel="0" collapsed="false">
      <c r="A74" s="19" t="s">
        <v>282</v>
      </c>
      <c r="B74" s="19" t="s">
        <v>182</v>
      </c>
      <c r="C74" s="19" t="n">
        <v>10</v>
      </c>
      <c r="D74" s="19"/>
      <c r="E74" s="19"/>
      <c r="F74" s="19" t="str">
        <f aca="false">IF(C74="","",INDEX('QC Requirements'!$B$5:$B$22,C74))</f>
        <v>Water line disinfection &amp; bacteriological log</v>
      </c>
    </row>
    <row r="75" customFormat="false" ht="15" hidden="false" customHeight="false" outlineLevel="0" collapsed="false">
      <c r="A75" s="19" t="s">
        <v>283</v>
      </c>
      <c r="B75" s="19" t="s">
        <v>187</v>
      </c>
      <c r="C75" s="19" t="n">
        <v>9</v>
      </c>
      <c r="D75" s="19"/>
      <c r="E75" s="19"/>
      <c r="F75" s="19" t="str">
        <f aca="false">IF(C75="","",INDEX('QC Requirements'!$B$5:$B$22,C75))</f>
        <v>Pipe pressure &amp; leakage test log</v>
      </c>
    </row>
    <row r="76" customFormat="false" ht="15" hidden="false" customHeight="false" outlineLevel="0" collapsed="false">
      <c r="A76" s="19" t="s">
        <v>284</v>
      </c>
      <c r="B76" s="19" t="s">
        <v>197</v>
      </c>
      <c r="C76" s="19" t="n">
        <v>9</v>
      </c>
      <c r="D76" s="19"/>
      <c r="E76" s="19"/>
      <c r="F76" s="19" t="str">
        <f aca="false">IF(C76="","",INDEX('QC Requirements'!$B$5:$B$22,C76))</f>
        <v>Pipe pressure &amp; leakage test log</v>
      </c>
    </row>
    <row r="77" customFormat="false" ht="22.35" hidden="false" customHeight="false" outlineLevel="0" collapsed="false">
      <c r="A77" s="19" t="s">
        <v>285</v>
      </c>
      <c r="B77" s="19" t="s">
        <v>187</v>
      </c>
      <c r="C77" s="19"/>
      <c r="D77" s="19"/>
      <c r="E77" s="19" t="s">
        <v>183</v>
      </c>
      <c r="F77" s="19" t="str">
        <f aca="false">IF(C77="","",INDEX('QC Requirements'!$B$5:$B$22,C77))</f>
        <v/>
      </c>
    </row>
    <row r="78" customFormat="false" ht="15" hidden="false" customHeight="false" outlineLevel="0" collapsed="false">
      <c r="A78" s="19" t="s">
        <v>286</v>
      </c>
      <c r="B78" s="19" t="s">
        <v>207</v>
      </c>
      <c r="C78" s="19" t="n">
        <v>12</v>
      </c>
      <c r="D78" s="19"/>
      <c r="E78" s="19"/>
      <c r="F78" s="19" t="str">
        <f aca="false">IF(C78="","",INDEX('QC Requirements'!$B$5:$B$22,C78))</f>
        <v>Equipment testing, start-up &amp; training log</v>
      </c>
    </row>
    <row r="79" customFormat="false" ht="22.35" hidden="false" customHeight="false" outlineLevel="0" collapsed="false">
      <c r="A79" s="19" t="s">
        <v>287</v>
      </c>
      <c r="B79" s="19" t="s">
        <v>187</v>
      </c>
      <c r="C79" s="19"/>
      <c r="D79" s="19"/>
      <c r="E79" s="19" t="s">
        <v>183</v>
      </c>
      <c r="F79" s="19" t="str">
        <f aca="false">IF(C79="","",INDEX('QC Requirements'!$B$5:$B$22,C79))</f>
        <v/>
      </c>
    </row>
    <row r="80" customFormat="false" ht="15" hidden="false" customHeight="false" outlineLevel="0" collapsed="false">
      <c r="A80" s="19" t="s">
        <v>288</v>
      </c>
      <c r="B80" s="19" t="s">
        <v>187</v>
      </c>
      <c r="C80" s="19" t="n">
        <v>9</v>
      </c>
      <c r="D80" s="19"/>
      <c r="E80" s="19"/>
      <c r="F80" s="19" t="str">
        <f aca="false">IF(C80="","",INDEX('QC Requirements'!$B$5:$B$22,C80))</f>
        <v>Pipe pressure &amp; leakage test log</v>
      </c>
    </row>
    <row r="81" customFormat="false" ht="32.8" hidden="false" customHeight="false" outlineLevel="0" collapsed="false">
      <c r="A81" s="19" t="s">
        <v>289</v>
      </c>
      <c r="B81" s="19" t="s">
        <v>290</v>
      </c>
      <c r="C81" s="19" t="n">
        <v>12</v>
      </c>
      <c r="D81" s="19"/>
      <c r="E81" s="19"/>
      <c r="F81" s="19" t="str">
        <f aca="false">IF(C81="","",INDEX('QC Requirements'!$B$5:$B$22,C81))</f>
        <v>Equipment testing, start-up &amp; training log</v>
      </c>
    </row>
    <row r="82" customFormat="false" ht="22.35" hidden="false" customHeight="false" outlineLevel="0" collapsed="false">
      <c r="A82" s="19" t="s">
        <v>291</v>
      </c>
      <c r="B82" s="19" t="s">
        <v>279</v>
      </c>
      <c r="C82" s="19" t="n">
        <v>12</v>
      </c>
      <c r="D82" s="19" t="s">
        <v>275</v>
      </c>
      <c r="E82" s="19"/>
      <c r="F82" s="19" t="str">
        <f aca="false">IF(C82="","",INDEX('QC Requirements'!$B$5:$B$22,C82))</f>
        <v>Equipment testing, start-up &amp; training log</v>
      </c>
    </row>
    <row r="83" customFormat="false" ht="22.35" hidden="false" customHeight="false" outlineLevel="0" collapsed="false">
      <c r="A83" s="19" t="s">
        <v>292</v>
      </c>
      <c r="B83" s="19" t="s">
        <v>221</v>
      </c>
      <c r="C83" s="19"/>
      <c r="D83" s="19"/>
      <c r="E83" s="19" t="s">
        <v>183</v>
      </c>
      <c r="F83" s="19" t="str">
        <f aca="false">IF(C83="","",INDEX('QC Requirements'!$B$5:$B$22,C83))</f>
        <v/>
      </c>
    </row>
    <row r="84" customFormat="false" ht="15" hidden="false" customHeight="false" outlineLevel="0" collapsed="false">
      <c r="A84" s="19" t="s">
        <v>293</v>
      </c>
      <c r="B84" s="19" t="s">
        <v>234</v>
      </c>
      <c r="C84" s="19" t="n">
        <v>12</v>
      </c>
      <c r="D84" s="19"/>
      <c r="E84" s="19"/>
      <c r="F84" s="19" t="str">
        <f aca="false">IF(C84="","",INDEX('QC Requirements'!$B$5:$B$22,C84))</f>
        <v>Equipment testing, start-up &amp; training log</v>
      </c>
    </row>
    <row r="85" customFormat="false" ht="15" hidden="false" customHeight="false" outlineLevel="0" collapsed="false">
      <c r="A85" s="19" t="s">
        <v>294</v>
      </c>
      <c r="B85" s="19" t="s">
        <v>234</v>
      </c>
      <c r="C85" s="19" t="n">
        <v>12</v>
      </c>
      <c r="D85" s="19"/>
      <c r="E85" s="19"/>
      <c r="F85" s="19" t="str">
        <f aca="false">IF(C85="","",INDEX('QC Requirements'!$B$5:$B$22,C85))</f>
        <v>Equipment testing, start-up &amp; training log</v>
      </c>
    </row>
    <row r="86" customFormat="false" ht="15" hidden="false" customHeight="false" outlineLevel="0" collapsed="false">
      <c r="A86" s="19" t="s">
        <v>295</v>
      </c>
      <c r="B86" s="19" t="s">
        <v>207</v>
      </c>
      <c r="C86" s="19" t="n">
        <v>12</v>
      </c>
      <c r="D86" s="19"/>
      <c r="E86" s="19"/>
      <c r="F86" s="19" t="str">
        <f aca="false">IF(C86="","",INDEX('QC Requirements'!$B$5:$B$22,C86))</f>
        <v>Equipment testing, start-up &amp; training log</v>
      </c>
    </row>
    <row r="87" customFormat="false" ht="22.35" hidden="false" customHeight="false" outlineLevel="0" collapsed="false">
      <c r="A87" s="19" t="s">
        <v>296</v>
      </c>
      <c r="B87" s="19" t="s">
        <v>207</v>
      </c>
      <c r="C87" s="19"/>
      <c r="D87" s="19"/>
      <c r="E87" s="19" t="s">
        <v>183</v>
      </c>
      <c r="F87" s="19" t="str">
        <f aca="false">IF(C87="","",INDEX('QC Requirements'!$B$5:$B$22,C87))</f>
        <v/>
      </c>
    </row>
    <row r="88" customFormat="false" ht="15" hidden="false" customHeight="false" outlineLevel="0" collapsed="false">
      <c r="A88" s="19" t="s">
        <v>297</v>
      </c>
      <c r="B88" s="19" t="s">
        <v>234</v>
      </c>
      <c r="C88" s="19" t="n">
        <v>12</v>
      </c>
      <c r="D88" s="19"/>
      <c r="E88" s="19" t="s">
        <v>298</v>
      </c>
      <c r="F88" s="19" t="str">
        <f aca="false">IF(C88="","",INDEX('QC Requirements'!$B$5:$B$22,C88))</f>
        <v>Equipment testing, start-up &amp; training log</v>
      </c>
    </row>
    <row r="89" customFormat="false" ht="22.35" hidden="false" customHeight="false" outlineLevel="0" collapsed="false">
      <c r="A89" s="19" t="s">
        <v>299</v>
      </c>
      <c r="B89" s="19" t="s">
        <v>185</v>
      </c>
      <c r="C89" s="19"/>
      <c r="D89" s="19"/>
      <c r="E89" s="19" t="s">
        <v>183</v>
      </c>
      <c r="F89" s="19" t="str">
        <f aca="false">IF(C89="","",INDEX('QC Requirements'!$B$5:$B$22,C89))</f>
        <v/>
      </c>
    </row>
    <row r="90" customFormat="false" ht="22.35" hidden="false" customHeight="false" outlineLevel="0" collapsed="false">
      <c r="A90" s="19" t="s">
        <v>300</v>
      </c>
      <c r="B90" s="19" t="s">
        <v>182</v>
      </c>
      <c r="C90" s="19"/>
      <c r="D90" s="19"/>
      <c r="E90" s="19" t="s">
        <v>183</v>
      </c>
      <c r="F90" s="19" t="str">
        <f aca="false">IF(C90="","",INDEX('QC Requirements'!$B$5:$B$22,C90))</f>
        <v/>
      </c>
    </row>
    <row r="91" customFormat="false" ht="22.35" hidden="false" customHeight="false" outlineLevel="0" collapsed="false">
      <c r="A91" s="19" t="s">
        <v>301</v>
      </c>
      <c r="B91" s="19" t="s">
        <v>302</v>
      </c>
      <c r="C91" s="19" t="n">
        <v>1</v>
      </c>
      <c r="D91" s="19"/>
      <c r="E91" s="19" t="s">
        <v>303</v>
      </c>
      <c r="F91" s="19" t="str">
        <f aca="false">IF(C91="","",INDEX('QC Requirements'!$B$5:$B$22,C91))</f>
        <v>Inspection notice &amp; hold-point log</v>
      </c>
    </row>
    <row r="92" customFormat="false" ht="22.35" hidden="false" customHeight="false" outlineLevel="0" collapsed="false">
      <c r="A92" s="19" t="s">
        <v>304</v>
      </c>
      <c r="B92" s="19" t="s">
        <v>279</v>
      </c>
      <c r="C92" s="19" t="n">
        <v>11</v>
      </c>
      <c r="D92" s="19" t="s">
        <v>305</v>
      </c>
      <c r="E92" s="19"/>
      <c r="F92" s="19" t="str">
        <f aca="false">IF(C92="","",INDEX('QC Requirements'!$B$5:$B$22,C92))</f>
        <v>Structure clean-water leakage test log</v>
      </c>
    </row>
    <row r="93" customFormat="false" ht="15" hidden="false" customHeight="false" outlineLevel="0" collapsed="false">
      <c r="A93" s="19" t="s">
        <v>306</v>
      </c>
      <c r="B93" s="19" t="s">
        <v>248</v>
      </c>
      <c r="C93" s="19" t="n">
        <v>13</v>
      </c>
      <c r="D93" s="19"/>
      <c r="E93" s="19"/>
      <c r="F93" s="19" t="str">
        <f aca="false">IF(C93="","",INDEX('QC Requirements'!$B$5:$B$22,C93))</f>
        <v>Electrical testing &amp; energization log (incl. generators)</v>
      </c>
    </row>
    <row r="94" customFormat="false" ht="22.35" hidden="false" customHeight="false" outlineLevel="0" collapsed="false">
      <c r="A94" s="19" t="s">
        <v>307</v>
      </c>
      <c r="B94" s="19" t="s">
        <v>308</v>
      </c>
      <c r="C94" s="19" t="n">
        <v>8</v>
      </c>
      <c r="D94" s="19"/>
      <c r="E94" s="19" t="s">
        <v>309</v>
      </c>
      <c r="F94" s="19" t="str">
        <f aca="false">IF(C94="","",INDEX('QC Requirements'!$B$5:$B$22,C94))</f>
        <v>Special inspection log (structural)</v>
      </c>
    </row>
    <row r="95" customFormat="false" ht="22.35" hidden="false" customHeight="false" outlineLevel="0" collapsed="false">
      <c r="A95" s="19" t="s">
        <v>310</v>
      </c>
      <c r="B95" s="19" t="s">
        <v>308</v>
      </c>
      <c r="C95" s="19" t="n">
        <v>2</v>
      </c>
      <c r="D95" s="19"/>
      <c r="E95" s="19" t="s">
        <v>309</v>
      </c>
      <c r="F95" s="19" t="str">
        <f aca="false">IF(C95="","",INDEX('QC Requirements'!$B$5:$B$22,C95))</f>
        <v>Test report &amp; retest register</v>
      </c>
    </row>
    <row r="96" customFormat="false" ht="22.35" hidden="false" customHeight="false" outlineLevel="0" collapsed="false">
      <c r="A96" s="19" t="s">
        <v>311</v>
      </c>
      <c r="B96" s="19" t="s">
        <v>308</v>
      </c>
      <c r="C96" s="19" t="n">
        <v>2</v>
      </c>
      <c r="D96" s="19"/>
      <c r="E96" s="19" t="s">
        <v>309</v>
      </c>
      <c r="F96" s="19" t="str">
        <f aca="false">IF(C96="","",INDEX('QC Requirements'!$B$5:$B$22,C96))</f>
        <v>Test report &amp; retest register</v>
      </c>
    </row>
    <row r="97" customFormat="false" ht="22.35" hidden="false" customHeight="false" outlineLevel="0" collapsed="false">
      <c r="A97" s="19" t="s">
        <v>312</v>
      </c>
      <c r="B97" s="19" t="s">
        <v>308</v>
      </c>
      <c r="C97" s="19" t="n">
        <v>2</v>
      </c>
      <c r="D97" s="19"/>
      <c r="E97" s="19" t="s">
        <v>309</v>
      </c>
      <c r="F97" s="19" t="str">
        <f aca="false">IF(C97="","",INDEX('QC Requirements'!$B$5:$B$22,C97))</f>
        <v>Test report &amp; retest register</v>
      </c>
    </row>
    <row r="98" customFormat="false" ht="22.35" hidden="false" customHeight="false" outlineLevel="0" collapsed="false">
      <c r="A98" s="19" t="s">
        <v>313</v>
      </c>
      <c r="B98" s="19" t="s">
        <v>308</v>
      </c>
      <c r="C98" s="19" t="n">
        <v>15</v>
      </c>
      <c r="D98" s="19"/>
      <c r="E98" s="19" t="s">
        <v>309</v>
      </c>
      <c r="F98" s="19" t="str">
        <f aca="false">IF(C98="","",INDEX('QC Requirements'!$B$5:$B$22,C98))</f>
        <v>Coatings inspection log</v>
      </c>
    </row>
    <row r="99" customFormat="false" ht="22.35" hidden="false" customHeight="false" outlineLevel="0" collapsed="false">
      <c r="A99" s="19" t="s">
        <v>314</v>
      </c>
      <c r="B99" s="19" t="s">
        <v>308</v>
      </c>
      <c r="C99" s="19" t="n">
        <v>15</v>
      </c>
      <c r="D99" s="19"/>
      <c r="E99" s="19" t="s">
        <v>309</v>
      </c>
      <c r="F99" s="19" t="str">
        <f aca="false">IF(C99="","",INDEX('QC Requirements'!$B$5:$B$22,C99))</f>
        <v>Coatings inspection log</v>
      </c>
    </row>
    <row r="100" customFormat="false" ht="22.35" hidden="false" customHeight="false" outlineLevel="0" collapsed="false">
      <c r="A100" s="19" t="s">
        <v>315</v>
      </c>
      <c r="B100" s="19" t="s">
        <v>308</v>
      </c>
      <c r="C100" s="19" t="n">
        <v>8</v>
      </c>
      <c r="D100" s="19"/>
      <c r="E100" s="19" t="s">
        <v>309</v>
      </c>
      <c r="F100" s="19" t="str">
        <f aca="false">IF(C100="","",INDEX('QC Requirements'!$B$5:$B$22,C100))</f>
        <v>Special inspection log (structural)</v>
      </c>
    </row>
    <row r="101" customFormat="false" ht="22.35" hidden="false" customHeight="false" outlineLevel="0" collapsed="false">
      <c r="A101" s="19" t="s">
        <v>316</v>
      </c>
      <c r="B101" s="19" t="s">
        <v>308</v>
      </c>
      <c r="C101" s="19" t="n">
        <v>9</v>
      </c>
      <c r="D101" s="19"/>
      <c r="E101" s="19" t="s">
        <v>309</v>
      </c>
      <c r="F101" s="19" t="str">
        <f aca="false">IF(C101="","",INDEX('QC Requirements'!$B$5:$B$22,C101))</f>
        <v>Pipe pressure &amp; leakage test log</v>
      </c>
    </row>
    <row r="102" customFormat="false" ht="22.35" hidden="false" customHeight="false" outlineLevel="0" collapsed="false">
      <c r="A102" s="19" t="s">
        <v>317</v>
      </c>
      <c r="B102" s="19" t="s">
        <v>308</v>
      </c>
      <c r="C102" s="19" t="n">
        <v>12</v>
      </c>
      <c r="D102" s="19"/>
      <c r="E102" s="19" t="s">
        <v>309</v>
      </c>
      <c r="F102" s="19" t="str">
        <f aca="false">IF(C102="","",INDEX('QC Requirements'!$B$5:$B$22,C102))</f>
        <v>Equipment testing, start-up &amp; training log</v>
      </c>
    </row>
    <row r="103" customFormat="false" ht="22.35" hidden="false" customHeight="false" outlineLevel="0" collapsed="false">
      <c r="A103" s="19" t="s">
        <v>318</v>
      </c>
      <c r="B103" s="19" t="s">
        <v>308</v>
      </c>
      <c r="C103" s="19" t="n">
        <v>12</v>
      </c>
      <c r="D103" s="19"/>
      <c r="E103" s="19" t="s">
        <v>309</v>
      </c>
      <c r="F103" s="19" t="str">
        <f aca="false">IF(C103="","",INDEX('QC Requirements'!$B$5:$B$22,C103))</f>
        <v>Equipment testing, start-up &amp; training log</v>
      </c>
    </row>
    <row r="104" customFormat="false" ht="22.35" hidden="false" customHeight="false" outlineLevel="0" collapsed="false">
      <c r="A104" s="19" t="s">
        <v>319</v>
      </c>
      <c r="B104" s="19" t="s">
        <v>308</v>
      </c>
      <c r="C104" s="19" t="n">
        <v>12</v>
      </c>
      <c r="D104" s="19"/>
      <c r="E104" s="19" t="s">
        <v>309</v>
      </c>
      <c r="F104" s="19" t="str">
        <f aca="false">IF(C104="","",INDEX('QC Requirements'!$B$5:$B$22,C104))</f>
        <v>Equipment testing, start-up &amp; training log</v>
      </c>
    </row>
  </sheetData>
  <autoFilter ref="A1:F1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2026-09-30T14:54:08Z</dcterms:created>
  <dc:creator>openpyxl</dc:creator>
  <dc:description/>
  <dc:language>en-US</dc:language>
  <cp:lastModifiedBy/>
  <dcterms:modified xsi:type="dcterms:W3CDTF">2026-09-30T14:54:08Z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