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Ledger" sheetId="1" state="visible" r:id="rId3"/>
    <sheet name="Merge Notes" sheetId="2" state="visible" r:id="rId4"/>
  </sheets>
  <definedNames>
    <definedName function="false" hidden="true" localSheetId="0" name="_xlnm._FilterDatabase" vbProcedure="false">'Project Ledger'!$A$1:$P$448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<sst xmlns="http://schemas.openxmlformats.org/spreadsheetml/2006/main" count="6652" uniqueCount="2389">
  <si>
    <t xml:space="preserve">Tag</t>
  </si>
  <si>
    <t xml:space="preserve">Name</t>
  </si>
  <si>
    <t xml:space="preserve">Bid Item</t>
  </si>
  <si>
    <t xml:space="preserve">Lane</t>
  </si>
  <si>
    <t xml:space="preserve">Area/Building</t>
  </si>
  <si>
    <t xml:space="preserve">Discipline</t>
  </si>
  <si>
    <t xml:space="preserve">Drawing Sheets</t>
  </si>
  <si>
    <t xml:space="preserve">Spec Sections</t>
  </si>
  <si>
    <t xml:space="preserve">Addenda</t>
  </si>
  <si>
    <t xml:space="preserve">Submittal Req (Y/N)</t>
  </si>
  <si>
    <t xml:space="preserve">Testing/Startup Req (Y/N)</t>
  </si>
  <si>
    <t xml:space="preserve">Wiki Note(s)</t>
  </si>
  <si>
    <t xml:space="preserve">Status</t>
  </si>
  <si>
    <t xml:space="preserve">Verified/Verified-Visual/Inferred/Unresolved</t>
  </si>
  <si>
    <t xml:space="preserve">Source Citation</t>
  </si>
  <si>
    <t xml:space="preserve">Notes</t>
  </si>
  <si>
    <t xml:space="preserve">PROPOSED-Temporary bypass pumping system</t>
  </si>
  <si>
    <t xml:space="preserve">Temporary bypass pumping, piping, holding tanks and storage</t>
  </si>
  <si>
    <t xml:space="preserve">1</t>
  </si>
  <si>
    <t xml:space="preserve">Civil &amp; Site</t>
  </si>
  <si>
    <t xml:space="preserve">Site</t>
  </si>
  <si>
    <t xml:space="preserve">Process-Mechanical</t>
  </si>
  <si>
    <t xml:space="preserve">G0.3; C0.5</t>
  </si>
  <si>
    <t xml:space="preserve">N</t>
  </si>
  <si>
    <t xml:space="preserve">G0.3; C0.5; Appendix F</t>
  </si>
  <si>
    <t xml:space="preserve">Temporary</t>
  </si>
  <si>
    <t xml:space="preserve">Inferred</t>
  </si>
  <si>
    <t xml:space="preserve">G0.3 Operation Plan 2, General Note 10 (plans_1 p.3); C0.5 Keyed Notes 3–4, Construction Phasing 3 (plans_2Part-4 p.1); Appendix F §5.1–5.2 (pp.618–619)</t>
  </si>
  <si>
    <t xml:space="preserve">C0.5 Phasing 3 calls for 'a temporary bypass system per specs'. Bid Item 1 per 04 rule (work not itemized elsewhere) — Inferred. Appendix F: temporary pumps and piping, disruptions limited to 1 hour, bypass plan reviewed by Engineer and Owner. The bypass plan is required by G0.3 Note 10 and Appendix F §5.2, not by a Civil &amp; Site spec section (column rule; see Issues CS-37); 01 11 10 (Contract &amp; General) not read. || [Merge] Exceptions: #68.</t>
  </si>
  <si>
    <t xml:space="preserve">PROPOSED-Temporary power generator</t>
  </si>
  <si>
    <t xml:space="preserve">Temporary back-up power generator</t>
  </si>
  <si>
    <t xml:space="preserve">18 — Unresolved (see 04)</t>
  </si>
  <si>
    <t xml:space="preserve">Electrical</t>
  </si>
  <si>
    <t xml:space="preserve">G0.3</t>
  </si>
  <si>
    <t xml:space="preserve">Add. 4 p.1, Clarification 5 — Add. 4 governs</t>
  </si>
  <si>
    <t xml:space="preserve">Y</t>
  </si>
  <si>
    <t xml:space="preserve">Unresolved</t>
  </si>
  <si>
    <t xml:space="preserve">G0.3 General Note 10 (plans_1 p.3); Add. 4 p.1, Clarification 5</t>
  </si>
  <si>
    <t xml:space="preserve">Cross-lane: Electrical &amp; Controls (03 item map, Clarification 5). Add. 4: connects temporarily to the permanent ATS until the permanent genset arrives; test connections and automatic load transfer; 60 dBA or lower at full load. Submittal/testing flags reflect this lane's documents and Add. 4 only. || [Merge] Exceptions: #14, #255.</t>
  </si>
  <si>
    <t xml:space="preserve">PROPOSED-Plastic covering for slopes and stockpiles</t>
  </si>
  <si>
    <t xml:space="preserve">Plastic covering for slopes and stockpiles (TESC)</t>
  </si>
  <si>
    <t xml:space="preserve">4</t>
  </si>
  <si>
    <t xml:space="preserve">Civil</t>
  </si>
  <si>
    <t xml:space="preserve">C0.4 (Det. 1); C0.3</t>
  </si>
  <si>
    <t xml:space="preserve">31 32 11</t>
  </si>
  <si>
    <t xml:space="preserve">C0.4; 31 32 11</t>
  </si>
  <si>
    <t xml:space="preserve">C0.4 Detail 1 (plans_2Part-3 p.1); 31 32 11 ¶1.04 A.6 (pp.398–399); (Missing_Pages_Page_001.png, C0.3 — Verified-Visual)</t>
  </si>
  <si>
    <t xml:space="preserve">Bid Item 4 — Inferred: 04 puts TESC plans and 31 32 11 in the Item 4 scope (00 24 13 ¶4). Locations on C0.3 (unavailable). [Resplit pass 2026-09-29] C0.3 read: plastic covering is not in the TESC plan legend and no location is shown. || [Merge] Exceptions: #71.</t>
  </si>
  <si>
    <t xml:space="preserve">PROPOSED-Catch basin inserts</t>
  </si>
  <si>
    <t xml:space="preserve">Catch basin inserts (inlet protection, TESC)</t>
  </si>
  <si>
    <t xml:space="preserve">C0.4 (Det. 2); C0.2; C0.3</t>
  </si>
  <si>
    <t xml:space="preserve">C0.4; C0.2; 31 32 11</t>
  </si>
  <si>
    <t xml:space="preserve">C0.4 Detail 2 (plans_2Part-3 p.1); C0.2 Item 22 (plans_2Part-1 p.1); 31 32 11 ¶1.04 A.3, ¶2.01 E (pp.398–399); (Missing_Pages_Page_001.png, C0.3 — Verified-Visual)</t>
  </si>
  <si>
    <t xml:space="preserve">Bid Item 4 — Inferred: 04 puts TESC plans and 31 32 11 in the Item 4 scope (00 24 13 ¶4). Locations on C0.3 (unavailable). 'Inlet protection' (C0.2) = catch basin insert — Inferred. [Resplit pass 2026-09-29] C0.3 shows inlet protection at SDCB #1–#10 and existing SDCB 1076 (11 locations). || [Merge] Exceptions: #71.</t>
  </si>
  <si>
    <t xml:space="preserve">PROPOSED-Filter fabric fence</t>
  </si>
  <si>
    <t xml:space="preserve">Filter fabric (silt) fence (TESC)</t>
  </si>
  <si>
    <t xml:space="preserve">C0.4 (Det. 3); C0.2; C0.6; C0.3</t>
  </si>
  <si>
    <t xml:space="preserve">C0.4; C0.2; C0.6; 31 32 11</t>
  </si>
  <si>
    <t xml:space="preserve">C0.4 Detail 3 (plans_2Part-3 p.1); C0.2 Item 22 (plans_2Part-1 p.1); 31 32 11 ¶1.04 A.1, ¶2.01 A (pp.398–399); (Missing_Pages_Page_001.png, C0.3 — Verified-Visual)</t>
  </si>
  <si>
    <t xml:space="preserve">Bid Item 4 — Inferred: 04 puts TESC plans and 31 32 11 in the Item 4 scope (00 24 13 ¶4). Locations on C0.3 (unavailable). Detail defers to WSDOT Standard Plans I-30.10-02 / I-30.15-02 — Unresolved: external reference, not staged. [Resplit pass 2026-09-29] C0.3 legend lists silt fence per 3/C0.4; no run identifiable at stored resolution — Unresolved (native copy). || [Merge] Exceptions: #71.</t>
  </si>
  <si>
    <t xml:space="preserve">PROPOSED-Stabilized construction entrance</t>
  </si>
  <si>
    <t xml:space="preserve">Stabilized construction entrance (quarry spalls on geotextile)</t>
  </si>
  <si>
    <t xml:space="preserve">C0.4 (Det. 4); C0.2; C0.3</t>
  </si>
  <si>
    <t xml:space="preserve">C0.4 Detail 4 (plans_2Part-3 p.1); C0.2 Item 22 (plans_2Part-1 p.1); 31 32 11 ¶1.04 A.5, ¶2.01 G (pp.398–399); (Missing_Pages_Page_001.png, C0.3 — Verified-Visual)</t>
  </si>
  <si>
    <t xml:space="preserve">Bid Item 4 — Inferred: 04 puts TESC plans and 31 32 11 in the Item 4 scope (00 24 13 ¶4). Locations on C0.3 (unavailable). 31 32 11 calls for Track Clean construction entrance plates or equal (BMP C105), while C0.4 Detail 4 shows a quarry spall entrance (see Issues CS-27) — Unresolved. [Resplit pass 2026-09-29] C0.3 places it along the north property line inside the 20-ft easement, the sole ingress and egress location (keyed note 2). || [Merge] Exceptions: #71.</t>
  </si>
  <si>
    <t xml:space="preserve">PROPOSED-Geotextile encased check dams</t>
  </si>
  <si>
    <t xml:space="preserve">Geotextile encased check dams (BMP C208)</t>
  </si>
  <si>
    <t xml:space="preserve">C0.4 (Det. 5); C0.3</t>
  </si>
  <si>
    <t xml:space="preserve">C0.4 Detail 5 (plans_2Part-3 p.1); 31 32 11 ¶1.04 A.6 (pp.398–399); (Missing_Pages_Page_001.png, C0.3 — Verified-Visual)</t>
  </si>
  <si>
    <t xml:space="preserve">Bid Item 4 — Inferred: 04 puts TESC plans and 31 32 11 in the Item 4 scope (00 24 13 ¶4). Locations on C0.3 (unavailable). Notes cite 'Standard Specifications' 8-01.3(6)A, 9-14.5(4), 8-01.3(15) — WSDOT Inferred from numbering; Unresolved: external reference, not staged. [Resplit pass 2026-09-29] C0.3 legend lists check dams per 5/C0.4; no location identifiable at stored resolution — Unresolved (native copy). || [Merge] Exceptions: #71.</t>
  </si>
  <si>
    <t xml:space="preserve">PROPOSED-Existing 8in effluent outfall pipe</t>
  </si>
  <si>
    <t xml:space="preserve">Existing 8-inch effluent (outfall) pipe, 40 LF — abandon and remove</t>
  </si>
  <si>
    <t xml:space="preserve">C0.5 (KN 1); C0.7 (cited)</t>
  </si>
  <si>
    <t xml:space="preserve">02 41 00</t>
  </si>
  <si>
    <t xml:space="preserve">C0.5; 02 41 00</t>
  </si>
  <si>
    <t xml:space="preserve">Demolished</t>
  </si>
  <si>
    <t xml:space="preserve">C0.5 Keyed Note 1 (plans_2Part-4 p.1); 02 41 00 ¶3.01–3.02 (main spec pp.161–162)</t>
  </si>
  <si>
    <t xml:space="preserve">Remove after the interim 8-in HDPE pipe is installed and tested (C0.7, unavailable). Bid Item 1 per 04 rule (work not itemized elsewhere) — Inferred. 02 41 00 has no submittal or testing paragraph; C0.5 General Note requires a demolition plan with schedule (drawing requirement).</t>
  </si>
  <si>
    <t xml:space="preserve">PROPOSED-Interim 8in HDPE effluent pipe</t>
  </si>
  <si>
    <t xml:space="preserve">Interim 8-inch HDPE effluent pipe</t>
  </si>
  <si>
    <t xml:space="preserve">C0.5 (KN 1, 8); C0.7 (cited)</t>
  </si>
  <si>
    <t xml:space="preserve">33 33 00</t>
  </si>
  <si>
    <t xml:space="preserve">C0.5; 33 33 00; Appendix F</t>
  </si>
  <si>
    <t xml:space="preserve">C0.5 Keyed Notes 1, 8 (plans_2Part-4 p.1); 33 33 00 (pp.444–446); Appendix F §5.1 (p.618)</t>
  </si>
  <si>
    <t xml:space="preserve">Routing, length and removal are on C0.7 (unavailable) — Unresolved: needs C0.7. Status 'Temporary' Inferred from 'interim'. Bid Item 1 per 04 rule (work not itemized elsewhere) — Inferred. Appendix F §5.1: temporary piping from the existing chlorine disinfection chamber outlet to the 8-in effluent pipe upstream of SSMH #1288 — match to this interim pipe Inferred. || [Merge] Exceptions: #74.</t>
  </si>
  <si>
    <t xml:space="preserve">PROPOSED-Existing 4in roof drain pipe</t>
  </si>
  <si>
    <t xml:space="preserve">Existing 4-inch roof drain pipe, 40 LF — abandon and remove</t>
  </si>
  <si>
    <t xml:space="preserve">C0.5 (KN 2)</t>
  </si>
  <si>
    <t xml:space="preserve">C0.5 Keyed Note 2 (plans_2Part-4 p.1); 02 41 00 ¶3.01–3.02 (main spec pp.161–162)</t>
  </si>
  <si>
    <t xml:space="preserve">Remove after the new 4-in roof drain gravity pipe is installed and tested (C2 storm drainage sheets). Bid Item 1 per 04 rule (work not itemized elsewhere) — Inferred. 02 41 00 has no submittal or testing paragraph; C0.5 General Note requires a demolition plan with schedule (drawing requirement).</t>
  </si>
  <si>
    <t xml:space="preserve">SSMH 1286</t>
  </si>
  <si>
    <t xml:space="preserve">Existing sump pump station (sewage pump) — remove</t>
  </si>
  <si>
    <t xml:space="preserve">C0.5 (KN 3, 5); C0.1</t>
  </si>
  <si>
    <t xml:space="preserve">C0.5; C0.1; 02 41 00</t>
  </si>
  <si>
    <t xml:space="preserve">C0.5 Keyed Notes 3, 5 (plans_2Part-4 p.1); C0.1 sewer structure table (plans_1 p.8); 02 41 00 ¶3.01–3.02 (main spec pp.161–162)</t>
  </si>
  <si>
    <t xml:space="preserve">Tag Inferred: C0.5 label is partly hidden under the X; C0.1 lists SSMH 1286 'Sewage Pump' at the same position. Remove after the new plant drain pump station is installed and tested; keep power on until then. Bid Item 1 per 04 rule (work not itemized elsewhere) — Inferred. 02 41 00 has no submittal or testing paragraph; C0.5 General Note requires a demolition plan with schedule (drawing requirement). Listed by name in 02 41 00 ¶3.01 C (p.162).</t>
  </si>
  <si>
    <t xml:space="preserve">SSMH 1285</t>
  </si>
  <si>
    <t xml:space="preserve">Existing septic tank — remove</t>
  </si>
  <si>
    <t xml:space="preserve">C0.5 (KN 4); C0.1</t>
  </si>
  <si>
    <t xml:space="preserve">C0.5 Keyed Note 4 (plans_2Part-4 p.1); C0.1 sewer structure table (plans_1 p.8); 02 41 00 ¶3.01–3.02 (main spec pp.161–162)</t>
  </si>
  <si>
    <t xml:space="preserve">Remove after the new septic tank and influent pump station are installed and tested; temporary pumps and basins as needed. Bid Item 1 per 04 rule (work not itemized elsewhere) — Inferred. 02 41 00 has no submittal or testing paragraph; C0.5 General Note requires a demolition plan with schedule (drawing requirement). Listed by name in 02 41 00 ¶3.01 C (p.162).</t>
  </si>
  <si>
    <t xml:space="preserve">PROPOSED-Existing 10in effluent outfall pipe</t>
  </si>
  <si>
    <t xml:space="preserve">Existing 10-inch effluent (outfall) pipe, 60 LF — abandon and remove</t>
  </si>
  <si>
    <t xml:space="preserve">C0.5 (KN 8)</t>
  </si>
  <si>
    <t xml:space="preserve">C0.5 Keyed Note 8 (plans_2Part-4 p.1); 02 41 00 ¶3.01–3.02 (main spec pp.161–162)</t>
  </si>
  <si>
    <t xml:space="preserve">Temporary restrained plug at the pipe opening until the new 10-in effluent is connected. Bid Item 1 per 04 rule (work not itemized elsewhere) — Inferred. 02 41 00 has no submittal or testing paragraph; C0.5 General Note requires a demolition plan with schedule (drawing requirement).</t>
  </si>
  <si>
    <t xml:space="preserve">PROPOSED-Existing storm drain and catch basin 87 LF</t>
  </si>
  <si>
    <t xml:space="preserve">Existing storm drain, 87 LF, and catch basin — remove</t>
  </si>
  <si>
    <t xml:space="preserve">C0.5 (KN 9)</t>
  </si>
  <si>
    <t xml:space="preserve">C0.5 Keyed Note 9 (plans_2Part-4 p.1); 02 41 00 ¶3.01–3.02 (main spec pp.161–162)</t>
  </si>
  <si>
    <t xml:space="preserve">Catch basin ID not stated in the note (see Issues). Bid Item 1 per 04 rule (work not itemized elsewhere) — Inferred. 02 41 00 has no submittal or testing paragraph; C0.5 General Note requires a demolition plan with schedule (drawing requirement).</t>
  </si>
  <si>
    <t xml:space="preserve">PROPOSED-Existing 6in drain pipe to sump station</t>
  </si>
  <si>
    <t xml:space="preserve">Existing 6-inch drain pipe to sump pump station, 20 LF — abandon and remove</t>
  </si>
  <si>
    <t xml:space="preserve">C0.5 (KN 11)</t>
  </si>
  <si>
    <t xml:space="preserve">C0.5 Keyed Note 11 (plans_2Part-4 p.1); 02 41 00 ¶3.01–3.02 (main spec pp.161–162)</t>
  </si>
  <si>
    <t xml:space="preserve">Bid Item 1 per 04 rule (work not itemized elsewhere) — Inferred. 02 41 00 has no submittal or testing paragraph; C0.5 General Note requires a demolition plan with schedule (drawing requirement).</t>
  </si>
  <si>
    <t xml:space="preserve">PROPOSED-Existing 1.5in sump force main</t>
  </si>
  <si>
    <t xml:space="preserve">Existing 1-1/2-inch sump pump force main, 60 LF — abandon and remove</t>
  </si>
  <si>
    <t xml:space="preserve">C0.5 (KN 12)</t>
  </si>
  <si>
    <t xml:space="preserve">C0.5 Keyed Note 12 (plans_2Part-4 p.1); 02 41 00 ¶3.01–3.02 (main spec pp.161–162)</t>
  </si>
  <si>
    <t xml:space="preserve">Plug the connection at the 8-in influent gravity sewer (east side); see C1 site piping sheets. Bid Item 1 per 04 rule (work not itemized elsewhere) — Inferred. 02 41 00 has no submittal or testing paragraph; C0.5 General Note requires a demolition plan with schedule (drawing requirement).</t>
  </si>
  <si>
    <t xml:space="preserve">PROPOSED-Existing holding tanks</t>
  </si>
  <si>
    <t xml:space="preserve">Existing holding tanks — remove and relocate on site per Owner</t>
  </si>
  <si>
    <t xml:space="preserve">C0.5 (KN 15)</t>
  </si>
  <si>
    <t xml:space="preserve">C0.5</t>
  </si>
  <si>
    <t xml:space="preserve">Existing</t>
  </si>
  <si>
    <t xml:space="preserve">C0.5 Keyed Note 15 (plans_2Part-4 p.1)</t>
  </si>
  <si>
    <t xml:space="preserve">Relocated, not demolished. Number and size not stated. Bid Item 1 per 04 rule (work not itemized elsewhere) — Inferred. No submittal or test in this lane's spec sections.</t>
  </si>
  <si>
    <t xml:space="preserve">PROPOSED-Existing chain link fence 149 LF</t>
  </si>
  <si>
    <t xml:space="preserve">Existing chain link fence, 149 LF — remove</t>
  </si>
  <si>
    <t xml:space="preserve">C0.5 (KN 16)</t>
  </si>
  <si>
    <t xml:space="preserve">C0.5 Keyed Note 16 (plans_2Part-4 p.1); 02 41 00 ¶3.01–3.02 (main spec pp.161–162)</t>
  </si>
  <si>
    <t xml:space="preserve">PROPOSED-Existing storm drain at roof drain 7 ft</t>
  </si>
  <si>
    <t xml:space="preserve">Existing storm drain connected to roof drain, 7 ft — remove</t>
  </si>
  <si>
    <t xml:space="preserve">C0.5 (KN 17)</t>
  </si>
  <si>
    <t xml:space="preserve">C0.5 Keyed Note 17 (plans_2Part-4 p.1); 02 41 00 ¶3.01–3.02 (main spec pp.161–162)</t>
  </si>
  <si>
    <t xml:space="preserve">Length read as 7 ft. Bid Item 1 per 04 rule (work not itemized elsewhere) — Inferred. 02 41 00 has no submittal or testing paragraph; C0.5 General Note requires a demolition plan with schedule (drawing requirement).</t>
  </si>
  <si>
    <t xml:space="preserve">PROPOSED-Existing retaining wall 61 LF</t>
  </si>
  <si>
    <t xml:space="preserve">Existing retaining wall, 61 LF — remove</t>
  </si>
  <si>
    <t xml:space="preserve">C0.5 (KN 18)</t>
  </si>
  <si>
    <t xml:space="preserve">C0.5 Keyed Note 18 (plans_2Part-4 p.1); 02 41 00 ¶3.01–3.02 (main spec pp.161–162)</t>
  </si>
  <si>
    <t xml:space="preserve">Clean cut at the east end, suitable for matching to the proposed block wall. Bid Item 1 per 04 rule (work not itemized elsewhere) — Inferred. 02 41 00 has no submittal or testing paragraph; C0.5 General Note requires a demolition plan with schedule (drawing requirement).</t>
  </si>
  <si>
    <t xml:space="preserve">PROPOSED-Existing generator fuel tank and spill basin</t>
  </si>
  <si>
    <t xml:space="preserve">Existing generator fuel tank and concrete fuel spill basin — remove, restore as asphalt pavement</t>
  </si>
  <si>
    <t xml:space="preserve">C0.5 (KN 19); C0.1</t>
  </si>
  <si>
    <t xml:space="preserve">C0.5; C0.1; 02 41 00; Appendix F</t>
  </si>
  <si>
    <t xml:space="preserve">C0.5 Keyed Note 19 (plans_2Part-4 p.1); C0.1 concrete fuel tank basin (plans_1 p.8); 02 41 00 ¶3.01–3.02 (main spec pp.161–162); Appendix F §5.3.1 (p.619)</t>
  </si>
  <si>
    <t xml:space="preserve">Bid Item 1 per 04 rule (work not itemized elsewhere) — Inferred. 02 41 00 has no submittal or testing paragraph; C0.5 General Note requires a demolition plan with schedule (drawing requirement). Appendix F §5.3.1: the Owner must have full use of the new generator before the old generator and switchgear are demolished. Cross-check: Electrical &amp; Controls (existing generator and switchgear demolition). || [Merge] Exceptions: #28.</t>
  </si>
  <si>
    <t xml:space="preserve">PROPOSED-Existing chain link fence 119 LF</t>
  </si>
  <si>
    <t xml:space="preserve">Existing chain link fence, 119 LF — remove</t>
  </si>
  <si>
    <t xml:space="preserve">C0.5 (KN 20)</t>
  </si>
  <si>
    <t xml:space="preserve">C0.5 Keyed Note 20 (plans_2Part-4 p.1); 02 41 00 ¶3.01–3.02 (main spec pp.161–162)</t>
  </si>
  <si>
    <t xml:space="preserve">PROPOSED-Existing 4in storm drain 8 LF</t>
  </si>
  <si>
    <t xml:space="preserve">Existing 4-inch storm drain, 8 LF — remove</t>
  </si>
  <si>
    <t xml:space="preserve">C0.5 (KN 21)</t>
  </si>
  <si>
    <t xml:space="preserve">C0.5 Keyed Note 21 (plans_2Part-4 p.1); 02 41 00 ¶3.01–3.02 (main spec pp.161–162)</t>
  </si>
  <si>
    <t xml:space="preserve">PROPOSED-Water line relocation at storm drain</t>
  </si>
  <si>
    <t xml:space="preserve">Existing water line — relocate 1 ft clear below bottom of storm drain</t>
  </si>
  <si>
    <t xml:space="preserve">C0.5 (KN 22)</t>
  </si>
  <si>
    <t xml:space="preserve">33 32 00; 33 30 00</t>
  </si>
  <si>
    <t xml:space="preserve">C0.5; 33 32 00; 33 30 00</t>
  </si>
  <si>
    <t xml:space="preserve">Not stated</t>
  </si>
  <si>
    <t xml:space="preserve">C0.5 Keyed Note 22 (plans_2Part-4 p.1); 33 32 00 ¶1.03 (pp.436–437); 33 30 00 ¶3.04.9 (p.428)</t>
  </si>
  <si>
    <t xml:space="preserve">Length and pipe size not stated. Bid Item 1 per 04 rule (work not itemized elsewhere) — Inferred. Relocated water pipe follows 33 32 00 (submittals) and 33 30 00 (pressure test, disinfection).</t>
  </si>
  <si>
    <t xml:space="preserve">PROPOSED-Existing 8in influent pipe</t>
  </si>
  <si>
    <t xml:space="preserve">Existing 8-inch influent pipe — abandon and remove</t>
  </si>
  <si>
    <t xml:space="preserve">C0.5 (KN 24); C3.1 (cited)</t>
  </si>
  <si>
    <t xml:space="preserve">C0.5 Keyed Note 24 (plans_2Part-4 p.1); 02 41 00 ¶3.01–3.02 (main spec pp.161–162)</t>
  </si>
  <si>
    <t xml:space="preserve">Per construction sequence notes on C3.1. Cross-lane: Process &amp; Mechanical (C3.1). Bid Item 1 per 04 rule (work not itemized elsewhere) — Inferred. 02 41 00 has no submittal or testing paragraph; C0.5 General Note requires a demolition plan with schedule (drawing requirement). || [Merge] Exceptions: #77, #163.</t>
  </si>
  <si>
    <t xml:space="preserve">PROPOSED-Asphalt pavement sawcut and removal</t>
  </si>
  <si>
    <t xml:space="preserve">Existing asphalt pavement — sawcut and remove (new surfacing on C2.6)</t>
  </si>
  <si>
    <t xml:space="preserve">C0.5 (KN 25); C2.6 (cited by Add. 4); C2.1; C2.6</t>
  </si>
  <si>
    <t xml:space="preserve">02 41 00; 32 12 16</t>
  </si>
  <si>
    <t xml:space="preserve">Add. 4 p.1, Clarification 1 — Add. 4 governs</t>
  </si>
  <si>
    <t xml:space="preserve">C0.5; 02 41 00; 32 12 16</t>
  </si>
  <si>
    <t xml:space="preserve">C0.5 Keyed Note 25; Add. 4 p.1, Clarification 1 (plans_2Part-4 p.1); 02 41 00 ¶3.01–3.02 (main spec pp.161–162); 32 12 16 ¶3.06 (pp.405–406); (Missing_Pages_Page_004.png, C2.6 — Verified-Visual); (Missing_Pages_Page_002.png, C2.1 — Verified-Visual)</t>
  </si>
  <si>
    <t xml:space="preserve">Add. 4: saw-cut information is on C0.5; new surfacing is on C2.6, which is unavailable — Unresolved: needs C2.6. Bid Item 1 per 04 rule (work not itemized elsewhere) — Inferred. 02 41 00 has no submittal or testing paragraph; C0.5 General Note requires a demolition plan with schedule (drawing requirement). Full-depth continuous sawcuts, locations pre-approved by Owner (32 12 16 ¶3.06). [Resplit pass 2026-09-29] C2.6 read: new surfacing is asphalt paving per 3/C7.3 across the yard; C2.1 keyed note 2 repeats the sawcut line per C0.5. The "needs C2.6" item is closed.</t>
  </si>
  <si>
    <t xml:space="preserve">PROPOSED-Existing 8in slab over pre-aeration basin</t>
  </si>
  <si>
    <t xml:space="preserve">Existing 8-inch slab over original pre-aeration basin — saw cut, remove and dispose</t>
  </si>
  <si>
    <t xml:space="preserve">Structural</t>
  </si>
  <si>
    <t xml:space="preserve">C0.5 (Demo Schedule 1)</t>
  </si>
  <si>
    <t xml:space="preserve">C0.5 Demolition Schedule 1 (plans_2Part-4 p.1); 02 41 00 ¶3.01–3.02 (main spec pp.161–162)</t>
  </si>
  <si>
    <t xml:space="preserve">Saw cut close to the building's east face; the slab portion under the building stays. Cross-lane check: Process &amp; Mechanical (flow splitter, C3.1–C3.2). Bid Item 1 per 04 rule (work not itemized elsewhere) — Inferred. 02 41 00 has no submittal or testing paragraph; C0.5 General Note requires a demolition plan with schedule (drawing requirement).</t>
  </si>
  <si>
    <t xml:space="preserve">PROPOSED-Existing basin internal piping</t>
  </si>
  <si>
    <t xml:space="preserve">Existing internal piping in existing basin — support during fill removal, then remove</t>
  </si>
  <si>
    <t xml:space="preserve">C0.5 (Demo Schedule 2–3)</t>
  </si>
  <si>
    <t xml:space="preserve">C0.5 Demolition Schedule 2–3 (plans_2Part-4 p.1); 02 41 00 ¶3.01–3.02 (main spec pp.161–162)</t>
  </si>
  <si>
    <t xml:space="preserve">Remove after the new flow splitter is operational. Cross-lane: Process &amp; Mechanical. Bid Item 1 per 04 rule (work not itemized elsewhere) — Inferred. 02 41 00 has no submittal or testing paragraph; C0.5 General Note requires a demolition plan with schedule (drawing requirement).</t>
  </si>
  <si>
    <t xml:space="preserve">PROPOSED-Off-site staging area</t>
  </si>
  <si>
    <t xml:space="preserve">Contractor staging area off Mt Baker Road, with vehicle path to the project site</t>
  </si>
  <si>
    <t xml:space="preserve">Site (off-site staging)</t>
  </si>
  <si>
    <t xml:space="preserve">C0.6</t>
  </si>
  <si>
    <t xml:space="preserve">C0.6 Keyed Note 1, legend (plans_2Part-5 p.1)</t>
  </si>
  <si>
    <t xml:space="preserve">Silt fence per 3/C0.4 around it (see filter fabric fence row). Owner, size and restoration not stated. Bid Item 1 per 04 rule (work not itemized elsewhere) — Inferred. No submittal or test in this lane's spec sections.</t>
  </si>
  <si>
    <t xml:space="preserve">Pipe ID 1</t>
  </si>
  <si>
    <t xml:space="preserve">8-inch existing effluent (DI gravity)</t>
  </si>
  <si>
    <t xml:space="preserve">C1.3 (Add. 4 p.7)</t>
  </si>
  <si>
    <t xml:space="preserve">33 30 00</t>
  </si>
  <si>
    <t xml:space="preserve">Add. 4 p.7 (C1.3 reissue) and p.3 item — Add. 4 governs</t>
  </si>
  <si>
    <t xml:space="preserve">C1.3; 33 30 00</t>
  </si>
  <si>
    <t xml:space="preserve">C1.3 Pipe Identification Legend, base plans_3Part-1 p.1 and Add. 4 p.7</t>
  </si>
  <si>
    <t xml:space="preserve">Bid Item 1 per 04 rule (work not itemized elsewhere) — Inferred. Existing line; no new-work submittal or test applies.</t>
  </si>
  <si>
    <t xml:space="preserve">Pipe ID 2</t>
  </si>
  <si>
    <t xml:space="preserve">4-inch UV disinfection drain and digester supernatant (DI gravity), 2% min</t>
  </si>
  <si>
    <t xml:space="preserve">33 31 00; 33 30 00; 33 05 00</t>
  </si>
  <si>
    <t xml:space="preserve">C1.3; 33 31 00; 33 30 00; 33 05 00</t>
  </si>
  <si>
    <t xml:space="preserve">New</t>
  </si>
  <si>
    <t xml:space="preserve">C1.3 Pipe Identification Legend, base plans_3Part-1 p.1 and Add. 4 p.7; 33 31 00 ¶2.01 C (pp.430–432); 33 30 00 ¶1.02, ¶3.04 (pp.420–429)</t>
  </si>
  <si>
    <t xml:space="preserve">Cross-check: Process &amp; Mechanical (in-plant piping, 02 decision D). Bid Item 1 per 04 rule (work not itemized elsewhere) — Inferred. Status 'New' Inferred: proposed legend, only ID 1 is marked existing. || [Merge] Exceptions: #88.</t>
  </si>
  <si>
    <t xml:space="preserve">Pipe ID 3</t>
  </si>
  <si>
    <t xml:space="preserve">8-inch influent (DI gravity), 0.4% min</t>
  </si>
  <si>
    <t xml:space="preserve">Bid Item 1 per 04 rule (work not itemized elsewhere) — Inferred. Status 'New' Inferred: proposed legend, only ID 1 is marked existing. || [Merge] Exceptions: #87.</t>
  </si>
  <si>
    <t xml:space="preserve">Pipe ID 4</t>
  </si>
  <si>
    <t xml:space="preserve">3-inch influent pump station air vent (SS), outlet 8 ft above finish grade, gooseneck down, fastened to exterior building wall</t>
  </si>
  <si>
    <t xml:space="preserve">33 30 00; 33 05 00</t>
  </si>
  <si>
    <t xml:space="preserve">C1.3; 33 30 00; 33 05 00</t>
  </si>
  <si>
    <t xml:space="preserve">C1.3 Pipe Identification Legend, base plans_3Part-1 p.1 and Add. 4 p.7; 33 30 00 ¶1.02, ¶3.04 (pp.420–429)</t>
  </si>
  <si>
    <t xml:space="preserve">Cross-check: Process &amp; Mechanical (Influent Pump Station). Bid Item 1 per 04 rule (work not itemized elsewhere) — Inferred. Status 'New' Inferred: proposed legend, only ID 1 is marked existing.</t>
  </si>
  <si>
    <t xml:space="preserve">Pipe ID 5</t>
  </si>
  <si>
    <t xml:space="preserve">10-inch UV disinfection effluent (DI gravity), 0.28% min</t>
  </si>
  <si>
    <t xml:space="preserve">Likely the 'new 10-in effluent' of C0.5 KN 8 — Inferred. Bid Item 1 per 04 rule (work not itemized elsewhere) — Inferred. Status 'New' Inferred: proposed legend, only ID 1 is marked existing. || [Merge] Exceptions: #92.</t>
  </si>
  <si>
    <t xml:space="preserve">Pipe ID 6</t>
  </si>
  <si>
    <t xml:space="preserve">4-inch building septic (Sch. 80 PVC gravity), 2% min</t>
  </si>
  <si>
    <t xml:space="preserve">Add. 4 red edit corrects 'CLOPE' to 'SLOPE' only. Bid Item 1 per 04 rule (work not itemized elsewhere) — Inferred. Status 'New' Inferred: proposed legend, only ID 1 is marked existing.</t>
  </si>
  <si>
    <t xml:space="preserve">Pipe ID 7</t>
  </si>
  <si>
    <t xml:space="preserve">2-inch digested sludge (Sch. 80 PVC force main), positive slope throughout</t>
  </si>
  <si>
    <t xml:space="preserve">Site; Existing building (C1.6A)</t>
  </si>
  <si>
    <t xml:space="preserve">C1.3 (Add. 4 p.7); C1.6A (Add. 4 p.8)</t>
  </si>
  <si>
    <t xml:space="preserve">Add. 4 p.7 (C1.3 reissue) and p.3 item — Add. 4 governs; Add. 4 p.3 and p.8 (C1.6A) — Add. 4 governs</t>
  </si>
  <si>
    <t xml:space="preserve">C1.3; C1.6A; 33 31 00; 33 30 00; 33 05 00</t>
  </si>
  <si>
    <t xml:space="preserve">C1.3 Pipe Identification Legend, base plans_3Part-1 p.1 and Add. 4 p.7; C1.6A callout (Add. 4 p.8); 33 31 00 ¶2.01 B (pp.430–432); 33 30 00 ¶1.02, ¶3.04 (pp.420–429)</t>
  </si>
  <si>
    <t xml:space="preserve">Cross-check: Process &amp; Mechanical (in-plant piping). Under-slab segment on C1.6A (2-in digested sludge, digester to pump and pump to dewatering skid), routed below the existing floor; match to this ID Inferred by size and service. Bid Item 1 per 04 rule (work not itemized elsewhere) — Inferred. Status 'New' Inferred: proposed legend, only ID 1 is marked existing. Force main test at 1.5x operating pressure or 150 psi, 15 min (33 30 00 ¶3.04.8). || [Merge] Exceptions: #90.</t>
  </si>
  <si>
    <t xml:space="preserve">Pipe ID 8</t>
  </si>
  <si>
    <t xml:space="preserve">4-inch vault drain (Sch. 80 PVC gravity), 2.0%</t>
  </si>
  <si>
    <t xml:space="preserve">C1.3 (Add. 4 p.7); C7.10</t>
  </si>
  <si>
    <t xml:space="preserve">C1.3; C7.10; 33 31 00; 33 30 00; 33 05 00</t>
  </si>
  <si>
    <t xml:space="preserve">C1.3 Pipe Identification Legend, base plans_3Part-1 p.1 and Add. 4 p.7; C7.10 elevations (plans_7 p.4); 33 31 00 ¶2.01 C (pp.430–432); 33 30 00 ¶1.02, ¶3.04 (pp.420–429)</t>
  </si>
  <si>
    <t xml:space="preserve">Flow meter vault floor drains run to the influent pump station (C7.10); match to Pipe ID 8 Inferred. Bid Item 1 per 04 rule (work not itemized elsewhere) — Inferred. Status 'New' Inferred: proposed legend, only ID 1 is marked existing.</t>
  </si>
  <si>
    <t xml:space="preserve">Pipe ID 9</t>
  </si>
  <si>
    <t xml:space="preserve">1-inch 2W water system air vent (SS), outlet 3 ft above grade, gooseneck down</t>
  </si>
  <si>
    <t xml:space="preserve">Cross-check: Process &amp; Mechanical (2W system). Bid Item 1 per 04 rule (work not itemized elsewhere) — Inferred. Status 'New' Inferred: proposed legend, only ID 1 is marked existing.</t>
  </si>
  <si>
    <t xml:space="preserve">Pipe ID 10</t>
  </si>
  <si>
    <t xml:space="preserve">3-inch 2W water line, HDPE (Add. 4; base: 2-inch Sch. 80 PVC force main)</t>
  </si>
  <si>
    <t xml:space="preserve">33 31 00; 33 30 00; 33 05 00; 33 33 00</t>
  </si>
  <si>
    <t xml:space="preserve">C1.3; C1.6A; 33 31 00; 33 30 00; 33 05 00; 33 33 00</t>
  </si>
  <si>
    <t xml:space="preserve">C1.3 Pipe Identification Legend, base plans_3Part-1 p.1 and Add. 4 p.7; C1.6A callout (Add. 4 p.8); 33 31 00 ¶2.01 E (pp.430–432); 33 30 00 ¶1.02, ¶3.04 (pp.420–429); 33 33 00 ¶1.02–1.03, ¶3.03–3.04 (pp.444–446)</t>
  </si>
  <si>
    <t xml:space="preserve">Add. 4 p.7 strikes 'SCH. 80 PVC FM', adds 'HDPE' and changes size to 3 in; base plans_3Part-1 p.1 reads 2-in Sch. 80 PVC — Add. 4 governs. Under-slab segment on C1.6A (3-in 2W water reducing to 2-in before the sub-floor run to the dewatering skid), routed below the existing floor; match to this ID Inferred by size and service. Bid Item 1 per 04 rule (work not itemized elsewhere) — Inferred. Status 'New' Inferred: proposed legend, only ID 1 is marked existing. Buried 2W water is PE4710 IPS HDPE DR11 (33 31 00 ¶2.01 E); test 200 psi (33 30 00 ¶3.04.8). HDPE: fusion operator qualifications before ordering pipe; data-logged fusion joints with 3 or 3% destructive tests; ASTM F2164 pressure test (33 33 00). || [Merge] Exceptions: #50.</t>
  </si>
  <si>
    <t xml:space="preserve">Pipe ID 11</t>
  </si>
  <si>
    <t xml:space="preserve">8-inch Train 3 influent (DI gravity), 0.4% min</t>
  </si>
  <si>
    <t xml:space="preserve">Bid Item 1 per 04 rule (work not itemized elsewhere) — Inferred. Status 'New' Inferred: proposed legend, only ID 1 is marked existing. || [Merge] Exceptions: #81.</t>
  </si>
  <si>
    <t xml:space="preserve">Pipe ID 12</t>
  </si>
  <si>
    <t xml:space="preserve">2-inch water pipe (Sch. 80 PVC force main)</t>
  </si>
  <si>
    <t xml:space="preserve">33 32 00; 33 30 00; 33 05 00</t>
  </si>
  <si>
    <t xml:space="preserve">C1.3; 33 32 00; 33 30 00</t>
  </si>
  <si>
    <t xml:space="preserve">C1.3 Pipe Identification Legend, base plans_3Part-1 p.1 and Add. 4 p.7; 33 32 00 ¶1.03, ¶2.02–2.03 (pp.436–438); 33 30 00 ¶3.04.9 (p.428)</t>
  </si>
  <si>
    <t xml:space="preserve">Likely the 'new water service' of C0.5 KN 6 — Inferred. Bid Item 1 per 04 rule (work not itemized elsewhere) — Inferred. Status 'New' Inferred: proposed legend, only ID 1 is marked existing. Material conflict: C1.3 shows 2-in Sch. 80 PVC; 33 32 00 calls for C900 PVC or DI mains and HDPE service pipe (see Issues CS-29) — Unresolved. || [Merge] Exceptions: #191.</t>
  </si>
  <si>
    <t xml:space="preserve">Pipe ID 13</t>
  </si>
  <si>
    <t xml:space="preserve">8-inch Train 2 influent (DI gravity), 0.4% min</t>
  </si>
  <si>
    <t xml:space="preserve">C1.3 KN 1: cut existing 8-in pipe and connect new 8-in influent to Train 2. Bid Item 1 per 04 rule (work not itemized elsewhere) — Inferred. Status 'New' Inferred: proposed legend, only ID 1 is marked existing. || [Merge] Exceptions: #80.</t>
  </si>
  <si>
    <t xml:space="preserve">Pipe ID 14</t>
  </si>
  <si>
    <t xml:space="preserve">8-inch Train 1 influent (DI gravity), 0.4% min</t>
  </si>
  <si>
    <t xml:space="preserve">C1.3 KN 2: extend new 8-in pipe to Train 1. Bid Item 1 per 04 rule (work not itemized elsewhere) — Inferred. Status 'New' Inferred: proposed legend, only ID 1 is marked existing. || [Merge] Exceptions: #79.</t>
  </si>
  <si>
    <t xml:space="preserve">Pipe ID 15</t>
  </si>
  <si>
    <t xml:space="preserve">2-inch Train 3 WAS (Sch. 80 PVC gravity), positive drainage throughout</t>
  </si>
  <si>
    <t xml:space="preserve">C1.3 Pipe Identification Legend, base plans_3Part-1 p.1 and Add. 4 p.7; C1.6A callout (Add. 4 p.8); 33 31 00 ¶2.01 F (pp.430–432); 33 30 00 ¶1.02, ¶3.04 (pp.420–429)</t>
  </si>
  <si>
    <t xml:space="preserve">Cross-check: Process &amp; Mechanical (in-plant piping). Under-slab segment on C1.6A (2-in WAS, Train #3 to pump), routed below the existing floor; match to this ID Inferred by size and service. Bid Item 1 per 04 rule (work not itemized elsewhere) — Inferred. Status 'New' Inferred: proposed legend, only ID 1 is marked existing. Material conflict: C1.3 shows Sch. 80 PVC; 33 31 00 ¶2.01 F.2 requires buried WAS discharge piping in DI (see Issues CS-29) — Unresolved. || [Merge] Exceptions: #85.</t>
  </si>
  <si>
    <t xml:space="preserve">Pipe ID 16</t>
  </si>
  <si>
    <t xml:space="preserve">8-inch Train 2 effluent (DI gravity), 0.4% min</t>
  </si>
  <si>
    <t xml:space="preserve">C1.3 Pipe Identification Legend, base plans_3Part-1 p.1 and Add. 4 p.7; C1.6A callout (Add. 4 p.8); 33 31 00 ¶2.01 C (pp.430–432); 33 30 00 ¶1.02, ¶3.04 (pp.420–429)</t>
  </si>
  <si>
    <t xml:space="preserve">Under-slab segment on C1.6A (8-in secondary effluent, Train #2 clarifier to UV disinfection), routed below the existing floor; match to this ID Inferred by size and service. Bid Item 1 per 04 rule (work not itemized elsewhere) — Inferred. Status 'New' Inferred: proposed legend, only ID 1 is marked existing. || [Merge] Exceptions: #83.</t>
  </si>
  <si>
    <t xml:space="preserve">Pipe ID 17</t>
  </si>
  <si>
    <t xml:space="preserve">8-inch Train 3 effluent (DI gravity), 0.4% min</t>
  </si>
  <si>
    <t xml:space="preserve">Bid Item 1 per 04 rule (work not itemized elsewhere) — Inferred. Status 'New' Inferred: proposed legend, only ID 1 is marked existing. || [Merge] Exceptions: #84.</t>
  </si>
  <si>
    <t xml:space="preserve">Pipe ID 18</t>
  </si>
  <si>
    <t xml:space="preserve">6-inch influent to flow splitter (DI force main), positive slope throughout</t>
  </si>
  <si>
    <t xml:space="preserve">C1.3 Pipe Identification Legend, base plans_3Part-1 p.1 and Add. 4 p.7; 33 31 00 ¶2.01 B (pp.430–432); 33 30 00 ¶1.02, ¶3.04 (pp.420–429)</t>
  </si>
  <si>
    <t xml:space="preserve">Cross-check: Process &amp; Mechanical (Influent Flow Splitter). Bid Item 1 per 04 rule (work not itemized elsewhere) — Inferred. Status 'New' Inferred: proposed legend, only ID 1 is marked existing. Force main test at 1.5x operating pressure or 150 psi, 15 min (33 30 00 ¶3.04.8). || [Merge] Exceptions: #86.</t>
  </si>
  <si>
    <t xml:space="preserve">Pipe ID 19</t>
  </si>
  <si>
    <t xml:space="preserve">2-inch digester WAS influent (Sch. 80 PVC gravity)</t>
  </si>
  <si>
    <t xml:space="preserve">Cross-check: Process &amp; Mechanical (in-plant piping). Under-slab segment on C1.6A (2-in WAS, pump to digester), routed below the existing floor; match to this ID Inferred by size and service. Bid Item 1 per 04 rule (work not itemized elsewhere) — Inferred. Status 'New' Inferred: proposed legend, only ID 1 is marked existing. Material conflict: C1.3 shows Sch. 80 PVC; 33 31 00 ¶2.01 F.2 requires buried WAS discharge piping in DI (see Issues CS-29) — Unresolved. || [Merge] Exceptions: #91.</t>
  </si>
  <si>
    <t xml:space="preserve">Pipe ID 20</t>
  </si>
  <si>
    <t xml:space="preserve">6-inch Cell 3 air (SS)</t>
  </si>
  <si>
    <t xml:space="preserve">C1.3 Pipe Identification Legend, base plans_3Part-1 p.1 and Add. 4 p.7; 33 31 00 ¶2.01 D (pp.430–432); 33 30 00 ¶1.02, ¶3.04 (pp.420–429)</t>
  </si>
  <si>
    <t xml:space="preserve">Cross-check: Process &amp; Mechanical (process air). Bid Item 1 per 04 rule (work not itemized elsewhere) — Inferred. Status 'New' Inferred: proposed legend, only ID 1 is marked existing. Material conflict: C1.3 shows SS; 33 31 00 ¶2.01 D.2 requires buried aeration piping 4 in and larger in poly-wrapped DI (see Issues CS-29) — Unresolved. || [Merge] Exceptions: #93, #159.</t>
  </si>
  <si>
    <t xml:space="preserve">Pipe ID 21</t>
  </si>
  <si>
    <t xml:space="preserve">4-inch digester air (SS)</t>
  </si>
  <si>
    <t xml:space="preserve">C1.3 Pipe Identification Legend, base plans_3Part-1 p.1 and Add. 4 p.7; C1.6A callout (Add. 4 p.8); 33 31 00 ¶2.01 D (pp.430–432); 33 30 00 ¶1.02, ¶3.04 (pp.420–429)</t>
  </si>
  <si>
    <t xml:space="preserve">Cross-check: Process &amp; Mechanical (process air). Under-slab segment on C1.6A (4-in air, blower to digester), routed below the existing floor; match to this ID Inferred by size and service. Bid Item 1 per 04 rule (work not itemized elsewhere) — Inferred. Status 'New' Inferred: proposed legend, only ID 1 is marked existing. Material conflict: C1.3 shows SS; 33 31 00 ¶2.01 D.2 requires buried aeration piping 4 in and larger in poly-wrapped DI (see Issues CS-29) — Unresolved. || [Merge] Exceptions: #94.</t>
  </si>
  <si>
    <t xml:space="preserve">Pipe ID 22</t>
  </si>
  <si>
    <t xml:space="preserve">1-inch yard hydrants, 3 locations (Add. 4)</t>
  </si>
  <si>
    <t xml:space="preserve">C1.3 (Add. 4 p.7); C7.1 (Det. 1); C7.5 (Det. 1)</t>
  </si>
  <si>
    <t xml:space="preserve">C1.3; C7.1; C7.5; 33 31 00; 33 30 00; 33 05 00</t>
  </si>
  <si>
    <t xml:space="preserve">C1.3 Pipe Identification Legend, base plans_3Part-1 p.1 and Add. 4 p.7; C7.1 Detail 1 (plans_6 p.3); C7.5 Detail 1 (plans_6 p.7); 33 31 00 ¶2.01 K (pp.430–432); 33 30 00 ¶1.02, ¶3.04 (pp.420–429)</t>
  </si>
  <si>
    <t xml:space="preserve">Which yard hydrant detail applies is not stated: C7.1 Det. 1 (1-in frostproof with vacuum breaker) or C7.5 Det. 1 (2W plant water station, non-potable sign, hose rack) — Unresolved (see Issues). Added by Add. 4 p.7 as an additional piping label (Add. 4 p.3). Bid Item 1 per 04 rule (work not itemized elsewhere) — Inferred. Status 'New' Inferred: proposed legend, only ID 1 is marked existing. 33 31 00 ¶2.01 K: two 3/4-in x 50-ft fire hoses per 1-in yard hydrant. || [Merge] Exceptions: #52, #180.</t>
  </si>
  <si>
    <t xml:space="preserve">Pipe ID 23</t>
  </si>
  <si>
    <t xml:space="preserve">1-inch 2W water line, HDPE (Add. 4)</t>
  </si>
  <si>
    <t xml:space="preserve">Added by Add. 4 p.7 (Add. 4 p.3: additional piping labels). Under-slab segment on C1.6A (1-in 2W water, bladder tanks to 3-in 2W pipe), routed below the existing floor; match to this ID Inferred by size and service. Bid Item 1 per 04 rule (work not itemized elsewhere) — Inferred. Status 'New' Inferred: proposed legend, only ID 1 is marked existing. Buried 2W water is PE4710 IPS HDPE DR11 (33 31 00 ¶2.01 E); test 200 psi (33 30 00 ¶3.04.8). HDPE: fusion operator qualifications before ordering pipe; data-logged fusion joints with 3 or 3% destructive tests; ASTM F2164 pressure test (33 33 00). || [Merge] Exceptions: #51, #146.</t>
  </si>
  <si>
    <t xml:space="preserve">Pipe ID 24</t>
  </si>
  <si>
    <t xml:space="preserve">8-inch Train 1 effluent (DI gravity), 0.4% min (Add. 4)</t>
  </si>
  <si>
    <t xml:space="preserve">Added by Add. 4 p.7 (Add. 4 p.3: additional piping labels). Bid Item 1 per 04 rule (work not itemized elsewhere) — Inferred. Status 'New' Inferred: proposed legend, only ID 1 is marked existing. || [Merge] Exceptions: #82.</t>
  </si>
  <si>
    <t xml:space="preserve">Pipe ID 25</t>
  </si>
  <si>
    <t xml:space="preserve">4-inch pressate drain (DI gravity), 2% min (Add. 4)</t>
  </si>
  <si>
    <t xml:space="preserve">Added by Add. 4 p.7 (Add. 4 p.3: additional piping labels). Cross-check: Process &amp; Mechanical (dewatering). Under-slab segment on C1.6A (4-in pressate drain, dewatering skid to influent pump station), routed below the existing floor; match to this ID Inferred by size and service. Bid Item 1 per 04 rule (work not itemized elsewhere) — Inferred. Status 'New' Inferred: proposed legend, only ID 1 is marked existing. || [Merge] Exceptions: #89.</t>
  </si>
  <si>
    <t xml:space="preserve">Pipe ID 26</t>
  </si>
  <si>
    <t xml:space="preserve">4-inch building floor drain (DI gravity), 2% min (Add. 4)</t>
  </si>
  <si>
    <t xml:space="preserve">Added by Add. 4 p.7 (Add. 4 p.3: additional piping labels). Bid Item 1 per 04 rule (work not itemized elsewhere) — Inferred. Status 'New' Inferred: proposed legend, only ID 1 is marked existing.</t>
  </si>
  <si>
    <t xml:space="preserve">PROPOSED-Existing Train 1 influent pipe</t>
  </si>
  <si>
    <t xml:space="preserve">Existing Train 1 influent pipe — abandon and plug</t>
  </si>
  <si>
    <t xml:space="preserve">C1.3 (Add. 4 p.7) KN 2</t>
  </si>
  <si>
    <t xml:space="preserve">C1.3; 02 41 00</t>
  </si>
  <si>
    <t xml:space="preserve">C1.3 Keyed Note 2 (Add. 4 p.7); 02 41 00 ¶3.01 B.1 (p.161)</t>
  </si>
  <si>
    <t xml:space="preserve">Abandoned and plugged in place, not removed. Bid Item 1 per 04 rule (work not itemized elsewhere) — Inferred. Plug or grout per 02 41 00 ¶3.01 B.1.</t>
  </si>
  <si>
    <t xml:space="preserve">Hot Box #1</t>
  </si>
  <si>
    <t xml:space="preserve">2W water hot box #1 — flow meter and isolation valve (relocated per Add. 4)</t>
  </si>
  <si>
    <t xml:space="preserve">C1.3 (Add. 4 p.7); C7.6 (Det. 1)</t>
  </si>
  <si>
    <t xml:space="preserve">C1.3; C7.6</t>
  </si>
  <si>
    <t xml:space="preserve">Add. 4 p.7 markup 'Move Hot Box #1 and #2 as shown'; Add. 4 p.3 C1.3 item; C7.6 Detail 1, Material List (plans_6 p.8)</t>
  </si>
  <si>
    <t xml:space="preserve">Locked, insulated, heated enclosure on 58x24x4-in slab; holds 1-in flow meter, ASCO 8221 solenoid valve, Spears check valve, Orenco FCA flow control assembly; heat trace and receptacle. Add. 4: moved and reoriented for vehicle traffic; adjust conduit, wiring and plumbing. Status 'New' Inferred. Cross-check: Process &amp; Mechanical (2W system) and Electrical &amp; Controls (conduit and wiring; 04 lists Item 6 for these moves). Bid Item 1 per 04 rule (work not itemized elsewhere) — Inferred. No submittal or test in this lane's spec sections; 2W system equipment is in 43 22 10 (Process &amp; Mechanical). || [Merge] Exceptions: #16, #95, #149, #193, #206.</t>
  </si>
  <si>
    <t xml:space="preserve">Hot Box #2</t>
  </si>
  <si>
    <t xml:space="preserve">2W water hot box #2 — air gap piping (relocated per Add. 4)</t>
  </si>
  <si>
    <t xml:space="preserve">C1.3 (Add. 4 p.7); C7.6 (Det. 2–3)</t>
  </si>
  <si>
    <t xml:space="preserve">Add. 4 p.7 markup 'Move Hot Box #1 and #2 as shown'; Add. 4 p.3 C1.3 item; C7.6 Details 2–3 (plans_6 p.8)</t>
  </si>
  <si>
    <t xml:space="preserve">Air gap piping (two pipe diameters) to funnel and 4-in Sch. 80 PVC drain; enclosure Hot Box HB2ST or approved equal. Add. 4: moved and reoriented for vehicle traffic; adjust conduit, wiring and plumbing. Status 'New' Inferred. Cross-check: Process &amp; Mechanical (2W system) and Electrical &amp; Controls (conduit and wiring; 04 lists Item 6 for these moves). Bid Item 1 per 04 rule (work not itemized elsewhere) — Inferred. No submittal or test in this lane's spec sections; 2W system equipment is in 43 22 10 (Process &amp; Mechanical). || [Merge] Exceptions: #17, #169, #183.</t>
  </si>
  <si>
    <t xml:space="preserve">Buried Valve ID 1</t>
  </si>
  <si>
    <t xml:space="preserve">6-inch gate valve — influent flow meter isolation</t>
  </si>
  <si>
    <t xml:space="preserve">C1.4; C7.3 (Det. 2)</t>
  </si>
  <si>
    <t xml:space="preserve">C1.4; C7.3; 33 30 00; 33 05 00</t>
  </si>
  <si>
    <t xml:space="preserve">C1.4 Buried Valve Identification Legend (plans_3Part-2 p.1); C7.3 Detail 2 schedule (plans_6 p.5); 33 30 00 ¶1.02 D, ¶3.04.6 (pp.421, 428); 33 05 00 ¶3.025 B (p.419)</t>
  </si>
  <si>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 || [Merge] Exceptions: #177.</t>
  </si>
  <si>
    <t xml:space="preserve">Buried Valve ID 2</t>
  </si>
  <si>
    <t xml:space="preserve">8-inch gate valve — Train 2 flow meter isolation</t>
  </si>
  <si>
    <t xml:space="preserve">C1.4; C7.3 (Det. 2); C7.10</t>
  </si>
  <si>
    <t xml:space="preserve">C1.4; C7.3; C7.10; 33 30 00; 33 05 00</t>
  </si>
  <si>
    <t xml:space="preserve">C1.4 Buried Valve Identification Legend (plans_3Part-2 p.1); C7.3 Detail 2 schedule (plans_6 p.5); C7.10 Detail 1 (plans_7 p.4); 33 30 00 ¶1.02 D, ¶3.04.6 (pp.421, 428); 33 05 00 ¶3.025 B (p.419)</t>
  </si>
  <si>
    <t xml:space="preserve">C7.10 shows 8-in plug valves upstream and downstream of the meter, not one 8-in gate valve (see Issues CS-15) — Unresolved. 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</si>
  <si>
    <t xml:space="preserve">Buried Valve ID 3</t>
  </si>
  <si>
    <t xml:space="preserve">8-inch gate valve — Train 3 flow meter isolation</t>
  </si>
  <si>
    <t xml:space="preserve">C1.4 Buried Valve Identification Legend (plans_3Part-2 p.1); C7.3 Detail 2 schedule (plans_6 p.5); C7.10 Detail 2 (plans_7 p.4); 33 30 00 ¶1.02 D, ¶3.04.6 (pp.421, 428); 33 05 00 ¶3.025 B (p.419)</t>
  </si>
  <si>
    <t xml:space="preserve">Buried Valve ID 4</t>
  </si>
  <si>
    <t xml:space="preserve">4-inch gate valve — drain flow meter isolation</t>
  </si>
  <si>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</si>
  <si>
    <t xml:space="preserve">Buried Valve ID 5</t>
  </si>
  <si>
    <t xml:space="preserve">Buried Valve ID 6</t>
  </si>
  <si>
    <t xml:space="preserve">4-inch gate valve — treated effluent outlet box drain</t>
  </si>
  <si>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</si>
  <si>
    <t xml:space="preserve">Buried Valve ID 7</t>
  </si>
  <si>
    <t xml:space="preserve">Buried Valve ID 8</t>
  </si>
  <si>
    <t xml:space="preserve">4-inch gate valve — UV disinfection drain</t>
  </si>
  <si>
    <t xml:space="preserve">Buried Valve ID 9</t>
  </si>
  <si>
    <t xml:space="preserve">4-inch gate valve — sample sump drain</t>
  </si>
  <si>
    <t xml:space="preserve">Buried Valve ID 10</t>
  </si>
  <si>
    <t xml:space="preserve">4-inch gate valve — pump station clean-out drain</t>
  </si>
  <si>
    <t xml:space="preserve">Buried Valve ID 11</t>
  </si>
  <si>
    <t xml:space="preserve">Buried Valve ID 12</t>
  </si>
  <si>
    <t xml:space="preserve">8-inch plug valve — effluent flow meter isolation</t>
  </si>
  <si>
    <t xml:space="preserve">Buried Valve ID 13</t>
  </si>
  <si>
    <t xml:space="preserve">PROPOSED-Existing slab coring and repair</t>
  </si>
  <si>
    <t xml:space="preserve">Existing building slab — core or saw cut for under-slab piping, then repair</t>
  </si>
  <si>
    <t xml:space="preserve">Existing building (C1.6A)</t>
  </si>
  <si>
    <t xml:space="preserve">C1.6A (Add. 4 p.8)</t>
  </si>
  <si>
    <t xml:space="preserve">Add. 4 p.8 (C1.6A) and p.3 item — Add. 4 governs</t>
  </si>
  <si>
    <t xml:space="preserve">C1.6A</t>
  </si>
  <si>
    <t xml:space="preserve">C1.6A sheet note (Add. 4 p.8); Add. 4 p.3 C1.6A item</t>
  </si>
  <si>
    <t xml:space="preserve">Clean-edge cuts only; repair to match the Blower Building slab design per S4.1 Detail 8; new rebar doweled and epoxied, 4-in min embedment. Cross-lane: Structural &amp; Building (S4.1 Detail 8). Bid Item 1 per 04 rule (work not itemized elsewhere) — Inferred. No submittal or test in this lane's spec sections; concrete repair per S4.1 and 03 30 00 (Structural &amp; Building). || [Merge] Exceptions: #78.</t>
  </si>
  <si>
    <t xml:space="preserve">SD-1</t>
  </si>
  <si>
    <t xml:space="preserve">Storm drain alignment SD-1, 12-inch, 42 + 19 + 42 LF at 0.5%</t>
  </si>
  <si>
    <t xml:space="preserve">C2.2</t>
  </si>
  <si>
    <t xml:space="preserve">33 30 00; 33 41 00</t>
  </si>
  <si>
    <t xml:space="preserve">C2.2; 33 30 00; 33 41 00</t>
  </si>
  <si>
    <t xml:space="preserve">C2.2 Alignment SD-1 plan and profile (plans_3Part-5 p.1); 33 30 00 ¶1.02, ¶3.04.7 a (pp.420, 428); 33 41 00 ¶1.03, ¶2.02 A (pp.447–448)</t>
  </si>
  <si>
    <t xml:space="preserve">Pipe material not stated on C2.2. Status 'New' Inferred: labeled without 'EXIST.' (existing structures are labeled 'EXIST. SDCB'). Bid Item 1 per 04 rule (work not itemized elsewhere) — Inferred. New storm pipe is pressure-tested (33 30 00 ¶3.04.7 a; method per WSDOT, see 33 30 00 note). Material per 33 41 00 ¶2.02 A: double-wall corrugated PE, DI where cover is under 18 in, CDF where under 1 ft; C2.2 shows only 1.9–2.4 ft from rim to invert at the catch basins, so DI or CDF may apply — Unresolved (see Issues CS-35). || [Merge] Exceptions: #3, #207.</t>
  </si>
  <si>
    <t xml:space="preserve">PROPOSED-4in roof drain at SD-1</t>
  </si>
  <si>
    <t xml:space="preserve">4-inch roof drain connection from SDCB #9 (8 LF and 17 LF at 2.00%)</t>
  </si>
  <si>
    <t xml:space="preserve">C2.2; C0.5; 33 30 00; 33 41 00</t>
  </si>
  <si>
    <t xml:space="preserve">C2.2 profile STA 1+14.26 (plans_3Part-5 p.1); 33 30 00 ¶1.02, ¶3.04.7 a (pp.420, 428); 33 41 00 ¶1.03, ¶2.02 A (pp.447–448)</t>
  </si>
  <si>
    <t xml:space="preserve">Likely the 'new 4-in roof drain gravity pipe' of C0.5 KN 2 — Inferred. Bid Item 1 per 04 rule (work not itemized elsewhere) — Inferred. New storm pipe is pressure-tested (33 30 00 ¶3.04.7 a; method per WSDOT, see 33 30 00 note). Roof drain is PVC, tight-lined to the catch basin with 12 in minimum cover (33 41 00 ¶2.02 A.4, ¶3.02 G).</t>
  </si>
  <si>
    <t xml:space="preserve">SDCB #5</t>
  </si>
  <si>
    <t xml:space="preserve">Storm drain catch basin #5, Type 1, rim 22.94 (STA 0+47.05)</t>
  </si>
  <si>
    <t xml:space="preserve">C2.2; C2.1; C2.3</t>
  </si>
  <si>
    <t xml:space="preserve">33 41 00</t>
  </si>
  <si>
    <t xml:space="preserve">C2.2; 33 41 00</t>
  </si>
  <si>
    <t xml:space="preserve">C2.2 profile (plans_3Part-5 p.1); 33 41 00 ¶1.03 A.1, ¶2.02 C, ¶3.02 E (pp.447–449); (Missing_Pages_Page_003.png, C2.3 — Verified-Visual)</t>
  </si>
  <si>
    <t xml:space="preserve">12-in W, N, S inverts 20.55.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0+05.00, 12-in (W), (N), (S) inverts 20.55.</t>
  </si>
  <si>
    <t xml:space="preserve">SDCB #8</t>
  </si>
  <si>
    <t xml:space="preserve">Storm drain catch basin #8, Type 1, rim 22.78 (STA 0+67.46)</t>
  </si>
  <si>
    <t xml:space="preserve">C2.2; C2.4; C2.1</t>
  </si>
  <si>
    <t xml:space="preserve">C2.2; C2.4; 33 41 00</t>
  </si>
  <si>
    <t xml:space="preserve">C2.2 profile (plans_3Part-5 p.1); C2.4 plan (plans_3Part-7 p.1); 33 41 00 ¶1.03 A.1, ¶2.02 C, ¶3.02 E (pp.447–449); (Missing_Pages_Page_002.png, C2.1 — Verified-Visual)</t>
  </si>
  <si>
    <t xml:space="preserve">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C2.1 rim 22.78.</t>
  </si>
  <si>
    <t xml:space="preserve">SDCB #9</t>
  </si>
  <si>
    <t xml:space="preserve">Storm drain catch basin #9, Type 1, rim 22.75 (STA 1+09.93)</t>
  </si>
  <si>
    <t xml:space="preserve">12-in W invert 20.85; 4-in roof drain NE invert 20.85.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C2.1 rim 22.75.</t>
  </si>
  <si>
    <t xml:space="preserve">SDCB #7</t>
  </si>
  <si>
    <t xml:space="preserve">Storm drain catch basin #7, Type 1, rim 23.00 (west trench drain)</t>
  </si>
  <si>
    <t xml:space="preserve">C2.4; C2.1; C2.3</t>
  </si>
  <si>
    <t xml:space="preserve">C2.4; 33 41 00</t>
  </si>
  <si>
    <t xml:space="preserve">C2.4 plan and profile (plans_3Part-7 p.1); 33 41 00 ¶1.03 A.1, ¶2.02 C, ¶3.02 E (pp.447–449); (Missing_Pages_Page_003.png, C2.3 — Verified-Visual)</t>
  </si>
  <si>
    <t xml:space="preserve">12-in W and 6-in E inverts 20.77; trench drain connects on north side.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0+53.59, 12-in (W) and 6-in (E) inverts 20.77; trench drain on the north side.</t>
  </si>
  <si>
    <t xml:space="preserve">SDCB #10</t>
  </si>
  <si>
    <t xml:space="preserve">Storm drain catch basin #10, Type 1, rim 23.10 (STA 0+77.60, east trench drain)</t>
  </si>
  <si>
    <t xml:space="preserve">6-in W invert 20.88; trench drains connect on north and south sides.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0+77.60, 6-in (W) invert 20.88; trench drains on the north and south sides.</t>
  </si>
  <si>
    <t xml:space="preserve">SDCB #2</t>
  </si>
  <si>
    <t xml:space="preserve">Storm drain catch basin #2, rim 22.65</t>
  </si>
  <si>
    <t xml:space="preserve">C2.4 plan rim label (plans_3Part-7 p.1); 33 41 00 ¶1.03 A.1, ¶2.02 C, ¶3.02 E (pp.447–449); (Missing_Pages_Page_003.png, C2.3 — Verified-Visual)</t>
  </si>
  <si>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0+44.53, 12-in (NW) and (SE) inverts 19.5. Type and inverts now shown; the WSDOT standard-plan reference is still not staged.</t>
  </si>
  <si>
    <t xml:space="preserve">SDCB #3</t>
  </si>
  <si>
    <t xml:space="preserve">Storm drain catch basin #3, rim 22.70</t>
  </si>
  <si>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0+89.19, 12-in (NW), 6-in (E), 4-in (SE) inverts 19.7. Type and inverts now shown; WSDOT reference still not staged.</t>
  </si>
  <si>
    <t xml:space="preserve">SDCB #4</t>
  </si>
  <si>
    <t xml:space="preserve">Storm drain catch basin #4, rim 23.15</t>
  </si>
  <si>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1+26.67, 6-in (W) invert 19.79; trench drain connected on the east side. Type and inverts now shown; WSDOT reference still not staged.</t>
  </si>
  <si>
    <t xml:space="preserve">SDCB #6</t>
  </si>
  <si>
    <t xml:space="preserve">Storm drain catch basin #6, rim 23.00</t>
  </si>
  <si>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0+33.42, 12-in (E), (S) and 4-in (NW) inverts 20.68. Type and inverts now shown; WSDOT reference still not staged.</t>
  </si>
  <si>
    <t xml:space="preserve">SDCB 1076</t>
  </si>
  <si>
    <t xml:space="preserve">Existing storm drain catch basin 1076 (Type 1) — new 12-inch connection on east side at IE 20.35</t>
  </si>
  <si>
    <t xml:space="preserve">C2.2; C0.1</t>
  </si>
  <si>
    <t xml:space="preserve">C2.2; C0.1; 33 41 00</t>
  </si>
  <si>
    <t xml:space="preserve">C2.2 profile STA 0+04.63 (plans_3Part-5 p.1); C0.1 storm structure table (plans_1 p.8)</t>
  </si>
  <si>
    <t xml:space="preserve">Existing structure; new connection only. Bid Item 1 per 04 rule (work not itemized elsewhere) — Inferred. Existing structure; new connection only.</t>
  </si>
  <si>
    <t xml:space="preserve">PROPOSED-East trench drains</t>
  </si>
  <si>
    <t xml:space="preserve">East trench drains, north and south of SDCB #10, rim 23.10</t>
  </si>
  <si>
    <t xml:space="preserve">C2.4; C7.4 (Det. 5)</t>
  </si>
  <si>
    <t xml:space="preserve">Add. 4 p.2, 33 41 00 ¶2.02 F — Add. 4 governs</t>
  </si>
  <si>
    <t xml:space="preserve">C2.4; C7.4</t>
  </si>
  <si>
    <t xml:space="preserve">C2.4 east trench drain profile (plans_3Part-7 p.1); Add. 4 p.2; C7.4 Detail 5 (plans_6 p.6)</t>
  </si>
  <si>
    <t xml:space="preserve">Concrete surround per C7.4 Det. 5. Product per Add. 4: Zurn Z886-HD or approved equal, HDPE channel 4-in wide with 0.75% built-in slope, slotted ductile iron grates, Load Class C. Bid Item 1 per 04 rule (work not itemized elsewhere) — Inferred. Trench drains are not named in the 33 41 00 ¶1.03 submittal list (Add. 4 added only the product paragraph); general submittal rules sit in 01 33 00 (Contract &amp; General, not read).</t>
  </si>
  <si>
    <t xml:space="preserve">PROPOSED-West trench drain</t>
  </si>
  <si>
    <t xml:space="preserve">West trench drain, about 51 ft, north side of SDCB #7</t>
  </si>
  <si>
    <t xml:space="preserve">C2.4 west trench drain plan and profile (plans_3Part-7 p.1); Add. 4 p.2; C7.4 Detail 5 (plans_6 p.6)</t>
  </si>
  <si>
    <t xml:space="preserve">PROPOSED-Block retaining wall</t>
  </si>
  <si>
    <t xml:space="preserve">Block (gravity) retaining wall, STA 0+05.00 to 1+31.00</t>
  </si>
  <si>
    <t xml:space="preserve">C2.5; C0.2; C0.5; C2.1</t>
  </si>
  <si>
    <t xml:space="preserve">32 32 23</t>
  </si>
  <si>
    <t xml:space="preserve">C2.5; C0.5; C0.2; 32 32 23</t>
  </si>
  <si>
    <t xml:space="preserve">C2.5 plan, profile, Keyed Note 1 (plans_3Part-8 p.1); 32 32 23 ¶1.01, ¶1.04, ¶3.01 (pp.408–411); (Missing_Pages_Page_002.png, C2.1 — Verified-Visual)</t>
  </si>
  <si>
    <t xml:space="preserve">Wall detail on 1/C7.8 and coordinate detail on 5/C7.7, both unavailable — Unresolved. Length 126 ft by stationing — Inferred. Existing wall end cut to match (C0.5 KN 18). Bid Item 1 per 04 rule (work not itemized elsewhere) — Inferred. Contractor-designed wall (Washington PE-stamped drawings and calculations, manufacturer certification); Keystone Compaq II or equal; foundation soils tested before leveling pad. [Resplit pass 2026-09-29] C2.1 keyed note 1: Keystone block retaining wall; plan and profile on C2.5, details 1/C7.8 (C7.8 still unavailable).</t>
  </si>
  <si>
    <t xml:space="preserve">PROPOSED-Chain link fence 126 LF</t>
  </si>
  <si>
    <t xml:space="preserve">Chain link fence along retaining wall, 126 LF, 6-ft fabric with 3-strand barbed wire (7 ft total), connected to existing fence</t>
  </si>
  <si>
    <t xml:space="preserve">C2.5; C2.1</t>
  </si>
  <si>
    <t xml:space="preserve">02 83 00</t>
  </si>
  <si>
    <t xml:space="preserve">C2.5; 02 83 00</t>
  </si>
  <si>
    <t xml:space="preserve">C2.5 Keyed Note 4 (plans_3Part-8 p.1); 02 83 00 ¶1.01 A, ¶1.04 (main spec p.163); (Missing_Pages_Page_002.png, C2.1 — Verified-Visual)</t>
  </si>
  <si>
    <t xml:space="preserve">'Per specifications'. Bid Item 1 per 04 rule (work not itemized elsewhere) — Inferred. 02 83 00 ¶1.01 A: all chain-link fence is 6-ft fabric with 3-strand barbed wire, 7 ft total; C2.5 mark read as 6" taken as 6 ft — Inferred. Submittals: samples and shop drawings (¶1.04). [Resplit pass 2026-09-29] C2.1 keyed notes 6 and 8: 149 LF and 134 LF of 6-ft chain link fence, each connected to existing — differs from the 126 LF here (Unresolved). The 6-ft mark on C2.1 supports reading C2.5's "6"" as 6 ft (Inferred).</t>
  </si>
  <si>
    <t xml:space="preserve">PROPOSED-New septic tank</t>
  </si>
  <si>
    <t xml:space="preserve">New septic tank (replaces SSMH 1285)</t>
  </si>
  <si>
    <t xml:space="preserve">C0.5 (KN 4); C7.1 (Det. 3)</t>
  </si>
  <si>
    <t xml:space="preserve">Appendix H</t>
  </si>
  <si>
    <t xml:space="preserve">C0.5; Appendix H; C7.1</t>
  </si>
  <si>
    <t xml:space="preserve">C0.5 Keyed Note 4 (plans_2Part-4 p.1); Appendix H (main spec p.638)</t>
  </si>
  <si>
    <t xml:space="preserve">Named as a prerequisite for removing SSMH 1285; size and location not stated on the available sheets. Bid Item 1 per 04 rule (work not itemized elsewhere) — Inferred. Appendix H: 1,000-gallon single-compartment tank; Contractor's proposed tank must match the Appendix H layout (layout page p.639 not readable, 02 decision G) and include traffic-rated risers and manhole lids (C7.1 Det. 3 link Inferred). No spec section in this lane.</t>
  </si>
  <si>
    <t xml:space="preserve">PROPOSED-Floor drains</t>
  </si>
  <si>
    <t xml:space="preserve">Floor drains, 4-inch stainless steel with 2-inch trap</t>
  </si>
  <si>
    <t xml:space="preserve">Not stated (in Train 2 and Train 3 flow meter vaults per C7.10)</t>
  </si>
  <si>
    <t xml:space="preserve">C7.1 (Det. 2); C7.10</t>
  </si>
  <si>
    <t xml:space="preserve">33 31 00</t>
  </si>
  <si>
    <t xml:space="preserve">C7.1; C7.10; 33 31 00</t>
  </si>
  <si>
    <t xml:space="preserve">C7.1 Detail 2 (plans_6 p.3); C7.10 Details 1–2 (plans_7 p.4); 33 31 00 ¶2.01 C.3 (p.430)</t>
  </si>
  <si>
    <t xml:space="preserve">Quantity not stated. Cross-check: Process &amp; Mechanical (15 40 00 Misc. Plumbing). Bid Item 1 per 04 rule (work not itemized elsewhere) — Inferred. 33 31 00 sends floor drain piping to 'Plumbing Spec 22 10 00', not in the manual (see Issues CS-22); cross-check 15 40 00 (Process &amp; Mechanical).</t>
  </si>
  <si>
    <t xml:space="preserve">PROPOSED-Parking stall striping</t>
  </si>
  <si>
    <t xml:space="preserve">Parking stall striping, including van-accessible stall and signs</t>
  </si>
  <si>
    <t xml:space="preserve">C7.1 (Det. 4); C2.6</t>
  </si>
  <si>
    <t xml:space="preserve">C7.1</t>
  </si>
  <si>
    <t xml:space="preserve">C7.1 Detail 4 (plans_6 p.3); (Missing_Pages_Page_004.png, C2.6 — Verified-Visual)</t>
  </si>
  <si>
    <t xml:space="preserve">Location and count not on available sheets (paving plan C2.6 unavailable). Striping per WSDOT 8-22 — Unresolved: external reference, not staged. Bid Item 1 per 04 rule (work not itemized elsewhere) — Inferred. No submittal or test in this lane's spec sections. [Resplit pass 2026-09-29] C2.6 keyed note 2: stall striping, handicap symbol and disabled parking signage per 4/C7.1 along the west side; stall count not stated. || [Merge] Exceptions: #96.</t>
  </si>
  <si>
    <t xml:space="preserve">PROPOSED-Gravity sewer cleanouts</t>
  </si>
  <si>
    <t xml:space="preserve">Gravity sewer cleanouts (6-in or 8-in) with cast iron ring and cover in concrete block</t>
  </si>
  <si>
    <t xml:space="preserve">C7.1 (Det. 5)</t>
  </si>
  <si>
    <t xml:space="preserve">33 31 00; 33 30 00</t>
  </si>
  <si>
    <t xml:space="preserve">C7.1; 33 31 00; 33 30 00</t>
  </si>
  <si>
    <t xml:space="preserve">C7.1 Detail 5 (plans_6 p.3); 33 31 00 ¶2.01 C; 33 30 00 ¶3.04.7 b</t>
  </si>
  <si>
    <t xml:space="preserve">Locations and count not stated on available sheets. Bid Item 1 per 04 rule (work not itemized elsewhere) — Inferred. Part of the gravity sewer system: tested with the line.</t>
  </si>
  <si>
    <t xml:space="preserve">PROPOSED-Tracer wire and locater boxes</t>
  </si>
  <si>
    <t xml:space="preserve">Tracer wire (#10 AWG insulated), locater boxes, and detectable warning tape on new utilities</t>
  </si>
  <si>
    <t xml:space="preserve">C7.1 (Det. 6); C7.4 (Det. 2, Note I)</t>
  </si>
  <si>
    <t xml:space="preserve">31 23 33; 33 30 00</t>
  </si>
  <si>
    <t xml:space="preserve">C7.1; C7.4; 31 23 33; 33 30 00</t>
  </si>
  <si>
    <t xml:space="preserve">C7.1 Detail 6 Notes 1–6 (plans_6 p.3); C7.4 Detail 2 Keyed Note I (plans_6 p.6); 31 23 33 ¶2.03 (pp.394–395); 33 30 00 ¶3.03 (pp.426–427)</t>
  </si>
  <si>
    <t xml:space="preserve">Drawing requires a conductivity/locate test on completion and final box locations to the Engineer (C7.1 Det. 6 Notes 5–6). Bid Item 1 per 04 rule (work not itemized elsewhere) — Inferred. 31 23 33 ¶2.03 adds APWA color-coded 2-in detectable warning tape over every new utility. 33 30 00 requires tracer wire on all new piping and a submittal of box locations; wire gauge, tie spacing and scope conflict with C7.1 and C7.4 (see Issues CS-28) — Unresolved. The conductivity test is a C7.1 drawing note, not a spec requirement.</t>
  </si>
  <si>
    <t xml:space="preserve">PROPOSED-Concrete walkway</t>
  </si>
  <si>
    <t xml:space="preserve">Concrete walkway / pavement, 6-inch minimum, #3 at 12 in each way</t>
  </si>
  <si>
    <t xml:space="preserve">C7.2 (Det. 1); C7.4 (Det. 4); C2.6</t>
  </si>
  <si>
    <t xml:space="preserve">C7.2; C7.4</t>
  </si>
  <si>
    <t xml:space="preserve">C7.2 Detail 1 (plans_6 p.4); C7.4 Detail 4 (plans_6 p.6); (Missing_Pages_Page_004.png, C2.6 — Verified-Visual)</t>
  </si>
  <si>
    <t xml:space="preserve">Location and area not on available sheets (C2.6 unavailable). Bid Item 1 per 04 rule (work not itemized elsewhere) — Inferred. No submittal or test in this lane's spec sections; concrete per 03 30 00 (Structural &amp; Building). [Resplit pass 2026-09-29] C2.6: concrete walkways per 1/C7.2 along the west side of the existing District building. || [Merge] Exceptions: #97.</t>
  </si>
  <si>
    <t xml:space="preserve">PROPOSED-WWTP tank and building signs</t>
  </si>
  <si>
    <t xml:space="preserve">WWTP tank and building signs, 9 (UV Disinfection Chamber, Blower Building, Dewatering Facility, Influent Pump Station, Aerobic Digester, Train 1–3, 2W Water System Pump Station)</t>
  </si>
  <si>
    <t xml:space="preserve">General</t>
  </si>
  <si>
    <t xml:space="preserve">C7.3 (Det. 1)</t>
  </si>
  <si>
    <t xml:space="preserve">C7.3</t>
  </si>
  <si>
    <t xml:space="preserve">C7.3 Detail 1 (plans_6 p.5)</t>
  </si>
  <si>
    <t xml:space="preserve">Locations field-determined by Owner. UV sign drawn as 'DISENFECTION' — confirm spelling before fabrication. Bid Item 1 per 04 rule (work not itemized elsewhere) — Inferred. No submittal or test in this lane's spec sections. || [Merge] Exceptions: #98.</t>
  </si>
  <si>
    <t xml:space="preserve">PROPOSED-Buried valve label markers</t>
  </si>
  <si>
    <t xml:space="preserve">Bronze buried valve label markers (Berntsen #C35FB) with cast iron valve boxes and concrete pads</t>
  </si>
  <si>
    <t xml:space="preserve">C7.3 (Det. 2, 4); C1.4</t>
  </si>
  <si>
    <t xml:space="preserve">C7.3; C1.4</t>
  </si>
  <si>
    <t xml:space="preserve">C7.3 Details 2, 4 and notes (plans_6 p.5)</t>
  </si>
  <si>
    <t xml:space="preserve">Quantity conflict: note says 14 markers, schedule lists 17 valves, C1.4 lists 13 — Unresolved (see Issues CS-13). Bid Item 1 per 04 rule (work not itemized elsewhere) — Inferred. No submittal or test in this lane's spec sections. || [Merge] Exceptions: #99.</t>
  </si>
  <si>
    <t xml:space="preserve">PROPOSED-HMA pavement</t>
  </si>
  <si>
    <t xml:space="preserve">Asphalt concrete pavement, 4-in HMA Class 1/2-in PG 58H-22 over 4-in CSBC and 12-in gravel base, thickened edge</t>
  </si>
  <si>
    <t xml:space="preserve">C7.3 (Det. 3); C7.4 (Det. 2); C2.6</t>
  </si>
  <si>
    <t xml:space="preserve">32 12 16</t>
  </si>
  <si>
    <t xml:space="preserve">C7.3; C7.4; 32 12 16</t>
  </si>
  <si>
    <t xml:space="preserve">C7.3 Detail 3 (plans_6 p.5); C7.4 Detail 2 Keyed Note B (plans_6 p.6); 32 12 16 ¶1.02, ¶2.01, ¶3.05 (pp.404–405); (Missing_Pages_Page_004.png, C2.6 — Verified-Visual)</t>
  </si>
  <si>
    <t xml:space="preserve">Paving limits are on C2.6 (unavailable; Add. 4 Clarification 1). Materials per WSDOT 5-04, 9-03.9(3), 9-03.10 — Unresolved: external reference, not staged. Base paving under Item 1 per 04 rule — Inferred; Items 8, 12 and 13 sit in the 'Extra Work Items' group (04) — Inferred for extra quantities only. Mix design certificates 5 days before placement; Contractor QC testing including in-place density. [Resplit pass 2026-09-29] C2.6: paving limits now shown — asphalt per 3/C7.3 across the yard to the property lines. WSDOT materials still not staged. || [Merge] Exceptions: #73.</t>
  </si>
  <si>
    <t xml:space="preserve">PROPOSED-Gravel surfacing</t>
  </si>
  <si>
    <t xml:space="preserve">Gravel surfacing, 4-in compacted base course over subgrade at 95%</t>
  </si>
  <si>
    <t xml:space="preserve">C7.3 (Det. 5); C2.6</t>
  </si>
  <si>
    <t xml:space="preserve">C7.3 Detail 5 (plans_6 p.5); (Missing_Pages_Page_004.png, C2.6 — Verified-Visual)</t>
  </si>
  <si>
    <t xml:space="preserve">Location not on available sheets. Base course per WSDOT 9-03.9(3) — Unresolved: external reference, not staged. Bid Item 1 per 04 rule (work not itemized elsewhere) — Inferred. No submittal or test in this lane's spec sections beyond 31 20 00 material submittals. [Resplit pass 2026-09-29] C2.6: gravel per 5/C7.3 and a 1-ft gravel shoulder between the property line and the asphalt (keyed note 1). || [Merge] Exceptions: #73.</t>
  </si>
  <si>
    <t xml:space="preserve">PROPOSED-Post hydrant</t>
  </si>
  <si>
    <t xml:space="preserve">Post hydrant on 2-inch HDPE supply with buried 2-inch gate valve</t>
  </si>
  <si>
    <t xml:space="preserve">C7.5 (Det. 2)</t>
  </si>
  <si>
    <t xml:space="preserve">C7.5; 33 30 00</t>
  </si>
  <si>
    <t xml:space="preserve">C7.5 Detail 2 (plans_6 p.7); 33 30 00 ¶1.02, ¶3.04 (pp.420–429)</t>
  </si>
  <si>
    <t xml:space="preserve">Size 'see plan'; location, size and count not on available sheets — Unresolved. Bid Item 1 per 04 rule (work not itemized elsewhere) — Inferred. Supply piping submitted and tested per 33 30 00. || [Merge] Exceptions: #53.</t>
  </si>
  <si>
    <t xml:space="preserve">PROPOSED-Composite manholes, double manhole condition</t>
  </si>
  <si>
    <t xml:space="preserve">Lightweight composite manholes (Morrison Bros. 418LC-3800 AM or equal) in cast-in-place traffic ring</t>
  </si>
  <si>
    <t xml:space="preserve">C7.5 (Det. 3)</t>
  </si>
  <si>
    <t xml:space="preserve">C7.5 Detail 3 (plans_6 p.7); 33 30 00 ¶2.01 C.6 (p.422)</t>
  </si>
  <si>
    <t xml:space="preserve">Where the double manhole condition occurs is not stated on available sheets — Unresolved. Foundation gravel per WSDOT 9-03.12(1)A — Unresolved: external reference, not staged. Bid Item 1 per 04 rule (work not itemized elsewhere) — Inferred. Pipe penetrations sealed with Link-Seal or Kor-N-Seal boots (33 30 00 ¶2.01 C.6). No structure submittal or test in this lane's sections; precast structures are specified in 03 40 00 (Structural &amp; Building).</t>
  </si>
  <si>
    <t xml:space="preserve">PROPOSED-Influent sample sump</t>
  </si>
  <si>
    <t xml:space="preserve">Influent sample sump, 24-in x 6-ft precast well curb (H2 Precast WC-24 or equal) with traffic-rated riser and lid</t>
  </si>
  <si>
    <t xml:space="preserve">C7.5 (Det. 4); C7.1 (Det. 3); C1.3; C1.4</t>
  </si>
  <si>
    <t xml:space="preserve">31 20 00; 33 30 00</t>
  </si>
  <si>
    <t xml:space="preserve">C7.5; C7.1; C1.3; C1.4; 31 20 00; 33 30 00</t>
  </si>
  <si>
    <t xml:space="preserve">C7.5 Detail 4 (plans_6 p.7); C7.1 Detail 3 (plans_6 p.3); C1.3 revision 2 'Add Inf. Sample Sump' (Add. 4 p.7); 31 20 00 ¶3.01 D (p.386); 33 30 00 ¶2.01 C.6 (p.422)</t>
  </si>
  <si>
    <t xml:space="preserve">8-in DI in at IE 19.65 (field-confirm), 8-in influent IE 19.55, 4-in drain IE 18.20 (Buried Valve ID 9, sample sump drain).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#4.</t>
  </si>
  <si>
    <t xml:space="preserve">PROPOSED-Hot Box #1 flow meter</t>
  </si>
  <si>
    <t xml:space="preserve">1-inch flow meter in Hot Box #1, 'per electrical design requirements'</t>
  </si>
  <si>
    <t xml:space="preserve">Controls</t>
  </si>
  <si>
    <t xml:space="preserve">C7.6 (Det. 1)</t>
  </si>
  <si>
    <t xml:space="preserve">C7.6</t>
  </si>
  <si>
    <t xml:space="preserve">C7.6 Material List 3 (plans_6 p.8)</t>
  </si>
  <si>
    <t xml:space="preserve">Cross-lane: Electrical &amp; Controls (instrument). Bid Item 1 per 04 rule (work not itemized elsewhere) — Inferred. No submittal or test in this lane's spec sections; instrument requirements sit with Electrical &amp; Controls. || [Merge] Exceptions: #11.</t>
  </si>
  <si>
    <t xml:space="preserve">PROPOSED-Hot Box #1 solenoid valve</t>
  </si>
  <si>
    <t xml:space="preserve">Solenoid valve, ASCO Redhat 8221, 3/4-inch, slow-closing, normally closed, 120 VAC, NEMA 4X</t>
  </si>
  <si>
    <t xml:space="preserve">C7.6 Material List 1 (plans_6 p.8)</t>
  </si>
  <si>
    <t xml:space="preserve">Cross-check: Electrical &amp; Controls (120 VAC power, control) and Process &amp; Mechanical (2W system). Bid Item 1 per 04 rule (work not itemized elsewhere) — Inferred. No submittal or test in this lane's spec sections; see 43 22 10 (Process &amp; Mechanical) and E sheets. || [Merge] Exceptions: #49, #100.</t>
  </si>
  <si>
    <t xml:space="preserve">PROPOSED-Train 2 flow meter vault</t>
  </si>
  <si>
    <t xml:space="preserve">Train 2 flow meter vault, precast 4'-2" x 4'-2" x 5'-0" (Utility Vault 506-LA or equal), H-20 hatch Halliday H1R3636, Bilco LadderUp</t>
  </si>
  <si>
    <t xml:space="preserve">Train 2</t>
  </si>
  <si>
    <t xml:space="preserve">C7.10 (Det. 1)</t>
  </si>
  <si>
    <t xml:space="preserve">Add. 4 p.1, Clarification 2 — Add. 4 governs</t>
  </si>
  <si>
    <t xml:space="preserve">C7.10; 31 20 00; 33 30 00</t>
  </si>
  <si>
    <t xml:space="preserve">C7.10 Detail 1 (plans_7 p.4); Add. 4 p.1, Clarification 2; 31 20 00 ¶3.01 D (p.386); 33 30 00 ¶2.01 C.6 (p.422)</t>
  </si>
  <si>
    <t xml:space="preserve">Exterior precast joints sealed with CANUSA-CPS WrapidSeal or equal (Add. 4). Status 'New' Inferred.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#5.</t>
  </si>
  <si>
    <t xml:space="preserve">PROPOSED-Train 3 flow meter vault</t>
  </si>
  <si>
    <t xml:space="preserve">Train 3 flow meter vault, precast 4'-2" x 4'-2" x 5'-0" (Utility Vault 506-LA or equal), H-20 hatch Halliday H1R3636, Bilco LadderUp</t>
  </si>
  <si>
    <t xml:space="preserve">Train 3</t>
  </si>
  <si>
    <t xml:space="preserve">C7.10 (Det. 2)</t>
  </si>
  <si>
    <t xml:space="preserve">C7.10 Detail 2 (plans_7 p.4); Add. 4 p.1, Clarification 2; 31 20 00 ¶3.01 D (p.386); 33 30 00 ¶2.01 C.6 (p.422)</t>
  </si>
  <si>
    <t xml:space="preserve">Exterior precast joints sealed with CANUSA-CPS WrapidSeal or equal (Add. 4). Status 'New' Inferred.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#6.</t>
  </si>
  <si>
    <t xml:space="preserve">PROPOSED-Train 2 flow meter</t>
  </si>
  <si>
    <t xml:space="preserve">Train 2 flow meter, 8-inch, in Train 2 flow meter vault</t>
  </si>
  <si>
    <t xml:space="preserve">C7.10</t>
  </si>
  <si>
    <t xml:space="preserve">C7.10 Detail 1 (plans_7 p.4)</t>
  </si>
  <si>
    <t xml:space="preserve">Meter type not stated on C7.10. Cross-lane: Electrical &amp; Controls (instrument; Add. 4 p.2 changes the 26 80 00 electromagnetic meter model — applicability here Inferred). Bid Item 1 per 04 rule (work not itemized elsewhere) — Inferred. No submittal or test in this lane's spec sections; flow meters are specified in 26 80 00 (Electrical &amp; Controls). || [Merge] Exceptions: #7.</t>
  </si>
  <si>
    <t xml:space="preserve">PROPOSED-Train 3 flow meter</t>
  </si>
  <si>
    <t xml:space="preserve">Train 3 flow meter, 8-inch, in Train 3 flow meter vault</t>
  </si>
  <si>
    <t xml:space="preserve">C7.10 Detail 2 (plans_7 p.4)</t>
  </si>
  <si>
    <t xml:space="preserve">Meter type not stated on C7.10. Cross-lane: Electrical &amp; Controls (instrument; Add. 4 p.2 changes the 26 80 00 electromagnetic meter model — applicability here Inferred). Bid Item 1 per 04 rule (work not itemized elsewhere) — Inferred. No submittal or test in this lane's spec sections; flow meters are specified in 26 80 00 (Electrical &amp; Controls). || [Merge] Exceptions: #8.</t>
  </si>
  <si>
    <t xml:space="preserve">PROPOSED-Hydroseeded restoration areas</t>
  </si>
  <si>
    <t xml:space="preserve">Hydroseeded grass restoration of disturbed areas (topsoil, seed, fertilizer, mulch)</t>
  </si>
  <si>
    <t xml:space="preserve">C7.4 (Det. 2, Notes A, C); C0.2 (Item 22)</t>
  </si>
  <si>
    <t xml:space="preserve">02 92 00</t>
  </si>
  <si>
    <t xml:space="preserve">C7.4; C0.2; 02 92 00</t>
  </si>
  <si>
    <t xml:space="preserve">02 92 00 ¶1.1, ¶1.03, ¶2.2–3.1 (main spec pp.169–171); C7.4 Detail 2 (plans_6 p.6)</t>
  </si>
  <si>
    <t xml:space="preserve">Submittals: product data, seed blue tags, maintenance instructions. One-year seeding guarantee (¶1.3). Topsoil and hydroseeding defer to WSDOT — Unresolved: external reference, not staged. Areas not on available sheets. Bid Item 1 per 04 rule (work not itemized elsewhere) — Inferred.</t>
  </si>
  <si>
    <t xml:space="preserve">PROPOSED-Temporary construction sign</t>
  </si>
  <si>
    <t xml:space="preserve">Temporary construction sign, 4 x 8 ft plywood, Ecology and CDBG Commerce requirements</t>
  </si>
  <si>
    <t xml:space="preserve">—</t>
  </si>
  <si>
    <t xml:space="preserve">15 08 13</t>
  </si>
  <si>
    <t xml:space="preserve">15 08 13 ¶A, ¶1.01, ¶1.02 (main spec p.252)</t>
  </si>
  <si>
    <t xml:space="preserve">Submittal: proof of graphics. Location not stated. Bid Item 1 per 04 rule (work not itemized elsewhere) — Inferred. || [Merge] Exceptions: #72.</t>
  </si>
  <si>
    <t xml:space="preserve">PROPOSED-Dewatering system</t>
  </si>
  <si>
    <t xml:space="preserve">Contractor dewatering system: pumps, backup pumps, standby generator, wells or well points, discharge treatment</t>
  </si>
  <si>
    <t xml:space="preserve">C0.2 (Element 10)</t>
  </si>
  <si>
    <t xml:space="preserve">31 23 19; 31 20 00</t>
  </si>
  <si>
    <t xml:space="preserve">31 23 19; 31 20 00; C0.2</t>
  </si>
  <si>
    <t xml:space="preserve">31 23 19 ¶1.2, Part 2, ¶3.2–3.3 (main spec pp.389–392)</t>
  </si>
  <si>
    <t xml:space="preserve">Submittal: dewatering plan. Testing: Rossum sand test of discharge (10 ppm silica max) and settlement monitoring. No discharge to sanitary sewer, outfall or WWTP. Standby generator here is the dewatering system's own, not the Add. 4 temporary back-up generator. Dewatering incidental per 31 20 00 ¶1.04 — cost basis see Issues CS-25. Bid Item 1 per 04 rule (work not itemized elsewhere) — Inferred. || [Merge] Exceptions: #15, #69.</t>
  </si>
  <si>
    <t xml:space="preserve">PROPOSED-Compost berm</t>
  </si>
  <si>
    <t xml:space="preserve">Compost berm (TESC)</t>
  </si>
  <si>
    <t xml:space="preserve">31 32 11 ¶1.04 A.2, ¶2.01 D (pp.398–399); (Missing_Pages_Page_001.png, C0.3 — Verified-Visual)</t>
  </si>
  <si>
    <t xml:space="preserve">Named only in the submittal list; location not on available sheets (C0.3 unavailable) — Unresolved. Compost per WSDOT 9-14.4(8) — Unresolved: external reference, not staged. Bid Item 4 — Inferred (04: TESC and 31 32 11 in Item 4 scope). [Resplit pass 2026-09-29] Not shown on C0.3 either. || [Merge] Exceptions: #71.</t>
  </si>
  <si>
    <t xml:space="preserve">PROPOSED-Orange barrier fence</t>
  </si>
  <si>
    <t xml:space="preserve">Orange high-visibility barrier fence (TESC / clearing limits)</t>
  </si>
  <si>
    <t xml:space="preserve">C0.4 (Det. 3 note)</t>
  </si>
  <si>
    <t xml:space="preserve">31 32 11; C0.4</t>
  </si>
  <si>
    <t xml:space="preserve">31 32 11 ¶1.04 A.4, ¶2.01 F (pp.398–399); C0.4 Detail 3 note (plans_2Part-3 p.1)</t>
  </si>
  <si>
    <t xml:space="preserve">Per WSDOT 9-14.5(8); C0.4 cites WSDOT Standard Plans I-30.16-01 / I-30.17-01 — Unresolved: external reference, not staged. Location not on available sheets. Bid Item 4 — Inferred. || [Merge] Exceptions: #71.</t>
  </si>
  <si>
    <t xml:space="preserve">PROPOSED-Temporary shoring and trench safety systems</t>
  </si>
  <si>
    <t xml:space="preserve">Temporary shoring, bracing and trench excavation safety systems (PE-designed where required)</t>
  </si>
  <si>
    <t xml:space="preserve">2</t>
  </si>
  <si>
    <t xml:space="preserve">G0.3 (Note 7)</t>
  </si>
  <si>
    <t xml:space="preserve">31 40 00; 31 23 33</t>
  </si>
  <si>
    <t xml:space="preserve">31 40 00; 31 23 33; G0.3</t>
  </si>
  <si>
    <t xml:space="preserve">31 40 00 ¶1.02–1.04, ¶3.03 (pp.401–403); G0.3 General Note 7 (plans_1 p.3)</t>
  </si>
  <si>
    <t xml:space="preserve">Submittals: shoring drawings and calculations; settlement monitoring and contingency plan for excavations over 10 ft. Bid Item 2 'Trench Safety Excavation Provisions' (04) — match by name, Inferred; shoring of non-trench excavations falls to Item 1 per 04 rule — Inferred. || [Merge] Exceptions: #70.</t>
  </si>
  <si>
    <t xml:space="preserve">PROPOSED-Temporary cold-mix patches</t>
  </si>
  <si>
    <t xml:space="preserve">Temporary cold-mix (MC-2) asphalt patches at trench crossings, 2 in minimum</t>
  </si>
  <si>
    <t xml:space="preserve">32 12 16 ¶2.02, ¶3.03 (p.405)</t>
  </si>
  <si>
    <t xml:space="preserve">Placed, maintained daily, removed and wasted by Contractor; locations per plans or Owner direction. Bid Item 1 per 04 rule (work not itemized elsewhere) — Inferred.</t>
  </si>
  <si>
    <t xml:space="preserve">PROPOSED-Retaining wall footing drain</t>
  </si>
  <si>
    <t xml:space="preserve">Retaining wall footing drain with drain rock and drainage geotextile</t>
  </si>
  <si>
    <t xml:space="preserve">32 32 23; 33 31 00; 31 23 33; 33 41 00; Appendix C</t>
  </si>
  <si>
    <t xml:space="preserve">32 32 23 ¶3.03 D (p.412); 33 31 00 ¶2.01 A (p.430); 31 23 33 ¶2.04–2.06 (p.395); 33 41 00 ¶2.02 A.5, E, ¶3.02 F, ¶3.04 (pp.448–450); Appendix C §3.7 (p.550); (Missing_Pages_Page_002.png, C2.1 — Verified-Visual)</t>
  </si>
  <si>
    <t xml:space="preserve">Pipe per 33 31 00 ¶2.01 A: 4-in perforated corrugated PE (WSDOT 9-05.2(7) — Unresolved: external reference, not staged); drain rock per WSDOT 9-03.12(4). Layout on 1/C7.8 (unavailable) — Unresolved. Bid Item 1 per 04 rule (work not itemized elsewhere) — Inferred. 33 41 00 calls for perforated corrugated PE footing drain with PVC tight line and defers bedding and construction to the geotechnical report; Appendix C §3.7 calls for rigid perforated pipe in 1-in washed gravel with non-woven geotextile (see Issues CS-31) — Unresolved. [Resplit pass 2026-09-29] C2.1 keyed note 9 shows the footing drain.</t>
  </si>
  <si>
    <t xml:space="preserve">SDCB #1</t>
  </si>
  <si>
    <t xml:space="preserve">Storm drain catch basin #1, Type 1L, rim 22.3; 12-in (SE) invert 19.3</t>
  </si>
  <si>
    <t xml:space="preserve">C0.3; C2.1 (KN 7); C2.3 (SD-3)</t>
  </si>
  <si>
    <t xml:space="preserve">C2.1; C2.3</t>
  </si>
  <si>
    <t xml:space="preserve">(Missing_Pages_Page_003.png, C2.3 — Verified-Visual); (Missing_Pages_Page_002.png, C2.1 — Verified-Visual); (Missing_Pages_Page_001.png, C0.3 — Verified-Visual)</t>
  </si>
  <si>
    <t xml:space="preserve">[Resplit pass 2026-09-29] New row. At the presumed location of the existing storm sewer (existing 18-in line); location to be adjusted after potholing (C2.1 keyed note 7) — Unresolved until potholed. Inlet protection on C0.3. Bid Item and spec copied from the other SDCB rows (Inferred).</t>
  </si>
  <si>
    <t xml:space="preserve">SD-2</t>
  </si>
  <si>
    <t xml:space="preserve">Storm drain alignment SD-2: SDCB #5 → #6 → #7 → #10; 48 LF of 12-in and 23 LF of 6-in at 0.5%; 4-in roof drain 21 LF at 2.00%</t>
  </si>
  <si>
    <t xml:space="preserve">C2.3 (plan and profile); C2.1</t>
  </si>
  <si>
    <t xml:space="preserve">C2.3</t>
  </si>
  <si>
    <t xml:space="preserve">(Missing_Pages_Page_003.png, C2.3 — Verified-Visual)</t>
  </si>
  <si>
    <t xml:space="preserve">[Resplit pass 2026-09-29] New row. Trench drains connect at SDCB #7 (north) and SDCB #10 (north and south). Pipe material not labeled in the profile. Spec and Bid Item copied from SD-1 (Inferred).</t>
  </si>
  <si>
    <t xml:space="preserve">SD-3</t>
  </si>
  <si>
    <t xml:space="preserve">Storm drain alignment SD-3: SDCB #1 → #2 → #3 → #4 → trench drain; 83 LF of 12-in and 28 LF of 6-in at 0.5%</t>
  </si>
  <si>
    <t xml:space="preserve">[Resplit pass 2026-09-29] New row. 4-in roof drains connect at STA 0+26.94 and 0+70.26. Crosses existing water, 4-in, 8-in and 10-in sewers and a 1-1/4-in PVC storm line with unknown or approximate depths — Unresolved until potholed. Spec and Bid Item copied from SD-1 (Inferred).</t>
  </si>
  <si>
    <t xml:space="preserve">PROPOSED-Asphalt wedge curb</t>
  </si>
  <si>
    <t xml:space="preserve">Asphalt wedge curb per 4/C7.7</t>
  </si>
  <si>
    <t xml:space="preserve">C2.1 (KN 5)</t>
  </si>
  <si>
    <t xml:space="preserve">32 12 16 (Inferred)</t>
  </si>
  <si>
    <t xml:space="preserve">C2.1</t>
  </si>
  <si>
    <t xml:space="preserve">(Missing_Pages_Page_002.png, C2.1 — Verified-Visual)</t>
  </si>
  <si>
    <t xml:space="preserve">[Resplit pass 2026-09-29] New row. Detail 4/C7.7 is on a sheet not in the library — Unresolved. Spec link Inferred (asphalt).</t>
  </si>
  <si>
    <t xml:space="preserve">PROPOSED-Emergency access areas</t>
  </si>
  <si>
    <t xml:space="preserve">Emergency access areas (west side) — no parking, blocking, stockpiling or staging; vehicle turnaround allowed</t>
  </si>
  <si>
    <t xml:space="preserve">C0.3 (KN 1)</t>
  </si>
  <si>
    <t xml:space="preserve">C0.3</t>
  </si>
  <si>
    <t xml:space="preserve">(Missing_Pages_Page_001.png, C0.3 — Verified-Visual)</t>
  </si>
  <si>
    <t xml:space="preserve">[Resplit pass 2026-09-29] New row. Two areas on the TESC plan; Bid Item follows the other TESC rows (Inferred).</t>
  </si>
  <si>
    <t xml:space="preserve">PROPOSED-4in roof drain connections (SD-2, SD-3)</t>
  </si>
  <si>
    <t xml:space="preserve">4-in roof drain connections: SD-2 STA 0+47.16 (21 LF at 2.00%); SD-3 STA 0+26.94 and 0+70.26</t>
  </si>
  <si>
    <t xml:space="preserve">C2.3; C2.1 (KN 3)</t>
  </si>
  <si>
    <t xml:space="preserve">C2.3; C2.1</t>
  </si>
  <si>
    <t xml:space="preserve">(Missing_Pages_Page_003.png, C2.3 — Verified-Visual); (Missing_Pages_Page_002.png, C2.1 — Verified-Visual)</t>
  </si>
  <si>
    <t xml:space="preserve">[Resplit pass 2026-09-29] New row. Which roofs drain to each connection is not labeled. Spec and Bid Item copied from the SD-1 roof drain row (Inferred).</t>
  </si>
  <si>
    <t xml:space="preserve">INF1</t>
  </si>
  <si>
    <t xml:space="preserve">Train 1 influent line, flow splitter to existing Train 1, 8-inch</t>
  </si>
  <si>
    <t xml:space="preserve">Process &amp; Mechanical</t>
  </si>
  <si>
    <t xml:space="preserve">Influent Flow Splitter</t>
  </si>
  <si>
    <t xml:space="preserve">G0.5; C3.1; C3.2</t>
  </si>
  <si>
    <t xml:space="preserve">plans_1 p.5 (G0.5, line ID INF1); plans_4Part-2 p.1 (C3.1, 8-inch to Train #1, keyed notes 5 and 7, construction sequence); plans_4Part-3 p.1 (C3.2, To Cell #1, keyed notes 8, 9, 13)</t>
  </si>
  <si>
    <t xml:space="preserve">Status per C3.1 sequence (new piping to Trains 1 and 3). Cut hole through existing building, seal with flashing (C3.1 note 5); elbow discharges into the aeration basin beside the existing influent pipe (note 7). DI fittings at the box (C3.2 notes 8-9); supports per 5/C7.2. Cross-lane: Civil &amp; Site (site piping; C1.3–C1.5 by title, per 01). Tag driver: Bid Item 1 (04, Inferred). || [Merge] Exceptions: #79, #162.</t>
  </si>
  <si>
    <t xml:space="preserve">INF2</t>
  </si>
  <si>
    <t xml:space="preserve">Train 2 influent line, flow splitter to existing Train 2, 8-inch DI</t>
  </si>
  <si>
    <t xml:space="preserve">plans_1 p.5 (G0.5, INF2 through 8-inch Train #2 flow meter); plans_4Part-2 p.1 (C3.1, 8-inch to Train #2, keyed notes 8-9, construction sequence); plans_4Part-3 p.1 (C3.2, To Cell #2)</t>
  </si>
  <si>
    <t xml:space="preserve">New 8-inch DI connects to the existing Train 2 influent pipe: confirm alignment, size, material, depth; keep positive drainage from the box (C3.1 note 8); pot-hole existing 8-inch (note 9). Installed after existing influent piping conflicts are removed; Train 2 downtime 5 days max, Monday-Friday (C3.1 sequence). Cross-lane: Civil &amp; Site (site piping; C1.3–C1.5 by title, per 01). Tag driver: Bid Item 1 (04, Inferred). || [Merge] Exceptions: #80, #162.</t>
  </si>
  <si>
    <t xml:space="preserve">INF3</t>
  </si>
  <si>
    <t xml:space="preserve">Train 3 influent line, flow splitter to Train 3, 8-inch</t>
  </si>
  <si>
    <t xml:space="preserve">Influent Flow Splitter; Train 3</t>
  </si>
  <si>
    <t xml:space="preserve">G0.5; C3.1; C3.2; C3.3; C3.5</t>
  </si>
  <si>
    <t xml:space="preserve">plans_1 p.5 (G0.5, INF3 through 8-inch Train #3 flow meter); plans_4Part-2 p.1 (C3.1, 8-inch to Train #3, construction sequence); plans_4Part-4 p.1 (C3.3, Train 3 influent 8-inch IE 20.08); plans_4Part-6 p.1 (C3.5, 8-inch plant inlet IE 20.08)</t>
  </si>
  <si>
    <t xml:space="preserve">Invert at tank 20.08. Cross-lane: Civil &amp; Site (site piping; C1.3–C1.5 by title, per 01). Tag driver: Bid Item 1 (04, Inferred). || [Merge] Exceptions: #81, #162.</t>
  </si>
  <si>
    <t xml:space="preserve">SE1</t>
  </si>
  <si>
    <t xml:space="preserve">Train 1 secondary effluent line to effluent flow meter and UV</t>
  </si>
  <si>
    <t xml:space="preserve">G0.5</t>
  </si>
  <si>
    <t xml:space="preserve">plans_1 p.5 (G0.5, line ID SE1)</t>
  </si>
  <si>
    <t xml:space="preserve">Size and new/existing not stated on sheets read. Cross-lane: Civil &amp; Site (site piping; C1.3–C1.5 by title, per 01). Tag driver: Bid Item 1 (04, Inferred). || [Merge] Exceptions: #82.</t>
  </si>
  <si>
    <t xml:space="preserve">SE2</t>
  </si>
  <si>
    <t xml:space="preserve">Train 2 secondary effluent line to effluent flow meter and UV</t>
  </si>
  <si>
    <t xml:space="preserve">plans_1 p.5 (G0.5, line ID SE2)</t>
  </si>
  <si>
    <t xml:space="preserve">Size and new/existing not stated on sheets read. Cross-lane: Civil &amp; Site (site piping; C1.3–C1.5 by title, per 01). Tag driver: Bid Item 1 (04, Inferred). || [Merge] Exceptions: #83.</t>
  </si>
  <si>
    <t xml:space="preserve">SE3</t>
  </si>
  <si>
    <t xml:space="preserve">Train 3 secondary effluent line, 8-inch</t>
  </si>
  <si>
    <t xml:space="preserve">G0.5; C3.3; C3.5</t>
  </si>
  <si>
    <t xml:space="preserve">plans_1 p.5 (G0.5, SE3); plans_4Part-4 p.1 (C3.3, Train 3 8-inch effluent IE 20.00); plans_4Part-6 p.1 (C3.5, 8-inch dia effluent flanged connection; 8-inch clarifier effluent IE 20.00)</t>
  </si>
  <si>
    <t xml:space="preserve">Status Inferred (Train 3 labeled PROPOSED on G0.6). Flanged connection at the tank wall. Cross-lane: Civil &amp; Site (site piping; C1.3–C1.5 by title, per 01). Tag driver: Bid Item 1 (04, Inferred). || [Merge] Exceptions: #84.</t>
  </si>
  <si>
    <t xml:space="preserve">WAS1</t>
  </si>
  <si>
    <t xml:space="preserve">Train 1 waste activated sludge line to WAS pump</t>
  </si>
  <si>
    <t xml:space="preserve">G0.5; C6.2</t>
  </si>
  <si>
    <t xml:space="preserve">plans_1 p.5 (G0.5, line ID WAS1 to WAS pump); plans_5 p.7 (C6.2, WAS #1 inlet)</t>
  </si>
  <si>
    <t xml:space="preserve">Size and new/existing not stated on sheets read. Tag driver: Bid Item 1 (04, Inferred). Enters the valving area through a 2-inch ASCO solenoid valve between 2-inch ball valves (C6.2). || [Merge] Exceptions: #101, #162.</t>
  </si>
  <si>
    <t xml:space="preserve">WAS2</t>
  </si>
  <si>
    <t xml:space="preserve">Train 2 waste activated sludge line to WAS pump</t>
  </si>
  <si>
    <t xml:space="preserve">plans_1 p.5 (G0.5, line ID WAS2 to WAS pump); plans_5 p.7 (C6.2, WAS #2 inlet)</t>
  </si>
  <si>
    <t xml:space="preserve">Size and new/existing not stated on sheets read. Tag driver: Bid Item 1 (04, Inferred). Enters the valving area through a 2-inch ASCO solenoid valve between 2-inch ball valves (C6.2). || [Merge] Exceptions: #102, #162.</t>
  </si>
  <si>
    <t xml:space="preserve">WAS3</t>
  </si>
  <si>
    <t xml:space="preserve">Train 3 WAS / clarifier drain line to WAS pump manifold, 2-inch</t>
  </si>
  <si>
    <t xml:space="preserve">G0.5; C3.3; C3.4; C6.2</t>
  </si>
  <si>
    <t xml:space="preserve">46 53 00</t>
  </si>
  <si>
    <t xml:space="preserve">G0.5; C3.3; C3.4; 46 53 00; C6.2</t>
  </si>
  <si>
    <t xml:space="preserve">plans_1 p.5 (G0.5, WAS3); plans_4Part-4 p.1 (C3.3, 2-inch WAS / clarifier drain to WAS pump); plans_4Part-5 p.1 (C3.4, pipe to WAS pump manifold, IE 10.3); main spec pp.497-498 (46 53 00 ¶2.01 C.6, sludge sump discharges WAS into piping to the digester); plans_5 p.7 (C6.2, WAS #3 inlet)</t>
  </si>
  <si>
    <t xml:space="preserve">Status Inferred (Train 3 PROPOSED, G0.6). Stainless alternate scope for Train 3 piping not defined (Issue 9). Tag driver: Bid Item 1 (04, Inferred). Enters the valving area through a 2-inch ASCO solenoid valve between 2-inch ball valves (C6.2). || [Merge] Exceptions: #85, #162.</t>
  </si>
  <si>
    <t xml:space="preserve">PROPOSED-IPS-DISCHARGE-TO-SPLITTER</t>
  </si>
  <si>
    <t xml:space="preserve">Influent Pump Station discharge to flow splitter, 6-inch DI restrained rising to 12-inch DI at the box</t>
  </si>
  <si>
    <t xml:space="preserve">G0.5; C3.1; C3.2; C4.1</t>
  </si>
  <si>
    <t xml:space="preserve">22 13 29</t>
  </si>
  <si>
    <t xml:space="preserve">G0.5; C3.1; C3.2; C4.1; 22 13 29</t>
  </si>
  <si>
    <t xml:space="preserve">plans_1 p.5 (G0.5, pump station to 6-inch influent flow meter to flow splitter); plans_4Part-2 p.1 (C3.1, inlet from north); plans_4Part-3 p.1 (C3.2, keyed notes 3, 4, 5, 10, 11, 12; INV 20.75); plans_4Part-7 p.1 (C4.1, keyed notes 5, 6, 9, 11-13, 15, 16, 34, 36-41, 44, 45, 55); main spec pp.255-262 (22 13 29 ¶1.01 D; ¶2.02 F)</t>
  </si>
  <si>
    <t xml:space="preserve">Status Inferred (joins the proposed pump station to the proposed splitter, G0.6). Fittings: 12-inch DI 90-degree bends and flange spools, 12x6-inch DI eccentric reducer, 6-inch DI restrained bend and pipe; 12-inch supports per 5/C7.2. Tag driver: Bid Item 1 (04, Inferred). In-station: small pumps 4x3 reducer, 4-inch check and gate valves, 4-inch DI force main restrained; large pumps 6x4 reducer, 6-inch check and gate valves, 6-inch DI restrained; 6x4 DI tee restrained; 4-inch and 6-inch buried gate valves; flanged coupling adaptors; pressure gage, isolator and shutoff valve (C4.1). 22 13 29: discharge piping and connection to existing piping in pump station scope (¶1.01 D); pressure gage Marsh P0142 0-25 psi, Branom diaphragm isolator, Apollo shutoff valve (¶2.02 F). || [Merge] Exceptions: #86.</t>
  </si>
  <si>
    <t xml:space="preserve">PROPOSED-EXISTING-INFLUENT-PIPING-REMOVAL</t>
  </si>
  <si>
    <t xml:space="preserve">Existing influent piping conflicts at the splitter: dewater, abandon, remove</t>
  </si>
  <si>
    <t xml:space="preserve">C3.1</t>
  </si>
  <si>
    <t xml:space="preserve">plans_4Part-2 p.1 (C3.1, construction sequence)</t>
  </si>
  <si>
    <t xml:space="preserve">Extent not dimensioned. Done after the new splitter and Train 1/3 piping are on line and before Train 2 piping and its flow meter vault. Cross-lane: Civil &amp; Site (cross-check C0.5 Demolition Plan, per 01 title). Tag driver: Bid Item 1 (04, Inferred). || [Merge] Exceptions: #77, #143, #163.</t>
  </si>
  <si>
    <t xml:space="preserve">PROPOSED-INFLUENT-FLOW-METER</t>
  </si>
  <si>
    <t xml:space="preserve">Influent flow meter, 6-inch electromagnetic, 0-880 gpm</t>
  </si>
  <si>
    <t xml:space="preserve">6</t>
  </si>
  <si>
    <t xml:space="preserve">G0.5; G0.6; G0.7; C3.1</t>
  </si>
  <si>
    <t xml:space="preserve">plans_1 p.5 (G0.5, 6-inch influent flow meter); plans_1 p.6 (G0.6, plant influent flow meter); plans_1 p.7 (G0.7, 6-inch electromagnetic, 0-10 fps = 0-880 gpm, 1.27 MGD); plans_4Part-2 p.1 (C3.1, vault on inlet line)</t>
  </si>
  <si>
    <t xml:space="preserve">Status Inferred (between the proposed pump station and proposed splitter). Vault association Inferred. Cross-lane: Electrical &amp; Controls. Instrument spec is not in the P&amp;M stack; Add. 4 p.2 revises 26 80 00 ¶2.04 D Electromagnetic Flow Meters (Promag L400 to W400), an E&amp;C item not applied here. Bid Item 6 Inferred (Division 26 work, 04 Item 6 basis). 22 13 29 ¶1.01 D lists a "flow meter" in the pump station work without naming which meter. || [Merge] Exceptions: #9.</t>
  </si>
  <si>
    <t xml:space="preserve">PROPOSED-TRAIN-2-FLOW-METER</t>
  </si>
  <si>
    <t xml:space="preserve">Train 2 influent flow meter, 8-inch electromagnetic, 0-470 gpm</t>
  </si>
  <si>
    <t xml:space="preserve">plans_1 p.5 (G0.5); plans_1 p.6 (G0.6, PROPOSED TRAIN #2 FLOW METER); plans_1 p.7 (G0.7, 8-inch electromagnetic, 0-3 fps = 0-470 gpm, 0.68 MGD); plans_4Part-2 p.1 (C3.1, vault on Train #2 line; sequence names the Train #2 flow meter vault)</t>
  </si>
  <si>
    <t xml:space="preserve">Cross-lane: Electrical &amp; Controls. Instrument spec is not in the P&amp;M stack; Add. 4 p.2 revises 26 80 00 ¶2.04 D Electromagnetic Flow Meters (Promag L400 to W400), an E&amp;C item not applied here. Bid Item 6 Inferred (Division 26 work, 04 Item 6 basis). || [Merge] Exceptions: #7.</t>
  </si>
  <si>
    <t xml:space="preserve">PROPOSED-TRAIN-3-FLOW-METER</t>
  </si>
  <si>
    <t xml:space="preserve">Train 3 influent flow meter, 8-inch electromagnetic, 0-470 gpm</t>
  </si>
  <si>
    <t xml:space="preserve">plans_1 p.5 (G0.5); plans_1 p.6 (G0.6, PROPOSED TRAIN #3 FLOW METER); plans_1 p.7 (G0.7, 8-inch electromagnetic, 0-470 gpm, 0.68 MGD); plans_4Part-2 p.1 (C3.1, vault on Train #3 line)</t>
  </si>
  <si>
    <t xml:space="preserve">Vault association Inferred. Cross-lane: Electrical &amp; Controls. Instrument spec is not in the P&amp;M stack; Add. 4 p.2 revises 26 80 00 ¶2.04 D Electromagnetic Flow Meters (Promag L400 to W400), an E&amp;C item not applied here. Bid Item 6 Inferred (Division 26 work, 04 Item 6 basis). || [Merge] Exceptions: #8.</t>
  </si>
  <si>
    <t xml:space="preserve">PROPOSED-EFFLUENT-FLOW-METER</t>
  </si>
  <si>
    <t xml:space="preserve">Plant effluent flow meter, 8-inch electromagnetic, 0-940 gpm</t>
  </si>
  <si>
    <t xml:space="preserve">Site (upstream of UV per G0.5)</t>
  </si>
  <si>
    <t xml:space="preserve">G0.5; G0.6; G0.7</t>
  </si>
  <si>
    <t xml:space="preserve">plans_1 p.5 (G0.5, 8-inch effluent flow meter); plans_1 p.6 (G0.6, PROPOSED EFFLUENT FLOW METER); plans_1 p.7 (G0.7, 8-inch electromagnetic, 0-6 fps = 0-940 gpm, 1.35 MGD)</t>
  </si>
  <si>
    <t xml:space="preserve">Cross-lane: Electrical &amp; Controls. Instrument spec is not in the P&amp;M stack; Add. 4 p.2 revises 26 80 00 ¶2.04 D Electromagnetic Flow Meters (Promag L400 to W400), an E&amp;C item not applied here. Bid Item 6 Inferred (Division 26 work, 04 Item 6 basis). || [Merge] Exceptions: #10.</t>
  </si>
  <si>
    <t xml:space="preserve">PROPOSED-PLANT-DRAIN-FLOW-METER | PROPOSED-Plant-Drain-Flow-Meter</t>
  </si>
  <si>
    <t xml:space="preserve">Plant drain flow meter, 4-inch electromagnetic, 0-200 gpm | Plant drain magnetic flow meter, Promag W400, remote transmitter at the IPS panel</t>
  </si>
  <si>
    <t xml:space="preserve">Process &amp; Mechanical; Electrical &amp; Controls</t>
  </si>
  <si>
    <t xml:space="preserve">Influent Pump Station</t>
  </si>
  <si>
    <t xml:space="preserve">G0.5; G0.7; E4.1; E6.3; E7.0; E8.1; E10.2</t>
  </si>
  <si>
    <t xml:space="preserve">26 80 00</t>
  </si>
  <si>
    <t xml:space="preserve">Add. 4 p.2, 26 80 00 ¶2.04 D (Promag L400 replaced by W400) — Add. 4 governs; drawing already shows W400</t>
  </si>
  <si>
    <t xml:space="preserve">[Process &amp; Mechanical] plans_1 p.5 (G0.5, 4-inch plant drain flow meter on pressate drain into pump station); plans_1 p.7 (G0.7, 4-inch electromagnetic, 0-5 fps = 0-200 gpm, 0.29 MGD) || [Electrical &amp; Controls] E4.1 key note 2 and plan label "PLANT DRAIN FLOW METER" (plans_9 p.6); E6.3 S-FMPD (plans_10 p.4); E7.0 (plans_10 p.5); E8.1 key note 2 transmitter "PLANT DRAIN" in the IPS panel (plans_11 p.5); E10.2 flow meter summary item 5 "PLANT DRAIN FLOW METER. SIZE: 4"" (plans_12 p.7); Submittal: 26 80 00 ¶1.06 p.356 (hardware submittals before fabrication; control system documentation); Testing/startup: 26 80 00 ¶3.03–3.04 and ¶3.08 pp.371–372 (witnessed factory simulation; field acceptance test; programming, start-up, commissioning)</t>
  </si>
  <si>
    <t xml:space="preserve">[Process &amp; Mechanical] Cross-lane: Electrical &amp; Controls. Instrument spec is not in the P&amp;M stack; Add. 4 p.2 revises 26 80 00 ¶2.04 D Electromagnetic Flow Meters (Promag L400 to W400), an E&amp;C item not applied here. Bid Item 6 Inferred (Division 26 work, 04 Item 6 basis). || [Electrical &amp; Controls] Status New inferred: specified by make and model and wired on new conduit.; Size 4 in, in a vault with submersible kit, transmitter in the IPS panel (E10.2). Key note 1 says "size per civil drawings" — cross-check listed in Issues. || [Merge] Combined by rule (same PROPOSED name in the same Area/Building) from Process_and_Mechanical_Ledger.csv row 16; Electrical_and_Controls_Ledger.csv row 74. Tag level = weakest of the parts (Inferred, Inferred). Submittal: N (Process &amp; Mechanical), Y (Electrical &amp; Controls) — Y kept (each lane's N covers only its own stack); Testing/Startup: N (Process &amp; Mechanical), Y (Electrical &amp; Controls) — Y kept (each lane's N covers only its own stack).</t>
  </si>
  <si>
    <t xml:space="preserve">PROPOSED-2W-FLOW-METER</t>
  </si>
  <si>
    <t xml:space="preserve">Plant water (2W) flow meter, 1-inch electromagnetic, 0-25 gpm, in a fiberglass enclosure (43 22 10 flow meter system)</t>
  </si>
  <si>
    <t xml:space="preserve">Not stated (2W system)</t>
  </si>
  <si>
    <t xml:space="preserve">G0.7</t>
  </si>
  <si>
    <t xml:space="preserve">43 22 10</t>
  </si>
  <si>
    <t xml:space="preserve">G0.7; 43 22 10</t>
  </si>
  <si>
    <t xml:space="preserve">plans_1 p.7 (G0.7, 1-inch electromagnetic, 0-20 fps = 0-25 gpm); main spec pp.472-475 (43 22 10 ¶1.01 B.3, one fiberglass enclosure with flow meter system)</t>
  </si>
  <si>
    <t xml:space="preserve">Cross-lane: Electrical &amp; Controls. Instrument spec is not in the P&amp;M stack; Add. 4 p.2 revises 26 80 00 ¶2.04 D Electromagnetic Flow Meters (Promag L400 to W400), an E&amp;C item not applied here. Bid Item 6 Inferred (Division 26 work, 04 Item 6 basis). Bid Item changed to 1: the enclosure and flow meter system are a 43 22 10 component (04 Item 1 basis, Inferred); 43 22 10 gives no meter product, so the meter itself may still sit under 26 80 00 (Item 6). Location not on P&amp;M sheets. || [Merge] Exceptions: #11.</t>
  </si>
  <si>
    <t xml:space="preserve">PROPOSED-DIGESTED-SLUDGE-FLOW-METER</t>
  </si>
  <si>
    <t xml:space="preserve">Rotary press sludge flowmeter, 3-inch electromagnetic (E+H 10W), 24-800 gpm, at the flocculator inlet (G0.5 digested sludge FM)</t>
  </si>
  <si>
    <t xml:space="preserve">1; Equipment Alternate C</t>
  </si>
  <si>
    <t xml:space="preserve">Rotary Fan Press System</t>
  </si>
  <si>
    <t xml:space="preserve">46 76 26</t>
  </si>
  <si>
    <t xml:space="preserve">G0.5; C6.2; 46 76 26</t>
  </si>
  <si>
    <t xml:space="preserve">plans_1 p.5 (G0.5, FM on digested sludge pump discharge); plans_5 p.7 (C6.2, keyed note 2, 2-inch flow meter per electrical design requirements); main spec pp.510-531 (46 76 26 ¶4.2.1 sludge flowmeter)</t>
  </si>
  <si>
    <t xml:space="preserve">Not in the G0.7 flow meter list (Issue 18). Cross-lane: Electrical &amp; Controls. Instrument spec is not in the P&amp;M stack; Add. 4 p.2 revises 26 80 00 ¶2.04 D Electromagnetic Flow Meters (Promag L400 to W400), an E&amp;C item not applied here. Bid Item 6 Inferred (Division 26 work, 04 Item 6 basis). Location conflict (Issue 18). Tag driver now Issue 18. Identity with the G0.5 meter Inferred; the C6.2 2-inch meter is now its own row (PROPOSED-WAS-FLOW-METER). Class 1 Div 2; 4-20 mA. Issue 18. || [Merge] Exceptions: #172.</t>
  </si>
  <si>
    <t xml:space="preserve">DO #1 | DO-1</t>
  </si>
  <si>
    <t xml:space="preserve">Dissolved oxygen / pH sensor, Train 3 Aeration Zone #1 | Dissolved oxygen sensor and transmitter, Zone 1 (Hach LDO probe, SC200 transmitter, 24 VDC)</t>
  </si>
  <si>
    <t xml:space="preserve">1; 18 — Unresolved (see 04); 19; Equipment Alternate B | 6</t>
  </si>
  <si>
    <t xml:space="preserve">Train 3 | Train No.3</t>
  </si>
  <si>
    <t xml:space="preserve">C3.3; E3.1; E7.6</t>
  </si>
  <si>
    <t xml:space="preserve">46 53 00; 26 80 00</t>
  </si>
  <si>
    <t xml:space="preserve">C3.3; 46 53 00; E3.1; E7.6; 26 80 00</t>
  </si>
  <si>
    <t xml:space="preserve">[Process &amp; Mechanical] plans_4Part-4 p.1 (C3.3, DO #1 DO/pH sensor at Aeration Zone #1, detail 1/C7.4); main spec p.494 (46 53 00 ¶2.01 A.1, system includes dissolved oxygen sensors) || [Electrical &amp; Controls] E3.1 plan label "DO-1 DISSOLVED OXYGEN SENSOR AND TRANSMITTER ZONE 1", key note, DO probe elevation detail 1 (plans_9 p.5); E7.6 analog input 4 "CELL #3 D.O ZONE 1" (plans_11 p.3); 26 80 00 ¶2.04 E (p.364): Hach LDO 0–20 ppm probe, SC200 controller, 4–20 mA, 24 VDC; Submittal: 26 80 00 ¶1.06 p.356 (hardware submittals before fabrication; control system documentation); Testing/startup: 26 80 00 ¶3.03–3.04 and ¶3.08 pp.371–372 (witnessed factory simulation; field acceptance test; programming, start-up, commissioning)</t>
  </si>
  <si>
    <t xml:space="preserve">[Process &amp; Mechanical] Status Inferred (Train 3 PROPOSED, G0.6). Mounting detail 1/C7.4 is on a Civil &amp; Site sheet (not read). Submittal: 46 53 00 ¶1.05 C.1 (equipment submittal) and ¶3.03 E.1 (test forms); start-up and testing ¶3.03. Cross-lane: Electrical &amp; Controls (instrument wiring). Tag driver: Bid Item 18 (04 flag). || [Electrical &amp; Controls] Two complete monitors per cell (key note). Signal C-DO1 to the PLC.; Main PLC analog input 4; zone 1 = DO-1 by number (Inferred). || [Merge] Combined by rule (same tag) from Process_and_Mechanical_Ledger.csv row 19; Electrical_and_Controls_Ledger.csv row 50. Tag level = weakest of the parts (Unresolved, Verified). || [Merge] Exceptions: #1, #35, #160, #255.</t>
  </si>
  <si>
    <t xml:space="preserve">DO #2 | DO-2</t>
  </si>
  <si>
    <t xml:space="preserve">Dissolved oxygen / pH sensor, Train 3 Aeration Zone #2 | Dissolved oxygen sensor and transmitter, second monitor (Hach LDO/SC200)</t>
  </si>
  <si>
    <t xml:space="preserve">C3.3; E3.1; E6.3; E7.6</t>
  </si>
  <si>
    <t xml:space="preserve">C3.3; 46 53 00; E3.1; E6.3; E7.6; 26 80 00</t>
  </si>
  <si>
    <t xml:space="preserve">[Process &amp; Mechanical] plans_4Part-4 p.1 (C3.3, DO #2 DO/pH sensor at Aeration Zone #2, detail 1/C7.4); main spec p.494 (46 53 00 ¶2.01 A.1, system includes dissolved oxygen sensors) || [Electrical &amp; Controls] E3.1 conduit C-DO2 and key note "(2) complete DO monitors for each cell" (plans_9 p.5); E6.3 C-DO2 "DO transmitter No.2" power and signal (plans_10 p.4); E7.6 analog input 5 "CELL #3 D.O ZONE 2" (plans_11 p.3); 26 80 00 ¶2.04 E (p.364): Hach LDO 0–20 ppm probe, SC200 controller, 4–20 mA, 24 VDC; Submittal: 26 80 00 ¶1.06 p.356 (hardware submittals before fabrication; control system documentation); Testing/startup: 26 80 00 ¶3.03–3.04 and ¶3.08 pp.371–372 (witnessed factory simulation; field acceptance test; programming, start-up, commissioning)</t>
  </si>
  <si>
    <t xml:space="preserve">[Process &amp; Mechanical] Status Inferred (Train 3 PROPOSED, G0.6). Mounting detail 1/C7.4 is on a Civil &amp; Site sheet (not read). Submittal: 46 53 00 ¶1.05 C.1 (equipment submittal) and ¶3.03 E.1 (test forms); start-up and testing ¶3.03. Cross-lane: Electrical &amp; Controls (instrument wiring). Tag driver: Bid Item 18 (04 flag). || [Electrical &amp; Controls] Second transmitter confirmed by E6.3 ("DO transmitter No.2"); the tag DO-2 is still inferred from conduit C-DO2 — confirm on the analog-input sheets (E7.x).; Main PLC analog input 5; zone 2 = DO-2 by number (Inferred). || [Merge] Combined by rule (same tag) from Process_and_Mechanical_Ledger.csv row 20; Electrical_and_Controls_Ledger.csv row 51. Tag level = weakest of the parts (Unresolved, Inferred). || [Merge] Exceptions: #2, #35, #160, #255.</t>
  </si>
  <si>
    <t xml:space="preserve">PROPOSED-FLOW-SPLITTER-BOX</t>
  </si>
  <si>
    <t xml:space="preserve">Influent flow splitter box, prefabricated 316 SS, 4 equal chambers with adjustable weirs, removable cover</t>
  </si>
  <si>
    <t xml:space="preserve">G0.5; G0.6; C3.1; C3.2</t>
  </si>
  <si>
    <t xml:space="preserve">plans_4Part-3 p.1 (C3.2, keyed note 7; plan about 7 ft 0 in x 4 ft 6 in; bottom elev 26.00); plans_1 p.6 (G0.6, PROPOSED 3-WAY SPLITTER BOX, HWL 28.0 at 0.77 MGD); plans_4Part-2 p.1 (C3.1, keyed note 1 future Train #4 connection, blind flange)</t>
  </si>
  <si>
    <t xml:space="preserve">Smith &amp; Loveless or approved equal (C3.2 note 7). Outlets to Trains 1-3 plus a blind-flanged future outlet. G0.6 calls it 3-way (Issue 7). Drawing note is the only requirement found so far (Issue 40). Tag driver: Bid Item 1 (04, Inferred). || [Merge] Exceptions: #75, #103.</t>
  </si>
  <si>
    <t xml:space="preserve">PROPOSED-FLOW-SPLITTER-SUPPORT</t>
  </si>
  <si>
    <t xml:space="preserve">Concrete support pad for flow splitter box, about 6.5 x 4.0 x 1.3 ft tall, top elev 26.00</t>
  </si>
  <si>
    <t xml:space="preserve">C3.1; C3.2</t>
  </si>
  <si>
    <t xml:space="preserve">plans_4Part-2 p.1 (C3.1, keyed note 2); plans_4Part-3 p.1 (C3.2, keyed note 2; existing slab TOC 24.7)</t>
  </si>
  <si>
    <t xml:space="preserve">Contractor coordinates with actual box dimensions; see structural drawings (C3.2 note 2). Cross-lane: Structural &amp; Building (S2.4 Pump Station Lid, Generator Pad, &amp; Flow Splitter Pad, per 01 title). Tag driver: Bid Item 1 (04, Inferred). || [Merge] Exceptions: #76, #157.</t>
  </si>
  <si>
    <t xml:space="preserve">PROPOSED-INFLUENT-FLOW-METER-VAULT</t>
  </si>
  <si>
    <t xml:space="preserve">Flow meter vault on the splitter inlet line (north)</t>
  </si>
  <si>
    <t xml:space="preserve">plans_4Part-2 p.1 (C3.1, dashed vault with flow meter symbol on inlet line; VAULT DRAIN label)</t>
  </si>
  <si>
    <t xml:space="preserve">Meter association Inferred (G0.5 puts the 6-inch influent meter between pump station and splitter). Cross-lane: Civil &amp; Site (C7.9 Assigned - unavailable; C7.10 Flow Meter &amp; Valve Vault Details, per 01 titles). Tag driver: Bid Item 1 (04, Inferred). || [Merge] Exceptions: #44.</t>
  </si>
  <si>
    <t xml:space="preserve">PROPOSED-TRAIN-2-FLOW-METER-VAULT</t>
  </si>
  <si>
    <t xml:space="preserve">Train 2 flow meter vault</t>
  </si>
  <si>
    <t xml:space="preserve">plans_4Part-2 p.1 (C3.1, vault on Train #2 line; sequence: Train #2 piping and flow meter vault installed after conflicts removed)</t>
  </si>
  <si>
    <t xml:space="preserve">Installed during the 5-day Train 2 outage window (C3.1 sequence). Cross-lane: Civil &amp; Site (C7.9 Assigned - unavailable; C7.10 Flow Meter &amp; Valve Vault Details, per 01 titles). Tag driver: Bid Item 1 (04, Inferred). || [Merge] Exceptions: #5.</t>
  </si>
  <si>
    <t xml:space="preserve">PROPOSED-TRAIN-3-FLOW-METER-VAULT</t>
  </si>
  <si>
    <t xml:space="preserve">Train 3 flow meter vault</t>
  </si>
  <si>
    <t xml:space="preserve">plans_4Part-2 p.1 (C3.1, vault on Train #3 line, cut off at sheet edge)</t>
  </si>
  <si>
    <t xml:space="preserve">Meter association Inferred. Cross-lane: Civil &amp; Site (C7.9 Assigned - unavailable; C7.10 Flow Meter &amp; Valve Vault Details, per 01 titles). Tag driver: Bid Item 1 (04, Inferred). || [Merge] Exceptions: #6.</t>
  </si>
  <si>
    <t xml:space="preserve">PROPOSED-TRAIN-3-TANK</t>
  </si>
  <si>
    <t xml:space="preserve">Train 3 tank, reinforced concrete bullseye tank, 32-ft ID, 34-ft OD, 12-inch walls</t>
  </si>
  <si>
    <t xml:space="preserve">1; 18 — Unresolved (see 04); 19; Equipment Alternate B</t>
  </si>
  <si>
    <t xml:space="preserve">G0.5; G0.6; G0.7; C3.3; C3.4; C3.5</t>
  </si>
  <si>
    <t xml:space="preserve">G0.5; G0.6; G0.7; C3.3; C3.4; C3.5; 46 53 00</t>
  </si>
  <si>
    <t xml:space="preserve">plans_4Part-4 p.1 (C3.3, 32.00 inner / 34.00 outer wall dia., 12-inch walls, 12-inch footing extension); plans_4Part-5 p.1 (C3.4, top 26.80, floor 9.80, wall 17.00, static depth 15.50); plans_1 p.6 (G0.6, PROPOSED TRAIN #3); main spec pp.494-495 (46 53 00 ¶2.01 B.1 reinforced concrete outer wall; ¶2.01 C.1 32 ft ID, 15.5 ft static depth, 16.9 ft wall)</t>
  </si>
  <si>
    <t xml:space="preserve">Wall height and freeboard differ, C3.4 vs 46 53 00 (Issue 5). 12-inch base, gravel backfill for foundations Class A per WSDOT 9-03.12(1)A - Unresolved: external reference, not staged (C3.4, C3.5). Concrete submittals and tests are not in the P&amp;M stack. Cross-lane: Structural &amp; Building (S2.1 Train 3 Plans &amp; Section, per 01 title; Division 03). Tag driver: Bid Item 18 (04 flag). Also WSDOT reference. || [Merge] Exceptions: #29, #158, #255.</t>
  </si>
  <si>
    <t xml:space="preserve">PROPOSED-INFLUENT-SAMPLE-SUMP</t>
  </si>
  <si>
    <t xml:space="preserve">Influent sampling sump</t>
  </si>
  <si>
    <t xml:space="preserve">G0.5; G0.6; C4.1</t>
  </si>
  <si>
    <t xml:space="preserve">plans_1 p.5 (G0.5, influent sample sump on 8-inch STEP influent); plans_1 p.6 (G0.6, PROPOSED INFLUENT SAMPLING SUMP, FG 23.65); plans_4Part-7 p.1 (C4.1, influent sample sump structure see 4/C7.5; 4-inch sample sump IE 18.00; keyed notes 47-51, 56)</t>
  </si>
  <si>
    <t xml:space="preserve">00 register records a C1.3 revision "Add Inf. Sample Sump" 5/10/22: cross-check Civil &amp; Site. Tag driver: Bid Item 1 (04, Inferred). C4.1: 4-inch line to the wet well at IE 18.00; 2-inch SCH 80 conduit for influent sampler intake tubing (note 56); well curb WC-24, IFCO 813 ring and cover, Andrew's Boss Lock coupling and dust plug (notes 47, 49-51; association with this structure Inferred). Detail 4/C7.5 is Civil &amp; Site. || [Merge] Exceptions: #4, #164.</t>
  </si>
  <si>
    <t xml:space="preserve">PROPOSED-EFFLUENT-SAMPLE-SUMP</t>
  </si>
  <si>
    <t xml:space="preserve">Effluent sample sump (effluent sample chamber)</t>
  </si>
  <si>
    <t xml:space="preserve">UV Disinfection Chamber &amp; Digester</t>
  </si>
  <si>
    <t xml:space="preserve">G0.6; C5.1; C5.2; C5.3</t>
  </si>
  <si>
    <t xml:space="preserve">plans_1 p.6 (G0.6, PROPOSED EFFLUENT SAMPLE SUMP); plans_5 p.2 (C5.1, EFFLUENT SAMPLE CHAMBER; EFFLUENT SAMPLE LOCATION); plans_5 p.3 (C5.2, TOC 17.25, bottom elev 16.25, 4-inch drain pipe IE 17.25)</t>
  </si>
  <si>
    <t xml:space="preserve">Not on G0.5; location and detail not shown on sheets read (Open check 6, closed: C5.1 effluent sample chamber). Tag driver: Bid Item 1 (04, Inferred). C5.1 shows it between the UV chamber and the digester, with a removable guard chain and 2 ft 8 in opening; taken as the G0.6 effluent sample sump (Inferred). Open check 6, closed: C5.1 effluent sample chamber closed. Section labels placed in this chamber (Inferred from C5.1 layout). || [Merge] Exceptions: #104.</t>
  </si>
  <si>
    <t xml:space="preserve">PROPOSED-TRAIN-3-TREATMENT-SYSTEM</t>
  </si>
  <si>
    <t xml:space="preserve">Train 3 biological treatment system package, Smith &amp; Loveless Model R Oxigest (basis of design) or approved equal</t>
  </si>
  <si>
    <t xml:space="preserve">46 53 00; C3.3; C3.4; C3.5</t>
  </si>
  <si>
    <t xml:space="preserve">main spec p.492 (46 53 00 ¶1.01 A, ¶1.02); p.493 (¶1.03 A, E, F; ¶1.04); p.494 (¶1.05 A, C); pp.500-501 (¶3.03)</t>
  </si>
  <si>
    <t xml:space="preserve">Single-manufacturer supply; section supersedes other specs for its equipment (¶1.03 F). Design influent 63,333 gpd avg, 178 gpm peak hour; effluent BOD5 30, TSS 30, TIN 8 mg/L. PPG 2 years from start-up, submitted with the equipment submittal; mechanical guarantee 12 months from Substantial Completion. Alternate systems bid as Equipment Alternate B (04). Components are separate rows. Issues 2, 3, 8, 9. Tag driver: Bid Item 18 (04 flag). || [Merge] Exceptions: #30, #255.</t>
  </si>
  <si>
    <t xml:space="preserve">PROPOSED-TRAIN-3-INNER-WALLS</t>
  </si>
  <si>
    <t xml:space="preserve">Train 3 steel inner walls and zone partition walls, structural steel plate 1/4-inch minimum</t>
  </si>
  <si>
    <t xml:space="preserve">C3.3</t>
  </si>
  <si>
    <t xml:space="preserve">C3.3; 46 53 00</t>
  </si>
  <si>
    <t xml:space="preserve">main spec p.494 (46 53 00 ¶2.01 B.1); p.495 (¶2.01 C.1, annulus divided by steel plate partition walls); p.497 (¶2.01 C.4, inner tank reinforced for 15 ft 6 in differential); plans_4Part-4 p.1 (C3.3, note 1, partitions reinforced for individual zone dewatering)</t>
  </si>
  <si>
    <t xml:space="preserve">Stainless fabrication alternates (Items 18, 19 per 04) apply to Train 3 fabrication; which components is not defined in 46 53 00 (Issue 9). Tag driver: Bid Item 18 (04 flag). || [Merge] Exceptions: #255.</t>
  </si>
  <si>
    <t xml:space="preserve">PROPOSED-TRAIN-3-CLARIFIER-MECHANISM</t>
  </si>
  <si>
    <t xml:space="preserve">Train 3 clarifier mechanism, 18-ft dia.: center drive, feed well, rake arms, skimmer, scum baffle, effluent trough and weirs, scum airlift</t>
  </si>
  <si>
    <t xml:space="preserve">C3.3; C3.4; C3.5</t>
  </si>
  <si>
    <t xml:space="preserve">C3.3; C3.4; C3.5; 46 53 00</t>
  </si>
  <si>
    <t xml:space="preserve">plans_4Part-4 p.1 (C3.3, 18 ft 0 in clarifier, 5 ft 0 in feed well, scraper arms and drive, skimmer arm, scum skimmer airlift, 10-inch inlet pipe); plans_4Part-5 p.1 (C3.4, V-notch weir, scum baffle, level adjustment rod, sludge well, inlet IE 14.31); plans_4Part-6 p.1 (C3.5, 10-inch clarifier inlet gate valve); main spec pp.496-497 (46 53 00 ¶2.01 C.3-C.5)</t>
  </si>
  <si>
    <t xml:space="preserve">Drive rated 800 ft-lb, 1/2 HP 460 V 3-phase motor with overload protection; rubber-belting rake arms; intermittent scum airlift discharges to the aerobic digester; drive-failure alarm contacts. Clarifier floor concrete at 1:12 placed by purchaser (¶2.01 C.3). Freeboard 1.4 ft vs 1.50 (Issue 5); side water depth (Issue 4). Tag driver: Bid Item 18 (04 flag). || [Merge] Exceptions: #33, #255.</t>
  </si>
  <si>
    <t xml:space="preserve">PROPOSED-TRAIN-3-WALKWAYS-AND-LADDER</t>
  </si>
  <si>
    <t xml:space="preserve">Train 3 access walkway (3-ft clarifier bridge), 2-ft peripheral service walkway, aluminum grating and handrail, aluminum ladder with concrete pad</t>
  </si>
  <si>
    <t xml:space="preserve">C3.3; C3.4; 46 53 00</t>
  </si>
  <si>
    <t xml:space="preserve">plans_4Part-4 p.1 (C3.3, 3 ft 0 in clarifier bridge, 2-ft peripheral walkway with handrail, prefab aluminum ladder); plans_4Part-5 p.1 (C3.4, ladder; concrete pad 4 x 4 ft x 6-inch at FG 23.30); main spec p.495 (46 53 00 ¶2.01 B.2 150 plf live load, L/360, 42-inch handrail and midrail, aluminum bar grating and handrail; ¶2.01 B.3 aluminum ladder)</t>
  </si>
  <si>
    <t xml:space="preserve">Clarifier bridge is a steel structure (¶2.01 C.3, p.497). Tag driver: Bid Item 18 (04 flag). || [Merge] Exceptions: #34, #255.</t>
  </si>
  <si>
    <t xml:space="preserve">PROPOSED-TRAIN-3-AERATION-DIFFUSERS</t>
  </si>
  <si>
    <t xml:space="preserve">Train 3 aeration system: air header, drop pipes with unions and air control valves, medium bubble (plenum) diffusers, 8 in Aeration Zone 1 and 2 in Aeration Zone 2</t>
  </si>
  <si>
    <t xml:space="preserve">G0.7; C3.3; C3.4; C3.5</t>
  </si>
  <si>
    <t xml:space="preserve">G0.7; C3.3; C3.4; C3.5; 46 53 00</t>
  </si>
  <si>
    <t xml:space="preserve">plans_1 p.7 (G0.7 zone 1: 8 diffusers, 24 scfm each, 192 scfm; zone 2: 2 diffusers, 48 scfm); plans_4Part-4 p.1 (C3.3, plenum diffuser typ, 6-inch air inlet); plans_4Part-6 p.1 (C3.5, 6-inch air inlet flanged connection, air header); main spec pp.495-496 (46 53 00 ¶2.01 C.1, C.2); p.498 (¶2.01 E.2 air test 15 psi, 60 min)</t>
  </si>
  <si>
    <t xml:space="preserve">AOR 269 lb O2/day (Aerobic Zone 1) and 57 lb O2/day (Zone 2); 125-lb flanged supply connection just outside the tank (¶2.01 C.2). Spare: 1 diffuser assembly (¶2.01 G). Air piping outside the tank per 33 31 00 ¶2.01 D - Cross-lane: Civil &amp; Site. Air totals Issue 6. Tag driver: Bid Item 18 (04 flag). || [Merge] Exceptions: #255.</t>
  </si>
  <si>
    <t xml:space="preserve">PROPOSED-TRAIN-3-ANOXIC-MIXERS</t>
  </si>
  <si>
    <t xml:space="preserve">Train 3 submersible mixers (2), 5 HP, 460 V 3-phase, one per anoxic zone</t>
  </si>
  <si>
    <t xml:space="preserve">G0.7; C3.3; C3.4</t>
  </si>
  <si>
    <t xml:space="preserve">46 53 00; 46 41 23</t>
  </si>
  <si>
    <t xml:space="preserve">G0.7; C3.3; C3.4; 46 53 00; 46 41 23</t>
  </si>
  <si>
    <t xml:space="preserve">plans_1 p.7 (G0.7, one 5 HP mixer in anoxic zone #1, 15,686 gal, and #2, 8,789 gal); plans_4Part-4 p.1 (C3.3, two submersible mixers); plans_4Part-5 p.1 (C3.4); main spec p.495 (46 53 00 ¶2.01 C.1); main spec pp.486-490 (46 41 23 ¶1.01 A; ¶1.02 A; ¶1.03 A; ¶2.01; ¶2.04; ¶3.01 B; ¶3.02)</t>
  </si>
  <si>
    <t xml:space="preserve">Seal-fail and overtemp sensors wired to the treatment system control panel (¶2.01 F.2.e, p.499).Tag driver: Bid Item 18 (04 flag). 46 41 23: 5 HP max, 460 V, 316 Ti construction, 4-inch square SS guide mast or floor pedestal, PTC switches and moisture detector with supplier relays installed by others in the motor control panel; factory and field tests; 2 days start-up; 1 day training; 1-year extended warranty; 3 sets of wear parts. Also specified in 46 53 00 (Issue 30). || [Merge] Exceptions: #32, #255.</t>
  </si>
  <si>
    <t xml:space="preserve">PROPOSED-TRAIN-3-DAVIT-CRANES</t>
  </si>
  <si>
    <t xml:space="preserve">Portable lifting davits (2) for the Train 3 mixers, stainless, manual brake winch, on top mast brackets</t>
  </si>
  <si>
    <t xml:space="preserve">C3.3; C3.4</t>
  </si>
  <si>
    <t xml:space="preserve">46 41 23</t>
  </si>
  <si>
    <t xml:space="preserve">C3.3; C3.4; 46 41 23</t>
  </si>
  <si>
    <t xml:space="preserve">plans_4Part-4 p.1 (C3.3, davit crane assembly at two locations); plans_4Part-5 p.1 (C3.4, typ. for both locations); main spec pp.486-490 (46 41 23 ¶1.01 A two davit cranes; ¶2.01 E)</t>
  </si>
  <si>
    <t xml:space="preserve">Tag driver: Bid Item 18 (04 flag). Open check 3, closed: 46 41 23 closed: davits are in 46 41 23. Removable handrail or safety-chain sections so mixers are not lifted over the handrail (¶2.01 E). Supplier split with 46 53 00 (Issue 30). || [Merge] Exceptions: #255.</t>
  </si>
  <si>
    <t xml:space="preserve">PROPOSED-TRAIN-3-RAS-AIRLIFT</t>
  </si>
  <si>
    <t xml:space="preserve">RAS airlift pump, 3-inch steel riser with flow division (weir) box, 51 gpm at 15 cfm max</t>
  </si>
  <si>
    <t xml:space="preserve">G0.5; G0.7; C3.3; C3.5</t>
  </si>
  <si>
    <t xml:space="preserve">G0.5; G0.7; C3.3; C3.5; 46 53 00</t>
  </si>
  <si>
    <t xml:space="preserve">plans_1 p.7 (G0.7, 15 scfm, 3-inch, 51 gpm, 1Q); plans_4Part-4 p.1 (C3.3, 3-inch RAS airlift sludge duct, RAS airlift weir box); plans_4Part-6 p.1 (C3.5, RAS airlift weir box, 4-inch RAS IE 10.36); main spec pp.497-498 (46 53 00 ¶2.01 C.6)</t>
  </si>
  <si>
    <t xml:space="preserve">Discharges RAS to Anoxic Zone #1; the sludge sump also discharges WAS to piping to the digester (¶2.01 C.6). Tag driver: Bid Item 18 (04 flag). || [Merge] Exceptions: #255.</t>
  </si>
  <si>
    <t xml:space="preserve">PROPOSED-TRAIN-3-MLR-AIRLIFT</t>
  </si>
  <si>
    <t xml:space="preserve">Nitrate (mixed liquor) recycle airlift pump(s), 6-inch steel riser, Liqui-Lift weir box, 6-inch MLR pipe</t>
  </si>
  <si>
    <t xml:space="preserve">G0.5; G0.7; C3.3; C3.4; C3.5</t>
  </si>
  <si>
    <t xml:space="preserve">G0.5; G0.7; C3.3; C3.4; C3.5; 46 53 00</t>
  </si>
  <si>
    <t xml:space="preserve">plans_1 p.7 (G0.7, one airlift 61 scfm, 6-inch, 203 gpm, 4Q); plans_4Part-4 p.1 (C3.3, nitrate recycle weir box, 6-inch MLR pipe); plans_4Part-5 p.1 (C3.4, 6-inch nitrate recycle underflow IE 10.57); plans_4Part-6 p.1 (C3.5, Liqui-Lift nitrate recycle weir box; 8-inch at IE 10.57); main spec p.495 (46 53 00 ¶2.01 C.1, one 6-inch airlift, 101 gpm); p.498 (¶2.01 C.7, two airlifts, 101 gpm and 30 cfm each)</t>
  </si>
  <si>
    <t xml:space="preserve">Quantity, location and flow path conflict (Issue 3); size at IE 10.57 conflicts (Issue 10). Solenoids, limit switches and controls by manufacturer (¶2.01 C.1). Tag driver: Bid Item 18 (04 flag). || [Merge] Exceptions: #255.</t>
  </si>
  <si>
    <t xml:space="preserve">PROPOSED-CARBON-FEED-PUMPS</t>
  </si>
  <si>
    <t xml:space="preserve">Carbon feed peristaltic metering pumps (2: 1 duty, 1 standby), Stenner Model S3V02AA302N</t>
  </si>
  <si>
    <t xml:space="preserve">Not stated (feeds Train 3 Anoxic 2 per G0.5)</t>
  </si>
  <si>
    <t xml:space="preserve">G0.5; 46 53 00</t>
  </si>
  <si>
    <t xml:space="preserve">main spec p.498 (46 53 00 ¶2.01 C.8, provide and install; capacity 17 gpm; variable speed; flow paced per 26 80 00 ¶3.09 C); plans_1 p.5 (G0.5, carbon addition into Anoxic 2)</t>
  </si>
  <si>
    <t xml:space="preserve">Pump location, carbon product, storage and feed piping not shown on sheets read so far (Issue 41). Flow pacing is an E&amp;C item (26 80 00 ¶3.09 C). Tag driver: Bid Item 18 (04 flag). || [Merge] Exceptions: #161, #255.</t>
  </si>
  <si>
    <t xml:space="preserve">PROPOSED-TRAIN-3-CONTROL-PANEL</t>
  </si>
  <si>
    <t xml:space="preserve">Treatment system control panel, NEMA 4X 316 SS, 460 V 3-phase input, UL listed</t>
  </si>
  <si>
    <t xml:space="preserve">main spec p.499 (46 53 00 ¶2.01 F); pp.500-501 (¶3.03)</t>
  </si>
  <si>
    <t xml:space="preserve">Main breaker 30 A by design, manufacturer sizes and submits (¶2.01 F.2.a); mounted on an exterior wall within sight of the system; starters for clarifier drive and 2 mixers, 480-120 V control transformer, relay logic, alarm light and horn, panel heater, 120 V circuit for pole light and receptacle on the cell (¶2.01 F.2). Location not shown on sheets read. Field wiring by the Electrical Contractor (¶2.01 F.2.n): Cross-lane: Electrical &amp; Controls; Item 6 basis per 04 (Inferred). Tag driver: Bid Item 18 (04 flag). || [Merge] Exceptions: #31, #161, #255.</t>
  </si>
  <si>
    <t xml:space="preserve">PROPOSED-TRAIN-3-FRP-LAUNDER-COVER</t>
  </si>
  <si>
    <t xml:space="preserve">FRP launder cover, Train 3 clarifier effluent trough</t>
  </si>
  <si>
    <t xml:space="preserve">C3.4; C3.5</t>
  </si>
  <si>
    <t xml:space="preserve">10 73 05</t>
  </si>
  <si>
    <t xml:space="preserve">C3.4; C3.5; 10 73 05</t>
  </si>
  <si>
    <t xml:space="preserve">plans_4Part-5 p.1 (C3.4, FRP launder cover); plans_4Part-6 p.1 (C3.5, FRP launder cover); main spec pp.243-245 (10 73 05 ¶1.01, ¶1.02 A, ¶2.01 A submittals, ¶3.01 B-G, ¶3.02, ¶4.02 B start-up and field testing)</t>
  </si>
  <si>
    <t xml:space="preserve">Tag driver: Bid Item 18 (04 flag). 10 73 05: molded opaque UV-protected FRP, sections at least 4 ft, pivoting brackets, spring latches, stainless hardware, max 55 lb per panel; 1-year extended warranty; 3 sets of wear parts; 2 days start-up and field testing; 1 day training. ¶3.01 A carries stray sludge pump text (Issue 20). || [Merge] Exceptions: #255.</t>
  </si>
  <si>
    <t xml:space="preserve">PROPOSED-INFLUENT-PUMP-STATION-WET-WELL</t>
  </si>
  <si>
    <t xml:space="preserve">Influent Pump Station wet well, 96-inch precast on 12-inch precast base, bottom elev 9.0, top 23.30, with vent and clean outs</t>
  </si>
  <si>
    <t xml:space="preserve">C4.1; G0.6; 22 13 29</t>
  </si>
  <si>
    <t xml:space="preserve">plans_4Part-7 p.1 (C4.1, elevation: 96-inch precast wet well per WSDOT Std Plan B-15.60-00; 12-inch precast base; interior bottom 9.0; top 23.30; WrapidSeal or equal at all joints; keyed notes 10, 18, 19, 21, 30, 31); plans_1 p.6 (G0.6, PROPOSED INFLUENT &amp; PLANT DRAIN PUMP STATION); Add. 4 p.1 (Clarification 2); main spec pp.255-262 (22 13 29 ¶1.01 B, D; ¶1.03 A.2; ¶2.03)</t>
  </si>
  <si>
    <t xml:space="preserve">Add. 4 Clarification 2: exterior of all precast concrete wet well joints sealed with CANUSA-CPS WrapidSeal (Manhole Encapsulation System) or approved equal, installed per manufacturer; C4.1 already calls WrapidSeal or equal at all joints. Top slab per 1/S2.4, 2/S2.4 (Cross-lane: Structural &amp; Building). 3-inch SS vent pipe with 24-mesh SS screen, IE 21.00 (note 18); oversized core hole for the rotated top elbow (note 10); link-seal boots at all penetrations (note 31); 3/4-inch SS anchor bolts, 16 total (note 30). Pipe brace detail conflict: 7/C7.2 vs sheet M4.1 (Issue 11). Wet well per WSDOT Std Plan B-15.60-00; steps or ladder per WSDOT Std Plan B-30.90-01 (note 21); 12-inch base per WSDOT 9-03.12(1)A. WSDOT references are Unresolved: external reference, not staged. Tag driver: WSDOT references. 22 13 29 makes the station a complete performance package (station shop drawing ¶1.03 A.2; cast-iron discharge connections, 316 SS guide bars about 15 ft, three 316 SS cable holders, ¶2.03). Wet well concrete tests are not in the P&amp;M stack. || [Merge] Exceptions: #37.</t>
  </si>
  <si>
    <t xml:space="preserve">PROPOSED-INFLUENT-PUMPS-SMALL</t>
  </si>
  <si>
    <t xml:space="preserve">Influent pumps, small, submersible, duplex (2), 120-220 gpm each</t>
  </si>
  <si>
    <t xml:space="preserve">1; Equipment Alternate A</t>
  </si>
  <si>
    <t xml:space="preserve">G0.7; C4.1</t>
  </si>
  <si>
    <t xml:space="preserve">G0.7; C4.1; 22 13 29</t>
  </si>
  <si>
    <t xml:space="preserve">plans_1 p.7 (G0.7, 2 small submersible pumps, 120-220 gpm each; firm capacity 535 gpm, 0.77 MGD); plans_4Part-7 p.1 (C4.1, keyed notes 24-26, 28, 29, 33, 52; control table); main spec pp.255-262 (22 13 29 ¶2.02 B, C; ¶1.03 A-C; ¶1.04 B-C; ¶3.03)</t>
  </si>
  <si>
    <t xml:space="preserve">Duplex arrangement per specs (C4.1 note 52); discharge 4x3-inch DI reducer if required (note 9). Stainless guide rails and haul chains by supplier (notes 24, 25); manufacturer disconnect elbow (29); flapper valve to close and seal when submerged (33); power cord long enough for removal (26). Spec section not numbered on C4.Equipment Alternate A per 04 bid form description "Submersible Pump Equipment" (Inferred). Tag driver: Bid Item 1 (04, Inferred). 22 13 29: Flygt N3085 MT, 150 gpm at 20.5 ft (120 at 22.0; 220 at 17.5; shutoff 26 ft), 2.7 HP, 1800 rpm, 460 V 3-phase, discharge 3 1/8 in.; Class 1 Div 1 Groups C and D; 316 SS guide bars and lifting chain; MiniCAS-120 motor saver; 5-year or 10,000-hour warranty; certified factory performance tests, factory operational test, field tests and start-up with flow tests. Alternate A base manufacturer (Flygt, 04) matches the spec. || [Merge] Exceptions: #36.</t>
  </si>
  <si>
    <t xml:space="preserve">PROPOSED-INFLUENT-PUMPS-LARGE</t>
  </si>
  <si>
    <t xml:space="preserve">Influent pumps, large, submersible, duplex (2), 320-500 gpm each</t>
  </si>
  <si>
    <t xml:space="preserve">plans_1 p.7 (G0.7, 2 large submersible pumps, 320-500 gpm each; firm capacity 535 gpm, 0.77 MGD); plans_4Part-7 p.1 (C4.1, keyed notes 24-26, 28, 29, 33, 53; control table); main spec pp.255-262 (22 13 29 ¶2.02 B, C; ¶1.03 A-C; ¶1.04 B-C; ¶3.03)</t>
  </si>
  <si>
    <t xml:space="preserve">Duplex arrangement per specs (C4.1 note 53); discharge 6x4-inch DI reducer if required (note 15). Stainless guide rails and haul chains by supplier (notes 24, 25); manufacturer disconnect elbow (29); flapper valve to close and seal when submerged (33); power cord long enough for removal (26). Spec section not numbered on C4.Equipment Alternate A per 04 bid form description "Submersible Pump Equipment" (Inferred). Tag driver: Bid Item 1 (04, Inferred). 22 13 29: Flygt N3102 MT, 385 gpm at 20.5 ft (320 at 22.5; 500 at 15.0; shutoff 38 ft), 5.0 HP, 1800 rpm, 460 V 3-phase, discharge 3 15/16 in.; Class 1 Div 1 Groups C and D; 316 SS guide bars and lifting chain; MiniCAS-120 motor saver; 5-year or 10,000-hour warranty; certified factory performance tests, factory operational test, field tests and start-up with flow tests. Alternate A base manufacturer (Flygt, 04) matches the spec. || [Merge] Exceptions: #36.</t>
  </si>
  <si>
    <t xml:space="preserve">PROPOSED-IPS-LEVEL-TRANSDUCER</t>
  </si>
  <si>
    <t xml:space="preserve">Influent Pump Station wet well level transducer, set 6 in. above floor (set points T1-T7)</t>
  </si>
  <si>
    <t xml:space="preserve">C4.1</t>
  </si>
  <si>
    <t xml:space="preserve">C4.1; 22 13 29</t>
  </si>
  <si>
    <t xml:space="preserve">plans_4Part-7 p.1 (C4.1, keyed note 54; control table T1-T7); main spec pp.255-262 (22 13 29 ¶3.02 A)</t>
  </si>
  <si>
    <t xml:space="preserve">T1 high level alarm 17.50 (with float), T2 large lag 17.00, T3 large lead 16.00, T4 small lag 14.00, T5 small lead 12.00, T6 pumps off 11.00, T7 low level alarm and redundant off 10.50. Spec not numbered on C4.1. Cross-lane: Electrical &amp; Controls (control panel E8.x per 01 titles). Bid Item 1 per 04 default; Item 6 if specified in Division 26 (Inferred). Tag driver: Bid Item 1 (04, Inferred). 22 13 29 ¶3.02 A: a submersible level transducer is also used for pump control (no product requirements given). || [Merge] Exceptions: #39.</t>
  </si>
  <si>
    <t xml:space="preserve">F1–F4 [Influent Pump Station]</t>
  </si>
  <si>
    <t xml:space="preserve">Influent Pump Station backup float switches F1-F4, timer control</t>
  </si>
  <si>
    <t xml:space="preserve">plans_4Part-7 p.1 (C4.1, control table); main spec pp.255-262 (22 13 29 ¶3.02 A; ¶3.03 A.6)</t>
  </si>
  <si>
    <t xml:space="preserve">F1 redundant large lag pump on 19.00; F2 redundant large lead 18.50; F3 redundant small lag 18.00; F4 redundant small lead 17.50; a float also backs T1 high level alarm. Printed IDs F1-F4 repeat on C4.2; bracketed area added for a unique Tag. Cross-lane: Electrical &amp; Controls. Tag driver: Bid Item 1 (04, Inferred). Floats suspended at plan levels on cable holders (¶3.02 A); start-up checks the level control operation sequence (¶3.03 A.6). || [Merge] Exceptions: #40.</t>
  </si>
  <si>
    <t xml:space="preserve">PROPOSED-IPS-VALVE-VAULTS</t>
  </si>
  <si>
    <t xml:space="preserve">Influent Pump Station valve vaults (2), precast 4 ft 2 in x 4 ft 2 in x 5 ft 6 in min. inside, Utility Vault Co. 506-LA or equal</t>
  </si>
  <si>
    <t xml:space="preserve">plans_4Part-7 p.1 (C4.1, keyed note 17; plan shows two vaults; elevation: nominal vault floor 18.0, floor drain, 2-inch vault drain at 2% min, 4-inch vault drain IE 16.15); Add. 4 p.1 (Clarification 2); main spec pp.255-262 (22 13 29 ¶1.01 D)</t>
  </si>
  <si>
    <t xml:space="preserve">Hold the 4-inch and 6-inch check and gate valves and pressure gages (see PROPOSED-IPS-DISCHARGE-TO-SPLITTER). Add. 4 Clarification 2 covers precast vault joints (03 maps vaults to Civil &amp; Site; applied here because these vaults are on C4.1). Tag driver: Bid Item 1 (04, Inferred). 22 13 29 ¶1.01 D includes vaults in the pump station work. || [Merge] Exceptions: #41.</t>
  </si>
  <si>
    <t xml:space="preserve">PROPOSED-IPS-HATCHES</t>
  </si>
  <si>
    <t xml:space="preserve">Influent Pump Station access hatches: 36x36-in. single leaf H-20 (Halliday H1R3636) and 30x48-in. single leaf H-20 over pumps (Halliday H1R3048)</t>
  </si>
  <si>
    <t xml:space="preserve">plans_4Part-7 p.1 (C4.1, keyed notes 20, 32)</t>
  </si>
  <si>
    <t xml:space="preserve">Locate the 30x48 hatch over the pumps; coordinate with the pump supplier (note 32). Cross-lane check: Structural &amp; Building (top slab per 1/S2.4, 2/S2.4). Tag driver: Bid Item 1 (04, Inferred). || [Merge] Exceptions: #38.</t>
  </si>
  <si>
    <t xml:space="preserve">PROPOSED-PLANT-DRAIN-LINE</t>
  </si>
  <si>
    <t xml:space="preserve">Filtrate, pressate and digester supernatant drain line to Influent Pump Station, 4-inch (IE 13.40 at wet well)</t>
  </si>
  <si>
    <t xml:space="preserve">G0.5; G0.6; C4.1; C5.1; C5.3; C6.1</t>
  </si>
  <si>
    <t xml:space="preserve">G0.5; G0.6; C4.1; C5.1; C5.3; C6.1; 46 76 26</t>
  </si>
  <si>
    <t xml:space="preserve">plans_1 p.5 (G0.5, 4-inch pressate drain through 4-inch plant drain flow meter to pump station); plans_1 p.6 (G0.6, filtrate and supernatant to plant drain P.S.); plans_4Part-7 p.1 (C4.1, 4-inch filtrate &amp; digester supernatant IE 13.40); plans_5 p.2 (C5.1, 4-inch supernatant drain pipe, 4-inch drain); plans_5 p.4 (C5.3, 4-inch DI supernatant drain IE 15.3); plans_5 p.6 (C6.1, 4-inch pressate to influent pump station; 4-inch pressate drain pipe); main spec pp.510-531 (46 76 26 p.514 filtrate collector and manifold)</t>
  </si>
  <si>
    <t xml:space="preserve">Status Inferred (serves proposed digester and press, into proposed pump station). Tag driver: Bid Item 1 (04, Inferred). At the press the filtrate collector (7.5-inch outlet) feeds a 6-inch Sch 80 PVC manifold with a 90-degree elbow (46 76 26); C6.1 shows 4-inch pressate leaving. || [Merge] Exceptions: #89.</t>
  </si>
  <si>
    <t xml:space="preserve">PROPOSED-STEP-INFLUENT-CONNECTION</t>
  </si>
  <si>
    <t xml:space="preserve">8-inch STEP influent connection to the new Influent Pump Station, IE 19.50</t>
  </si>
  <si>
    <t xml:space="preserve">G0.5; G0.6; C3.1; C4.1</t>
  </si>
  <si>
    <t xml:space="preserve">plans_1 p.5 (G0.5, 8-inch STEP influent); plans_1 p.6 (G0.6, 8-inch influent from STEP collection system IE 19.50); plans_4Part-2 p.1 (C3.1 sequence: connect 8-inch influent to new influent pump station when new facilities are tested); plans_4Part-7 p.1 (C4.1, 8-inch influent IE 19.50)</t>
  </si>
  <si>
    <t xml:space="preserve">Cut-over only after the new splitter and Train 1 and 3 piping are complete and tested (C3.1 sequence). Cross-lane: Civil &amp; Site (collection and site piping). Tag driver: Bid Item 1 (04, Inferred). || [Merge] Exceptions: #87.</t>
  </si>
  <si>
    <t xml:space="preserve">PROPOSED-2W-PUMP-STATION-WET-WELL | PROPOSED-2W-Pump-Station-Wet-Well</t>
  </si>
  <si>
    <t xml:space="preserve">2W plant water pump station wet well, 96-inch precast, floor 10.00, top 21.50, with 30-inch fiberglass access structure, insulated gasketed lid and 38-inch traffic-rated lid and ring | 2W water system pump station wet well</t>
  </si>
  <si>
    <t xml:space="preserve">Process &amp; Mechanical; Contract &amp; General</t>
  </si>
  <si>
    <t xml:space="preserve">2W Pump Station</t>
  </si>
  <si>
    <t xml:space="preserve">Civil; Structural</t>
  </si>
  <si>
    <t xml:space="preserve">C4.2</t>
  </si>
  <si>
    <t xml:space="preserve">43 22 10; 01 45 00; 01 50 00</t>
  </si>
  <si>
    <t xml:space="preserve">C4.2; 43 22 10; 01 45 00; 01 50 00</t>
  </si>
  <si>
    <t xml:space="preserve">[Process &amp; Mechanical] plans_4Part-8 p.1 (C4.2, elevation and plan; 38-inch lid per 3/C7.5; 12-inch crushed surfacing base course); Add. 4 p.1 (Clarification 2); main spec pp.472-475 (43 22 10 ¶1.02 A; ¶2.02 A.1-2, A.6) || [Contract &amp; General] main spec 01 45 00 ¶1.09 pp.139–140; 01 50 00 ¶1.04.C p.143</t>
  </si>
  <si>
    <t xml:space="preserve">[Process &amp; Mechanical] Add. 4 Clarification 2: exterior of all precast concrete wet well joints sealed with CANUSA-CPS WrapidSeal or approved equal; C4.2 calls no joint sealant. Kor-N-Seal or equal at wall penetrations; 1-inch PVC vent with vent filter tee, field-located out of the vehicle drive path (coordinate with Owner). Status Inferred (new 2W system per G0.7). Tag driver: Bid Item 1 (04, Inferred). 43 22 10: Orenco PB30 pump basin sized per drawings (the 30-inch fiberglass wet well and access structure on C4.2, Inferred), SBEX splice boxes, SBCS conduit seals. || [Contract &amp; General] 01 45 00 says '2W Water System Pump Station', 01 50 00 '2W Water system Pump Station Wet Well' (Verified); 'newly constructed' (Verified). Testing Y: clean water leakage test before startup — filled to the rim, held 2 hours, no visible leakage (01 45 00 ¶1.09; 01 50 00 ¶1.04.C — Verified). Houses the 2W air gap water system (Inferred — same station). Discipline and Bid Item 1 Inferred. Cross-lane: Structural &amp; Building; Process &amp; Mechanical || [Merge] Combined by rule (same PROPOSED name in the same Area/Building) from Process_and_Mechanical_Ledger.csv row 50; Contract_and_General_Ledger.csv row 44. Tag level = weakest of the parts (Inferred, Inferred). Submittal: Y (Process &amp; Mechanical), N (Contract &amp; General) — Y kept (each lane's N covers only its own stack); Testing/Startup: N (Process &amp; Mechanical), Y (Contract &amp; General) — Y kept (each lane's N covers only its own stack). || [Merge] Exceptions: #47, #251, #252.</t>
  </si>
  <si>
    <t xml:space="preserve">PROPOSED-2W-PUMPS</t>
  </si>
  <si>
    <t xml:space="preserve">2W plant water pumps (2), submersible well pumps, 1 duty and 1 standby, 20-80 gpm</t>
  </si>
  <si>
    <t xml:space="preserve">1; 6</t>
  </si>
  <si>
    <t xml:space="preserve">G0.7; C4.2</t>
  </si>
  <si>
    <t xml:space="preserve">Add. 4 p.2, 43 22 10 ¶2.01 A (pumps powered from VFDs in the MCC, controlled by the PLC in the Main Control Panel) — Add. 4 governs</t>
  </si>
  <si>
    <t xml:space="preserve">G0.7; C4.2; 43 22 10</t>
  </si>
  <si>
    <t xml:space="preserve">plans_1 p.7 (G0.7, 1 duty + 1 standby submersible, 20-80 gpm, VFD control); plans_4Part-8 p.1 (C4.2, duty points 20 gpm at 380 ft, 72 gpm at 150 ft, 80 gpm at 85 ft TDH; discharge assemblies; relief valve 110 psi); Add. 4 p.2 (43 22 10 ¶2.01 A); main spec pp.472-475 (43 22 10 ¶2.01 A base text "Pumps are to include variable frequency drives (VFDs)"; ¶2.02 A; ¶3.01 D; ¶3.02)</t>
  </si>
  <si>
    <t xml:space="preserve">Each pump: 2-inch high-pressure discharge assembly (ball valve, true union ball check valve, flex hose, quick disconnect; Orenco or equal) within 12 in. of the lid; pressure relief valve rated 110 psi or more within 24 in. of the wet well top. Add. 4 replaces the base text quoted in Add. 4 ("Pumps are to include variable Frequency Drives (VFDs)"); base 43 22 10 ¶2.Bid Item 1 pumps and 6 VFDs in the MCC per 04 Add. 4 table. Cross-lane: Electrical &amp; Controls (VFDs, MCC). Tag driver: Bid Item 1 (04, Inferred). 43 22 10: ITT Goulds 55GS50 (4-inch well) with Centripro M50434 5 HP 460 V 3-phase or equal; constant pressure control, set point about 50-75 psi; alternate pumps each cycle; Orenco HV discharge assemblies; verify rotation (¶3.01 D); supplier training. Base ¶2.01 A now cited; Add. 4 governs the VFD text. || [Merge] Exceptions: #45, #193.</t>
  </si>
  <si>
    <t xml:space="preserve">F1–F4 [2W Pump Station]</t>
  </si>
  <si>
    <t xml:space="preserve">2W pump station float switches F1-F4</t>
  </si>
  <si>
    <t xml:space="preserve">C4.2; 43 22 10</t>
  </si>
  <si>
    <t xml:space="preserve">plans_4Part-8 p.1 (C4.2, float table); main spec pp.472-475 (43 22 10 ¶2.02 A.3-4)</t>
  </si>
  <si>
    <t xml:space="preserve">F1 high level alarm and redundant valve close 22.00; F2 valve close 20.00; F3 valve open 19.00; F4 low level alarm and pumps off 15.00. The valve these floats operate is not identified (Issue 12). Printed IDs repeat on C4.1; bracketed area added. Cross-lane: Electrical &amp; Controls. Tag driver: Bid Item 1 (04, Inferred). 43 22 10: Orenco MF2 float switch assembly sized per drawings, MFCOLLAR1 float collars. || [Merge] Exceptions: #46.</t>
  </si>
  <si>
    <t xml:space="preserve">PROPOSED-2W-DIAPHRAGM-TANKS</t>
  </si>
  <si>
    <t xml:space="preserve">2W air diaphragm (bladder) tanks (2), Amtrol Well-X-Trol WX-350D, 119 gal (26 x 62 in.), with manifold, gauge and relief valves</t>
  </si>
  <si>
    <t xml:space="preserve">Train #2 Building (per Add. 4 p.6)</t>
  </si>
  <si>
    <t xml:space="preserve">C4.3; C6.4</t>
  </si>
  <si>
    <t xml:space="preserve">Add. 4 p.3 and p.6 (C6.4 reissue): move 2W bladder tanks and 1-inch supply piping to Train #2 Building; configure as shown; field adjust; coordinate with Owner — Add. 4 governs</t>
  </si>
  <si>
    <t xml:space="preserve">C4.3; C6.4; 43 22 10</t>
  </si>
  <si>
    <t xml:space="preserve">plans_5 p.1 (C4.3, Section A and plan; notes 1-2); plans_6 p.1 (C6.4, two 2W bladder tanks near the Blower Building south doors); addendum-no4-eswd.pdf p.6 (C6.4 reissue, relocation note; 2.0 and 1.0 ft dimensions); main spec pp.472-475 (43 22 10 ¶1.01 B.5; ¶1.02 A; ¶2.03 A)</t>
  </si>
  <si>
    <t xml:space="preserve">Model per specifications; configure for Owner operating pressure range. Relief valve 120 psi or more (Clayton Mark or equal); 0-150 psi gage with SS accessories; Simmons S1704 tank tees or equal; 5/8-inch faucet; 1-inch ball valves; 4 floor pipe supports; FF 23.30. Testing Y: C4.3 note 2 requires pressure testing for watertight construction (a drawing note, not a spec section). Add. 4 p.3 relocates "Bladder Tanks" with the Blower Building layout (A1.1, A1.2, C6.4) - same tanks Inferred. Tag driver: Bid Item 1 (04, Inferred). Base C6.4 put the two tanks in the Blower Building; Add. 4 moves them to the Train #2 Building. C4.3 "air diaphragm tanks" = Add. 4 "2W Bladder Tanks" (Inferred: same count and service). 43 22 10 relief valves: 100 psi on the tank tee, 120 psi on pump discharge piping, and a further 120 psi valve, vs one 120-psi valve on C4.3 (Issue 26). Tag driver now Issue 26. || [Merge] Exceptions: #25.</t>
  </si>
  <si>
    <t xml:space="preserve">PIT-620</t>
  </si>
  <si>
    <t xml:space="preserve">2W system pressure transducer, 0-150 psi (operating 55-75 psi)</t>
  </si>
  <si>
    <t xml:space="preserve">2W Equipment Layout (room not named on C4.3)</t>
  </si>
  <si>
    <t xml:space="preserve">C4.3</t>
  </si>
  <si>
    <t xml:space="preserve">C4.3; 43 22 10</t>
  </si>
  <si>
    <t xml:space="preserve">plans_5 p.1 (C4.3, Section A: pressure transducer per specifications, EQ# PIT-620); main spec pp.472-475 (43 22 10 ¶2.03 A.2, pressure transducer for controlling pump ON/OFF)</t>
  </si>
  <si>
    <t xml:space="preserve">Spec section not numbered on C4.3. Cross-lane: Electrical &amp; Controls. Bid Item 1 per 04 default; Item 6 if specified in Division 26 (Inferred). Tag driver: Bid Item 1 (04, Inferred). In 43 22 10 scope, so Bid Item 1 per 04 Item 1 basis (Inferred). || [Merge] Exceptions: #48.</t>
  </si>
  <si>
    <t xml:space="preserve">PROPOSED-2W-DISCHARGE-LINE</t>
  </si>
  <si>
    <t xml:space="preserve">2W plant water discharge, 2-inch SCH 80 PVC to 3-inch HDPE</t>
  </si>
  <si>
    <t xml:space="preserve">C4.2; C6.3; C6.4</t>
  </si>
  <si>
    <t xml:space="preserve">C4.2; C6.3; C6.4; 43 22 10</t>
  </si>
  <si>
    <t xml:space="preserve">plans_4Part-8 p.1 (C4.2, elevation: 2-inch SCH 80 PVC, 2x3-inch reducer, 3-inch HDPE); plans_5 p.8 (C6.3, 3-inch 2W water INV 21.5); plans_6 p.1 (C6.4, 3-inch 2W pipe); main spec pp.472-475 (43 22 10 ¶2.04; ¶2.05)</t>
  </si>
  <si>
    <t xml:space="preserve">Destination not shown on C4.2 (C4.3 tanks, Inferred). Status Inferred. Tag driver: Bid Item 1 (04, Inferred). 3-inch 2W pipe on C6.3-C6.4 taken as the continuation of the 3-inch HDPE discharge (Inferred). Exposed plant water pipe: 1.25-inch polyisocyanurate insulation with aluminum jacket (¶2.04); label and paint per ¶2.05, stainless excepted (Issue 27). || [Merge] Exceptions: #50.</t>
  </si>
  <si>
    <t xml:space="preserve">PROPOSED-2W-FILL-LINE</t>
  </si>
  <si>
    <t xml:space="preserve">2W water fill from air gap to 2W wet well, 4-inch SCH 80 PVC at 2% slope, inlet IE 19.50</t>
  </si>
  <si>
    <t xml:space="preserve">plans_4Part-8 p.1 (C4.2, 2W water from air gap see C4.3; 4-inch SCH 80 PVC slope 2%; 4-inch inlet IE 19.50); main spec pp.472-475 (43 22 10 ¶2.04; ¶2.05)</t>
  </si>
  <si>
    <t xml:space="preserve">Air gap not on C4.3; Add. 4 p.3 puts the 2W (Air Gap) Water Hot Box on C1.3 (Issue 12). Plan label reads 6-inch inlet pipe (Issue 39). Cross-lane: Civil &amp; Site. Tag driver: Issue 12. Exposed plant water pipe: 1.25-inch polyisocyanurate insulation with aluminum jacket (¶2.04); label and paint per ¶2.05, stainless excepted (Issue 27). || [Merge] Exceptions: #169.</t>
  </si>
  <si>
    <t xml:space="preserve">PROPOSED-UV-DIGESTER-STRUCTURE</t>
  </si>
  <si>
    <t xml:space="preserve">UV Disinfection Chamber &amp; Digester structure, concrete, about 45 x 13 ft: UV chamber, effluent sample chamber, aerobic digester</t>
  </si>
  <si>
    <t xml:space="preserve">G0.5; G0.6; C5.1; C5.2; C5.3</t>
  </si>
  <si>
    <t xml:space="preserve">C5.1; G0.6; C5.2; C5.3</t>
  </si>
  <si>
    <t xml:space="preserve">plans_5 p.2 (C5.1, plan dimensions 45.00 and 13.00 overall, 44.00 and 12.00 inside; TOC 18.83 UV, 15.3-14.3 digester; digester 6-inch lip); plans_1 p.6 (G0.6, PROPOSED UV DISINFECTION, PROPOSED AEROBIC DIGESTER); plans_1 p.7 (G0.7 digester 15,000 gal); plans_5 p.3 (C5.2, section A); plans_5 p.4 (C5.3, sections B-D)</t>
  </si>
  <si>
    <t xml:space="preserve">HDG I-beam over digester "see structural". Cross-lane: Structural &amp; Building (S2.2 UV Disinfection Chamber &amp; Digester Plan &amp; Sections, per 01 title). Tag driver: Bid Item 1 (04, Inferred). Top of wall 23.80 (UV) and 26.80 (digester); UV bottom 17.74; digester bottom EL 13.3/14.3; 1-ft thick lip, 1/2 ft out, all around for anti-buoyancy; concrete supports for UV equipment, four total (C5.3). 12-inch CSBC base per WSDOT 9-03.12(1)A - Unresolved: external reference, not staged (C5.2, C5.3). Tag driver now WSDOT reference. || [Merge] Exceptions: #56.</t>
  </si>
  <si>
    <t xml:space="preserve">PROPOSED-UV-SYSTEM</t>
  </si>
  <si>
    <t xml:space="preserve">UV disinfection system, Trojan UV3000 PTP or equal: 2 open-channel systems (UV Channels #1 and #2), 6 modules per bank, 4 lamps per module, 48 lamps, stainless channels with level control weirs</t>
  </si>
  <si>
    <t xml:space="preserve">1; Equipment Alternate D</t>
  </si>
  <si>
    <t xml:space="preserve">G0.5; G0.6; G0.7; C5.1; C5.2; C5.3; C5.4</t>
  </si>
  <si>
    <t xml:space="preserve">46 66 00</t>
  </si>
  <si>
    <t xml:space="preserve">G0.5; G0.6; G0.7; C5.1; C5.2; C5.3; C5.4; 46 66 00</t>
  </si>
  <si>
    <t xml:space="preserve">plans_1 p.7 (G0.7 UV design information); plans_5 p.2 (C5.1, UV Channels #1, #2 with module banks); plans_1 p.6 (G0.6 UV HWL 21.49 at 0.50 MGD per channel); plans_5 p.5 (C5.4, detail 1, notes, interconnection table); plans_5 p.3 (C5.2); plans_5 p.4 (C5.3); main spec pp.502-508 (46 66 00 ¶1.01 A; design criteria; items 1-6 p.503; ¶1.04; ¶1.05; Part 2 A-C; ¶3.02)</t>
  </si>
  <si>
    <t xml:space="preserve">Equipment Alternate D per 04 bid form description "UV Disinfection Equipment" (Trojan base). UV dose units (Issue 32). Tag driver: Bid Item 1 (04, Inferred). C5.4: Trojan unit, 4-64 UV PTP modules, 6 required per bank vs G0.7 8 per channel (Issue 13); 3600K level control weir; HWL 21.49 to 21.09; channel width and depth within +/- 1/4 in.; do not slope channel floor; do not encase the steel channel in concrete; contractor supplies anchor bolts (3/8 in., 4 per transition box); unit flanges drilled for 12-inch pipe. Tag driver now Issue 13. 46 66 00: dose 30 mJ/cm2 at 50% UVT by independent bioassay; each system alone handles max day 0.46 MGD; outdoor, no shelter; lamps 12,000-hour non-prorated warranty; equipment warranty 12 months; spares per bank; 2 days start-up, 1 day training. Module and lamp counts agree with C5.4, not G0.7 (Issue 13); dose units (Issue 32). Equipment Alternate D base Trojan confirmed. || [Merge] Exceptions: #54.</t>
  </si>
  <si>
    <t xml:space="preserve">PROPOSED-UV-CONTROL-PANELS</t>
  </si>
  <si>
    <t xml:space="preserve">UV control panels on chamber walls (2 on C5.1): splitter panel, power distribution receptacles and wall-mounted system monitor per UV unit (C5.4)</t>
  </si>
  <si>
    <t xml:space="preserve">C5.1; C5.2; C5.3; C5.4</t>
  </si>
  <si>
    <t xml:space="preserve">C5.1; C5.4; 46 66 00</t>
  </si>
  <si>
    <t xml:space="preserve">plans_5 p.2 (C5.1, CONTROL PANELS on the chamber walls); plans_5 p.5 (C5.4, interconnection table); main spec pp.502-508 (46 66 00 pp.506-507, monitoring system and power distribution receptacles)</t>
  </si>
  <si>
    <t xml:space="preserve">Cross-lane: Electrical &amp; Controls (E5.1 per 01 title). Tag driver: Bid Item 1 (04, Inferred). Splitter panel within 10 ft of module power end, 120 V 1-phase 19.1 A from distribution panel DP (not shown); PDRs 6.3 A each from splitter panel; system monitor within 15 ft of channel, 120 V 5 A from DP. 46 66 00: monitoring panel is fiberglass Type 4X, wall mounted less than 12 ft from the module LED end (C5.4 says within 15 ft of channel - Issue 33); GFCI PDRs by the UV manufacturer; contractor supplies a 120 V circuit of about 19.2 A for the PDRs and a separate 120 V 5 A monitoring supply. Tag driver now Issue 33. || [Merge] Exceptions: #55.</t>
  </si>
  <si>
    <t xml:space="preserve">PROPOSED-EFFLUENT-HEADER-TO-UV</t>
  </si>
  <si>
    <t xml:space="preserve">Secondary effluent header through 8-inch effluent flow meter to UV Channels #1 and #2, 8-inch, with 8-inch gate valves (hand wheel) at channel inlets</t>
  </si>
  <si>
    <t xml:space="preserve">G0.5; C5.1; C5.2; C5.3</t>
  </si>
  <si>
    <t xml:space="preserve">plans_1 p.5 (G0.5, SE1-SE3 to 8-inch effluent flow meter to UV channels); plans_5 p.2 (C5.1, 8-inch inlet; keyed note 5); plans_5 p.3 (C5.2, 8-inch influent pipe IE 19.61); plans_5 p.4 (C5.3, 8-inch DI secondary effluent)</t>
  </si>
  <si>
    <t xml:space="preserve">Status Inferred (serves proposed UV). Tag driver: Bid Item 1 (04, Inferred). Handwheels for exposed valves (C5.2, C5.3). || [Merge] Exceptions: #105.</t>
  </si>
  <si>
    <t xml:space="preserve">PROPOSED-UV-CHAMBER-DRAIN</t>
  </si>
  <si>
    <t xml:space="preserve">UV chamber drain, 4-inch, with 4-inch gate valves</t>
  </si>
  <si>
    <t xml:space="preserve">plans_1 p.5 (G0.5, 4-inch UV chamber drain); plans_5 p.2 (C5.1, 4-inch UV drain; keyed note 3; 1-inch channel drains); plans_5 p.3 (C5.2); plans_5 p.4 (C5.3, section D)</t>
  </si>
  <si>
    <t xml:space="preserve">Discharge point not stated on sheets read. Status Inferred. Tag driver: Bid Item 1 (04, Inferred). Floor drains rim 18.74; 4-inch DI floor drain IE 16.00; 1-inch SCH 80 PVC drains for all four drain ports; 2x1-inch reducer and 1-inch PVC ball valve. || [Merge] Exceptions: #88.</t>
  </si>
  <si>
    <t xml:space="preserve">PROPOSED-UV-DIGESTER-GRATING-GUARDRAIL</t>
  </si>
  <si>
    <t xml:space="preserve">UV/digester guardrail with removable guard chains, removable grating over digester, aluminum access ladders (nominal 2 ft wide)</t>
  </si>
  <si>
    <t xml:space="preserve">C5.1; C5.2; C5.3</t>
  </si>
  <si>
    <t xml:space="preserve">plans_5 p.2 (C5.1, grating &amp; guardrail plan; keyed notes 2, 4); plans_5 p.3 (C5.2, top of guardrail 42 in. above finish grade, field adjust; prefab aluminum ladder to access platform)</t>
  </si>
  <si>
    <t xml:space="preserve">Guard chains at 4 locations plus a 2 ft 8 in opening at the effluent sample chamber. Cross-lane: Structural &amp; Building (metals). Tag driver: Bid Item 1 (04, Inferred). || [Merge] Exceptions: #57.</t>
  </si>
  <si>
    <t xml:space="preserve">PROPOSED-DIGESTER-TELESCOPING-VALVE</t>
  </si>
  <si>
    <t xml:space="preserve">Aerobic digester telescoping valve, 4-inch rising stem, 48-inch min travel, Waterman TS-2 or equal</t>
  </si>
  <si>
    <t xml:space="preserve">G0.6; G0.7; C5.1; C5.3</t>
  </si>
  <si>
    <t xml:space="preserve">40 05 71</t>
  </si>
  <si>
    <t xml:space="preserve">G0.6; G0.7; C5.1; C5.3; 40 05 71</t>
  </si>
  <si>
    <t xml:space="preserve">plans_1 p.6 (G0.6, supernatant telescoping valve); plans_1 p.7 (G0.7, decant control: manual T-valve adjustments); plans_5 p.2 (C5.1, 4-inch T-valve, 4-inch supernatant drain pipe); plans_5 p.4 (C5.3, 4-inch telescoping valve see specifications; T-valve operation range 21.3 to 25.3; supports per 6/C7.2 and 7/C7.2); main spec pp.451-452 (40 05 71 ¶1.01, ¶1.02 A, ¶2.01, ¶2.02)</t>
  </si>
  <si>
    <t xml:space="preserve">T-valve = telescoping valve (Inferred by G0.6/G0.7 wording).Tag driver: Bid Item 1 (04, Inferred). C5.3 labels the valve as a 4-inch telescoping valve, so the T-valve link is now Verified-Visual. High water surface 25.3. 40 05 71: stainless tube and bail, neoprene slip seal, 12-inch handwheel with position indicator, 316 SS wall pedestal with six 5/8 x 5 in. SS wedge anchors; no testing specified.</t>
  </si>
  <si>
    <t xml:space="preserve">PROPOSED-DIGESTER-DIFFUSERS</t>
  </si>
  <si>
    <t xml:space="preserve">Aerobic digester coarse bubble diffusers, 24-in. 316 SS, open bottom with rubber inlet check valve (G0.7: 6 at 20 cfm)</t>
  </si>
  <si>
    <t xml:space="preserve">G0.7; C5.1; C5.2; C5.3</t>
  </si>
  <si>
    <t xml:space="preserve">46 51 21</t>
  </si>
  <si>
    <t xml:space="preserve">G0.7; C5.1; C5.2; C5.3; 46 51 21</t>
  </si>
  <si>
    <t xml:space="preserve">plans_1 p.7 (G0.7, coarse bubble, 20 cfm per diffuser x 6 = 120 cfm; mixing air 60 cfm); plans_5 p.2 (C5.1, 3-inch and 4-inch air into digester); plans_5 p.3 (C5.2, detail 1 coarse bubble mixer; 2-inch SS drop pipes); plans_5 p.4 (C5.3, section C); main spec p.491 (46 51 21 ¶1.01; ¶1.02 A; ¶2.01 A-B)</t>
  </si>
  <si>
    <t xml:space="preserve">Tag driver: Bid Item 1 (04, Inferred). Detail 1: 2-inch SS drop pipe and tee, 2x1 reducer at tee, 1x3/4 SS reducer, diffuser centerline 2.0 ft above floor. 46 51 21: Aquarius Technologies, SSI Aeration or equal; removable from above the water line without entering the basin; no quantity in the section; no testing specified.</t>
  </si>
  <si>
    <t xml:space="preserve">PROPOSED-DIGESTER-AIR-LINES</t>
  </si>
  <si>
    <t xml:space="preserve">Aerobic digester air supply lines, 3-inch and 4-inch</t>
  </si>
  <si>
    <t xml:space="preserve">C5.1; C5.2; C5.3; C6.3</t>
  </si>
  <si>
    <t xml:space="preserve">plans_5 p.2 (C5.1, 4-inch AIR and 3-inch AIR at digester); plans_5 p.3 (C5.2, 3-inch SS air pipe, centerlines 27.3 and 25.8; 4 wall-mount supports per 7/C7.2); plans_5 p.4 (C5.3, 4-inch air pipe IE 20.0); plans_5 p.8 (C6.3, keyed notes 2-4; 4-inch air pipe INV 20.3)</t>
  </si>
  <si>
    <t xml:space="preserve">Source (digester blower, C6.Status Inferred. Tag driver: Bid Item 1 (04, Inferred). Air lines are stainless (C5.2). Source: digester blower discharge, 4-inch 304 SS with 4-inch butterfly valve on supports per 5/C7.2 (C6.3). || [Merge] Exceptions: #94.</t>
  </si>
  <si>
    <t xml:space="preserve">PROPOSED-DIGESTED-SLUDGE-LINE</t>
  </si>
  <si>
    <t xml:space="preserve">Digested sludge line, 2-inch SCH 80 PVC, digester to digested sludge pumps</t>
  </si>
  <si>
    <t xml:space="preserve">G0.5; C5.1; C5.3; C6.2</t>
  </si>
  <si>
    <t xml:space="preserve">plans_1 p.5 (G0.5, digester to digested sludge pump); plans_5 p.2 (C5.1, 2-inch SCH 80 PVC digested sludge); plans_5 p.4 (C5.3, 2-inch SCH 80 PVC digested sludge IE 20.50; 2-inch intake IE 14.80 in 2-ft square sump); plans_5 p.7 (C6.2, 4-inch digested sludge from digester, keyed note 9)</t>
  </si>
  <si>
    <t xml:space="preserve">Status Inferred. Tag driver: Bid Item 1 (04, Inferred). This is the suction side; the 3-inch feed to the press is PROPOSED-DIGESTED-SLUDGE-FEED-TO-PRESS. Size conflict 2-inch vs 4-inch (Issue 17). Tag driver now Issue 17. || [Merge] Exceptions: #90.</t>
  </si>
  <si>
    <t xml:space="preserve">PROPOSED-WAS-PUMP-DISCHARGE-TO-DIGESTER</t>
  </si>
  <si>
    <t xml:space="preserve">WAS pump discharge to aerobic digester, 3-inch</t>
  </si>
  <si>
    <t xml:space="preserve">plans_1 p.5 (G0.5, WAS pump to aerobic digester); plans_5 p.2 (C5.1, 3-inch WAS); plans_5 p.4 (C5.3, 3-inch WAS pipe IE 19.50); plans_5 p.7 (C6.2, 2-inch WAS to digester, keyed note 4)</t>
  </si>
  <si>
    <t xml:space="preserve">Status Inferred. Tag driver: Bid Item 1 (04, Inferred). Size conflict 2-inch (C6.2) vs 3-inch (C5.1, C5.3) (Issue 17). Tag driver now Issue 17. || [Merge] Exceptions: #91.</t>
  </si>
  <si>
    <t xml:space="preserve">PROPOSED-FINAL-EFFLUENT-LINE</t>
  </si>
  <si>
    <t xml:space="preserve">Final effluent, UV chamber to existing SSMH *1288 and 12-inch outfall, 10-inch</t>
  </si>
  <si>
    <t xml:space="preserve">G0.5; G0.6; C5.2; C5.3</t>
  </si>
  <si>
    <t xml:space="preserve">plans_1 p.5 (G0.5, 10-inch final effluent to SSMH *1288, to 12-inch outfall); plans_1 p.6 (G0.6, 10-inch and 8-inch to 12-inch outfall; SSMH rim 22.89); plans_5 p.3 (C5.2, 10-inch effluent pipe IE 18.75); plans_5 p.4 (C5.3, 10-inch effluent pipe IE 18.75; 12-inch D.I. final effluent)</t>
  </si>
  <si>
    <t xml:space="preserve">New segment from the proposed UV chamber to the existing manhole (Inferred). Cross-lane: Civil &amp; Site (site piping). Tag driver: Bid Item 1 (04, Inferred). Size conflict 10-inch vs 12-inch DI (Issue 15). Tag driver now Issue 15. || [Merge] Exceptions: #92.</t>
  </si>
  <si>
    <t xml:space="preserve">S1–S2 [Aerobic Digester]</t>
  </si>
  <si>
    <t xml:space="preserve">Aerobic digester transducer level sensor(s): S1 high alarm 25.55, S2 low alarm 15.30</t>
  </si>
  <si>
    <t xml:space="preserve">C5.3</t>
  </si>
  <si>
    <t xml:space="preserve">plans_5 p.4 (C5.3, digester alarm set points table)</t>
  </si>
  <si>
    <t xml:space="preserve">Whether S1 and S2 are one device or two is not stated. Spec not numbered on C5.3. Cross-lane: Electrical &amp; Controls. Bid Item 1 per 04 default; Item 6 if specified in Division 26 (Inferred). Tag driver: Bid Item 1 (04, Inferred). || [Merge] Exceptions: #58.</t>
  </si>
  <si>
    <t xml:space="preserve">PROPOSED-ROTARY-FAN-PRESS</t>
  </si>
  <si>
    <t xml:space="preserve">Rotary fan press (rotary press model), steel, 1 unit</t>
  </si>
  <si>
    <t xml:space="preserve">G0.5; G0.6; G0.7; C6.1</t>
  </si>
  <si>
    <t xml:space="preserve">C6.1; G0.7; 46 76 26</t>
  </si>
  <si>
    <t xml:space="preserve">plans_5 p.6 (C6.1, material list item 1, Section 46 76 26); plans_1 p.6 (G0.6, PROPOSED ROTARY FAN PRESS DEWATERING EQUIPMENT); plans_1 p.7 (G0.7 rotary fan press design information); main spec pp.510-531 (46 76 26 ¶1.0 A-E; ¶1.1; ¶3.5; ¶5.1; ¶6.1)</t>
  </si>
  <si>
    <t xml:space="preserve">Design: 1 unit; 12 gpm at 2% or 20 gpm at 0.5% solids; 12-16% cake; up to 1,000 wet / 120 dry lb/hr (G0.7). Equipment Alternate C per 04 bid form description (Fournier, Prime Solutions base).Tag driver: Bid Item 1 (04, Inferred). 46 76 26: single-source plug-and-play skid, shop tested; one 36-inch channel; 1.5 HP 480 V drive; feed at 7 psi max; 120 dry lb/hr, 0.5-2.5% solids, 5-25 gpm; noise 75 dBA max at 3 ft; 1-year warranty. Testing Y is shop testing only - no field start-up or training specified (Issue 37). || [Merge] Exceptions: #63.</t>
  </si>
  <si>
    <t xml:space="preserve">PROPOSED-RFP-FLOCCULATOR</t>
  </si>
  <si>
    <t xml:space="preserve">Rotary fan press flocculator, steel, 1</t>
  </si>
  <si>
    <t xml:space="preserve">C6.1</t>
  </si>
  <si>
    <t xml:space="preserve">C6.1; 46 76 26</t>
  </si>
  <si>
    <t xml:space="preserve">plans_5 p.6 (C6.1, material list item 2, Section 46 76 26); main spec pp.510-531 (46 76 26 ¶2.1; ¶2.2.1)</t>
  </si>
  <si>
    <t xml:space="preserve">Tag driver: Bid Item 1 (04, Inferred). Model 05-300-900, 17 gal, 100 psi, 140 F; Nord SK0282 1 HP 480 V variable-speed agitator; 3-inch Victaulic connections; wash water pressure gauge 0-160 psi and pressure switch set at 60 psi; breather tied to a potable water line (Issue 38).</t>
  </si>
  <si>
    <t xml:space="preserve">PROPOSED-RFP-SLUDGE-MANIFOLD</t>
  </si>
  <si>
    <t xml:space="preserve">Rotary fan press sludge manifold and piping, 316 SS, 1</t>
  </si>
  <si>
    <t xml:space="preserve">plans_5 p.6 (C6.1, material list item 3, Section 46 76 26); main spec pp.510-531 (46 76 26 ¶2.2.1-2.2.5)</t>
  </si>
  <si>
    <t xml:space="preserve">Tag driver: Bid Item 1 (04, Inferred). Sch 10 316 SS with Victaulic joints, shop hydrostatic test at 100 psi; two 3-inch pneumatic ball valves (feed, recirculation) with Festo actuators and 24 VDC solenoids; lever channel isolating valve; 1-inch pneumatic wash valve; 1-inch SS polymer check valve (IFC SC600TSSSSM); flocculated sludge sampler.</t>
  </si>
  <si>
    <t xml:space="preserve">PROPOSED-RFP-CAKE-CHUTE</t>
  </si>
  <si>
    <t xml:space="preserve">Rotary fan press cake chute, LLDPE, 1</t>
  </si>
  <si>
    <t xml:space="preserve">plans_5 p.6 (C6.1, material list item 4, Section 46 76 26); main spec pp.510-531 (46 76 26 ¶1.4; ¶4.2.4)</t>
  </si>
  <si>
    <t xml:space="preserve">Tag driver: Bid Item 1 (04, Inferred). LLDPE with inspection door; Schneider XT218A1PCM12 cake sensor per channel.</t>
  </si>
  <si>
    <t xml:space="preserve">PROPOSED-RFP-AIR-COMPRESSOR</t>
  </si>
  <si>
    <t xml:space="preserve">Rotary fan press air compressor, material not listed, 1</t>
  </si>
  <si>
    <t xml:space="preserve">plans_5 p.6 (C6.1, material list item 6, Section 46 76 26); main spec pp.510-531 (46 76 26 ¶1.0 A; ¶4.3.6)</t>
  </si>
  <si>
    <t xml:space="preserve">Tag driver: Bid Item 1 (04, Inferred). For pneumatic valving; no compressor product requirements; air filter-regulator at the junction box to ISO 8573-1 class 3.7 (Festo MS4N-LFR). Polymer positioner needs 90 psi air (46 33 33).</t>
  </si>
  <si>
    <t xml:space="preserve">PROPOSED-RFP-CONTROL-PANEL</t>
  </si>
  <si>
    <t xml:space="preserve">Rotary fan press control panel with operator interface, 1</t>
  </si>
  <si>
    <t xml:space="preserve">plans_5 p.6 (C6.1, material list item 8, Section 46 76 26; plan: operator interface); main spec pp.510-531 (46 76 26 ¶4.1; ¶4.3.1-4.3.7; ¶4.4)</t>
  </si>
  <si>
    <t xml:space="preserve">Cross-lane: Electrical &amp; Controls (power and PLC interface).Tag driver: Bid Item 1 (04, Inferred). NEMA 12, 480 V 3-phase, CSA; Allen-Bradley CompactLogix 5370 PLC with Point I/O, PanelView Plus 7 HMI, PowerFlex 52X VFDs (press, flocculator), eWON Cosy 141 LAN modem, E-stop, AC unit if required; NEMA 4X FRP junction box on the gearbox. Runs the screw conveyors, polymer system and digested sludge pump speed (Issue 36). Tag driver now Issue 36. || [Merge] Exceptions: #63.</t>
  </si>
  <si>
    <t xml:space="preserve">PROPOSED-POLYMER-SYSTEM</t>
  </si>
  <si>
    <t xml:space="preserve">Emulsion (liquid) polymer make-up system, Fournier frame with Watson-Marlow peristaltic dosing pump; C6.1 plan labels a dry polymer mix unit</t>
  </si>
  <si>
    <t xml:space="preserve">46 33 33</t>
  </si>
  <si>
    <t xml:space="preserve">C6.1; 46 33 33; 46 76 26</t>
  </si>
  <si>
    <t xml:space="preserve">plans_5 p.6 (C6.1, material list item 5, Section 46 33 33; plan label DRY POLYMER MIX UNIT); main spec pp.481-485 (46 33 33 ¶1.01 A; ¶1.02 A; Part 2 items 2.1-7.0; ¶3.01); main spec pp.510-531 (46 76 26 ¶1.0 A, C)</t>
  </si>
  <si>
    <t xml:space="preserve">Dry vs emulsion conflict (Issue 16).Tag driver: Issue 16. 46 33 33: 0.1-0.5% solution from 40-55% active neat polymer; Koflo static mixer; Festo proportional valve needing 90 psi air; NEMA 4X junction box; controlled from the rotary press PLC and HMI; spare metering pump head kit; no testing specified. Supports emulsion over the plan label (Issue 16); internal unit and reference errors (Issue 29). 46 76 26 puts this item in the single-source press package, so Equipment Alternate C is applied (link Inferred; 04 maps Alternate C to 46 76 26 by title). || [Merge] Exceptions: #64.</t>
  </si>
  <si>
    <t xml:space="preserve">PROPOSED-SCREW-CONVEYOR</t>
  </si>
  <si>
    <t xml:space="preserve">Screw conveyor system, stainless steel, dewatered cake to mobile dumpster/bin (system row; components below)</t>
  </si>
  <si>
    <t xml:space="preserve">46 12 13 (as printed on C6.1; not in the spec); 41 12 13</t>
  </si>
  <si>
    <t xml:space="preserve">C6.1; 41 12 13; 46 76 26</t>
  </si>
  <si>
    <t xml:space="preserve">plans_5 p.6 (C6.1, material list item 7, Section 46 12 13; elevation: 28 degrees, 147 15/16 in. long, discharge 90 in.); main spec pp.453-461 (41 12 13 ¶1.1; ¶1.3; ¶3.02 A; schedule pp.460-461); main spec pp.510-531 (46 76 26 ¶1.0 A, C)</t>
  </si>
  <si>
    <t xml:space="preserve">Section cited does not exist; 41 12 13 Screw Conveyor System by title (Issue 14). Mobile dumpster for sludge cake collection shown; supplier not stated. Tag driver: Issue 14. 41 12 13 confirms the screw conveyor section by title (Issue 14 reading). Spec schedule has two conveyors vs one on C6.1 (Issue 22). Controlled by the rotary press PLC and operator interface (¶1.13 B). Tag driver: Issues 14, 22. 46 76 26 puts this item in the single-source press package, so Equipment Alternate C is applied (link Inferred; 04 maps Alternate C to 46 76 26 by title).</t>
  </si>
  <si>
    <t xml:space="preserve">PROPOSED-DIGESTED-SLUDGE-FEED-TO-PRESS</t>
  </si>
  <si>
    <t xml:space="preserve">Digested sludge feed to rotary fan press, 3-inch</t>
  </si>
  <si>
    <t xml:space="preserve">G0.5; C6.1; C6.2</t>
  </si>
  <si>
    <t xml:space="preserve">plans_1 p.5 (G0.5, digested sludge pump through FM to rotary fan press); plans_5 p.6 (C6.1, 3-inch digested sludge; 3-inch digester sludge); plans_5 p.7 (C6.2, digested sludge to rotary fan press; 2x3 expansion)</t>
  </si>
  <si>
    <t xml:space="preserve">Status Inferred. Pump-side routing on C6.Tag driver: Bid Item 1 (04, Inferred). || [Merge] Exceptions: #106.</t>
  </si>
  <si>
    <t xml:space="preserve">PROPOSED-2W-SUPPLY-TO-PRESS</t>
  </si>
  <si>
    <t xml:space="preserve">2W water supply to rotary fan press, 2-inch</t>
  </si>
  <si>
    <t xml:space="preserve">43 22 10; 46 76 26</t>
  </si>
  <si>
    <t xml:space="preserve">C6.1; 43 22 10; 46 76 26</t>
  </si>
  <si>
    <t xml:space="preserve">plans_5 p.6 (C6.1, 2-inch 2W water; 2W water supply pipe); main spec pp.472-475 (43 22 10 ¶2.04; ¶2.05); main spec pp.510-531 (46 76 26 p.514 wash system demand)</t>
  </si>
  <si>
    <t xml:space="preserve">Status Inferred. Tag driver: Bid Item 1 (04, Inferred). Exposed plant water pipe: 1.25-inch polyisocyanurate insulation with aluminum jacket (¶2.04); label and paint per ¶2.05, stainless excepted (Issue 27). Press wash demand limited to 750 gal per 2.5 hours of run time because the 2W (air gap) system has limited capacity (46 76 26).</t>
  </si>
  <si>
    <t xml:space="preserve">PROPOSED-WAS-PUMP</t>
  </si>
  <si>
    <t xml:space="preserve">WAS pump, packaged sludge pump, 3 HP</t>
  </si>
  <si>
    <t xml:space="preserve">Sludge Pump and Valving Area</t>
  </si>
  <si>
    <t xml:space="preserve">G0.5; G0.6; G0.7; C6.2</t>
  </si>
  <si>
    <t xml:space="preserve">22 13 36</t>
  </si>
  <si>
    <t xml:space="preserve">Add. 4 p.2, 22 13 36 ¶2.01 A (pumps powered from VFDs in the MCC, controlled by the PLC in the Main Control Panel; no local speed dial) — Add. 4 governs</t>
  </si>
  <si>
    <t xml:space="preserve">C6.2; G0.7; 22 13 36</t>
  </si>
  <si>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t>
  </si>
  <si>
    <t xml:space="preserve">Role: duty WAS.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 [Merge] Exceptions: #59.</t>
  </si>
  <si>
    <t xml:space="preserve">PROPOSED-SWING-SLUDGE-PUMP</t>
  </si>
  <si>
    <t xml:space="preserve">Swing pump, packaged sludge pump, 3 HP, standby for either the WAS or digested sludge pump</t>
  </si>
  <si>
    <t xml:space="preserve">Role: swing standby.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 [Merge] Exceptions: #60.</t>
  </si>
  <si>
    <t xml:space="preserve">PROPOSED-DIGESTED-SLUDGE-PUMP</t>
  </si>
  <si>
    <t xml:space="preserve">Digested sludge pump, packaged sludge pump, 3 HP</t>
  </si>
  <si>
    <t xml:space="preserve">22 13 36; 46 76 26</t>
  </si>
  <si>
    <t xml:space="preserve">C6.2; G0.7; 22 13 36; 46 76 26</t>
  </si>
  <si>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 main spec pp.510-531 (46 76 26 ¶1.7; ¶4.1)</t>
  </si>
  <si>
    <t xml:space="preserve">Role: duty digested sludge.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46 76 26 has the press control system set this pump's speed to hold flocculator inlet pressure (Issue 36). Tag driver now Issue 36. || [Merge] Exceptions: #61.</t>
  </si>
  <si>
    <t xml:space="preserve">PROPOSED-WAS-SOLENOID-VALVES</t>
  </si>
  <si>
    <t xml:space="preserve">WAS inlet solenoid valves (3, on WAS #1-#3), ASCO Redhat 8221G013, 2-inch, normally closed, 120 V coil, NEMA 4X</t>
  </si>
  <si>
    <t xml:space="preserve">C6.2</t>
  </si>
  <si>
    <t xml:space="preserve">plans_5 p.7 (C6.2, keyed note 1)</t>
  </si>
  <si>
    <t xml:space="preserve">Max water differential 150 psi; orifice 1.75 in.; brass body; stainless core tube, plugnut, springs and piston. Cross-lane: Electrical &amp; Controls (120 V coil, control). Tag driver: Bid Item 1 (04, Inferred). || [Merge] Exceptions: #12, #107, #172.</t>
  </si>
  <si>
    <t xml:space="preserve">PROPOSED-SLUDGE-MANIFOLD-PIPING</t>
  </si>
  <si>
    <t xml:space="preserve">Sludge pump and valving area manifold: 2-inch SCH 80 PVC with 2-inch PVC ball valves and unions; 4-inch SCH 80 PVC digested sludge header; 4x2 reducer; 2x3 expansion to press</t>
  </si>
  <si>
    <t xml:space="preserve">45 05 00</t>
  </si>
  <si>
    <t xml:space="preserve">C6.2; 45 05 00</t>
  </si>
  <si>
    <t xml:space="preserve">plans_5 p.7 (C6.2, keyed notes 3-7, 9); main spec pp.476-480 (45 05 00 ¶2.09 A)</t>
  </si>
  <si>
    <t xml:space="preserve">Supports per 5/C7.2; wall annulus filled watertight with Dow Corning 732 (note 6); coordinate alignment with Owner, field configure (general note). Status Inferred. Tag driver: Bid Item 1 (04, Inferred). C6.2 PVC ball valves vs 45 05 00 stainless ball valves for exposed non-potable service (Issue 31). Tag driver now Issue 31.</t>
  </si>
  <si>
    <t xml:space="preserve">ESWD WWTP – Aerobic Digester Blower</t>
  </si>
  <si>
    <t xml:space="preserve">Aerobic digester blower (1), Kaeser Com-paK BB 52 C, 5 HP 460 V, VFD, 120 scfm at 4.0 psig, on 3.25 x 2.25 ft pad</t>
  </si>
  <si>
    <t xml:space="preserve">Existing Metal Building adjacent to Train #2 (Digester Blower)</t>
  </si>
  <si>
    <t xml:space="preserve">C6.3; C6.4</t>
  </si>
  <si>
    <t xml:space="preserve">43 11 00</t>
  </si>
  <si>
    <t xml:space="preserve">Add. 4 p.3 and p.6 (C6.4 reissue): blower pad 4 ft from wall; building separation 9 in. max — Add. 4 governs</t>
  </si>
  <si>
    <t xml:space="preserve">C6.3; C6.4; 43 11 00</t>
  </si>
  <si>
    <t xml:space="preserve">plans_5 p.8 (C6.3, keyed notes 1-4; 2.50 and 3.00 ft dimensions; 2-inch separation between buildings); plans_6 p.1 (C6.4, blower shown north of the Blower Building wall); addendum-no4-eswd.pdf p.6 (C6.4 reissue, 4.0 ft dimension and note); main spec pp.462-471 (43 11 00 ¶1.01 A-B; ¶2.01 A, L, O, P)</t>
  </si>
  <si>
    <t xml:space="preserve">Pad per 3/C7.4 (Civil &amp; Site). C6.3 separation and pad dimensions superseded by Add. 4 (Issue 19).Tag driver: Bid Item 1 (04, Inferred). 43 11 00 places it in the existing metal building just north of the proposed blower building and adjacent to/just west of Train #2 (matches Add. 4 p.6 "Train #2 Building"). Relief 8.0 psig; matches G0.7 digester air 120 cfm. VFD in the MCC - Bid Item 6 share Inferred. || [Merge] Exceptions: #19, #173.</t>
  </si>
  <si>
    <t xml:space="preserve">ESWD WWTP – Biological Treatment System Blowers (Trains 1 – 3)</t>
  </si>
  <si>
    <t xml:space="preserve">Biological treatment blowers (4), Kaeser Com-paK DB 166 C, 20 HP 460 V, VFD, 315 scfm at 8.9 psig each</t>
  </si>
  <si>
    <t xml:space="preserve">Blower Building</t>
  </si>
  <si>
    <t xml:space="preserve">C6.4; C6.5</t>
  </si>
  <si>
    <t xml:space="preserve">Add. 4 p.6 (C6.4 reissue; blowers drawn unchanged) — Add. 4 governs</t>
  </si>
  <si>
    <t xml:space="preserve">C6.4; C6.5; 43 11 00</t>
  </si>
  <si>
    <t xml:space="preserve">plans_6 p.1 (C6.4, four blowers on common pad); plans_6 p.2 (C6.5, keyed note 5 new blower per specs, x4; FF 23.30); main spec pp.462-471 (43 11 00 ¶1.01; ¶1.02 A; ¶2.01 A, L, N, O, P, Q)</t>
  </si>
  <si>
    <t xml:space="preserve">Air demand 316 scfm at 9.2 psig (G0.7) / 315 scfm (46 53 00) - Issue 6. Tag driver: Bid Item 1 (04, Inferred). Tag per 43 11 00 ¶O "Tag Numbers". Kaeser, Aerzen or equal; 72 dB(A) enclosure; relief 12.0 psig; factory slip test and 30-min run; 15-min package run; 60-month blower warranty. VFDs in the MCC (¶Q) - Bid Item 6 share Inferred (04 Item 6 basis). Air lines to Trains 1 and 2 are blind-flanged on C6.5 though the tag names Trains 1-3. Design pressure Issue 24. || [Merge] Exceptions: #18.</t>
  </si>
  <si>
    <t xml:space="preserve">PROPOSED-AERATION-AIR-HEADER</t>
  </si>
  <si>
    <t xml:space="preserve">Blower Building aeration air piping: 3-inch SS header (IE 24.26) with 3-inch butterfly valves; 6-inch SS outlets with 6-inch butterfly valves</t>
  </si>
  <si>
    <t xml:space="preserve">33 31 00 (cited on C6.4)</t>
  </si>
  <si>
    <t xml:space="preserve">plans_6 p.1 (C6.4, keyed notes 1-2, see Section 33 31 00); plans_6 p.2 (C6.5, keyed notes 1-2; 3-inch IE 24.26; 6-inch IE 25.92)</t>
  </si>
  <si>
    <t xml:space="preserve">Cross-lane: Civil &amp; Site (33 31 00 aeration piping). Status Inferred. Tag driver: Bid Item 1 (04, Inferred). || [Merge] Exceptions: #231.</t>
  </si>
  <si>
    <t xml:space="preserve">PROPOSED-AIR-TO-TRAIN-3</t>
  </si>
  <si>
    <t xml:space="preserve">6-inch SS aeration air line, Blower Building to Train 3 (buried, IE 15.90 at drop)</t>
  </si>
  <si>
    <t xml:space="preserve">Blower Building; Train 3</t>
  </si>
  <si>
    <t xml:space="preserve">C6.4; C6.5; C3.3; C3.5</t>
  </si>
  <si>
    <t xml:space="preserve">33 31 00 (cited on C6.4); 46 53 00</t>
  </si>
  <si>
    <t xml:space="preserve">C6.5; C6.4; C3.3; C3.5</t>
  </si>
  <si>
    <t xml:space="preserve">plans_6 p.2 (C6.5, 6-in air piping to Train #3, IE 15.90); plans_6 p.1 (C6.4, keyed note 2 exposed and buried aeration piping); plans_4Part-4 p.1 (C3.3 6-inch air inlet); plans_4Part-6 p.1 (C3.5 6-inch air inlet flanged connection); main spec p.498 (46 53 00 ¶2.01 E.2 air header low-pressure air test)</t>
  </si>
  <si>
    <t xml:space="preserve">Testing Y: 46 53 00 ¶2.01 E.2 low-pressure air test (15 psi, 60 min) before full backfill. Cross-lane: Civil &amp; Site (33 31 00 ¶2.01 D). Status Inferred. Tag driver: Bid Item 1 (04, Inferred). || [Merge] Exceptions: #93.</t>
  </si>
  <si>
    <t xml:space="preserve">PROPOSED-AIR-TO-TRAIN-1-STUB</t>
  </si>
  <si>
    <t xml:space="preserve">6-inch air piping to Train #1, terminated with blind flange inside existing metal building</t>
  </si>
  <si>
    <t xml:space="preserve">C6.5</t>
  </si>
  <si>
    <t xml:space="preserve">plans_6 p.2 (C6.5, keyed note 3)</t>
  </si>
  <si>
    <t xml:space="preserve">Not connected to Train #1 in this work (blind flange). Status Inferred. Tag driver: Bid Item 1 (04, Inferred). || [Merge] Exceptions: #108.</t>
  </si>
  <si>
    <t xml:space="preserve">PROPOSED-AIR-TO-TRAIN-2-STUB</t>
  </si>
  <si>
    <t xml:space="preserve">6-inch air piping to Train #2, terminated with blind flange inside existing metal building</t>
  </si>
  <si>
    <t xml:space="preserve">plans_6 p.2 (C6.5, keyed note 4)</t>
  </si>
  <si>
    <t xml:space="preserve">Not connected to Train #2 in this work (blind flange). Status Inferred. Tag driver: Bid Item 1 (04, Inferred). || [Merge] Exceptions: #109.</t>
  </si>
  <si>
    <t xml:space="preserve">PROPOSED-2W-BLADDER-TANK-SUPPLY</t>
  </si>
  <si>
    <t xml:space="preserve">1-inch 2W supply piping to the bladder tanks, routed below existing concrete floor, slab penetration at tank connection</t>
  </si>
  <si>
    <t xml:space="preserve">C6.4</t>
  </si>
  <si>
    <t xml:space="preserve">Add. 4 p.3 and p.6 (C6.4 reissue) — Add. 4 governs</t>
  </si>
  <si>
    <t xml:space="preserve">C6.4; 43 22 10</t>
  </si>
  <si>
    <t xml:space="preserve">plans_6 p.1 (C6.4, 1-inch 2W pipe along south wall); addendum-no4-eswd.pdf p.6 (C6.4 reissue, red notes: move tanks and 1-inch supply piping to Train #2 Building; route below existing concrete floor; penetrate slab at bladder tank connection); main spec pp.472-475 (43 22 10 ¶2.04; ¶2.05)</t>
  </si>
  <si>
    <t xml:space="preserve">Base routing along the Blower Building south wall is clouded and replaced by Add. 4. Tag driver: Bid Item 1 (04, Inferred). Exposed plant water pipe: 1.25-inch polyisocyanurate insulation with aluminum jacket (¶2.04); label and paint per ¶2.05, stainless excepted (Issue 27). || [Merge] Exceptions: #51.</t>
  </si>
  <si>
    <t xml:space="preserve">PROPOSED-BLOWER-BUILDING | PROPOSED-Blower-Building</t>
  </si>
  <si>
    <t xml:space="preserve">Blower Building, prefabricated metal building housing the biological treatment blowers | Blower Building — pre-engineered metal building, one room (Blower Room 101) | Blower Building</t>
  </si>
  <si>
    <t xml:space="preserve">1 | 1 (Inferred per 04)</t>
  </si>
  <si>
    <t xml:space="preserve">Process &amp; Mechanical; Structural &amp; Building; Contract &amp; General</t>
  </si>
  <si>
    <t xml:space="preserve">Architectural</t>
  </si>
  <si>
    <t xml:space="preserve">C6.4; C6.5; A1.1; A1.2; A1.3; S1.1; S2.3</t>
  </si>
  <si>
    <t xml:space="preserve">13 12 20; 07 20 00; 09 25 00; 09 90 00; 00 31 13; 00 73 00; 01 45 00; 01 70 00</t>
  </si>
  <si>
    <t xml:space="preserve">Add. 4 p.1 Clarification 4 (footprint 9.25 x 44.00 ft); Add. 4 p.3 and p.6 (separation 9 in. max; 10-ft setbacks) — Add. 4 governs | Add. 4 p.1, Clarifications 3 and 4; p.2, 09 90 00 ¶2.01 I (Service Condition J); p.3, Drawings A1.1/A1.2 and S2.3; p.4 (A1.1); p.5 (A1.2); p.9 (S2.3) — Add. 4 governs</t>
  </si>
  <si>
    <t xml:space="preserve">C6.4; C6.5; A1.1; A1.2; A1.3; S1.1; S2.3; 13 12 20; 07 20 00; 09 25 00; 09 90 00; 00 31 13; 00 73 00; 01 45 00; 01 70 00; CQA Plan</t>
  </si>
  <si>
    <t xml:space="preserve">[Process &amp; Mechanical] plans_6 p.1 (C6.4); addendum-no4-eswd.pdf p.6 (C6.4 reissue); Add. 4 p.1 (Clarifications 3-4); Add. 4 p.3 (A1.1, A1.2, C6.4 item) || [Structural &amp; Building] plans_7 pp.5-8; plans_8 p.3; main spec pp.209-210, 225-235, 246-251; Add. 4 pp.1-5, 9 || [Contract &amp; General] main spec 00 31 13 ¶A.6, ¶A.9 p.21; 00 73 00 SC 19 p.92; 01 45 00 ¶1.05.B.2.a p.137, p.141; 01 70 00 ¶1.03.A.7 p.152; QA plan §2.0 p.6</t>
  </si>
  <si>
    <t xml:space="preserve">[Process &amp; Mechanical] Cross-lane: Structural &amp; Building owns the building (A1.1, A1.2, S2.3; 13 12 20). New slab extends to the existing Train 2 slab (Add. 4 p.3). Recorded here only because C6.4-C6.5 show it. Tag driver: Bid Item 1 (04, Inferred). || [Structural &amp; Building] Footprint 44.00 ft x 9.25 ft and min haunch clearance 10.25 ft per Add. 4 (base A1.1/A1.2 42.00 x 9.50 and 9.00; 13 12 20 ¶2.05 A.1 "42 ft width, 9.75 ft length", 9 ft-0 in). Garco or equal; 24 ga standing-seam roof, 26 ga R/A wall panels, factory finish inside and out (Add. 4 Clar. 3). Lateral: ordinary concentric braced and ordinary moment frames, 6 columns (S2.3). Submittals: WA SE-sealed design, anchor bolt embedment design, erection drawings (13 12 20 ¶1.04); deferred submittal (S1.1). No testing article. Interior GWB (09 25 00) painted per Service Condition J (Add. 4). Open: interior insulation assembly vs 07 20 00 liner, missing "Paints and Coatings" reference, floor sealer (Issues). || [Contract &amp; General] Construction starts April 2023; new structure complete July 2023 (Verified). Add. 4 p.1 Clarification 4 (footprint) is mapped to Electrical &amp; Controls / Structural &amp; Building in 03 — pointer only, not crawled here. Bid Item 1 and discipline Inferred. SC 19 lists the blower building in Substantial Completion (Verified). Testing Y: Owner-paid, Contractor-coordinated special inspections for buildings — concrete, structural steel and bolting, air barrier testing per WA Energy Code Section 402 (01 45 00, Verified). Submittal Y: 2015 WSEC compliance documentation per C103.6.3 before Substantial Completion (01 70 00 ¶1.03.A.7, Verified; edition — Issues 1.20, Unresolved). Applying both to this building is Inferred (only building named in this lane's stack). QA plan §2.0 lists a 'new blower building' (Verified). The QA plan is not a Contract Document (§1.3 p.5). Cross-lane: Structural &amp; Building || [Merge] Combined by rule (same PROPOSED name in the same Area/Building) from Process_and_Mechanical_Ledger.csv row 92; Structural_and_Building_Ledger.csv row 1; Contract_and_General_Ledger.csv row 8. Tag level = weakest of the parts (Inferred, Unresolved, Unresolved). Submittal: N (Process &amp; Mechanical), Y (Structural &amp; Building), Y (Contract &amp; General) — Y kept (each lane's N covers only its own stack); Testing/Startup: N (Process &amp; Mechanical), N (Structural &amp; Building), Y (Contract &amp; General) — Y kept (each lane's N covers only its own stack). || [Merge] Exceptions: #170, #252.</t>
  </si>
  <si>
    <t xml:space="preserve">PROPOSED-IPS-MOTOR-SAVER-RELAYS</t>
  </si>
  <si>
    <t xml:space="preserve">Flygt MiniCAS-120 motor saver relays for the influent pumps, supplied by Contractor to the Control Systems Integrator</t>
  </si>
  <si>
    <t xml:space="preserve">main spec pp.255-262 (22 13 29 ¶2.02 C.9-C.10; ¶3.01 C)</t>
  </si>
  <si>
    <t xml:space="preserve">Quantity not stated (pumps are pre-wired for the relay; moisture sensors monitored by it). Integrator installs in the pump station control panel. Cross-lane: Electrical &amp; Controls. Tag driver: Bid Item 1 (04, Inferred). || [Merge] Exceptions: #42.</t>
  </si>
  <si>
    <t xml:space="preserve">PROPOSED-SLUDGE-PUMP-LOCAL-PANELS</t>
  </si>
  <si>
    <t xml:space="preserve">Sludge pump local electrical control panels (3), by pump manufacturer</t>
  </si>
  <si>
    <t xml:space="preserve">Add. 4 p.2, 22 13 36 ¶2.01 A (local speed dial not required; VFDs in MCC) — Add. 4 governs</t>
  </si>
  <si>
    <t xml:space="preserve">main spec pp.263-264 (22 13 36 ¶2.01 A: electrical control panel for each pump); Add. 4 p.2</t>
  </si>
  <si>
    <t xml:space="preserve">Add. 4 removes the local speed dial and moves the VFDs to the MCC but does not delete the per-pump control panel. Cross-lane: Electrical &amp; Controls. Tag driver: Bid Item 1 (04, Inferred). || [Merge] Exceptions: #62.</t>
  </si>
  <si>
    <t xml:space="preserve">PROPOSED-YARD-HYDRANTS</t>
  </si>
  <si>
    <t xml:space="preserve">1-inch frost-proof yard hydrants with vacuum breakers (quantity not stated)</t>
  </si>
  <si>
    <t xml:space="preserve">15 40 00; 43 22 10</t>
  </si>
  <si>
    <t xml:space="preserve">main spec pp.253-254 (15 40 00 ¶1.02 A; ¶2.01 D); main spec pp.472-475 (43 22 10 ¶1.01 B.6; ¶2.05 A)</t>
  </si>
  <si>
    <t xml:space="preserve">Woodford Iowa Y2 or Merrill CV-1000 or equal, 4-ft bury, 3/4-inch hose thread, Smith Cooper 0190167II vacuum breaker or equal. Locations and count not on P&amp;M sheets. Cross-lane: Civil &amp; Site. Tag driver: Bid Item 1 (04, Inferred). 43 22 10 lists yard hydrants as a 2W component and requires them painted. || [Merge] Exceptions: #52.</t>
  </si>
  <si>
    <t xml:space="preserve">PROPOSED-POST-HYDRANTS</t>
  </si>
  <si>
    <t xml:space="preserve">2-inch post hydrants with 2-inch atmospheric vacuum breakers (quantity not stated)</t>
  </si>
  <si>
    <t xml:space="preserve">15 40 00</t>
  </si>
  <si>
    <t xml:space="preserve">main spec pp.253-254 (15 40 00 ¶1.02 A; ¶2.01 E)</t>
  </si>
  <si>
    <t xml:space="preserve">American AVK Dry Barrel 67XX or Eclipse No. 2A or equal, 4-ft bury; Danfoss AVB 125 psi ASSE 1001. Locations and count not on P&amp;M sheets. Cross-lane: Civil &amp; Site. Tag driver: Bid Item 1 (04, Inferred). || [Merge] Exceptions: #53.</t>
  </si>
  <si>
    <t xml:space="preserve">PROPOSED-EXTERIOR-SANITARY-DRAINS</t>
  </si>
  <si>
    <t xml:space="preserve">Exterior sanitary drain piping, ABS DWV, with unions and cleanouts</t>
  </si>
  <si>
    <t xml:space="preserve">main spec pp.253-254 (15 40 00 ¶1.01 A; ¶2.01 A-C; ¶3.01)</t>
  </si>
  <si>
    <t xml:space="preserve">Exterior purposes only; slope 1/4 in. per ft. Routes not on P&amp;M sheets. Cross-lane: Civil &amp; Site. Tag driver: Bid Item 1 (04, Inferred). || [Merge] Exceptions: #110.</t>
  </si>
  <si>
    <t xml:space="preserve">PROPOSED-BLOWER-BLDG-WALL-FANS</t>
  </si>
  <si>
    <t xml:space="preserve">Blower Building wall fans (2), Acme FQ18G6, 3,300 CFM, 1/2 HP, 120 V, each on its own Schaffer TH109 thermostat, with EBE445 gravity combination louver</t>
  </si>
  <si>
    <t xml:space="preserve">23 34 00</t>
  </si>
  <si>
    <t xml:space="preserve">main spec pp.265-267 (23 34 00 ¶1.01 A-B; ¶2.1 A-B; ¶3.1 D)</t>
  </si>
  <si>
    <t xml:space="preserve">No submittal or testing paragraph in 23 34 00. 2-year minimum manufacturer warranty; thermostats in NEMA 4X, 4 ft above floor. Add. 4 p.3 moves "Exhaust Fans" with the Blower Building layout on A1.1/A1.2 (Structural &amp; Building stack); these wall fans taken as those exhaust fans (Inferred). Cross-lane: Electrical &amp; Controls (E9.3) and Structural &amp; Building. Tag driver: Bid Item 1 (04, Inferred). || [Merge] Exceptions: #20.</t>
  </si>
  <si>
    <t xml:space="preserve">PROPOSED-BLOWER-BLDG-MOTORIZED-LOUVER</t>
  </si>
  <si>
    <t xml:space="preserve">Blower Building motorized louvered vent, 36 x 84 in., Pottoroff EXD-645 with AF120 120 V spring-return actuator</t>
  </si>
  <si>
    <t xml:space="preserve">main spec pp.265-267 (23 34 00 ¶1.01 A; ¶2.2 A)</t>
  </si>
  <si>
    <t xml:space="preserve">Opens when either wall fan is on; stays open until both are off; controlled from the fan thermostat auxiliary contacts. Manufacturer spelled "Pottoroff" as printed. Add. 4 p.3 moves "Exhaust Fans" with the Blower Building layout on A1.1/A1.2 (Structural &amp; Building stack); these wall fans taken as those exhaust fans (Inferred). Cross-lane: Electrical &amp; Controls (E9.3) and Structural &amp; Building. Tag driver: Bid Item 1 (04, Inferred). || [Merge] Exceptions: #21.</t>
  </si>
  <si>
    <t xml:space="preserve">PROPOSED-BLOWER-BLDG-MANUAL-LOUVER</t>
  </si>
  <si>
    <t xml:space="preserve">Blower Building manual louvered vent, 24 x 24 in., Pottoroff EXD-645</t>
  </si>
  <si>
    <t xml:space="preserve">main spec pp.265-267 (23 34 00 ¶1.01 A; ¶2.2 B)</t>
  </si>
  <si>
    <t xml:space="preserve">Add. 4 p.3 moves "Exhaust Fans" with the Blower Building layout on A1.1/A1.2 (Structural &amp; Building stack); these wall fans taken as those exhaust fans (Inferred). Cross-lane: Electrical &amp; Controls (E9.3) and Structural &amp; Building. Tag driver: Bid Item 1 (04, Inferred). || [Merge] Exceptions: #22.</t>
  </si>
  <si>
    <t xml:space="preserve">PROPOSED-EXISTING-BLDG-WALL-FANS</t>
  </si>
  <si>
    <t xml:space="preserve">Existing Dewatering/Train 1&amp;2 Building wall fans (3), Acme FQ18G6, 3,300 CFM, each on a manual on/off switch, with gravity combination louvers</t>
  </si>
  <si>
    <t xml:space="preserve">Existing Dewatering/Train 1&amp;2 Building Area</t>
  </si>
  <si>
    <t xml:space="preserve">main spec pp.265-267 (23 34 00 ¶1.01 A-B; ¶2.1)</t>
  </si>
  <si>
    <t xml:space="preserve">Control conflict: manual switches (¶1.01 A) vs thermostat control (¶2.1 A.4) - Issue 25. Not shown on P&amp;M sheets. Cross-lane: Electrical &amp; Controls. Tag driver: Issue 25. || [Merge] Exceptions: #26.</t>
  </si>
  <si>
    <t xml:space="preserve">PROPOSED-EXISTING-BLDG-LOUVERS</t>
  </si>
  <si>
    <t xml:space="preserve">Existing Dewatering/Train 1&amp;2 Building manual louvered vents (2), 36 x 84 in., Pottoroff EXD-645</t>
  </si>
  <si>
    <t xml:space="preserve">main spec pp.265-267 (23 34 00 ¶1.01 A; ¶2.3 A)</t>
  </si>
  <si>
    <t xml:space="preserve">Not shown on P&amp;M sheets. Tag driver: Bid Item 1 (04, Inferred). || [Merge] Exceptions: #27.</t>
  </si>
  <si>
    <t xml:space="preserve">Receiving Conveyor</t>
  </si>
  <si>
    <t xml:space="preserve">Receiving conveyor, horizontal shaftless, 9-in. flight, 6 ft 9 in., 304 SS U-trough, two inlets from rotary press cake chutes, 1 HP</t>
  </si>
  <si>
    <t xml:space="preserve">41 12 13</t>
  </si>
  <si>
    <t xml:space="preserve">41 12 13; 46 76 26</t>
  </si>
  <si>
    <t xml:space="preserve">main spec pp.453-461 (41 12 13 Receiving Conveyor schedule p.460; ¶1.3; ¶1.8-1.13; ¶3.02 A); main spec pp.510-531 (46 76 26 ¶1.0 A, C)</t>
  </si>
  <si>
    <t xml:space="preserve">Tag is the schedule "Identifier". 0.5 wet ton/hr; Nord SK2282 SCP gear motor; UHMW liner; 2-inch drain; Siemens Sitrans WM100 zero-speed switch to PLC, interlocked with MCC starter. Not drawn as a separate unit on C6.1 (Issue 22). Tag driver: Issue 22. 46 76 26 puts this item in the single-source press package, so Equipment Alternate C is applied (link Inferred; 04 maps Alternate C to 46 76 26 by title). || [Merge] Exceptions: #111.</t>
  </si>
  <si>
    <t xml:space="preserve">Inclined Conveyor</t>
  </si>
  <si>
    <t xml:space="preserve">Inclined conveyor, shafted, 9-in. flight at 5-in. pitch, 17 ft 4 in. at 35 degrees, 304 SS tubular trough, outlet to bin, 5 HP</t>
  </si>
  <si>
    <t xml:space="preserve">main spec pp.453-461 (41 12 13 Inclined Conveyor schedule p.461; ¶1.3; ¶1.8-1.13; ¶3.02 A); main spec pp.510-531 (46 76 26 ¶1.0 A, C)</t>
  </si>
  <si>
    <t xml:space="preserve">Tag is the schedule "Identifier". 0.5 wet ton/hr; Nord SK2282 SCP gear motor; UHMW liner; 2-inch drain; Siemens Sitrans WM100 zero-speed switch to PLC, interlocked with MCC starter. Not drawn as a separate unit on C6.1 (Issue 22). Tag driver: Issue 22. 46 76 26 puts this item in the single-source press package, so Equipment Alternate C is applied (link Inferred; 04 maps Alternate C to 46 76 26 by title). || [Merge] Exceptions: #112.</t>
  </si>
  <si>
    <t xml:space="preserve">PROPOSED-2W-AIR-GAP-ENCLOSURE</t>
  </si>
  <si>
    <t xml:space="preserve">2W air gap system in a fiberglass enclosure ("2W (Air Gap) Water Hot Box")</t>
  </si>
  <si>
    <t xml:space="preserve">Site (on C1.3 per Add. 4 p.3)</t>
  </si>
  <si>
    <t xml:space="preserve">43 22 10; C4.2</t>
  </si>
  <si>
    <t xml:space="preserve">main spec pp.472-475 (43 22 10 ¶1.01 B.4); Add. 4 p.3 (C1.3 item: 2W (Air Gap) Water Hot Box orientation adjusted for vehicle traffic); plans_4Part-8 p.1 (C4.2, 2W water from air gap, see C4.3)</t>
  </si>
  <si>
    <t xml:space="preserve">Hot box taken as this air gap enclosure (Inferred by name). Located on C1.3 (Civil &amp; Site stack; Add. 4 p.7 reissue), not read here; the Add. 4 C1.3 item is mapped to Civil &amp; Site in 03, so it is noted here, not applied. Issue 12. Cross-lane: Civil &amp; Site. Tag driver: Bid Item 1 (04, Inferred). || [Merge] Exceptions: #17.</t>
  </si>
  <si>
    <t xml:space="preserve">PROPOSED-EYE-WASH-STATIONS</t>
  </si>
  <si>
    <t xml:space="preserve">Wall-mount eye wash stations (quantity and locations not stated)</t>
  </si>
  <si>
    <t xml:space="preserve">main spec pp.472-475 (43 22 10 ¶1.01 B.7)</t>
  </si>
  <si>
    <t xml:space="preserve">No product requirements in 43 22 10 Part 2; not shown on P&amp;M sheets. Tag driver: Bid Item 1 (04, Inferred). || [Merge] Exceptions: #113, #180.</t>
  </si>
  <si>
    <t xml:space="preserve">PROPOSED-IPS-CHECK-VALVES</t>
  </si>
  <si>
    <t xml:space="preserve">Influent Pump Station discharge check valves, 4-inch and 6-inch FxF, swing check with external lever, spring and limit switch (MH 259-02ALS)</t>
  </si>
  <si>
    <t xml:space="preserve">C4.1; 45 05 00</t>
  </si>
  <si>
    <t xml:space="preserve">plans_4Part-7 p.1 (C4.1 keyed notes 5, 38); main spec pp.476-480 (45 05 00 ¶1.02 A; ¶2.06 A; ¶3.02 A)</t>
  </si>
  <si>
    <t xml:space="preserve">Count not stated (one per pump discharge implied by the layout, Inferred). Limit switch wiring - Cross-lane: Electrical &amp; Controls. Tested with the adjacent pipeline. Tag driver: Bid Item 1 (04, Inferred).</t>
  </si>
  <si>
    <t xml:space="preserve">PROPOSED-IPS-GATE-VALVES</t>
  </si>
  <si>
    <t xml:space="preserve">Influent Pump Station gate valves: 4-inch and 6-inch FxF in the valve vaults; 4-inch and 6-inch buried gate valves FLxMJ with valve boxes</t>
  </si>
  <si>
    <t xml:space="preserve">plans_4Part-7 p.1 (C4.1 keyed notes 6, 16, 39, 45, 55); main spec pp.476-480 (45 05 00 ¶2.02 B; ¶2.03; ¶2.04; ¶3.02 A)</t>
  </si>
  <si>
    <t xml:space="preserve">Kennedy resilient-seated NRS (AWWA C509/C515) or equal; buried operating nuts 18-24 in. below grade in valve boxes. Valve IDs per the valve schedule (not in P&amp;M stack). Tag driver: Bid Item 1 (04, Inferred).</t>
  </si>
  <si>
    <t xml:space="preserve">PROPOSED-AIR-BUTTERFLY-VALVES</t>
  </si>
  <si>
    <t xml:space="preserve">Aeration air butterfly valves: 3-inch and 6-inch at the biological blowers, 4-inch at the digester blower; Bray Series 31 lug or Dezurik or equal</t>
  </si>
  <si>
    <t xml:space="preserve">Blower Building; Digester Blower</t>
  </si>
  <si>
    <t xml:space="preserve">C6.3; C6.5</t>
  </si>
  <si>
    <t xml:space="preserve">C6.3; C6.5; 45 05 00</t>
  </si>
  <si>
    <t xml:space="preserve">plans_5 p.8 (C6.3 keyed note 3); plans_6 p.2 (C6.5 keyed notes 1-2); main spec pp.476-480 (45 05 00 ¶2.011 B; ¶3.02 A)</t>
  </si>
  <si>
    <t xml:space="preserve">416 SS stem, 316 SS disc, food-grade EPDM seat; operators show disc position (¶2.02 A). Tag driver: Bid Item 1 (04, Inferred).</t>
  </si>
  <si>
    <t xml:space="preserve">PROPOSED-UV-INTENSITY-SENSORS</t>
  </si>
  <si>
    <t xml:space="preserve">UV intensity sensors (2, one per bank), submersible, with low-UV alarm contact</t>
  </si>
  <si>
    <t xml:space="preserve">main spec pp.502-508 (46 66 00 pp.506-507, monitoring system; ¶1.05 sensor warranty)</t>
  </si>
  <si>
    <t xml:space="preserve">10-year warranty from substantial completion; intensity shown in mW/cm2; dry contact for low UV alarm - Cross-lane: Electrical &amp; Controls. Not drawn separately on the P&amp;M sheets. Tag driver: Bid Item 1 (04, Inferred). || [Merge] Exceptions: #114.</t>
  </si>
  <si>
    <t xml:space="preserve">PROPOSED-UV-TRANSMISSIVITY-ANALYZER</t>
  </si>
  <si>
    <t xml:space="preserve">UV transmissivity analyzer, Hach DR 1900 (1)</t>
  </si>
  <si>
    <t xml:space="preserve">46 66 10</t>
  </si>
  <si>
    <t xml:space="preserve">main spec p.509 (46 66 10 ¶1.01 A; ¶1.02 A; ¶1.03 A; ¶2.01 A; ¶3.01)</t>
  </si>
  <si>
    <t xml:space="preserve">1-year extended warranty; 1 day start-up and field testing; 1 day training. Location not stated. Wording error in ¶2.01 A (Issue 34). Tag driver: Bid Item 1 (04, Inferred). || [Merge] Exceptions: #115.</t>
  </si>
  <si>
    <t xml:space="preserve">PROPOSED-WAS-FLOW-METER</t>
  </si>
  <si>
    <t xml:space="preserve">WAS flow meter, 2-inch, on the WAS line to the digester, per electrical design requirements</t>
  </si>
  <si>
    <t xml:space="preserve">plans_5 p.7 (C6.2 keyed note 2, between 2-inch unions)</t>
  </si>
  <si>
    <t xml:space="preserve">Not in the G0.7 list; type not stated. Bid Item 6 Inferred (electrical design). Cross-lane: Electrical &amp; Controls. Tag driver: Issue 18. || [Merge] Exceptions: #43.</t>
  </si>
  <si>
    <t xml:space="preserve">PROPOSED-RFP-POLYMER-FLOWMETER</t>
  </si>
  <si>
    <t xml:space="preserve">Rotary press polymer (dilution) flowmeter, 1-inch electromagnetic (E+H 10P), 5-80 gpm, at the flocculator inlet</t>
  </si>
  <si>
    <t xml:space="preserve">46 76 26; 46 33 33</t>
  </si>
  <si>
    <t xml:space="preserve">main spec pp.510-531 (46 76 26 ¶4.2.1 polymer flowmeter); main spec p.481 (46 33 33 item 2.2, flow meter on the flocculator provided with the press)</t>
  </si>
  <si>
    <t xml:space="preserve">Not drawn on P&amp;M sheets. Tag driver: Bid Item 1 (04, Inferred). || [Merge] Exceptions: #116.</t>
  </si>
  <si>
    <t xml:space="preserve">PROPOSED-RFP-INLET-PRESSURE-TRANSMITTER</t>
  </si>
  <si>
    <t xml:space="preserve">Flocculator inlet pressure transmitter, E+H PMC71, 0-30 psi, HART</t>
  </si>
  <si>
    <t xml:space="preserve">main spec pp.510-531 (46 76 26 ¶4.2.2)</t>
  </si>
  <si>
    <t xml:space="preserve">Controls the feed pump speed loop (¶4.1). Not drawn on P&amp;M sheets. Tag driver: Bid Item 1 (04, Inferred). || [Merge] Exceptions: #117.</t>
  </si>
  <si>
    <t xml:space="preserve">PROPOSED-Utility-Transformer-480V</t>
  </si>
  <si>
    <t xml:space="preserve">Utility transformer, 480Y/277V, 225 kVA (new; furnished and installed by OPALCO)</t>
  </si>
  <si>
    <t xml:space="preserve">6 (contractor scope only: pad modification, secondary conduit and wire)</t>
  </si>
  <si>
    <t xml:space="preserve">Electrical &amp; Controls</t>
  </si>
  <si>
    <t xml:space="preserve">Electric Service Area</t>
  </si>
  <si>
    <t xml:space="preserve">E0.2; E1.1; E6.1</t>
  </si>
  <si>
    <t xml:space="preserve">26 05 00</t>
  </si>
  <si>
    <t xml:space="preserve">Verified-Visual</t>
  </si>
  <si>
    <t xml:space="preserve">E1.1 key note 1 and plan label "NEW 225 kVA 480Y/277V TRANSFORMER PER OPALCO" (plans_9 p.2); E0.2 demo note D1 (plans_8 p.7); E6.1 one-line "OPALCO PAD MOUNT UTILITY TRANSFORMER 480Y/277V, 3-PHASE 225 kVA" (plans_10 p.2); 26 05 00 ¶3.03 F.1.b–c and F.2 (pp.279–280): the Utility installs the new 480V transformer on the existing concrete pad, re-uses the primary conductors, makes the primary terminations, provides meter and CTs and terminates the contractor secondary at the transformer</t>
  </si>
  <si>
    <t xml:space="preserve">OPALCO furnishes the transformer and does primary wire and connections; contractor modifies the existing pad per OPALCO. Grounding per NEC and OPALCO (E1.1 grounding note G1).; 225 kVA equals the E6.2 MDP total but is below the E6.1 load-calculation demand — see Issues.</t>
  </si>
  <si>
    <t xml:space="preserve">P-SEC</t>
  </si>
  <si>
    <t xml:space="preserve">Utility secondary conduit and conductors, new utility transformer to service equipment (by contractor)</t>
  </si>
  <si>
    <t xml:space="preserve">E1.1; E6.1; E6.3</t>
  </si>
  <si>
    <t xml:space="preserve">26 05 19; 26 05 33; 26 05 00</t>
  </si>
  <si>
    <t xml:space="preserve">E1.1 key note 1 ("secondary conduit and wire by contractor") and plan conduit tag P-SEC (plans_9 p.2); E6.3 P-SEC (2) 2" 4 ea #3/0, no ground, utility transformer secondary to CT enclosure (plans_10 p.4); 26 05 00 ¶3.03 E.1 (p.279): contractor provides the new underground secondary, conduit and conductors, from the existing transformer pad to the CT enclosure, service-rated ATS and 400 A distribution panel; Utility terminates it at the transformer (¶3.03 F.2.c); Testing/startup: 26 05 19 ¶3.07 pp.286–288 (insulation resistance 1,000 VDC, 1 megohm min; continuity; thermal imaging; ground rods 25 ohms max, composite 15 ohms)</t>
  </si>
  <si>
    <t xml:space="preserve">Carried as a row because key note 1 assigns it as contractor scope. Sizing per E6.3.</t>
  </si>
  <si>
    <t xml:space="preserve">PROPOSED-CT-Enclosure-and-Meter-Base</t>
  </si>
  <si>
    <t xml:space="preserve">CT enclosure, landing pads and meter base (new; meter and CTs by utility)</t>
  </si>
  <si>
    <t xml:space="preserve">E0.2; E1.1; E6.1; E6.3</t>
  </si>
  <si>
    <t xml:space="preserve">Verified</t>
  </si>
  <si>
    <t xml:space="preserve">E1.1 key note 2 (plans_9 p.2); E0.2 demo note D7 (plans_8 p.7); E6.1 one-line "CURRENT TRANSFORMER ENCLOSURE PER OPALCO REQUIREMENTS" and utility meter (plans_10 p.2); 26 05 00 ¶3.03 E.3 (p.279): contractor provides the 480V CT enclosure, landing pads, mounting rack and meter bases per Utility requirements; Utility provides CTs and meter (¶3.03 F.2)</t>
  </si>
  <si>
    <t xml:space="preserve">Per OPALCO requirements.</t>
  </si>
  <si>
    <t xml:space="preserve">ATS</t>
  </si>
  <si>
    <t xml:space="preserve">Automatic transfer switch, service-entrance rated, 480Y/277V, 400 A (permanent)</t>
  </si>
  <si>
    <t xml:space="preserve">6; 18 — Unresolved (see 04) for the temporary-generator connection</t>
  </si>
  <si>
    <t xml:space="preserve">E1.1; E6.1; E6.3; E7.3</t>
  </si>
  <si>
    <t xml:space="preserve">26 36 00</t>
  </si>
  <si>
    <t xml:space="preserve">E1.1; Add. 4 Generator Exhibit; E6.1; E6.3; E7.3; 26 36 00</t>
  </si>
  <si>
    <t xml:space="preserve">E1.1 plan label "480Y/277V 400 AMP SERVICE ENTRANCE AUTOMATIC TRANSFER SWITCH" (plans_9 p.2); Add. 4 p.1, Clarification 5; E6.1 one-line "400A SERVICE ENTRANCE AUTOMATIC TRANSFER SWITCH 4W, 3 POLE NEMA 12, DELAYED OPEN TRANSITION" (plans_10 p.2); E6.3 P-ATS, P-MDP, C-ATS (plans_10 p.4); E7.3 inputs "UTILITY POWER NORMAL" and "EMERGENCY POSITION" (plans_10 p.8); 26 05 00 ¶3.03 E.1 "new Service Rated ATS panel" and ¶3.03 G service equipment UL-labeled "Suitable for Use as Service Equipment" (pp.279–280); 26 80 00 ¶3.09 K (p.376): ATS status wired to the PLC; Submittal: 26 36 00 ¶1.03–1.05 p.338 (action, informational, closeout submittals); Testing/startup: 26 36 00 ¶2.05 and ¶3.03–3.04 pp.345–347 (factory dielectric test; field tests by manufacturer representative with reports)</t>
  </si>
  <si>
    <t xml:space="preserve">Add. 4 Clarification 5: the transfer switch is the permanent ATS (not a long-lead item); the temporary back-up generator connects to it until the permanent genset arrives; test generator connections and automatic load transfer. Status New inferred: 480Y/277V equipment belongs to the new service (E0.2 gen. note 1) and the existing ATS is demolished (E0.2 D4).; E6.1: 4-wire, 3-pole, NEMA 12, delayed open transition, 400/3. E6.3: P-ATS (2) 2" 4 ea #3/0 from the CT enclosure; P-MDP (2) 2" 4 ea #3/0 + #3 G to MDP; C-ATS 24 VDC 8 #14 from the generator control panel.; 26 36 00: basis of design Cummins OTECSE, NEMA 12, PowerCommand 40-01; programmed transition 0–60 s; 100% neutral bus; other makes need approval two weeks before bid. || [Merge] Exceptions: #66, #255.</t>
  </si>
  <si>
    <t xml:space="preserve">MDP</t>
  </si>
  <si>
    <t xml:space="preserve">Main distribution panel MDP, 480Y/277V 3-ph 4-W, 400 A bus, main lugs only, 42,000 AIC, surface mounted, with SPD</t>
  </si>
  <si>
    <t xml:space="preserve">E1.1; E6.1; E6.2; E6.3</t>
  </si>
  <si>
    <t xml:space="preserve">26 24 16</t>
  </si>
  <si>
    <t xml:space="preserve">E1.1; E6.1; E6.2; E6.3; 26 24 16</t>
  </si>
  <si>
    <t xml:space="preserve">E1.1 plan label "480Y/277V 400 AMP PANEL" tag MDP (plans_9 p.2); E6.1 one-line (plans_10 p.2); E6.2 Panel MDP schedule dated September 15, 2022 (plans_10 p.3); E6.3 P-MDP, P-MCC, P-TSP (plans_10 p.4); Submittal: 26 24 16 ¶1.02 p.300 (catalog data per 26 05 00); Testing/startup: 26 24 16 ¶3.03 pp.303–304 (inspection, phase load balancing within 20%, torque check)</t>
  </si>
  <si>
    <t xml:space="preserve">Status New inferred: 480Y/277V equipment belongs to the new service (E0.2 gen. note 1). Feeds MCC (P-MCC) and transformer TS (P-TSP).; Circuits: MCC 400/3 (60,000 VA/phase), transformer TS 125/3 (15,000 VA/phase); rest spaces. Schedule total 225.0 kVA, 270.6 A vs E6.1 demand 355.7 A — see Issues.; 26 24 16: 25,000 AIC minimum at 480 V (MDP schedule shows 42,000 AIC); surge arrester with indicator on every panel.</t>
  </si>
  <si>
    <t xml:space="preserve">TS</t>
  </si>
  <si>
    <t xml:space="preserve">Transformer TS, 75 kVA, 480–208Y/120V</t>
  </si>
  <si>
    <t xml:space="preserve">26 22 13</t>
  </si>
  <si>
    <t xml:space="preserve">E1.1; E6.1; E6.3; 26 22 13</t>
  </si>
  <si>
    <t xml:space="preserve">E1.1 plan label "75 kVA 480-208Y/120V" tag TS (plans_9 p.2); grounding note G3; E6.1 one-line (plans_10 p.2); E6.3 P-TSP 1-1/2" 3 #1 + #6 G, P-TSS (2) 2" 4 ea #3/0 + #3 G (plans_10 p.4); Submittal: 26 22 13 ¶1.05 p.297 (catalog data per 26 05 00)</t>
  </si>
  <si>
    <t xml:space="preserve">Tag TS is the transformer, not a transfer switch (Verified-Visual). Feeds the existing 208Y/120V 400 A panel via P-TSS. Separately derived system grounding (G3) applies to this unit by context (Inferred). Status New inferred: new service equipment.; Primary breaker MDP 125/3. E6.3 names the secondary load "existing 208Y/120V 400A shop panel" (the Office Building I-Line panel on E6.1).; 26 22 13: 45 dB maximum and 98.0% minimum efficiency for 75 kVA three-phase; floor-mounted on vibration isolators; separately derived system.</t>
  </si>
  <si>
    <t xml:space="preserve">GEN</t>
  </si>
  <si>
    <t xml:space="preserve">Standby diesel generator, 480Y/277V, 125 kW / 156 kVA, sound-attenuated outdoor enclosure with sub-base diesel fuel tank (permanent)</t>
  </si>
  <si>
    <t xml:space="preserve">Unresolved — 1 or 6 (see 04, Other bid-item conflicts #1); Equipment Alternate E</t>
  </si>
  <si>
    <t xml:space="preserve">E1.1; E6.1; E6.3; E7.3; E10.3</t>
  </si>
  <si>
    <t xml:space="preserve">26 32 13</t>
  </si>
  <si>
    <t xml:space="preserve">E1.1; E6.1; E6.3; E7.3; E10.3; 26 32 13</t>
  </si>
  <si>
    <t xml:space="preserve">E1.1 plan label "NEW 480Y/277V 125 kW DIESEL GENERATOR" (plans_9 p.2); E6.1 one-line "STANDBY DIESEL GENERATOR IN SOUND ATTENUATED OUTDOOR ENCLOSURE WITH SUB BASE DIESEL FUEL TANK 480Y/277V 3-PHASE 125kW / 156kVA" and load calculations (plans_10 p.2); E6.3 P-GEN, C-GEN (plans_10 p.4); E7.3 inputs "GENERATOR RUNNING" and "GENERATOR ALARM" (plans_10 p.8); E10.3 elevations and general notes 1–3 (plans_12 p.8); 26 80 00 ¶3.09 K (p.376): generator status wired to the PLC; Submittal: 26 32 13 ¶1.04–1.08 pp.322–324 (action, informational, closeout, maintenance-material submittals); Testing/startup: 26 32 13 ¶3.06–3.07 p.336 (field quality control; on-site acceptance with full-load resistive load bank, 2 h minimum)</t>
  </si>
  <si>
    <t xml:space="preserve">Detail 1/E10.3. Pad: "concrete generator pad per civil" — Cross-lane: Civil &amp; Site / Structural &amp; Building. Pad rebar bonded to generator and grounding electrode system (G2). 120 V 20 A auxiliary circuit for battery charger and coolant heater (E1.1 key note 4; LP1 circuit 8 on E2.2). Add. 4 Clarification 5: temporary generator serves until this genset arrives.; Output breaker 250/3; P-GEN 3" 4 #250 kcmil + #4 G; C-GEN 24 VDC 8 #14 to the PLC (E6.3). E6.1 generator load 188.0 A = 156 kVA at 480 V.; E10.3: basis of design Cummins C125D6D, EPA Tier 3, 72 dBA at 7 m; sub-base dual-wall tank, 351 gal usable, 35 h at full load (10.1 gal/hr), leak detection, high fuel alarm, low fuel switch; pad per civil specifications.; 26 32 13: pre-approved Cummins, Kohler, Caterpillar, Generac; NFPA 110 Level 2; UL 2200; Tier 3; 35 h tank at 100% load; full-load resistive load bank test, 2 h minimum; full tank at commissioning; 2-year warranty. || [Merge] Exceptions: #65, #257.</t>
  </si>
  <si>
    <t xml:space="preserve">P-TPS</t>
  </si>
  <si>
    <t xml:space="preserve">Replacement 200 A 208Y/120V feeder, existing switchgear to Panel TPS</t>
  </si>
  <si>
    <t xml:space="preserve">Site — Electric Service Area to existing Treatment Building</t>
  </si>
  <si>
    <t xml:space="preserve">E0.2; E1.1; E4.1; E6.1; E6.3</t>
  </si>
  <si>
    <t xml:space="preserve">26 05 19; 26 05 33</t>
  </si>
  <si>
    <t xml:space="preserve">E1.1 key note 6 and plan conduit tag (plans_9 p.2); E0.2 demo note D5 (plans_8 p.7); E6.1 one-line: 200/3 in the Office Building 400 A I-Line panel to Panel TPS (plans_10 p.2); E6.3 P-TPS 208 V 2" 4 #3/0 + #6 G (plans_10 p.4); E4.1 plan (plans_9 p.6); Testing/startup: 26 05 19 ¶3.07 pp.286–288 (insulation resistance 1,000 VDC, 1 megohm min; continuity; thermal imaging; ground rods 25 ohms max, composite 15 ohms)</t>
  </si>
  <si>
    <t xml:space="preserve">Replaces the demolished existing 200 A feeder. Source named only as "existing switchgear". Routing per site plan and E6.3.; Source named three ways — "existing switchgear" (E0.2 D5, E1.1 key note 6), "existing 208Y/120V shop SWBD" (E6.3), and the 400 A I-Line distribution panel (E6.1 one-line); same equipment by the one-line (Inferred).</t>
  </si>
  <si>
    <t xml:space="preserve">PROPOSED-Service-Area-Grounding-Electrode-System</t>
  </si>
  <si>
    <t xml:space="preserve">Grounding electrode systems at the new service: utility transformer grounding, generator pad rebar bond, separately derived system grounding</t>
  </si>
  <si>
    <t xml:space="preserve">E1.1; E6.1; E10.1</t>
  </si>
  <si>
    <t xml:space="preserve">26 05 26</t>
  </si>
  <si>
    <t xml:space="preserve">E1.1; E6.1; E10.1; 26 05 26</t>
  </si>
  <si>
    <t xml:space="preserve">E1.1 grounding notes G1–G4 (plans_9 p.2); E6.1 one-line: grounding electrode system per NEC Art. 250 at the ATS, #1/0 as printed, detail 1/E10.1 (plans_10 p.2); E10.1 grounding system and ground rod details (plans_12 p.6); 26 05 26 ¶2.01 D (p.289): copper-clad rods 3/4 in x 8 ft; 26 05 19 ¶3.07 G.3 (p.288): 25 ohms maximum per rod, 15 ohms composite; Testing/startup: 26 05 19 ¶3.07 pp.286–288 (insulation resistance 1,000 VDC, 1 megohm min; continuity; thermal imaging; ground rods 25 ohms max, composite 15 ohms)</t>
  </si>
  <si>
    <t xml:space="preserve">Tied to the existing building grounding electrode system (G4). Separately derived system grounding assigned to TS by context (Inferred).</t>
  </si>
  <si>
    <t xml:space="preserve">PROPOSED-Existing-Utility-Transformer-208V</t>
  </si>
  <si>
    <t xml:space="preserve">Existing OPALCO pad-mount utility transformer, 208Y/120V 3-ph, 45 kVA</t>
  </si>
  <si>
    <t xml:space="preserve">6 (coordination only)</t>
  </si>
  <si>
    <t xml:space="preserve">E0.2; E1.1</t>
  </si>
  <si>
    <t xml:space="preserve">E0.2 demo note D1 and one-line (plans_8 p.7); E1.1 key note 1 (plans_9 p.2); 26 05 00 ¶3.03 F.1.a (main spec p.279): the Utility removes the existing 208V transformer from the existing concrete pad; ¶3.03 D: the contractor coordinates demolition with the Utility</t>
  </si>
  <si>
    <t xml:space="preserve">Removed by the Utility (OPALCO) per 26 05 00 ¶3.03 F.1.a; contractor coordinates and sequences the outage. Resolves the batch 1 issue on who removes it.</t>
  </si>
  <si>
    <t xml:space="preserve">GEN (E)</t>
  </si>
  <si>
    <t xml:space="preserve">Existing standby diesel generator, 208Y/120V 3-ph, 30 kW / 37.5 kVA</t>
  </si>
  <si>
    <t xml:space="preserve">E0.2</t>
  </si>
  <si>
    <t xml:space="preserve">E0.2; 26 05 00</t>
  </si>
  <si>
    <t xml:space="preserve">E0.2 one-line and demo note D2 (plans_8 p.7); 26 05 00 ¶3.03 E.4 (main spec p.279): contractor demolishes the existing 208V service — secondary raceway and conductors, CT enclosure, meter base, generator and ATS</t>
  </si>
  <si>
    <t xml:space="preserve">Removed with its fuel tank, exhaust and louvers (separate row). || [Merge] Exceptions: #150.</t>
  </si>
  <si>
    <t xml:space="preserve">PROPOSED-Existing-Generator-Fuel-Tank-Exhaust-Louvers</t>
  </si>
  <si>
    <t xml:space="preserve">Existing diesel fuel tank, generator exhaust system and louvers</t>
  </si>
  <si>
    <t xml:space="preserve">E0.2 demo note D2 and plan label "DIESEL FUEL TANK, EXHAUST, LOUVERS (E)" (plans_8 p.7)</t>
  </si>
  <si>
    <t xml:space="preserve">Building openings repaired per civil/architectural — Cross-lane: Structural &amp; Building / Civil &amp; Site. || [Merge] Exceptions: #28.</t>
  </si>
  <si>
    <t xml:space="preserve">SES (E)</t>
  </si>
  <si>
    <t xml:space="preserve">Existing 300 A service entrance breaker, SUSE rated, NEMA 3R</t>
  </si>
  <si>
    <t xml:space="preserve">E0.2 one-line; demo note D4 (plans_8 p.7); 26 05 00 ¶3.03 E.4 (main spec p.279): contractor demolishes the existing 208V service — secondary raceway and conductors, CT enclosure, meter base, generator and ATS</t>
  </si>
  <si>
    <t xml:space="preserve">[Merge] Exceptions: #150.</t>
  </si>
  <si>
    <t xml:space="preserve">ATS (E)</t>
  </si>
  <si>
    <t xml:space="preserve">Existing automatic transfer switch, 4-wire, 3-pole</t>
  </si>
  <si>
    <t xml:space="preserve">PROPOSED-Existing-CT-Enclosure-and-Meter</t>
  </si>
  <si>
    <t xml:space="preserve">Existing current transformer enclosure and OPALCO utility meter</t>
  </si>
  <si>
    <t xml:space="preserve">E0.2 demo note D3 and one-line (plans_8 p.7); 26 05 00 ¶3.03 E.4 (main spec p.279): contractor demolishes the existing 208V service — secondary raceway and conductors, CT enclosure, meter base, generator and ATS</t>
  </si>
  <si>
    <t xml:space="preserve">Removed after the new service is operational (D3).</t>
  </si>
  <si>
    <t xml:space="preserve">PROPOSED-Existing-Meter-Base-and-Wall-Raceway</t>
  </si>
  <si>
    <t xml:space="preserve">Existing obsolete meter base and raceway on building wall</t>
  </si>
  <si>
    <t xml:space="preserve">E0.2 demo note D7 (plans_8 p.7); 26 05 00 ¶3.03 E.4 (main spec p.279): contractor demolishes the existing 208V service — secondary raceway and conductors, CT enclosure, meter base, generator and ATS</t>
  </si>
  <si>
    <t xml:space="preserve">Keep the existing telephone junction box and telephone service (D7).</t>
  </si>
  <si>
    <t xml:space="preserve">PROPOSED-Existing-200A-Feeder-to-Panel-TPS</t>
  </si>
  <si>
    <t xml:space="preserve">Existing 200 A 208Y/120V power feeder to Panel TPS</t>
  </si>
  <si>
    <t xml:space="preserve">E0.2 demo note D5 (plans_8 p.7); E1.1 key note 6 (plans_9 p.2)</t>
  </si>
  <si>
    <t xml:space="preserve">Replaced by P-TPS.</t>
  </si>
  <si>
    <t xml:space="preserve">TPS</t>
  </si>
  <si>
    <t xml:space="preserve">Panel TPS, 208Y/120V 3-ph 4-W, 200 A (kept; re-fed)</t>
  </si>
  <si>
    <t xml:space="preserve">Existing Treatment Building</t>
  </si>
  <si>
    <t xml:space="preserve">E0.2; E1.1; E4.1; E6.1</t>
  </si>
  <si>
    <t xml:space="preserve">E0.2 label "MAINTAIN PANEL TPS AND SUB PANEL (E)" and one-line (plans_8 p.7); E1.1 key note 6 (plans_9 p.2); E4.1 label "RE-FEED EXISTING 208Y/120V POWER PANEL" (plans_9 p.6); E6.1 one-line (plans_10 p.2)</t>
  </si>
  <si>
    <t xml:space="preserve">New feeder P-TPS. Its 208Y/120V 100 A load center is also kept (not carried).</t>
  </si>
  <si>
    <t xml:space="preserve">PROPOSED-Existing-208V-400A-Distribution-Panel</t>
  </si>
  <si>
    <t xml:space="preserve">Existing 208Y/120V 400 A distribution panel (Square-D I-Line), Office Building, re-fed from transformer TS</t>
  </si>
  <si>
    <t xml:space="preserve">Existing Office Building</t>
  </si>
  <si>
    <t xml:space="preserve">E1.1 plan label "EXISTING 208Y/120V 400 AMP PANEL" (plans_9 p.2); E0.2 one-line "DISTRIBUTION PANEL - 400 AMP - SQUARE-D I-LINE - 208Y/120V - OFFICE BUILDING" (plans_8 p.7); E6.1 one-line (plans_10 p.2); E6.3 P-TSS destination "EXISTING 208Y/120V 400A SHOP PANEL" (plans_10 p.4)</t>
  </si>
  <si>
    <t xml:space="preserve">Same panel on both sheets by matching voltage and rating (Inferred). New feeder P-TSS from TS. Downstream Office Building switchboard and Lab/SP/SH panels are kept and not carried.; E6.1 breakers: 200/3 Panel TPS, 200/3, 100/3, 100/3 (100 A switchboard feeding the Lab panel and Panels SP, SH). "Shop panel" (E6.3) matches the Office/Lab/Shop Building name on E0.2.</t>
  </si>
  <si>
    <t xml:space="preserve">PROPOSED-Existing-Grounding-Electrode-System</t>
  </si>
  <si>
    <t xml:space="preserve">Existing grounding electrode system (kept; new equipment and electrodes bonded to it)</t>
  </si>
  <si>
    <t xml:space="preserve">Electric Service Area / existing buildings</t>
  </si>
  <si>
    <t xml:space="preserve">E0.2 demo note D6 (plans_8 p.7); E1.1 grounding note G4 (plans_9 p.2)</t>
  </si>
  <si>
    <t xml:space="preserve">BL-1</t>
  </si>
  <si>
    <t xml:space="preserve">Aeration Blower No.1 — cell aeration blower, Cell 1, 20 HP, VFD in MCC</t>
  </si>
  <si>
    <t xml:space="preserve">1 (equipment, Inferred per 04); 6 (power and control)</t>
  </si>
  <si>
    <t xml:space="preserve">E2.1; E6.1; E6.3; E7.1; E7.2; E7.3; E7.4; E9.1; E9.2</t>
  </si>
  <si>
    <t xml:space="preserve">E2.1 plan tag and label (plans_9 p.3); E6.1 one-line (35/3, VFD, line reactor) and load calculations 20 HP (plans_10 p.2); E6.3 P-BL-1 1" 3 #8 + #10 G, C-BL1 to "blower enclosure #1" (plans_10 p.4); E7.3 "AERATION BLOWER 1: MCC" hand, auto, VFD running, VFD fault and blower 1 enclosure high motor and high enclosure temperature inputs (plans_10 p.8); E7.4 output 0 "BLOWER #1 CALL TO RUN" (plans_11 p.1); E9.1 NP-5A "AERATION BLOWER NO.1 / 20 HP" (plans_12 p.3)</t>
  </si>
  <si>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 #202, #215.</t>
  </si>
  <si>
    <t xml:space="preserve">BL-2</t>
  </si>
  <si>
    <t xml:space="preserve">Aeration Blower No.2 — cell aeration blower, Cell 2, 20 HP, VFD in MCC</t>
  </si>
  <si>
    <t xml:space="preserve">E2.1 plan tag and label (plans_9 p.3); E6.1 one-line (35/3, VFD, line reactor) and load calculations 20 HP (plans_10 p.2); E6.3 P-BL-2 1" 3 #8 + #10 G, C-BL2 to "blower enclosure #2" (plans_10 p.4); E7.3 "AERATION BLOWER 2: MCC" hand, auto, VFD running, VFD fault and blower 2 enclosure high motor and high enclosure temperature inputs (plans_10 p.8); E7.4 output 1 "BLOWER #2 CALL TO RUN" (plans_11 p.1); E9.1 NP-5G "AERATION BLOWER NO.2 / 20 HP" (plans_12 p.3)</t>
  </si>
  <si>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t>
  </si>
  <si>
    <t xml:space="preserve">BL-3</t>
  </si>
  <si>
    <t xml:space="preserve">Aeration Blower No.3 — cell aeration blower, Cell 3, 20 HP, VFD in MCC</t>
  </si>
  <si>
    <t xml:space="preserve">E2.1 plan tag and label (plans_9 p.3); E6.1 one-line (35/3, VFD, line reactor) and load calculations 20 HP (plans_10 p.2); E6.3 P-BL-3 1" 3 #8 + #10 G, C-BL3 to "blower enclosure #3" (plans_10 p.4); E7.3 "AERATION BLOWER 3: MCC" hand, auto, VFD running, VFD fault and blower 3 enclosure high motor and high enclosure temperature inputs (plans_10 p.8); E7.4 output 2 "BLOWER #3 CALL TO RUN" (plans_11 p.1); E9.1 NP-6A "AERATION BLOWER NO.3 / 20 HP" (plans_12 p.3)</t>
  </si>
  <si>
    <t xml:space="preserve">BL-4</t>
  </si>
  <si>
    <t xml:space="preserve">Aeration Blower No.4 — backup, 20 HP, VFD in MCC</t>
  </si>
  <si>
    <t xml:space="preserve">E2.1 plan tag and label (plans_9 p.3); E6.1 one-line (35/3, VFD, line reactor) and load calculations 20 HP (plans_10 p.2); E6.3 P-BL-4 1" 3 #8 + #10 G, C-BL4 to "blower enclosure #4" (plans_10 p.4); E7.3 "AERATION BLOWER 4: MCC" hand, auto, VFD running, VFD fault and blower 4 enclosure high motor and high enclosure temperature inputs (plans_10 p.8); E7.4 output 3 "BLOWER #4 CALL TO RUN" (plans_11 p.1); E9.1 NP-6G "AERATION BLOWER NO.4 / 20 HP" (plans_12 p.3)</t>
  </si>
  <si>
    <t xml:space="preserve">Cross-lane: Process &amp; Mechanical. Governing spec 43 11 00 and sheets C6.4 (reissued Add. 4 p.6)/C6.5 are in that lane. E&amp;C scope: power, control, all manufacturer connections incl. sensors, skid grounding (E2.1 key note 3). Motor marking "20" = 20 HP (E6.1). Generator factor 0.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 #202, #215.</t>
  </si>
  <si>
    <t xml:space="preserve">DB</t>
  </si>
  <si>
    <t xml:space="preserve">Digester blower, 5 HP, VFD in MCC</t>
  </si>
  <si>
    <t xml:space="preserve">Not stated — drawn on E2.1 outside the Blower Building outline, beside a "building interior wall"</t>
  </si>
  <si>
    <t xml:space="preserve">E2.1 plan tag and label "DIGESTER BLOWER" (plans_9 p.3); E6.1 one-line (20/3, VFD, line reactor) and load calcs 5 HP (plans_10 p.2); E6.3 P-DB, C-DB to "digester blower enclosure" (plans_10 p.4); E7.3 "DIGESTER BLOWER 1" hand, auto, VFD running, VFD fault and enclosure high motor and high enclosure temperature inputs (plans_10 p.8); E7.4 output 4 "DIGESTER BLOWER CALL TO RUN" (plans_11 p.1); E9.1 NP-4K "DIGESTER BLOWER / 5 HP" (plans_12 p.3)</t>
  </si>
  <si>
    <t xml:space="preserve">Cross-lane: Process &amp; Mechanical. Sheet C6.3 Digester Blower is in that lane. Conduits P-DB, C-DB; local disconnect row below.; Motor PTC relay module by the blower supplier in the main PLC panel (E7.2 key note 1).; 120 V blower enclosure fan circuit from its MCC unit (E9.2 key note 1; basis 0.21 HP, 1.51 A per fan, confirm in submittals). || [Merge] Exceptions: #19.</t>
  </si>
  <si>
    <t xml:space="preserve">PROPOSED-DB-Local-Disconnect</t>
  </si>
  <si>
    <t xml:space="preserve">Local disconnect for digester blower DB, NEMA 4X stainless steel</t>
  </si>
  <si>
    <t xml:space="preserve">Not stated — at DB (see DB row)</t>
  </si>
  <si>
    <t xml:space="preserve">E2.1</t>
  </si>
  <si>
    <t xml:space="preserve">26 28 16</t>
  </si>
  <si>
    <t xml:space="preserve">E2.1 key note 6 and plan label "LOCAL DISCONNECT" (plans_9 p.3); Submittal: 26 28 16 ¶1.03 p.314 (catalog data per 26 05 00 ¶1.012)</t>
  </si>
  <si>
    <t xml:space="preserve">MCC</t>
  </si>
  <si>
    <t xml:space="preserve">Motor control center, 480 V 3-ph 4-W, Blower Building, Allen-Bradley Centerline 2100 IntelliCENTER | Blower Building motor control center — 8 sections at 20 in, 160 in total per Add. 4</t>
  </si>
  <si>
    <t xml:space="preserve">6 | 6 (Inferred per 04)</t>
  </si>
  <si>
    <t xml:space="preserve">Electrical &amp; Controls; Structural &amp; Building</t>
  </si>
  <si>
    <t xml:space="preserve">E1.1; E2.1; E2.2; E6.1; E6.2; E6.3; E7.0; E9.1; E9.2; A1.1</t>
  </si>
  <si>
    <t xml:space="preserve">26 24 19</t>
  </si>
  <si>
    <t xml:space="preserve">Add. 4 p.1, Clarification 4 — Add. 4 governs; Add. 4 p.3, A1.1/A1.2/C6.4 item (relocation) — Add. 4 governs | Add. 4 p.1, Clarification 4; p.4 (A1.1) — Add. 4 governs</t>
  </si>
  <si>
    <t xml:space="preserve">E1.1; E2.1; E2.2; E6.1; E6.2; E6.3; E7.0; E9.1; E9.2; 26 24 19; A1.1</t>
  </si>
  <si>
    <t xml:space="preserve">[Electrical &amp; Controls] E2.1 plan (plans_9 p.3); E1.1 feeder P-MCC (plans_9 p.2); Add. 4 p.1, Clarification 4; Add. 4 p.3; E6.1 one-line "MOTOR CONTROL CENTER - 480V, THREE PHASE, 4 WIRE - BLOWER BUILDING" (plans_10 p.2); E6.2 MDP circuit 1 (plans_10 p.3); E6.3 P-MCC (2) 2" 4 ea #3/0 + #3 G (plans_10 p.4); E7.0 (plans_10 p.5); E9.1 elevation, nameplate schedule and general note 1 (plans_12 p.3); E9.2 VFD functional wiring (plans_12 p.4); Submittal: 26 24 19 ¶1.04 pp.305–306 (unit wiring diagrams, component data, scaled arrangement drawings, bill of materials); Testing/startup: 26 24 19 ¶3.02 p.311 (shop test with the control system: all I/O points, control devices, motor controllers) || [Structural &amp; Building] plans_7 p.5 (ELECTRICAL PANELS); Add. 4 p.1; Add. 4 p.4</t>
  </si>
  <si>
    <t xml:space="preserve">[Electrical &amp; Controls] Add. 4 Clarification 4: eight 20-in sections, 160 in total length (E9.1 base shows 7 sections). Location per A1.1 reissue (Add. 4 p.4) — Structural &amp; Building stack; cross-check for Merge. Status New inferred: sized and furnished under Add. 4 Clarification 4.; E6.1: 400/3 main, power monitor with (3) 400:5 CTs on the PLC network (E7.0), SPD; units 30/3 TCP-1 and TCP-2 (future), 30/3 TCP-3, 60/3 DW-1, 60/3 IPS, 60/2 T2; 10 VFDs (own row). Aeration blower disconnects are the MCC units within sight of the motors (key note 5).; E9.1: seven 20-in sections, 140 in, 90 in high, 4-in pad; Add. 4 Clarification 4 governs at eight sections, 160 in; contents of the added section not stated (general note 1: contractor provides final layout). Units: Ethernet switch NP-1A, surge protector NP-1D, power monitor NP-1E, 400 A main NP-1H; feeders NP-2A/2B Trains 1–2 (future), NP-2C Train 3, NP-2D dewatering skid, NP-2E Influent Pump Station; ten VFDs NP-3A to NP-6G; LP1 NP-7A, transformer disconnect NP-7G, 20 kVA transformer NP-7J; four spaces. MCC cooling fans on a thermostat (E9.2).; 26 24 19: Allen-Bradley, no exceptions; shop assembly and shop test with the control system (all I/O points and motor controllers) before delivery. || [Structural &amp; Building] Cross-lane: Electrical &amp; Controls (E9.1). Base shows an electrical panel bank with 3.5 ft clearance note; Add. 4: move as far east as possible, add one section, spare section for future expansion. || [Merge] Combined by rule (same tag) from Electrical_and_Controls_Ledger.csv row 27; Structural_and_Building_Ledger.csv row 5. Tag level = weakest of the parts (Inferred, Inferred). Submittal: Y (Electrical &amp; Controls), Not stated (Structural &amp; Building) — Y kept (each lane's N covers only its own stack); Testing/Startup: Y (Electrical &amp; Controls), Not stated (Structural &amp; Building) — Y kept (each lane's N covers only its own stack). || [Merge] Exceptions: #23, #225.</t>
  </si>
  <si>
    <t xml:space="preserve">MCP</t>
  </si>
  <si>
    <t xml:space="preserve">Main Control Panel (PLC), Blower Building | Main control panel (MCP) — relocated per Add. 4</t>
  </si>
  <si>
    <t xml:space="preserve">E2.1; E2.2; E6.2; E6.3; E7.0; E7.1; E7.2; E7.3; E7.4; E7.5; E7.6; E7.7; A1.1</t>
  </si>
  <si>
    <t xml:space="preserve">Add. 4 p.3, A1.1/A1.2/C6.4 item (relocation) — Add. 4 governs; Add. 4 p.2, 22 13 36 ¶2.01 A and 43 22 10 ¶2.01 A (PLC in the Main Control Panel controls the pump VFDs) — Add. 4 governs | Add. 4 p.3; p.4 (A1.1) — Add. 4 governs</t>
  </si>
  <si>
    <t xml:space="preserve">E2.1; E2.2; E6.2; E6.3; E7.0; E7.1; E7.2; E7.3; E7.4; E7.5; E7.6; E7.7; 26 80 00; A1.1</t>
  </si>
  <si>
    <t xml:space="preserve">[Electrical &amp; Controls] E2.1 plan label "MAIN CONTROL PANEL" (plans_9 p.3); E2.2 LP1 circuit 2 (plans_9 p.4); Add. 4 p.3; E7.0 "MAIN PLC CONTROL PANEL" (plans_10 p.5); E6.3 P-MCP, C-MCP, S-MCP, S-ICP (plans_10 p.4); E6.2 LP1 circuit 2 (plans_10 p.3); Add. 4 p.2; E7.1 elevations (plans_10 p.6); E7.2 power wiring (plans_10 p.7); E7.3 to E7.7 I/O (plans_10 p.8; plans_11 pp.1–4); 26 80 00 ¶2.02 A.3.a and ¶2.05 (pp.357, 365–367): CompactLogix, PanelView Plus 7 2711P-T9W22D9P, DC UPS 1606-XLS240-UPS with 26 Ah battery; Submittal: 26 80 00 ¶1.06 p.356 (hardware submittals before fabrication; control system documentation); Testing/startup: 26 80 00 ¶3.03–3.04 and ¶3.08 pp.371–372 (witnessed factory simulation; field acceptance test; programming, start-up, commissioning) || [Structural &amp; Building] Add. 4 p.3; Add. 4 p.4</t>
  </si>
  <si>
    <t xml:space="preserve">[Electrical &amp; Controls] Receives smoke/heat, door intrusion, 2W pressure and ATS/generator status signals (E2.1 key notes 4–5; E1.1 key note 3). Location per A1.1 reissue (Add. 4 p.4) — Structural &amp; Building stack; cross-check for Merge. Status New inferred: in the new Blower Building.; Major components (E7.0): Allen-Bradley CompactLogix PLC, PanelView Plus operator interface, network switch linking the MCC power monitor, 2W and effluent flow meters and the 10 MCC VFDs; Cat 6 to the IPS panel (S-ICP). System integrator provides the detailed design (E7.0 gen. note 1). Add. 4 p.2: this PLC controls the pump VFDs.; E7.1: NEMA 12 painted steel enclosure, PanelView Plus on the door, CompactLogix PLC and I/O, network switch, DC power supply and UPS with battery pack (12 VDC 26 AH, E7.2), line filter, output relays, GFCI receptacle, five blower PTC relays from the blower supplier, intrinsic safety barrier for the digester level loop (E7.5), on a concrete housekeeping pad per civil specs. E7.2: 120 VAC from the lighting panel through a 20 A TVSS; 24 VDC 10 A supply. I/O drawn: five 16-point input cards (74 points; numbering errors, see Issues), one 16-point output card (11 used), two 8-channel analog input cards (6 used, 4 reserved for future Cells 1–2 DO), one 8-channel analog output card (2 used). || [Structural &amp; Building] Cross-lane: Electrical &amp; Controls. MCP read as Main Control Panel (Inferred from Add. 4 p.2 wording "PLC in the Main Control Panel"). Add. 4: move to the wall shown; adjust power and control raceway routing. || [Merge] Combined by rule (same tag) from Electrical_and_Controls_Ledger.csv row 28; Structural_and_Building_Ledger.csv row 6. Tag level = weakest of the parts (Unresolved, Inferred). Submittal: Y (Electrical &amp; Controls), Not stated (Structural &amp; Building) — Y kept (each lane's N covers only its own stack); Testing/Startup: Y (Electrical &amp; Controls), Not stated (Structural &amp; Building) — Y kept (each lane's N covers only its own stack). || [Merge] Exceptions: #24, #226.</t>
  </si>
  <si>
    <t xml:space="preserve">LP-1</t>
  </si>
  <si>
    <t xml:space="preserve">Lighting panel LP1, 120/240 V 1-ph 3-W, 100 A bus, 100 A main breaker, 10,000 AIC, surface mounted</t>
  </si>
  <si>
    <t xml:space="preserve">E2.1; E2.2; E6.1; E6.2; E9.1; E9.3</t>
  </si>
  <si>
    <t xml:space="preserve">E2.1; E2.2; E6.1; E6.2; E9.1; E9.3; 26 24 16</t>
  </si>
  <si>
    <t xml:space="preserve">E2.2 Panel LP1 (MCC) schedule (plans_9 p.4); E2.1 plan (plans_9 p.3); E6.2 Panel LP1 (MCC) schedule (plans_10 p.3); E6.1 T2 and load calcs "LP-1 MCC load center 20 kVA" (plans_10 p.2); E9.1 NP-7A "LIGHTING PANEL / 120-240V 1 PH" in MCC section 7 (plans_12 p.3); Submittal: 26 24 16 ¶1.02 p.300 (catalog data per 26 05 00); Testing/startup: 26 24 16 ¶3.03 pp.303–304 (inspection, phase load balancing within 20%, torque check)</t>
  </si>
  <si>
    <t xml:space="preserve">Printed LP-1 on plans and LP1 on the schedule; schedule title "PANEL LP1 (MCC)" and E1.1 key note 4 "load center in MCC". Demand 17.3 kVA / 72.1 A. Status New inferred: in the new Blower Building.; E6.2 repeats the E2.2 schedule unchanged. Fed from T2. E6.3 calls it the "MCC lighting panel".; E9.3 feeds the Treatment Building ventilation control panel "FROM LP1", but the LP1 schedule (E6.2) has no such circuit — see Issues.; 26 24 16 ¶2.02 H: surge arrester with indicator required on every panel — not shown on the E6.2 schedule; complementary per 26 05 00 ¶1.011 B.</t>
  </si>
  <si>
    <t xml:space="preserve">PROPOSED-Blower-Building-Power-Handholes</t>
  </si>
  <si>
    <t xml:space="preserve">Electric power handholes at the Blower Building (2 shown)</t>
  </si>
  <si>
    <t xml:space="preserve">E2.1; E10.1</t>
  </si>
  <si>
    <t xml:space="preserve">26 05 33</t>
  </si>
  <si>
    <t xml:space="preserve">E2.1; E10.1; 26 05 33</t>
  </si>
  <si>
    <t xml:space="preserve">E2.1 plan labels "POWER HANDHOLE" and key note 7 (plans_9 p.3);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</si>
  <si>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Locations schematic; final locations with the Engineer (E2.1 gen. note 3). At least 2 spares from each power handhole to the MCC.</t>
  </si>
  <si>
    <t xml:space="preserve">PROPOSED-Blower-Building-Control-Signal-Handholes</t>
  </si>
  <si>
    <t xml:space="preserve">Electric control and signal handholes at the Blower Building (2 shown)</t>
  </si>
  <si>
    <t xml:space="preserve">E2.1 plan labels "CONTROL AND SIGNAL HANDHOLE" and key note 7 (plans_9 p.3);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</si>
  <si>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At least 2 spares from each control handhole to the PLC panel.</t>
  </si>
  <si>
    <t xml:space="preserve">PROPOSED-Blower-Building-Smoke-Heat-Detector</t>
  </si>
  <si>
    <t xml:space="preserve">Ceiling smoke/heat detector, System Sensor 4WTAR-B, Form C relay, sounder, 4-wire</t>
  </si>
  <si>
    <t xml:space="preserve">E2.1; E6.3; E7.3</t>
  </si>
  <si>
    <t xml:space="preserve">E2.1; E6.3; E7.3; 26 80 00</t>
  </si>
  <si>
    <t xml:space="preserve">E2.1 key note 4 (plans_9 p.3); E6.3 C-SD1 1/2" 2 #14 (plans_10 p.4); E7.3 input "SMOKE DETECTOR", card 3 (plans_10 p.8); 26 80 00 ¶2.02 (p.359) and ¶2.04 H (pp.364–365): combination smoke and heat detector, one in the Blower Building; ¶3.09 M (p.377) status and alarm monitoring; Submittal: 26 80 00 ¶1.06 p.356 (hardware submittals before fabrication; control system documentation); Testing/startup: 26 80 00 ¶3.03–3.04 and ¶3.08 pp.371–372 (witnessed factory simulation; field acceptance test; programming, start-up, commissioning)</t>
  </si>
  <si>
    <t xml:space="preserve">Wired to the PLC control panel (C-SD1).</t>
  </si>
  <si>
    <t xml:space="preserve">PROPOSED-Blower-Building-Door-Intrusion-Switch</t>
  </si>
  <si>
    <t xml:space="preserve">Door intrusion switch, magnetic reed SPDT, Interlogix Sentrol 2807T or equal</t>
  </si>
  <si>
    <t xml:space="preserve">E2.1 key note 5 (plans_9 p.3); E6.3 C-INT 1/2" 2 #14 (plans_10 p.4); E7.3 input "INTRUSION DOOR SWITCH" (printed "DOOOR"), card 3 (plans_10 p.8); 26 80 00 ¶2.04 I (p.365): door switch for intrusion sensing; ¶3.09 L (p.377) intrusion alarms in the PLC; Submittal: 26 80 00 ¶1.06 p.356 (hardware submittals before fabrication; control system documentation); Testing/startup: 26 80 00 ¶3.03–3.04 and ¶3.08 pp.371–372 (witnessed factory simulation; field acceptance test; programming, start-up, commissioning)</t>
  </si>
  <si>
    <t xml:space="preserve">Wired to the PLC control panel (C-INT).</t>
  </si>
  <si>
    <t xml:space="preserve">PROPOSED-2W-Pressure-Transducer</t>
  </si>
  <si>
    <t xml:space="preserve">2W system pressure transducer, 0–150 psi, 4–20 mA, Blower Building</t>
  </si>
  <si>
    <t xml:space="preserve">E2.1; E6.3; E7.5</t>
  </si>
  <si>
    <t xml:space="preserve">26 80 00; 26 80 00</t>
  </si>
  <si>
    <t xml:space="preserve">E2.1; E6.3; E7.5; 26 80 00</t>
  </si>
  <si>
    <t xml:space="preserve">E2.1 plan label "2W PRESSURE TRANSDUCER" and conduit C-2WPT (plans_9 p.3); E6.3 C-2WPT 1/2" 1 #18TSP to "2W PRESSURE SENSOR" (plans_10 p.4); E7.5 analog input 0 "2W SYSTEM PRESSURE 0-150 PSI" (plans_11 p.2); 26 80 00 ¶2.04 C (pp.362–363): piezo-resistive pressure transducer, ASCO Model G2 or equal; Submittal: 26 80 00 ¶1.06 p.356 (hardware submittals before fabrication; control system documentation); Testing/startup: 26 80 00 ¶3.03–3.04 and ¶3.08 pp.371–372 (witnessed factory simulation; field acceptance test; programming, start-up, commissioning)</t>
  </si>
  <si>
    <t xml:space="preserve">No printed tag on E7.5 (instrument symbol "PT" only), so the PROPOSED tag stays. Main PLC analog input 0 (E7.5); signal C-2WPT (E6.3). || [Merge] Exceptions: #48.</t>
  </si>
  <si>
    <t xml:space="preserve">PROPOSED-Blower-High-Temperature-Switches</t>
  </si>
  <si>
    <t xml:space="preserve">High-temperature switches at the aeration blowers (typ.)</t>
  </si>
  <si>
    <t xml:space="preserve">E2.1; E7.3</t>
  </si>
  <si>
    <t xml:space="preserve">E2.1 plan label "HIGH TEMPERATURE SWITCHES (TYP)" (plans_9 p.3); E7.3 inputs "HIGH MOTOR TEMP" (key note 1) and "HIGH ENCLOSURE TEMP" for the digester blower and aeration blower 1–4 enclosures (plans_10 p.8)</t>
  </si>
  <si>
    <t xml:space="preserve">Whether furnished with the blower package is not stated.; E7.3 shows two thermal contacts per blower enclosure, five enclosures, 10 inputs; the motor contact comes through the supplier PTC relay (key note 1), the enclosure switch furnisher is still not stated.; No Division 26 section covers these switches (26 80 00 ¶2.04 read by instrument type). || [Merge] Exceptions: #118.</t>
  </si>
  <si>
    <t xml:space="preserve">PROPOSED-Blower-Building-Grounding-Electrode-System</t>
  </si>
  <si>
    <t xml:space="preserve">Blower Building grounding electrode system (ground rods, concrete-encased electrode, structural steel, metal water pipe)</t>
  </si>
  <si>
    <t xml:space="preserve">E2.1; E10.1; 26 05 26</t>
  </si>
  <si>
    <t xml:space="preserve">E2.1 key note 1 and reference to detail 1/E10.1 (plans_9 p.3); E10.1 grounding system and ground rod details (plans_12 p.6); 26 05 26 ¶2.01 D (p.289): copper-clad rods 3/4 in x 8 ft; 26 05 19 ¶3.07 G.3 (p.288): 25 ohms maximum per rod, 15 ohms composite; Testing/startup: 26 05 19 ¶3.07 pp.286–288 (insulation resistance 1,000 VDC, 1 megohm min; continuity; thermal imaging; ground rods 25 ohms max, composite 15 ohms)</t>
  </si>
  <si>
    <t xml:space="preserve">EF-1</t>
  </si>
  <si>
    <t xml:space="preserve">Exhaust Fan 1, Blower Building (motor marked 1/2), circuit LP1-5</t>
  </si>
  <si>
    <t xml:space="preserve">E2.2; E6.2</t>
  </si>
  <si>
    <t xml:space="preserve">Add. 4 p.3, A1.1/A1.2/C6.4 item (relocation) — Add. 4 governs</t>
  </si>
  <si>
    <t xml:space="preserve">E2.2 plan label and LP1 schedule circuit 5 (plans_9 p.4); Add. 4 p.3; E6.2 LP1 circuit 5 (plans_10 p.3)</t>
  </si>
  <si>
    <t xml:space="preserve">Cross-lane: Process &amp; Mechanical. Governing spec 23 34 00 is in that lane. LP1 circuit 5: 1,127 VA, 20 A 1-pole. Thermostat control through the ventilation control panel (E2.2 key note 4). Location per A1.1 reissue (Add. 4 p.4). Status New inferred: in the new Blower Building. || [Merge] Exceptions: #20, #203.</t>
  </si>
  <si>
    <t xml:space="preserve">EF-2</t>
  </si>
  <si>
    <t xml:space="preserve">Exhaust Fan 2, Blower Building (motor marked 1/2), circuit LP1-7</t>
  </si>
  <si>
    <t xml:space="preserve">E2.2 plan label and LP1 schedule circuit 7 (plans_9 p.4); Add. 4 p.3; E6.2 LP1 circuit 7 (plans_10 p.3)</t>
  </si>
  <si>
    <t xml:space="preserve">Cross-lane: Process &amp; Mechanical. Governing spec 23 34 00 is in that lane. LP1 circuit 7: 1,127 VA, 20 A 1-pole. Location per A1.1 reissue (Add. 4 p.4). Status New inferred. || [Merge] Exceptions: #20, #203.</t>
  </si>
  <si>
    <t xml:space="preserve">ML-1</t>
  </si>
  <si>
    <t xml:space="preserve">Motorized louver ML-1, Blower Building (motor marked 1/6), louver and HVAC control circuit LP1-3</t>
  </si>
  <si>
    <t xml:space="preserve">E2.2</t>
  </si>
  <si>
    <t xml:space="preserve">E2.2 plan label "MOTORIZED LOUVER" and LP1 schedule circuit 3 (plans_9 p.4)</t>
  </si>
  <si>
    <t xml:space="preserve">Cross-lane: Process &amp; Mechanical. Operates when either exhaust fan runs (E2.2 key note 4). Status New inferred. || [Merge] Exceptions: #21, #203.</t>
  </si>
  <si>
    <t xml:space="preserve">PROPOSED-Blower-Building-Manual-Louver</t>
  </si>
  <si>
    <t xml:space="preserve">Manual louver, Blower Building</t>
  </si>
  <si>
    <t xml:space="preserve">1 (Inferred per 04)</t>
  </si>
  <si>
    <t xml:space="preserve">E2.2 plan label "MANUAL LOUVER" (plans_9 p.4)</t>
  </si>
  <si>
    <t xml:space="preserve">Cross-lane: Process &amp; Mechanical. No electrical connection shown. Status New inferred. || [Merge] Exceptions: #22.</t>
  </si>
  <si>
    <t xml:space="preserve">L1 (Blower Building)</t>
  </si>
  <si>
    <t xml:space="preserve">Light fixture type L1: narrow LED 4-ft, vapor tight, 120 V, 42 VA (Acuity CSVT-L48…)</t>
  </si>
  <si>
    <t xml:space="preserve">26 51 19</t>
  </si>
  <si>
    <t xml:space="preserve">E2.2 Blower Building lighting fixture schedule and plan "L1 (TYP)" (plans_9 p.4); Submittal: 26 51 19 ¶1.06 p.350 (product sheets, photometric reports where scheduled, WSEC control devices); Testing/startup: 26 51 19 ¶3.01 I p.351 (test and demonstrate lighting controls, as applicable)</t>
  </si>
  <si>
    <t xml:space="preserve">5 shown on plan. On occupancy sensor (key note 3). Full catalog string not legible at stored resolution.</t>
  </si>
  <si>
    <t xml:space="preserve">L2 (Blower Building)</t>
  </si>
  <si>
    <t xml:space="preserve">Light fixture type L2: LED wall pack, wet location, photocell, 120 V, 17 VA (Acuity ARC1 LED…)</t>
  </si>
  <si>
    <t xml:space="preserve">E2.2 Blower Building lighting fixture schedule and plan (plans_9 p.4); Submittal: 26 51 19 ¶1.06 p.350 (product sheets, photometric reports where scheduled, WSEC control devices); Testing/startup: 26 51 19 ¶3.01 I p.351 (test and demonstrate lighting controls, as applicable)</t>
  </si>
  <si>
    <t xml:space="preserve">1 shown on plan. Dedicated switch, dark-sky compliant (key note 1).</t>
  </si>
  <si>
    <t xml:space="preserve">X1 (Blower Building)</t>
  </si>
  <si>
    <t xml:space="preserve">Light fixture type X1: LED emergency combo with battery pack, 120 V, 6 VA (Lithonia ECC)</t>
  </si>
  <si>
    <t xml:space="preserve">2 shown on plan. Wired to the interior lighting circuit (key note 2).</t>
  </si>
  <si>
    <t xml:space="preserve">PROPOSED-Blower-Building-Ventilation-Control-Panel</t>
  </si>
  <si>
    <t xml:space="preserve">Ventilation control panel: relay controls, one thermostat per exhaust fan, louver interlock</t>
  </si>
  <si>
    <t xml:space="preserve">E2.2 key note 4 (plans_9 p.4)</t>
  </si>
  <si>
    <t xml:space="preserve">Elevation and wiring on E9.3. 02 notes 23 34 00 cross-checks E9.3.; Tag renamed from PROPOSED-Ventilation-Control-Panel after a second ventilation control panel appeared on E4.1 (workflow log).; Not in 26 80 00 ¶2.02 (it lists one ventilation control panel, the Treatment Building unit of ¶3.09 J); no Division 26 section governs it. || [Merge] Exceptions: #119.</t>
  </si>
  <si>
    <t xml:space="preserve">TCP-3</t>
  </si>
  <si>
    <t xml:space="preserve">Train No.3 control panel TCP-3 (by treatment system provider), 480 V 3-ph input, NEMA 4X Type 316 SS</t>
  </si>
  <si>
    <t xml:space="preserve">Train No.3</t>
  </si>
  <si>
    <t xml:space="preserve">E3.1; E6.1; E6.3; E7.3; E9.1</t>
  </si>
  <si>
    <t xml:space="preserve">E3.1 key note 1, plan label "TRAIN NO.3 CONTROL PANEL", conduits P-TCP3/C-TCP3 (plans_9 p.5); E6.1 one-line tag TCP-3 "CELL 3 CONTROL PANEL", MCC 30/3, load calcs "Train 3 treatment panel" 10 HP (plans_10 p.2); E6.3 P-TCP3 1" 3 #10, C-TCP3 12 #14, P-TS3A field devices, P-TS3B pole light and receptacle (plans_10 p.4); E7.3 "TREATMENT CELL 3 CONTROL PANEL" running, alarm, shutdown inputs on card 4 (plans_10 p.8); E9.1 NP-2C "TRAIN NO.3 / PANEL FEEDER" (plans_12 p.3)</t>
  </si>
  <si>
    <t xml:space="preserve">Cross-lane: Process &amp; Mechanical. Furnished by the treatment system provider "per specifications" (46 53 00 by title — Inferred). E&amp;C installs provider components and provides wiring and raceway back to the panel.; Tag renamed from PROPOSED-Train-3-Control-Panel after E6.1 showed the printed tag (workflow log). || [Merge] Exceptions: #31, #161.</t>
  </si>
  <si>
    <t xml:space="preserve">PROPOSED-Train-3-Clarifier-Drive-Motor</t>
  </si>
  <si>
    <t xml:space="preserve">Train No.3 clarifier drive motor</t>
  </si>
  <si>
    <t xml:space="preserve">E3.1; E6.3</t>
  </si>
  <si>
    <t xml:space="preserve">E3.1 key note 1 and conduit P-CL3 (plans_9 p.5); E6.3 P-CL3 "CLARIFIER DRIVE NO.3" (plans_10 p.4)</t>
  </si>
  <si>
    <t xml:space="preserve">Cross-lane: Process &amp; Mechanical. Started from the Train No.3 control panel (full-voltage starter). || [Merge] Exceptions: #33.</t>
  </si>
  <si>
    <t xml:space="preserve">PROPOSED-Train-3-Submersible-Mixer-A</t>
  </si>
  <si>
    <t xml:space="preserve">Train No.3 submersible mixer A</t>
  </si>
  <si>
    <t xml:space="preserve">E3.1 key note 1, plan label "SUBMERSIBLE MIXER MOTOR AND LOCAL DISCONNECT (TYP OF 2)", conduit P-MX3A (plans_9 p.5); E6.3 P-MX3A "CELL 3 SUBMERSIBLE MIXER 1" (plans_10 p.4)</t>
  </si>
  <si>
    <t xml:space="preserve">Cross-lane: Process &amp; Mechanical. Governing spec 46 41 23 by title (Inferred). Seal-fail and over-temperature wiring back to the control panel (E3.1 key note). || [Merge] Exceptions: #32.</t>
  </si>
  <si>
    <t xml:space="preserve">PROPOSED-Train-3-Submersible-Mixer-B</t>
  </si>
  <si>
    <t xml:space="preserve">Train No.3 submersible mixer B</t>
  </si>
  <si>
    <t xml:space="preserve">E3.1 key note 1, plan label (TYP OF 2), conduit P-MX3B (plans_9 p.5); E6.3 P-MX3B "CELL 3 SUBMERSIBLE MIXER 2" (plans_10 p.4)</t>
  </si>
  <si>
    <t xml:space="preserve">Cross-lane: Process &amp; Mechanical. Governing spec 46 41 23 by title (Inferred). || [Merge] Exceptions: #32.</t>
  </si>
  <si>
    <t xml:space="preserve">PROPOSED-Train-3-Local-Disconnects</t>
  </si>
  <si>
    <t xml:space="preserve">Local motor disconnects, NEMA 4X Type 316 SS, for the clarifier drive and two mixers (3)</t>
  </si>
  <si>
    <t xml:space="preserve">E3.1</t>
  </si>
  <si>
    <t xml:space="preserve">E3.1 key note ("provide local motor disconnects for drive motor and mixer"), plan label "(TYP OF 2)", gen. note 4 (plans_9 p.5); Submittal: 26 28 16 ¶1.03 p.314 (catalog data per 26 05 00 ¶1.012)</t>
  </si>
  <si>
    <t xml:space="preserve">Quantity 3 inferred: one drive motor plus two mixers.</t>
  </si>
  <si>
    <t xml:space="preserve">PROPOSED-Train-3-Pole-Light</t>
  </si>
  <si>
    <t xml:space="preserve">Platform pole light: 4-in square aluminum pole, 12 ft, receptacle, photocell, local switch; Lithonia "#DXS0-LED-P3-30K-T3M-MVOLT-SPA-DNAXD" (as printed) or equal</t>
  </si>
  <si>
    <t xml:space="preserve">E3.1 key note (plans_9 p.5); E6.3 P-TS3B 1" 4 #12, Train No.3 control panel to pole light and receptacle (plans_10 p.4); Submittal: 26 51 19 ¶1.06 p.350 (product sheets, photometric reports where scheduled, WSEC control devices); Testing/startup: 26 51 19 ¶3.01 I p.351 (test and demonstrate lighting controls, as applicable)</t>
  </si>
  <si>
    <t xml:space="preserve">Fed from the 120 V circuit in the Train No.3 control panel (key note 1 item 11). Secured to the handrail with stainless hardware.</t>
  </si>
  <si>
    <t xml:space="preserve">PROPOSED-SCADA-Computer-System</t>
  </si>
  <si>
    <t xml:space="preserve">SCADA computer system with Cat 6 network junction box, combo network/telephone outlet and SCADA alarm dialer connection</t>
  </si>
  <si>
    <t xml:space="preserve">6 (extra SCADA/PLC programming, if ordered, is Item 17 — force account; 04)</t>
  </si>
  <si>
    <t xml:space="preserve">Lab — existing Office/Lab/Shop Building</t>
  </si>
  <si>
    <t xml:space="preserve">E0.3; E6.3; E7.0</t>
  </si>
  <si>
    <t xml:space="preserve">E0.3 key note 1 and conduit tag S-LAB (plans_8 p.8); building name per E0.2 plan label "EXISTING OFFICE/LAB/SHOP BUILDING" (plans_8 p.7); E7.0 office: SCADA computer with alarm dialer, network switch, telephone (E), internet (E) (plans_10 p.5); E6.3 S-LAB 2" 2 Cat 6, lab SCADA computer area to influent control panel (plans_10 p.4); Submittal: 26 80 00 ¶1.06 p.356 (hardware submittals before fabrication; control system documentation); Testing/startup: 26 80 00 ¶3.03–3.04 and ¶3.08 pp.371–372 (witnessed factory simulation; field acceptance test; programming, start-up, commissioning)</t>
  </si>
  <si>
    <t xml:space="preserve">Final location in the lab coordinated with the Owner. Cat 6 to the network switch in the Influent Pump Station control panel; existing telephone circuit wired to the J-box for the alarm dialer.</t>
  </si>
  <si>
    <t xml:space="preserve">IP-1</t>
  </si>
  <si>
    <t xml:space="preserve">Influent Pump No.1, 3 HP, explosion-proof (XP), 4.8 FLA</t>
  </si>
  <si>
    <t xml:space="preserve">E4.1; E4.2; E6.1; E6.3; E8.1; E8.2; E8.3; E8.4</t>
  </si>
  <si>
    <t xml:space="preserve">E4.1 and E4.2 plan tag, motor marked 3 (plans_9 pp.6–7); E6.1 one-line and load calculations 3 HP (plans_10 p.2); E6.3 P-IP1 (plans_10 p.4); E8.1 full-voltage NEMA pump starters "(INFLUENT PUMPS 1,2,3,4)" and pump 1 hand-off-auto, run, fail, seal fail, overtemperature and reset on the IPS door (plans_11 p.5); E8.2 "PUMP NO. 1, XP 4.8 FLA", starter and overload (plans_11 p.6); E8.3 pump 1 inputs (plans_11 p.7); E8.4 output 0 "INFLUENT PUMP #1 CALL TO RUN" (plans_11 p.8)</t>
  </si>
  <si>
    <t xml:space="preserve">Cross-lane: Process &amp; Mechanical. Governing pump spec is in that lane. Fed from IPS 15/3 with contactor and overload (E6.1); E6.3 lists P-IP1 "from MCC" — see Issues. Generator factor 1.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 #167, #207.</t>
  </si>
  <si>
    <t xml:space="preserve">IP-2</t>
  </si>
  <si>
    <t xml:space="preserve">Influent Pump No.2, 3 HP, explosion-proof (XP), 4.8 FLA</t>
  </si>
  <si>
    <t xml:space="preserve">E4.1 and E4.2 plan tag, motor marked 3 (plans_9 pp.6–7); E6.1 one-line and load calculations 3 HP (plans_10 p.2); E6.3 P-IP2 (plans_10 p.4); E8.1 full-voltage NEMA pump starters "(INFLUENT PUMPS 1,2,3,4)" and pump 2 hand-off-auto, run, fail, seal fail, overtemperature and reset on the IPS door (plans_11 p.5); E8.2 "PUMP NO. 2, XP 4.8 FLA", starter and overload (plans_11 p.6); E8.3 pump 2 inputs (plans_11 p.7); E8.4 output 1 "INFLUENT PUMP #2 CALL TO RUN" (plans_11 p.8)</t>
  </si>
  <si>
    <t xml:space="preserve">Cross-lane: Process &amp; Mechanical. Governing pump spec is in that lane. Fed from IPS 15/3 with contactor and overload (E6.1); E6.3 lists P-IP2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E8.3 lists a "VFD FAULT" input and no "auto selected" input for pump 2 — see Issues. || [Merge] Exceptions: #36.</t>
  </si>
  <si>
    <t xml:space="preserve">IP-3</t>
  </si>
  <si>
    <t xml:space="preserve">Influent Pump No.3, 5 HP, explosion-proof (XP), 7.6 FLA</t>
  </si>
  <si>
    <t xml:space="preserve">E4.1 and E4.2 plan tag, motor marked 5 (plans_9 pp.6–7); E6.1 one-line and load calculations 5 HP (plans_10 p.2); E6.3 P-IP3 (plans_10 p.4); E8.1 full-voltage NEMA pump starters "(INFLUENT PUMPS 1,2,3,4)" and pump 3 hand-off-auto, run, fail, seal fail, overtemperature and reset on the IPS door (plans_11 p.5); E8.2 "PUMP NO. 3, XP 7.6 FLA", starter and overload (plans_11 p.6); E8.3 pump 3 inputs (plans_11 p.7); E8.4 output 2 "INFLUENT PUMP #3 CALL TO RUN" (plans_11 p.8)</t>
  </si>
  <si>
    <t xml:space="preserve">Cross-lane: Process &amp; Mechanical. Governing pump spec is in that lane. Fed from IPS 20/3 with contactor and overload (E6.1); E6.3 lists P-IP3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t>
  </si>
  <si>
    <t xml:space="preserve">IP-4</t>
  </si>
  <si>
    <t xml:space="preserve">Influent Pump No.4, 5 HP, explosion-proof (XP), 7.6 FLA</t>
  </si>
  <si>
    <t xml:space="preserve">E4.1 and E4.2 plan tag, motor marked 5 (plans_9 pp.6–7); E6.1 one-line and load calculations 5 HP (plans_10 p.2); E6.3 P-IP4 (plans_10 p.4); E8.1 full-voltage NEMA pump starters "(INFLUENT PUMPS 1,2,3,4)" and pump 4 hand-off-auto, run, fail, seal fail, overtemperature and reset on the IPS door (plans_11 p.5); E8.2 "PUMP NO. 4, XP 7.6 FLA", starter and overload (plans_11 p.6); E8.3 pump 4 inputs (plans_11 p.7); E8.4 output 3 "INFLUENT PUMP #4 CALL TO RUN" (plans_11 p.8)</t>
  </si>
  <si>
    <t xml:space="preserve">Cross-lane: Process &amp; Mechanical. Governing pump spec is in that lane. Fed from IPS 20/3 with contactor and overload (E6.1); E6.3 lists P-IP4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 #167, #207.</t>
  </si>
  <si>
    <t xml:space="preserve">F1 (Influent Pump Station)</t>
  </si>
  <si>
    <t xml:space="preserve">Float switch F1, Eco-Float GP60NONC, non-mercury NO/NC — redundant large lag on at 19.00 (with timer)</t>
  </si>
  <si>
    <t xml:space="preserve">E4.1; E4.2; E6.3; E8.1; E8.3; E10.1</t>
  </si>
  <si>
    <t xml:space="preserve">E4.2 key note 2 and level control table (plans_9 p.7); E4.1 S-FLT1 (plans_9 p.6); E6.3 S-FLT1 1" 2 #14, wet well handhole to influent control panel (plans_10 p.4); E8.1 intrinsic safety barriers for floats; float-activated light and float test on the IPS door (plans_11 p.5); E8.3 input "FLOAT F1" through ISR-F1B and high-level float control circuit: CRH1 "HIGH FLOAT STARTS PUMP 1", TDR1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</si>
  <si>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Redundant backup to the level transducer (E4.2 table). Own conduit per cable (E4.1 key note 1). Status New inferred: specified by make and model and wired on new conduit.; E8.3 wires this float to start pump 1; E4.2 names its duty by pump size — float-to-pump conflict tracked at the IPS row and in Issues. || [Merge] Exceptions: #40.</t>
  </si>
  <si>
    <t xml:space="preserve">F2 (Influent Pump Station)</t>
  </si>
  <si>
    <t xml:space="preserve">Float switch F2, Eco-Float GP60NONC, non-mercury NO/NC — redundant large lead on at 18.50</t>
  </si>
  <si>
    <t xml:space="preserve">E4.2 key note 2 and level control table (plans_9 p.7); E4.1 S-FLT2 (plans_9 p.6); E6.3 S-FLT2 1" 2 #14, wet well handhole to influent control panel (plans_10 p.4); E8.1 intrinsic safety barriers for floats; float-activated light and float test on the IPS door (plans_11 p.5); E8.3 input "FLOAT F2" through ISR-F2B and high-level float control circuit: CRH2 "HIGH FLOAT STARTS PUMP 2", TDR2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</si>
  <si>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Redundant backup to the level transducer (E4.2 table). Own conduit per cable (E4.1 key note 1). Status New inferred: specified by make and model and wired on new conduit.; E8.3 wires this float to start pump 2; E4.2 names its duty by pump size — float-to-pump conflict tracked at the IPS row and in Issues. || [Merge] Exceptions: #40.</t>
  </si>
  <si>
    <t xml:space="preserve">F3 (Influent Pump Station)</t>
  </si>
  <si>
    <t xml:space="preserve">Float switch F3, Eco-Float GP60NONC, non-mercury NO/NC — redundant small lag on at 18.00</t>
  </si>
  <si>
    <t xml:space="preserve">E4.2 key note 2 and level control table (plans_9 p.7); E4.1 S-FLT3 (plans_9 p.6); E6.3 S-FLT3 1" 2 #14, wet well handhole to influent control panel (plans_10 p.4); E8.1 intrinsic safety barriers for floats; float-activated light and float test on the IPS door (plans_11 p.5); E8.3 input "FLOAT F3" through ISR-F3B and high-level float control circuit: CRH3 "HIGH FLOAT STARTS PUMP 3", TDR3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</si>
  <si>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Redundant backup to the level transducer (E4.2 table). Own conduit per cable (E4.1 key note 1). Status New inferred: specified by make and model and wired on new conduit.; E8.3 wires this float to start pump 3; E4.2 names its duty by pump size — float-to-pump conflict tracked at the IPS row and in Issues. || [Merge] Exceptions: #40.</t>
  </si>
  <si>
    <t xml:space="preserve">F4 (Influent Pump Station)</t>
  </si>
  <si>
    <t xml:space="preserve">Float switch F4, Eco-Float GP60NONC, non-mercury NO/NC — redundant small lead on at 17.50</t>
  </si>
  <si>
    <t xml:space="preserve">E4.2 key note 2 and level control table (plans_9 p.7); E4.1 S-FLT4 (plans_9 p.6); E6.3 S-FLT4 1" 2 #14, wet well handhole to influent control panel (plans_10 p.4); E8.1 intrinsic safety barriers for floats; float-activated light and float test on the IPS door (plans_11 p.5); E8.3 input "FLOAT F4" through ISR-F4B and high-level float control circuit: CRH4 "HIGH FLOAT STARTS PUMP 4", TDR4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</si>
  <si>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Redundant backup to the level transducer (E4.2 table). Own conduit per cable (E4.1 key note 1). Status New inferred: specified by make and model and wired on new conduit.; E8.3 wires this float to start pump 4; E4.2 names its duty by pump size — float-to-pump conflict tracked at the IPS row and in Issues. || [Merge] Exceptions: #40.</t>
  </si>
  <si>
    <t xml:space="preserve">LT (Influent Pump Station)</t>
  </si>
  <si>
    <t xml:space="preserve">Submersible level transducer: WIKA pressure transmitter, 316 SS, 0–15 psi, LevelGuard, 4–20 mA loop powered, vented, NEMA 4X termination enclosure</t>
  </si>
  <si>
    <t xml:space="preserve">E4.1; E4.2; E6.3; E8.1; E8.5; E10.1</t>
  </si>
  <si>
    <t xml:space="preserve">E4.2 key note 1, elevation and level control table (plans_9 p.7); E4.1 S-LT-IP (plans_9 p.6); E6.3 S-LT-IP 1" 1 #18TSP (plans_10 p.4); E8.1 intrinsic safety barrier for the level transducer; "INFLUENT WET WELL LEVEL" display on the IPS door (plans_11 p.5); E8.5 analog input 0 "WET WELL LEVEL 0-15 FT" through an intrinsic safety barrier and panel level indicator (plans_12 p.1);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</si>
  <si>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Normal pump sequence and high/low alarms run on the transducer (E4.2 table). Status New inferred: specified by make and model and wired on new conduit.; Range conflict: 0–15 psi on E4.2 vs 0–15 ft at the PLC on E8.5 — see Issues. || [Merge] Exceptions: #39.</t>
  </si>
  <si>
    <t xml:space="preserve">IPS</t>
  </si>
  <si>
    <t xml:space="preserve">Influent Pump Station control panel, 480 V 3-ph 3-W, NEMA 4X SS: 60 A main, starters for IP-1 to IP-4, T3 and LP2, Allen-Bradley CompactLogix PLC (1768-ENBT), network switch, flow-meter transmitters</t>
  </si>
  <si>
    <t xml:space="preserve">E4.1; E6.1; E6.3; E7.0; E7.2; E8.1; E8.2; E8.3; E8.4; E8.5; E8.6; E9.1</t>
  </si>
  <si>
    <t xml:space="preserve">E4.1; E6.1; E6.3; E7.0; E7.2; E8.1; E8.2; E8.3; E8.4; E8.5; E8.6; E9.1; 26 80 00</t>
  </si>
  <si>
    <t xml:space="preserve">E6.1 one-line label "IPS INFLUENT PUMP STATION CONTROL PANEL - 480V, THREE PHASE, 3 WIRE, NEMA 4X SS" (plans_10 p.2); E4.1 plan label (plans_9 p.6); E6.3 P-ICP 2" 3 #4 + #10 G and S-ICP (plans_10 p.4); E7.0 (plans_10 p.5); E8.1 elevations, swing-out door detail, backpanel and key notes 1–4 (plans_11 p.5); E7.2 typical power wiring (plans_10 p.7); E8.2 power and pump control wiring (plans_11 p.6); E8.3–E8.6 I/O (plans_11 pp.7–8; plans_12 pp.1–2); E9.1 MCC feeder NP-2E (plans_12 p.3); 26 80 00 ¶2.02 A.3.b "Influent Control Panel" (p.357); Submittal: 26 80 00 ¶1.06 p.356 (hardware submittals before fabrication; control system documentation); Testing/startup: 26 80 00 ¶3.03–3.04 and ¶3.08 pp.371–372 (witnessed factory simulation; field acceptance test; programming, start-up, commissioning)</t>
  </si>
  <si>
    <t xml:space="preserve">Fed from MCC 60/3 via P-ICP. Starters: 15/3 IP-1, IP-2; 20/3 IP-3, IP-4, each contactor and overload (full-voltage by symbol — Inferred); 30/2 to T3. Takes floats/transducer, five flow meters, influent sampler and polymer flow pace, dewatering skid Cat 6; drives the WAS solenoids (P-WSV). E6.3 calls it "influent control panel". Network switch per E0.3 key note 1 and E7.0. System integrator designs the panel (E7.0 gen. note 1). Status New inferred: new one-line equipment.; E8.1: NEMA 4X Type 316 SS with drip shield on a concrete equipment pad per civil; lockable outer door, swing-out inner door with per-pump HOA, run, fail, seal fail, overtemperature and reset, four float-activated lights with test buttons, wet well level display; main 480 V disconnect, LP2 and its transformer, phase monitor, pump breakers and full-voltage NEMA starters for influent pumps 1–4 (confirms the E6.1 symbols), seal-fail relays from the pump manufacturer, intrinsic safety barriers for floats and transducer, flow transmitters for influent, Cell 1 (future space), Cell 2, Cell 3 and plant drain, panel heater (800 W per E7.2) and thermostat, area light HOA, GFCI receptacle.; E8.2: surge suppressor, phase-fail relay, CPT1, starter and overload per pump, high-float bypass of the PLC contact. I/O: two 16-point input cards (32 of 32 used; general note 2 wants 20% spare, so a third card — Inferred), one 16-point output card (11 used), one 8-channel analog input card (3 used), one 8-channel analog output card (2 used). Hardwired high-float circuit with TDR1–4 (0–60 s) and CRH1–4. Unresolved: starter location (E6.3/E8.3 say MCC), pump 2 input list, float-to-pump mapping — see Issues.</t>
  </si>
  <si>
    <t xml:space="preserve">T3</t>
  </si>
  <si>
    <t xml:space="preserve">Transformer T3, 10 kVA, 480–120/240V (inside IPS panel; feeds LP2)</t>
  </si>
  <si>
    <t xml:space="preserve">E6.1; E8.1</t>
  </si>
  <si>
    <t xml:space="preserve">E6.1; E8.1; 26 22 13</t>
  </si>
  <si>
    <t xml:space="preserve">E6.1 one-line and load calculations "LP-2 influent pump station load center 10 kVA" (plans_10 p.2); E8.1 LP2 "with transformer" inside the IPS panel (plans_11 p.5); Submittal: 26 22 13 ¶1.05 p.297 (catalog data per 26 05 00)</t>
  </si>
  <si>
    <t xml:space="preserve">Fed from IPS 30/2. Status New inferred: part of the new IPS panel.; Mounted inside the IPS panel (E8.1).</t>
  </si>
  <si>
    <t xml:space="preserve">LP2</t>
  </si>
  <si>
    <t xml:space="preserve">Panel LP2 (Influent Pump Station panel), 120/240 V 1-ph 3-W, 100 A bus, 60 A main breaker, 10,000 AIC, surface mounted</t>
  </si>
  <si>
    <t xml:space="preserve">E4.1; E6.1; E6.2; E8.1</t>
  </si>
  <si>
    <t xml:space="preserve">E4.1; E6.1; E6.2; E8.1; 26 24 16</t>
  </si>
  <si>
    <t xml:space="preserve">E6.2 Panel LP2 schedule dated September 15, 2022 (plans_10 p.3); E6.1 load center via T3 and load calcs (plans_10 p.2); E4.1 circuit callouts LP2-2 to LP2-11 (plans_9 p.6); E8.1 "120/240V PANEL LP2 WITH TRANSFORMER AND OVERCURRENT PROTECTION (NOT SHOWN)" inside the IPS panel (plans_11 p.5); Submittal: 26 24 16 ¶1.02 p.300 (catalog data per 26 05 00); Testing/startup: 26 24 16 ¶3.03 pp.303–304 (inspection, phase load balancing within 20%, torque check)</t>
  </si>
  <si>
    <t xml:space="preserve">Loads: pump station control circuits, wall pack lighting, ventilation control panel, EF-3/EF-4/EF-5, H2S and methane sensors, polymer feed pump and influent sampler receptacles; demand 7.8 kVA, 32.3 A. Printed LP2 (E4.1, E6.2) and LP-2 (E6.1 load calcs). Status New inferred.; 26 24 16 ¶2.02 H: surge arrester with indicator required on every panel — not shown on the E6.2 schedule; complementary per 26 05 00 ¶1.011 B.</t>
  </si>
  <si>
    <t xml:space="preserve">PROPOSED-Influent-Pump-Local-Disconnects</t>
  </si>
  <si>
    <t xml:space="preserve">Influent pump motor local disconnects (4) on the building wall within sight of the wet well; outdoor enclosures lockable Type 316 SS with drip shields</t>
  </si>
  <si>
    <t xml:space="preserve">E4.1; E6.1</t>
  </si>
  <si>
    <t xml:space="preserve">E4.1 key note 9, plan label "INFLUENT PUMP MOTOR DISCONNECTS - TYP OF 4" and gen. note 4 (plans_9 p.6); E6.1 key note 4 (plans_10 p.2); Submittal: 26 28 16 ¶1.03 p.314 (catalog data per 26 05 00 ¶1.012)</t>
  </si>
  <si>
    <t xml:space="preserve">Final location coordinated during construction (key note 9).</t>
  </si>
  <si>
    <t xml:space="preserve">PROPOSED-Influent-Wet-Well-Power-Handhole</t>
  </si>
  <si>
    <t xml:space="preserve">Influent wet well pump power handhole, precast, traffic rated, solid bottom with sump and drain</t>
  </si>
  <si>
    <t xml:space="preserve">E4.1; E4.2; E10.1</t>
  </si>
  <si>
    <t xml:space="preserve">E4.1; E4.2; E10.1; 26 05 33</t>
  </si>
  <si>
    <t xml:space="preserve">E4.1 key note 1 and plan label "POWER AND INSTRUMENT HANDHOLES" (plans_9 p.6); E4.2 hazardous area connection detail 1 (plans_9 p.7);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</si>
  <si>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Cable connection point with explosion-proof junction boxes and conduit seals per NEC 500; sized per NEC 314.28(A)/314.30(A) (E4.2). Locations schematic (E4.1 gen. note 5).</t>
  </si>
  <si>
    <t xml:space="preserve">PROPOSED-Influent-Wet-Well-Instrument-Handhole</t>
  </si>
  <si>
    <t xml:space="preserve">Influent wet well instrumentation handhole, precast, traffic rated, solid bottom with sump and drain</t>
  </si>
  <si>
    <t xml:space="preserve">E4.1; E4.2; E6.3; E10.1</t>
  </si>
  <si>
    <t xml:space="preserve">E4.1; E4.2; E6.3; E10.1; 26 05 33</t>
  </si>
  <si>
    <t xml:space="preserve">E4.1 key note 1 and plan label (plans_9 p.6); E4.2 detail 1 "INSTRUMENTATION HANDHOLE" (plans_9 p.7); E6.3 "influent wet well handhole" for S-FLT1–4 and S-LT-IP (plans_10 p.4);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</si>
  <si>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Explosion-proof junction boxes and conduit seals per NEC 500 (E4.2).</t>
  </si>
  <si>
    <t xml:space="preserve">PROPOSED-Treatment-Building-Power-Handhole</t>
  </si>
  <si>
    <t xml:space="preserve">Electric power handhole at the Treatment Building / IPS panel location</t>
  </si>
  <si>
    <t xml:space="preserve">Treatment Building (existing; E4.1 key note 3 calls it "Dewatering Building" — see Issues)</t>
  </si>
  <si>
    <t xml:space="preserve">E4.1; E10.1</t>
  </si>
  <si>
    <t xml:space="preserve">E4.1; E10.1; 26 05 33</t>
  </si>
  <si>
    <t xml:space="preserve">E4.1 plan label "POWER HANDHOLE" and key note 8 (plans_9 p.6);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</si>
  <si>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Minimum two 1-in spares from the handhole to the side of the building, stubbed and capped (key note 8). Home runs P-ICP, P-DW-1, P-SD1, P-WP1, P-WP2 and spares to the Blower Building.</t>
  </si>
  <si>
    <t xml:space="preserve">PROPOSED-Treatment-Building-Control-Signal-Handhole</t>
  </si>
  <si>
    <t xml:space="preserve">Electric control and signal handhole at the Treatment Building / IPS panel location</t>
  </si>
  <si>
    <t xml:space="preserve">E4.1; E7.0; E10.1</t>
  </si>
  <si>
    <t xml:space="preserve">E4.1; E7.0; E10.1; 26 05 33</t>
  </si>
  <si>
    <t xml:space="preserve">E4.1 plan label "CONTROL AND SIGNAL HANDHOLE" and key note 8 (plans_9 p.6); E7.0 "control handhole(s)" on the S-ICP route (plans_10 p.5);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</si>
  <si>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Minimum two 1-in spares (key note 8). Home runs S-FP3, S-FP4, S-ICP and spares to the Blower Building.</t>
  </si>
  <si>
    <t xml:space="preserve">PROPOSED-Influent-Flow-Meter</t>
  </si>
  <si>
    <t xml:space="preserve">Influent magnetic flow meter, Endress+Hauser Promag W400, Class I Div 2, EtherNet/IP, remote transmitter at the IPS panel, two 316L grounding rings</t>
  </si>
  <si>
    <t xml:space="preserve">E4.1; E6.3; E7.0; E8.1; E10.2</t>
  </si>
  <si>
    <t xml:space="preserve">E4.1 key note 2 and plan label "INFLUENT FLOW METER" (plans_9 p.6); E6.3 S-FMIN factory coil and electrode cables (plans_10 p.4); E7.0 (plans_10 p.5); E8.1 key note 2 transmitter "INFLUENT" in the IPS panel (plans_11 p.5); E10.2 flow meter summary item 1 "INFLUENT FLOW METER. SIZE: 6"" (plans_12 p.7); Submittal: 26 80 00 ¶1.06 p.356 (hardware submittals before fabrication; control system documentation); Testing/startup: 26 80 00 ¶3.03–3.04 and ¶3.08 pp.371–372 (witnessed factory simulation; field acceptance test; programming, start-up, commissioning)</t>
  </si>
  <si>
    <t xml:space="preserve">Size per civil drawings (key note 2). Status New inferred: specified by make and model and wired on new conduit.; Size 6 in, in a vault with submersible kit, transmitter in the IPS panel (E10.2). Key note 1 says "size per civil drawings" — cross-check listed in Issues. || [Merge] Exceptions: #9.</t>
  </si>
  <si>
    <t xml:space="preserve">PROPOSED-Plant-2-Flow-Meter</t>
  </si>
  <si>
    <t xml:space="preserve">Plant 2 magnetic flow meter ("Train #2 flow meter" on E7.0), Promag W400, remote transmitter at the IPS panel</t>
  </si>
  <si>
    <t xml:space="preserve">E4.1 key note 2 and plan label "PLANT 2 FLOW METER" (plans_9 p.6); E6.3 S-FMP2 (plans_10 p.4); E7.0 "TRAIN #2 FLOW METER" (plans_10 p.5); E8.1 key note 2 transmitter "CELL 2" / "TRAIN #2" in the IPS panel (plans_11 p.5); E10.2 flow meter summary item 3 "TRAIN #2 FLOW METER. SIZE: 8"" (plans_12 p.7); Submittal: 26 80 00 ¶1.06 p.356 (hardware submittals before fabrication; control system documentation); Testing/startup: 26 80 00 ¶3.03–3.04 and ¶3.08 pp.371–372 (witnessed factory simulation; field acceptance test; programming, start-up, commissioning)</t>
  </si>
  <si>
    <t xml:space="preserve">Plant 2 = Train #2 by count and panel (Inferred). Size per civil. Status New inferred: specified by make and model and wired on new conduit.; Size 8 in, in a vault with submersible kit, transmitter in the IPS panel (E10.2). Key note 1 says "size per civil drawings" — cross-check listed in Issues. || [Merge] Exceptions: #7.</t>
  </si>
  <si>
    <t xml:space="preserve">PROPOSED-Plant-3-Flow-Meter</t>
  </si>
  <si>
    <t xml:space="preserve">Plant 3 magnetic flow meter ("Train #3 flow meter" on E7.0), Promag W400, remote transmitter at the IPS panel</t>
  </si>
  <si>
    <t xml:space="preserve">E4.1 key note 2 and plan label "PLANT 3 FLOW METER" (plans_9 p.6); E6.3 S-FMP3 (plans_10 p.4); E7.0 "TRAIN #3 FLOW METER" (plans_10 p.5); E8.1 key note 2 transmitter "CELL 3" / "TRAIN #3" in the IPS panel (plans_11 p.5); E10.2 flow meter summary item 4 "TRAIN #3 FLOW METER. SIZE: 8"" (plans_12 p.7); Submittal: 26 80 00 ¶1.06 p.356 (hardware submittals before fabrication; control system documentation); Testing/startup: 26 80 00 ¶3.03–3.04 and ¶3.08 pp.371–372 (witnessed factory simulation; field acceptance test; programming, start-up, commissioning)</t>
  </si>
  <si>
    <t xml:space="preserve">Plant 3 = Train #3 by count and panel (Inferred). Status New inferred: specified by make and model and wired on new conduit.; Size 8 in, in a vault with submersible kit, transmitter in the IPS panel (E10.2). Key note 1 says "size per civil drawings" — cross-check listed in Issues. || [Merge] Exceptions: #8.</t>
  </si>
  <si>
    <t xml:space="preserve">PROPOSED-WAS-Dewatering-Flow-Meter</t>
  </si>
  <si>
    <t xml:space="preserve">Dewatering flow meter ("WAS flow meter" on E7.0), Promag W400 with local display, Cat 6 to the IPS panel</t>
  </si>
  <si>
    <t xml:space="preserve">E4.1; E6.3; E7.0; E10.2</t>
  </si>
  <si>
    <t xml:space="preserve">E4.1 key note 2 ("local display on flowmeter (WAS)") and plan label "DEWATERING FLOW METER", conduits P-WSV and S-FMDW (plans_9 p.6); E6.3 S-FMDW 2 #14 + Cat 6 (plans_10 p.4); E7.0 "WAS FLOW METER" (plans_10 p.5); E10.2 flow meter summary item 7 "WAS FLOW METER. SIZE: 2"" (plans_12 p.7); Submittal: 26 80 00 ¶1.06 p.356 (hardware submittals before fabrication; control system documentation); Testing/startup: 26 80 00 ¶3.03–3.04 and ¶3.08 pp.371–372 (witnessed factory simulation; field acceptance test; programming, start-up, commissioning)</t>
  </si>
  <si>
    <t xml:space="preserve">Dewatering = WAS meter by panel and key note 2 wording (Inferred). Status New inferred: specified by make and model and wired on new conduit.; Size 2 in, on piping near the WAS pumps, transmitter on the tube (E10.2). Key note 1 says "size per civil drawings" — cross-check listed in Issues. || [Merge] Exceptions: #43, #184.</t>
  </si>
  <si>
    <t xml:space="preserve">PROPOSED-Effluent-Flow-Meter</t>
  </si>
  <si>
    <t xml:space="preserve">Effluent magnetic flow meter in vault, Promag W400, remote housing, IP68 Type 6 potted submersible sensor, two 316L grounding rings</t>
  </si>
  <si>
    <t xml:space="preserve">UV Disinfection Chamber</t>
  </si>
  <si>
    <t xml:space="preserve">E5.1; E6.3; E7.0; E10.2</t>
  </si>
  <si>
    <t xml:space="preserve">E5.1 key note 2 and plan label "EFFLUENT FLOW METER" (plans_10 p.1); E6.3 S-FME factory cables (plans_10 p.4); E7.0 main PLC network (plans_10 p.5); E10.2 flow meter summary item 6 "EFFLUENT FLOW METER. SIZE: 8"" (plans_12 p.7); Submittal: 26 80 00 ¶1.06 p.356 (hardware submittals before fabrication; control system documentation); Testing/startup: 26 80 00 ¶3.03–3.04 and ¶3.08 pp.371–372 (witnessed factory simulation; field acceptance test; programming, start-up, commissioning)</t>
  </si>
  <si>
    <t xml:space="preserve">Transmitter in its own local panel (next row). Size per civil. Status New inferred: specified by make and model and wired on new conduit.; Size 8 in, in a vault with submersible kit, transmitter in a panel near the UV chamber (E10.2). Key note 1 says "size per civil drawings" — cross-check listed in Issues. E10.2 standard vault detail says Class I Div 2; E0.4 lists the effluent vault unclassified — see Issues. || [Merge] Exceptions: #10.</t>
  </si>
  <si>
    <t xml:space="preserve">PROPOSED-Effluent-Flow-Meter-Transmitter-Panel</t>
  </si>
  <si>
    <t xml:space="preserve">Effluent flow meter transmitter panel: stainless local control panel with the transmitter and instrument terminals, on handrail or rack with SS hardware</t>
  </si>
  <si>
    <t xml:space="preserve">E5.1; E6.3</t>
  </si>
  <si>
    <t xml:space="preserve">E5.1; E6.3; 26 80 00</t>
  </si>
  <si>
    <t xml:space="preserve">E5.1 key note 4 and plan label "EFFLUENT FLOW METER TRANSMITTER PANEL" (plans_10 p.1); E6.3 C-FME 4 #14 + Cat 6 to the PLC control panel (plans_10 p.4); 26 80 00 ¶2.02 A.3.c "Effluent Flow Meter Panel" (p.357); Submittal: 26 80 00 ¶1.06 p.356 (hardware submittals before fabrication; control system documentation); Testing/startup: 26 80 00 ¶3.03–3.04 and ¶3.08 pp.371–372 (witnessed factory simulation; field acceptance test; programming, start-up, commissioning)</t>
  </si>
  <si>
    <t xml:space="preserve">PROPOSED-2W-Flow-Meter</t>
  </si>
  <si>
    <t xml:space="preserve">2W flow meter, 1-in Promag W400, 24 VAC/DC, EtherNet/IP, local display, NEMA 4X, in Hot Box #1</t>
  </si>
  <si>
    <t xml:space="preserve">E4.3; E6.3; E7.0; E10.2</t>
  </si>
  <si>
    <t xml:space="preserve">E4.3 key note 4 and Hot Box #1 detail (plans_9 p.8); E6.3 S-FM2W 2 #14 + Cat 6 to the main PLC panel (plans_10 p.4); E7.0 (plans_10 p.5); E10.2 flow meter summary item 8 "2W FLOW METER. SIZE: 1"" (plans_12 p.7); Submittal: 26 80 00 ¶1.06 p.356 (hardware submittals before fabrication; control system documentation); Testing/startup: 26 80 00 ¶3.03–3.04 and ¶3.08 pp.371–372 (witnessed factory simulation; field acceptance test; programming, start-up, commissioning)</t>
  </si>
  <si>
    <t xml:space="preserve">Signal run printed S-FM2W (E6.3, E4.3 at the box) and S-2WFM (E4.3 home run). Status New inferred: specified by make and model and wired on new conduit.; Size 1 in, on piping in Hot Box #1, transmitter on the tube (E10.2). Key note 1 says "size per civil drawings" — cross-check listed in Issues. || [Merge] Exceptions: #11.</t>
  </si>
  <si>
    <t xml:space="preserve">PROPOSED-Train-1-Flow-Meter</t>
  </si>
  <si>
    <t xml:space="preserve">Train #1 flow meter, 8 in — future project, not in this project; Phase I provides transmitter space in the IPS panel only</t>
  </si>
  <si>
    <t xml:space="preserve">6 (transmitter space in the IPS panel only)</t>
  </si>
  <si>
    <t xml:space="preserve">Train No.1 (future)</t>
  </si>
  <si>
    <t xml:space="preserve">E7.0; E8.1; E10.2</t>
  </si>
  <si>
    <t xml:space="preserve">E7.0 label "TRAIN #1 FLOW METER (FUTURE)" (plans_10 p.5); E8.1 key note 2 "CELL 1 (FUTURE SPACE)", transmitter drawn greyed (plans_11 p.5); E10.2 flow meter summary item 2 "TRAIN #1 FLOW METER. SIZE: 8". (FUTURE PROJECT - NOT IN THIS PROJECT) PROVIDE SPACE FOR FUTURE TRANSMITTER IN INFLUENT CONTROL PANEL." (plans_12 p.7)</t>
  </si>
  <si>
    <t xml:space="preserve">Settled by E10.2: the meter is not in this project; Phase I provides transmitter space only (E8.1 greyed "future space", E7.0 network port). Status Not stated: nothing is built for the meter itself. || [Merge] Exceptions: #120.</t>
  </si>
  <si>
    <t xml:space="preserve">DW-1</t>
  </si>
  <si>
    <t xml:space="preserve">Dewatering skid with skid control panel DW-1: pre-wired and factory tested, UL/ETL labeled per WA L&amp;I, 15 HP, 480 V 3-ph; skid PLC, operator interface and network switch</t>
  </si>
  <si>
    <t xml:space="preserve">E4.1; E6.1; E6.3; E7.0; E9.1</t>
  </si>
  <si>
    <t xml:space="preserve">E4.1 key note 4 and plan tag DW-1 "DEWATERING SKID CONTROL PANEL" (plans_9 p.6); E6.1 MCC 60/3 and load calcs 15 HP (plans_10 p.2); E6.3 P-DW-1 1" 3 #4 + #10 G, S-DW1 Cat 6 (plans_10 p.4); E7.0 (plans_10 p.5); E9.1 NP-2D "DEWATERING SKID / FEEDER" (plans_12 p.3)</t>
  </si>
  <si>
    <t xml:space="preserve">Cross-lane: Process &amp; Mechanical. Dewatering equipment spec is in that lane. E&amp;C: 480 V feeder from the MCC and Cat 6 to the IPS panel. Generator factor 0 (E6.1). || [Merge] Exceptions: #63, #207.</t>
  </si>
  <si>
    <t xml:space="preserve">WP-1</t>
  </si>
  <si>
    <t xml:space="preserve">WAS Pump No.1, 3 HP, VFD in MCC</t>
  </si>
  <si>
    <t xml:space="preserve">E4.1; E6.1; E6.3; E7.3; E7.4; E9.1</t>
  </si>
  <si>
    <t xml:space="preserve">Add. 4 p.2, 22 13 36 ¶2.01 A (VFDs in MCC, PLC control, no local speed dial) — Add. 4 governs</t>
  </si>
  <si>
    <t xml:space="preserve">E4.1 plan tag, motor marked 3 (plans_9 p.6); E6.1 MCC 15/3 VFD with line and dV/dt reactors, load calcs 3 HP (plans_10 p.2); E6.3 P-WP1 (plans_10 p.4); Add. 4 p.2; E7.3 "WAS PUMP 1: MCC" hand, auto, VFD running, VFD fault on card 4 (numbering conflict, see Issues) (plans_10 p.8); E7.4 output 5 "WAS PUMP 1 #1 CALL TO RUN" (plans_11 p.1); E9.1 NP-4D "WAS PUMP NO.1 / 3 HP" (plans_12 p.3)</t>
  </si>
  <si>
    <t xml:space="preserve">Cross-lane: Process &amp; Mechanical. 22 13 36 Packaged Sludge Pumps by title (Inferred). Local disconnect at the pump. Generator factor 1. || [Merge] Exceptions: #59, #207.</t>
  </si>
  <si>
    <t xml:space="preserve">WP-2</t>
  </si>
  <si>
    <t xml:space="preserve">WAS Pump No.2 / swing pump, 3 HP, VFD in MCC</t>
  </si>
  <si>
    <t xml:space="preserve">E4.1 plan tag (plans_9 p.6); E6.1 MCC 15/3 VFD, load calcs "WAS pump 2 - swing pump" 3 HP (plans_10 p.2); E6.3 P-WP2 (plans_10 p.4); Add. 4 p.2; E7.3 "WAS PUMP 2: MCC" inputs on card 5 (plans_10 p.8); E7.4 output 6 "WAS PUMP #2 CALL TO RUN" (plans_11 p.1); E9.1 NP-4G "WAS PUMP NO.2 / 3 HP" (plans_12 p.3)</t>
  </si>
  <si>
    <t xml:space="preserve">Cross-lane: Process &amp; Mechanical. 22 13 36 by title (Inferred). Generator factor 0. || [Merge] Exceptions: #60, #207.</t>
  </si>
  <si>
    <t xml:space="preserve">Sludge pump, 3 HP, VFD in MCC</t>
  </si>
  <si>
    <t xml:space="preserve">E4.1 plan tag (plans_9 p.6); E6.1 MCC 15/3 VFD, load calcs 3 HP (plans_10 p.2); E6.3 P-SD-1 (plans_10 p.4); Add. 4 p.2; E7.3 "SLUDGE PUMP: MCC" inputs on card 5 (plans_10 p.8); E7.4 output 7 "SLUDGE PUMP CALL TO RUN" (plans_11 p.1); E9.1 NP-4A "SLUDGE PUMP / 3 HP" (plans_12 p.3)</t>
  </si>
  <si>
    <t xml:space="preserve">Cross-lane: Process &amp; Mechanical. 22 13 36 by title (Inferred). Generator factor 0. || [Merge] Exceptions: #3, #61, #207.</t>
  </si>
  <si>
    <t xml:space="preserve">PROPOSED-WAS-and-Sludge-Pump-Local-Disconnects</t>
  </si>
  <si>
    <t xml:space="preserve">Local motor disconnects for WP-1, WP-2 and SD-1 (3)</t>
  </si>
  <si>
    <t xml:space="preserve">E4.1 plan disconnect symbols at WP-1, WP-2, SD-1 (plans_9 p.6); E6.1 disconnect at each motor, key note 4 (plans_10 p.2); Submittal: 26 28 16 ¶1.03 p.314 (catalog data per 26 05 00 ¶1.012)</t>
  </si>
  <si>
    <t xml:space="preserve">Status New inferred: drawn on the new one-line. || [Merge] Exceptions: #62.</t>
  </si>
  <si>
    <t xml:space="preserve">PROPOSED-WAS-Solenoid-Valves</t>
  </si>
  <si>
    <t xml:space="preserve">WAS solenoid valves (3), WAS #1 to #3, 120 V from the IPS panel</t>
  </si>
  <si>
    <t xml:space="preserve">E4.1; E6.3; E8.4</t>
  </si>
  <si>
    <t xml:space="preserve">E4.1 key note 5 and plan label "(3) WAS SOLENOIDS" (plans_9 p.6); E6.3 P-WSV 1" 6 #12, influent control panel to WAS solenoid valves (plans_10 p.4); E8.4 outputs 4–6 "WAS VALVE #1/#2/#3 SOLENOID", 120 V (plans_11 p.8)</t>
  </si>
  <si>
    <t xml:space="preserve">Cross-lane: Process &amp; Mechanical. E&amp;C: solenoid wiring to the IPS panel. || [Merge] Exceptions: #12, #107.</t>
  </si>
  <si>
    <t xml:space="preserve">PROPOSED-Polymer-Feed-Pump</t>
  </si>
  <si>
    <t xml:space="preserve">Polymer feed pump at the dewatering skid; 120 V GFCI receptacle LP2-6 and 4–20 mA flow pace</t>
  </si>
  <si>
    <t xml:space="preserve">E4.1; E6.2; E6.3; E8.6; E10.2</t>
  </si>
  <si>
    <t xml:space="preserve">E4.1 key note 6 and plan label (plans_9 p.6); E6.2 LP2 circuit 6 (plans_10 p.3); E6.3 S-FP2 to the influent control panel (plans_10 p.4); E8.6 analog output 1 "POLYMER FEED PUMP FLOW PACE" (plans_12 p.2); E10.2 chemical feed equipment electrical detail, key notes 2–3: dedicated GFCI receptacle from the lighting panel; 4–20 mA PLC output scaled to the flow meter signal (plans_12 p.7)</t>
  </si>
  <si>
    <t xml:space="preserve">Cross-lane: Process &amp; Mechanical. || [Merge] Exceptions: #64.</t>
  </si>
  <si>
    <t xml:space="preserve">PROPOSED-Hypochlorite-Feed-Pump</t>
  </si>
  <si>
    <t xml:space="preserve">Hypochlorite feed pump; 120 V GFCI receptacle on LP1-16 and 4–20 mA flow pace</t>
  </si>
  <si>
    <t xml:space="preserve">Not stated (drawn on E4.1)</t>
  </si>
  <si>
    <t xml:space="preserve">E2.2; E4.1; E6.2; E6.3; E7.7; E10.2</t>
  </si>
  <si>
    <t xml:space="preserve">E4.1 key note 6 and plan label "HYPOCHLORITE FEED PUMP" (plans_9 p.6); E2.2 and E6.2 LP1 circuit 16 (plans_9 p.4; plans_10 p.3); E6.3 S-FP4 to the main PLC control panel (plans_10 p.4); E7.7 analog output 1 "SODIUM HYPOCHLORITE FEED PUMP FLOW PACE" (plans_11 p.4); E10.2 chemical feed equipment electrical detail, key notes 2–3: dedicated GFCI receptacle from the lighting panel; 4–20 mA PLC output scaled to the flow meter signal (plans_12 p.7)</t>
  </si>
  <si>
    <t xml:space="preserve">Cross-lane: Process &amp; Mechanical. || [Merge] Exceptions: #121.</t>
  </si>
  <si>
    <t xml:space="preserve">PROPOSED-Influent-Sampler</t>
  </si>
  <si>
    <t xml:space="preserve">Influent sampler (Owner-furnished, contractor-installed); 120 V GFCI receptacle LP2-8 and 4–20 mA flow pace</t>
  </si>
  <si>
    <t xml:space="preserve">6 (installation, receptacle, flow-pace signal); sampler Owner-furnished</t>
  </si>
  <si>
    <t xml:space="preserve">E4.1; E6.2; E6.3; E8.6</t>
  </si>
  <si>
    <t xml:space="preserve">E4.1; E6.2; E6.3; E8.6; 26 80 00</t>
  </si>
  <si>
    <t xml:space="preserve">E4.1 key note 6 and plan label (plans_9 p.6); E6.2 LP2 circuit 8 (plans_10 p.3); E6.3 S-FP1 (plans_10 p.4); E8.6 analog output 0 "INFLUENT SAMPLER FLOW PACE" (plans_12 p.2); 26 80 00 ¶3.09 D (p.374): Owner-provided samplers; 4–20 mA flow pace from the PLC matching the influent flow meter</t>
  </si>
  <si>
    <t xml:space="preserve">Cross-lane: Process &amp; Mechanical. Which lane installs the sampler itself is not stated — see Issues. || [Merge] Exceptions: #13, #122, #251.</t>
  </si>
  <si>
    <t xml:space="preserve">PROPOSED-Effluent-Sampler</t>
  </si>
  <si>
    <t xml:space="preserve">Effluent sampler (Owner-furnished, contractor-installed); 120 V GFCI receptacle on LP1-14 and 4–20 mA flow pace</t>
  </si>
  <si>
    <t xml:space="preserve">E2.2; E4.1; E6.2; E6.3; E7.7</t>
  </si>
  <si>
    <t xml:space="preserve">E2.2; E4.1; E6.2; E6.3; E7.7; 26 80 00</t>
  </si>
  <si>
    <t xml:space="preserve">E4.1 key note 6 (plans_9 p.6); E2.2 and E6.2 LP1 circuit 14 (plans_9 p.4; plans_10 p.3); E6.3 S-FP3 to the main PLC control panel (plans_10 p.4); E7.7 analog output 0 "EFFLUENT SAMPLER FLOW PACE" (plans_11 p.4); 26 80 00 ¶3.09 D (p.374): Owner-provided samplers; 4–20 mA flow pace from the PLC matching the effluent flow meter</t>
  </si>
  <si>
    <t xml:space="preserve">Cross-lane: Process &amp; Mechanical. Which lane installs the sampler itself is not stated — see Issues. || [Merge] Exceptions: #123.</t>
  </si>
  <si>
    <t xml:space="preserve">EF-3</t>
  </si>
  <si>
    <t xml:space="preserve">Exhaust Fan EF-3, Treatment Building, motor marked 1/2, circuit LP2-7 (1,127 VA)</t>
  </si>
  <si>
    <t xml:space="preserve">E4.1; E6.2; E8.3; E9.3</t>
  </si>
  <si>
    <t xml:space="preserve">E4.1 plan label and circuit, key notes 3 and 7 (plans_9 p.6); E6.2 LP2 circuit 7 (plans_10 p.3); E9.3 "VENTILATION FAN 1" OFF/ON switch, run light, call-to-run relay (plans_12 p.5); E8.3 input "VENTILATION FAN 1 CALLED TO RUN" (plans_11 p.7)</t>
  </si>
  <si>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1; match to EF-3 Inferred from the three Treatment Building fans on LP2. || [Merge] Exceptions: #26, #194, #205, #210.</t>
  </si>
  <si>
    <t xml:space="preserve">EF-4</t>
  </si>
  <si>
    <t xml:space="preserve">Exhaust Fan EF-4, Treatment Building, motor marked 1/2, circuit LP2-9 (1,127 VA)</t>
  </si>
  <si>
    <t xml:space="preserve">E4.1 plan label and circuit, key notes 3 and 7 (plans_9 p.6); E6.2 LP2 circuit 9 (plans_10 p.3); E9.3 "VENTILATION FAN 2" OFF/ON switch, run light, call-to-run relay (plans_12 p.5); E8.3 input "VENTILATION FAN 2 CALLED TO RUN" (plans_11 p.7)</t>
  </si>
  <si>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2; match to EF-4 Inferred from the three Treatment Building fans on LP2. || [Merge] Exceptions: #26, #194, #210.</t>
  </si>
  <si>
    <t xml:space="preserve">EF-5</t>
  </si>
  <si>
    <t xml:space="preserve">Exhaust Fan EF-5, Treatment Building, motor marked 1/2, circuit LP2-11 (1,127 VA)</t>
  </si>
  <si>
    <t xml:space="preserve">E4.1 plan label and circuit, key notes 3 and 7 (plans_9 p.6); E6.2 LP2 circuit 11 (plans_10 p.3); E9.3 "VENTILATION FAN 3" OFF/ON switch, run light, call-to-run relay (plans_12 p.5); E8.3 input "VENTILATION FAN 3 CALLED TO RUN" (plans_11 p.7)</t>
  </si>
  <si>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3; match to EF-5 Inferred from the three Treatment Building fans on LP2. || [Merge] Exceptions: #26, #194, #205.</t>
  </si>
  <si>
    <t xml:space="preserve">PROPOSED-Treatment-Building-Ventilation-Control-Panel</t>
  </si>
  <si>
    <t xml:space="preserve">Ventilation control panel, Treatment Building, NEMA 4X stainless steel</t>
  </si>
  <si>
    <t xml:space="preserve">E4.1; E6.2; E8.3; E8.4; E9.3</t>
  </si>
  <si>
    <t xml:space="preserve">E4.1; E6.2; E8.3; E8.4; E9.3; 26 80 00</t>
  </si>
  <si>
    <t xml:space="preserve">E4.1 plan label "VENTILATION CONTROL PANEL LP2-5", key notes 3 and 7 (plans_9 p.6); E6.2 LP2 circuit 5 (plans_10 p.3); E9.3 elevation and wiring diagram (plans_12 p.5); E8.3 inputs "VENTILATION FAN 1–3 CALLED TO RUN" (plans_11 p.7); E8.4 outputs 8–10 (plans_11 p.8); 26 80 00 ¶2.02 A.3.d (p.357) "Ventilation Control Panel"; ¶3.09 J (p.376); Submittal: 26 80 00 ¶1.06 p.356 (hardware submittals before fabrication; control system documentation); Testing/startup: 26 80 00 ¶3.03–3.04 and ¶3.08 pp.371–372 (witnessed factory simulation; field acceptance test; programming, start-up, commissioning)</t>
  </si>
  <si>
    <t xml:space="preserve">E9.3: door has H2S and methane alarm lights, fan 1–3 run lights and OFF/ON switches, alarm horn; relays CR1–CR3 report "called to run" to the IPS PLC (fan 2 coil printed CR3). Power source conflict: "FROM LP1" on E9.3 vs LP2 circuit 5 (500 VA) on E6.2 and E4.1 — see Issues. Fans 1–3 = EF-3 to EF-5 (Inferred). Status New inferred: new panel on the E sheets.; 26 80 00 ¶3.09 J wants HOA per fan with PLC auto start on dewatering operation and gas alarm; E9.3 shows OFF/ON switches and E8.4 has no fan outputs — see Issues.</t>
  </si>
  <si>
    <t xml:space="preserve">PROPOSED-Methane-Sensor</t>
  </si>
  <si>
    <t xml:space="preserve">Methane gas sensor, Treatment Building, circuit LP2-4 (500 VA)</t>
  </si>
  <si>
    <t xml:space="preserve">E4.1; E6.2; E8.4; E8.5; E9.3</t>
  </si>
  <si>
    <t xml:space="preserve">E4.1; E6.2; E8.4; E8.5; E9.3; 26 80 00</t>
  </si>
  <si>
    <t xml:space="preserve">E4.1 key note 3 and plan label "METHANE SENSOR LP2-4" (plans_9 p.6); E6.2 LP2 circuit 4 (plans_10 p.3); E8.5 analog input 2 "METHANE (PPM)" (plans_12 p.1); E8.4 output 10 "METHANE ALARM LIGHT" (plans_11 p.8); E9.3 "METHANE ALARM" light (plans_12 p.5); 26 80 00 ¶2.04 G (p.364): combustible gas detector for methane; ¶3.09 J.5 (p.376): alarm light, horn and SCADA alarm at setpoint, fans on in AUTO; Submittal: 26 80 00 ¶1.06 p.356 (hardware submittals before fabrication; control system documentation); Testing/startup: 26 80 00 ¶3.03–3.04 and ¶3.08 pp.371–372 (witnessed factory simulation; field acceptance test; programming, start-up, commissioning)</t>
  </si>
  <si>
    <t xml:space="preserve">NFPA 820 monitoring for the unclassified rating (E4.1 key note 3; E0.4).</t>
  </si>
  <si>
    <t xml:space="preserve">PROPOSED-H2S-Sensor</t>
  </si>
  <si>
    <t xml:space="preserve">Hydrogen sulfide (H2S) sensor, Treatment Building, circuit LP2-2 (500 VA)</t>
  </si>
  <si>
    <t xml:space="preserve">E4.1 key note 3 and plan label "HYDROGEN SULFIDE H2S SENSOR LP2-2" (plans_9 p.6); E6.2 LP2 circuit 2 (plans_10 p.3); E8.5 analog input 1 "H2S (PPM)" (plans_12 p.1); E8.4 output 9 "HS2 ALARM LIGHT" (plans_11 p.8); E9.3 "H2S ALARM" light (plans_12 p.5); 26 80 00 ¶2.04 F (p.364): electrochemical H2S sensor, Sierra Monitor Corporation Model 5100-05 series; ¶3.09 J.4 (p.376): alarm light, horn and SCADA alarm at setpoint, fans on in AUTO; Submittal: 26 80 00 ¶1.06 p.356 (hardware submittals before fabrication; control system documentation); Testing/startup: 26 80 00 ¶3.03–3.04 and ¶3.08 pp.371–372 (witnessed factory simulation; field acceptance test; programming, start-up, commissioning)</t>
  </si>
  <si>
    <t xml:space="preserve">NFPA 820 monitoring (E4.1 key note 3).</t>
  </si>
  <si>
    <t xml:space="preserve">PROPOSED-Gas-Alarm-Light-and-Horn</t>
  </si>
  <si>
    <t xml:space="preserve">Local alarm light and horn for ventilation and gas monitoring, Treatment Building</t>
  </si>
  <si>
    <t xml:space="preserve">E4.1; E8.4</t>
  </si>
  <si>
    <t xml:space="preserve">E4.1; E8.4; 26 80 00</t>
  </si>
  <si>
    <t xml:space="preserve">E4.1 key note 3 (plans_9 p.6); E8.4 output 7 "VENTILATION ALARM LIGHT AND HORN STATION", 120 V (plans_11 p.8); 26 80 00 ¶3.09 J.2, J.4–5 (p.376): visual and audible alarm notification; H2S or combustible gas alarm activates the alarm light and horn; Submittal: 26 80 00 ¶1.06 p.356 (hardware submittals before fabrication; control system documentation); Testing/startup: 26 80 00 ¶3.03–3.04 and ¶3.08 pp.371–372 (witnessed factory simulation; field acceptance test; programming, start-up, commissioning)</t>
  </si>
  <si>
    <t xml:space="preserve">Driven by IPS PLC output 7 (E8.4); separate from the alarm horn on the ventilation control panel (E8.4 output 8, E9.3). Location and circuit not shown (Not stated).</t>
  </si>
  <si>
    <t xml:space="preserve">L2 (Treatment Building)</t>
  </si>
  <si>
    <t xml:space="preserve">Light fixture type L2 wall packs on circuit LP2-3 ("wall pack lighting", 500 VA)</t>
  </si>
  <si>
    <t xml:space="preserve">E4.1; E6.2; E8.1</t>
  </si>
  <si>
    <t xml:space="preserve">E4.1 plan "L2" at LP2-3, 2 shown (plans_9 p.6); E6.2 LP2 circuit 3 (plans_10 p.3); Submittal: 26 51 19 ¶1.06 p.350 (product sheets, photometric reports where scheduled, WSEC control devices); Testing/startup: 26 51 19 ¶3.01 I p.351 (test and demonstrate lighting controls, as applicable)</t>
  </si>
  <si>
    <t xml:space="preserve">Type L2 is defined only in the Blower Building fixture schedule (E2.2: Acuity ARC1 LED wall pack with photocell, 17 VA) — same type assumed (Inferred).; E8.1 shows an area light HOA in the IPS panel; taken as this LP2 circuit 3 wall pack (Inferred).</t>
  </si>
  <si>
    <t xml:space="preserve">2W-P1</t>
  </si>
  <si>
    <t xml:space="preserve">2W Water Pump No.1, 5 HP, VFD in MCC (E4.3 tags it P-2W-1)</t>
  </si>
  <si>
    <t xml:space="preserve">E4.3; E6.1; E6.3; E7.3; E7.4; E9.1</t>
  </si>
  <si>
    <t xml:space="preserve">Add. 4 p.2, 43 22 10 ¶2.01 A (VFDs in MCC, PLC control) — Add. 4 governs</t>
  </si>
  <si>
    <t xml:space="preserve">E6.1 one-line tag 2W-P1, 20/3 VFD with line and dV/dt reactors, load calcs 5 HP (plans_10 p.2); E4.3 plan tag box "P-2W-1", motor marked 5 (plans_9 p.8); E6.3 P-2W (plans_10 p.4); Add. 4 p.2; E7.3 "2W PUMP 1: MCC" inputs on card 5 (numbering conflict, see Issues) (plans_10 p.8); E7.4 output 8 "2W PUMP #1 CALL TO RUN" (plans_11 p.1); E9.1 NP-3A "2W PUMP NO.1 / 5 HP" (plans_12 p.3)</t>
  </si>
  <si>
    <t xml:space="preserve">Cross-lane: Process &amp; Mechanical. 43 22 10 2W Plant Water System Equipment. Tag conflict E4.3 vs E6.1 — Engineer to confirm. Factory junction boxes for motor cables and floats; power to MCC bucket, control to PLC (E4.3 key note 1). Generator factor 1. || [Merge] Exceptions: #45, #193.</t>
  </si>
  <si>
    <t xml:space="preserve">2W-P2</t>
  </si>
  <si>
    <t xml:space="preserve">2W Water Pump No.2, 5 HP, VFD in MCC (E4.3 tags it P-2W-2)</t>
  </si>
  <si>
    <t xml:space="preserve">E6.1 one-line tag 2W-P2 and load calcs 5 HP (plans_10 p.2); E4.3 plan tag box "P-2W-2", motor marked 5 (plans_9 p.8); E6.3 P-2W (plans_10 p.4); Add. 4 p.2; E7.3 "2W PUMP 2: MCC" inputs on card 5 (numbering conflict, see Issues) (plans_10 p.8); E7.4 output 9 "2W PUMP #2 CALL TO RUN" (plans_11 p.1); E9.1 NP-3D "2W PUMP NO.2 / 5 HP" (plans_12 p.3)</t>
  </si>
  <si>
    <t xml:space="preserve">Cross-lane: Process &amp; Mechanical. 43 22 10. Tag conflict E4.3 vs E6.1 — Engineer to confirm. Generator factor 0. || [Merge] Exceptions: #45, #193.</t>
  </si>
  <si>
    <t xml:space="preserve">LSH-111</t>
  </si>
  <si>
    <t xml:space="preserve">2W float F1: high level alarm and redundant valve close at 22.00 (factory float tree)</t>
  </si>
  <si>
    <t xml:space="preserve">E4.3; E7.3</t>
  </si>
  <si>
    <t xml:space="preserve">E4.3 key note 2 and float table "F1 (EQ# LSH-111)" (plans_9 p.8); E7.3 input "2W PUMP STATION FLOAT F1", card 4 (plans_10 p.8); Submittal: 26 80 00 ¶1.06 p.356 (hardware submittals before fabrication; control system documentation); Testing/startup: 26 80 00 ¶3.03–3.04 and ¶3.08 pp.371–372 (witnessed factory simulation; field acceptance test; programming, start-up, commissioning)</t>
  </si>
  <si>
    <t xml:space="preserve">Part of the factory float tree assembly (4 floats); float cables through a factory junction box to the PLC (key note 1). || [Merge] Exceptions: #46.</t>
  </si>
  <si>
    <t xml:space="preserve">F2 (2W Pump Station)</t>
  </si>
  <si>
    <t xml:space="preserve">2W float F2: valve close at 20.00 (factory float tree)</t>
  </si>
  <si>
    <t xml:space="preserve">E4.3 key note 2 and float table (plans_9 p.8); E7.3 input "FLOAT F2", card 4 (plans_10 p.8); Submittal: 26 80 00 ¶1.06 p.356 (hardware submittals before fabrication; control system documentation); Testing/startup: 26 80 00 ¶3.03–3.04 and ¶3.08 pp.371–372 (witnessed factory simulation; field acceptance test; programming, start-up, commissioning)</t>
  </si>
  <si>
    <t xml:space="preserve">No EQ# printed. || [Merge] Exceptions: #46.</t>
  </si>
  <si>
    <t xml:space="preserve">F3 (2W Pump Station)</t>
  </si>
  <si>
    <t xml:space="preserve">2W float F3: valve open at 19.00 (factory float tree)</t>
  </si>
  <si>
    <t xml:space="preserve">E4.3 key note 2 and float table (plans_9 p.8); E7.3 input "FLOAT F3", card 4 (plans_10 p.8); Submittal: 26 80 00 ¶1.06 p.356 (hardware submittals before fabrication; control system documentation); Testing/startup: 26 80 00 ¶3.03–3.04 and ¶3.08 pp.371–372 (witnessed factory simulation; field acceptance test; programming, start-up, commissioning)</t>
  </si>
  <si>
    <t xml:space="preserve">LSL-111</t>
  </si>
  <si>
    <t xml:space="preserve">2W float F4: low level alarm and pumps off at 15.00 (factory float tree)</t>
  </si>
  <si>
    <t xml:space="preserve">E4.3 key note 2 and float table "F4 (EQ# LSL-111)" (plans_9 p.8); E7.3 input "FLOAT F4", card 4 (plans_10 p.8); Submittal: 26 80 00 ¶1.06 p.356 (hardware submittals before fabrication; control system documentation); Testing/startup: 26 80 00 ¶3.03–3.04 and ¶3.08 pp.371–372 (witnessed factory simulation; field acceptance test; programming, start-up, commissioning)</t>
  </si>
  <si>
    <t xml:space="preserve">[Merge] Exceptions: #46.</t>
  </si>
  <si>
    <t xml:space="preserve">PROPOSED-2W-Pump-Local-Disconnects</t>
  </si>
  <si>
    <t xml:space="preserve">Local motor disconnects for the two 2W pumps (2)</t>
  </si>
  <si>
    <t xml:space="preserve">E6.1</t>
  </si>
  <si>
    <t xml:space="preserve">E6.1 disconnect symbol at 2W-P1 and 2W-P2, key note 4 (plans_10 p.2); Submittal: 26 28 16 ¶1.03 p.314 (catalog data per 26 05 00 ¶1.012)</t>
  </si>
  <si>
    <t xml:space="preserve">Not drawn on E4.3. Status New inferred: new one-line.</t>
  </si>
  <si>
    <t xml:space="preserve">PROPOSED-Hot-Box-1</t>
  </si>
  <si>
    <t xml:space="preserve">Hot Box #1 (2W): houses the 1-in 2W flow meter, isolation valve solenoid, heat trace, GFEP and J-box</t>
  </si>
  <si>
    <t xml:space="preserve">1 (enclosure, Inferred per 04); 6 (electrical)</t>
  </si>
  <si>
    <t xml:space="preserve">E4.3; E6.2; E6.3</t>
  </si>
  <si>
    <t xml:space="preserve">Add. 4 p.3, C1.3 item (2W (Air Gap) Water Hot Box orientation adjusted) — Add. 4 governs</t>
  </si>
  <si>
    <t xml:space="preserve">E4.3 Hot Box #1 electrical detail and key note 5 (plans_9 p.8); E6.2 LP1 circuit 10 GFEP (plans_10 p.3); E6.3 P-HB1 1" 6 #12 from the MCC lighting panel GFEP circuit (plans_10 p.4); Add. 4 p.3</t>
  </si>
  <si>
    <t xml:space="preserve">Cross-lane: Civil &amp; Site (C1.3 reissued, Add. 4 p.7). Add. 4 re-orients "the 2W (Air Gap) Water Hot Box" — which hot box is meant is not stated (see Issues). P-2WSV from the MCC control panel to the solenoid. || [Merge] Exceptions: #16, #95.</t>
  </si>
  <si>
    <t xml:space="preserve">PROPOSED-Hot-Box-2</t>
  </si>
  <si>
    <t xml:space="preserve">Hot Box #2 (2W): heat trace on exposed piping</t>
  </si>
  <si>
    <t xml:space="preserve">E4.3 Hot Box #2 electrical detail and key note 5 (plans_9 p.8); E6.2 LP1 circuit 12 GFEP (plans_10 p.3); E6.3 P-HB2 1" 2 #12 (plans_10 p.4); Add. 4 p.3</t>
  </si>
  <si>
    <t xml:space="preserve">Cross-lane: Civil &amp; Site. Heat-trace power extends from the J-box in Hot Box #1 (key note 5). Hot box orientation item applies to one of the two — not stated which (see Issues). || [Merge] Exceptions: #17.</t>
  </si>
  <si>
    <t xml:space="preserve">PROPOSED-Hot-Box-Heat-Trace</t>
  </si>
  <si>
    <t xml:space="preserve">Heat trace on all exposed 2W piping in Hot Boxes #1 and #2: Raychem BTV self-regulating or equal, dedicated 120 V 20 A GFEP circuits (LP1-10, LP1-12), NEMA 4X thermostat, end-of-line kit with indicator light</t>
  </si>
  <si>
    <t xml:space="preserve">E4.3 key note 3 (plans_9 p.8); E6.2 LP1 circuits 10 and 12 (plans_10 p.3); E6.3 P-HB1, P-HB2 (plans_10 p.4)</t>
  </si>
  <si>
    <t xml:space="preserve">No Division 26 section covers heat trace; E4.3 key note 3 is the only requirement in this stack. || [Merge] Exceptions: #124.</t>
  </si>
  <si>
    <t xml:space="preserve">PROPOSED-2W-Isolation-Valve-Solenoid</t>
  </si>
  <si>
    <t xml:space="preserve">Isolation valve solenoid in Hot Box #1 (2W line)</t>
  </si>
  <si>
    <t xml:space="preserve">E4.3; E6.3; E7.4</t>
  </si>
  <si>
    <t xml:space="preserve">E4.3 Hot Box #1 detail label "ISOLATION VALVE SOLENOID", conduit P-2WSV (plans_9 p.8); E6.3 P-2WSV 1" 2 #12 from the MCC control panel (plans_10 p.4); E7.4 output 10 "2W SOLENOID VALVE CALL TO OPEN: HOT BOX #1", 120 V through relay CR10 (plans_11 p.1)</t>
  </si>
  <si>
    <t xml:space="preserve">Cross-lane: Process &amp; Mechanical. Valve close/open set points on the 2W float tree (F2 20.00, F3 19.00). || [Merge] Exceptions: #49, #100.</t>
  </si>
  <si>
    <t xml:space="preserve">UV1</t>
  </si>
  <si>
    <t xml:space="preserve">UV disinfection unit No.1 (UV modules on 10-ft cords, 2 per PDR)</t>
  </si>
  <si>
    <t xml:space="preserve">E5.1; E6.2; E6.3; E7.3; E7.5</t>
  </si>
  <si>
    <t xml:space="preserve">E5.1; E6.2; E6.3; E7.3; E7.5; 26 80 00</t>
  </si>
  <si>
    <t xml:space="preserve">E5.1 plan tag UV1, revision 1 "ADD UV DISINFECTION" 04/18/22, UV interconnection diagram (plans_10 p.1); E6.2 LP1 circuits 9 and 13 (plans_10 p.3); E6.3 P-UV1 (plans_10 p.4); E7.3 input "UV1 STATUS" (plans_10 p.8); E7.5 analog input 2 "UV1 INTENSITY" (plans_11 p.2); 26 80 00 ¶3.09 E (pp.374–375): manufacturer-furnished UV control panel; dry contact and analog output to the PLC; see 46 66 00</t>
  </si>
  <si>
    <t xml:space="preserve">Cross-lane: Process &amp; Mechanical. UV equipment spec is in that lane. Power: PDRs on LP1-9 (2,520 VA, 30 A) via P-UV1 1" 2 #10; controller on LP1-13 (600 VA); control C-UV to the PLC. Status New inferred from the revision "ADD UV DISINFECTION". || [Merge] Exceptions: #54.</t>
  </si>
  <si>
    <t xml:space="preserve">UV2</t>
  </si>
  <si>
    <t xml:space="preserve">UV disinfection unit No.2 (UV modules on 10-ft cords, 2 per PDR)</t>
  </si>
  <si>
    <t xml:space="preserve">E5.1 plan tag UV2, revision 1 "ADD UV DISINFECTION" 04/18/22, UV interconnection diagram (plans_10 p.1); E6.2 LP1 circuits 11 and 15 (plans_10 p.3); E6.3 P-UV2 (plans_10 p.4); E7.3 input "UV2 STATUS" (plans_10 p.8); E7.5 analog input 3 "UV2 INTENSITY" (plans_11 p.2); 26 80 00 ¶3.09 E (pp.374–375): manufacturer-furnished UV control panel; dry contact and analog output to the PLC; see 46 66 00</t>
  </si>
  <si>
    <t xml:space="preserve">Cross-lane: Process &amp; Mechanical. UV equipment spec is in that lane. Power: PDRs on LP1-11 (2,520 VA, 30 A) via P-UV2 1" 2 #10; controller on LP1-15 (600 VA); control C-UV to the PLC. Status New inferred from the revision "ADD UV DISINFECTION". || [Merge] Exceptions: #54.</t>
  </si>
  <si>
    <t xml:space="preserve">PROPOSED-UV-Control-Panel-1</t>
  </si>
  <si>
    <t xml:space="preserve">UV control panel 1 (UV system controller), furnished with the UV system, installed by the contractor</t>
  </si>
  <si>
    <t xml:space="preserve">E5.1 plan label "UV CONTROL PANEL 1", key note 3 ("install local UV control panels"), interconnection diagram "UV SYSTEM CONTROLLER" (plans_10 p.1); E6.3 C-UV (plans_10 p.4)</t>
  </si>
  <si>
    <t xml:space="preserve">Cross-lane: Process &amp; Mechanical. Furnished with the UV system (Inferred from key note 3 "install"). Control C-UV 4 #14 + 2 #18TSP to the PLC. || [Merge] Exceptions: #55.</t>
  </si>
  <si>
    <t xml:space="preserve">PROPOSED-UV-Control-Panel-2</t>
  </si>
  <si>
    <t xml:space="preserve">UV control panel 2 (UV system controller), furnished with the UV system, installed by the contractor</t>
  </si>
  <si>
    <t xml:space="preserve">E5.1 plan label "UV CONTROL PANEL 2", key note 3 ("install local UV control panels"), interconnection diagram "UV SYSTEM CONTROLLER" (plans_10 p.1); E6.3 C-UV (plans_10 p.4)</t>
  </si>
  <si>
    <t xml:space="preserve">PROPOSED-UV-Power-Distribution-1</t>
  </si>
  <si>
    <t xml:space="preserve">UV power distribution 1: stainless splitter panel within 10 ft of the module power end, wiring gutter, J-boxes and (3) duplex GFCI power distribution receptacles (PDRs) with in-use wet-location covers on SS Unistrut; SS conduit and fittings</t>
  </si>
  <si>
    <t xml:space="preserve">E5.1; E6.2; E6.3</t>
  </si>
  <si>
    <t xml:space="preserve">26 27 26</t>
  </si>
  <si>
    <t xml:space="preserve">E5.1 plan label "UV POWER DISTRIBUTION 1", key note 3 and interconnection diagram (plans_10 p.1); E6.3 P-UV1 to "UV1 PDR'S" (plans_10 p.4); Testing/startup: 26 27 26 ¶2.01 p.313 (devices tested for correct connections)</t>
  </si>
  <si>
    <t xml:space="preserve">Contractor provides per key note 3. || [Merge] Exceptions: #55.</t>
  </si>
  <si>
    <t xml:space="preserve">PROPOSED-UV-Power-Distribution-2</t>
  </si>
  <si>
    <t xml:space="preserve">UV power distribution 2: stainless splitter panel within 10 ft of the module power end, wiring gutter, J-boxes and (3) duplex GFCI power distribution receptacles (PDRs) with in-use wet-location covers on SS Unistrut; SS conduit and fittings</t>
  </si>
  <si>
    <t xml:space="preserve">E5.1 plan label "UV POWER DISTRIBUTION 2", key note 3 and interconnection diagram (plans_10 p.1); E6.3 P-UV2 to "UV2 PDR'S" (plans_10 p.4); Testing/startup: 26 27 26 ¶2.01 p.313 (devices tested for correct connections)</t>
  </si>
  <si>
    <t xml:space="preserve">PROPOSED-Digester-Level-Transducer</t>
  </si>
  <si>
    <t xml:space="preserve">Digester level transducer: WIKA submersible, 316 SS, 0–15 psi, LevelGuard, 4–20 mA, vented, desiccant, NEMA 4X; J-box with terminals and desiccant on the handrail</t>
  </si>
  <si>
    <t xml:space="preserve">Digester</t>
  </si>
  <si>
    <t xml:space="preserve">E5.1; E6.3; E7.1; E7.5</t>
  </si>
  <si>
    <t xml:space="preserve">E5.1 key note 1, plan and elevation labels (plans_10 p.1); E6.3 S-LT-D 1" 1 #18TSP to the PLC control panel (plans_10 p.4); E7.5 analog input 1 "DIGESTER LEVEL 0-15 FT" through an intrinsic safety barrier (plans_11 p.2); E7.1 intrinsic safety area and barrier in the main PLC panel (plans_10 p.6); Submittal: 26 80 00 ¶1.06 p.356 (hardware submittals before fabrication; control system documentation); Testing/startup: 26 80 00 ¶3.03–3.04 and ¶3.08 pp.371–372 (witnessed factory simulation; field acceptance test; programming, start-up, commissioning)</t>
  </si>
  <si>
    <t xml:space="preserve">Status New inferred: specified by make and model and wired on new conduit.; Range conflict: 0–15 psi on E5.1 vs 0–15 ft at the PLC on E7.5; barrier shown although E0.4 lists the open digester unclassified — see Issues. Engineer to confirm range and barrier. || [Merge] Exceptions: #58.</t>
  </si>
  <si>
    <t xml:space="preserve">PROPOSED-UV-Area-Pole-Light</t>
  </si>
  <si>
    <t xml:space="preserve">UV-area pole light: 4-in square aluminum pole 12 ft on a concrete base secured to the basin side, photocell, local on/off switch, WP/GFCI receptacle; Lithonia "#DXS0-LED-P3-30K-T3M-MVOLT-SPA-DNAXD" (as printed) or equal</t>
  </si>
  <si>
    <t xml:space="preserve">E5.1 key note 5, plan label "POLE LIGHT/WP/GFCI" and elevation (plans_10 p.1); E6.3 P-LT 120 V 1" 4 #12 from "LIGHTING PANEL" (plans_10 p.4); Submittal: 26 51 19 ¶1.06 p.350 (product sheets, photometric reports where scheduled, WSEC control devices); Testing/startup: 26 51 19 ¶3.01 I p.351 (test and demonstrate lighting controls, as applicable)</t>
  </si>
  <si>
    <t xml:space="preserve">Source circuit not assigned: no pole-light circuit on LP1 or LP2 (E6.2) — see Issues. Concrete base coordinated with civil — Cross-lane: Civil &amp; Site.</t>
  </si>
  <si>
    <t xml:space="preserve">T2</t>
  </si>
  <si>
    <t xml:space="preserve">Transformer T2, 20 kVA, 480–120/240V (MCC; feeds load center LP1)</t>
  </si>
  <si>
    <t xml:space="preserve">E6.1; E9.1</t>
  </si>
  <si>
    <t xml:space="preserve">E6.1; E9.1; 26 22 13</t>
  </si>
  <si>
    <t xml:space="preserve">E6.1 one-line (MCC 60/2 to T2 and load center 120/240V) and load calcs "LP-1 MCC load center 20 kVA" (plans_10 p.2); E9.1 NP-7G transformer disconnect and NP-7J "TRANSFORMER / 480-120/240V / 20 kVA", MCC section 7 (plans_12 p.3); Submittal: 26 22 13 ¶1.05 p.297 (catalog data per 26 05 00)</t>
  </si>
  <si>
    <t xml:space="preserve">Status New inferred: part of the new MCC line-up.</t>
  </si>
  <si>
    <t xml:space="preserve">PROPOSED-VFDs-in-MCC</t>
  </si>
  <si>
    <t xml:space="preserve">Variable frequency drives in the MCC (10), Allen-Bradley PowerFlex 753 with Ethernet module, each with a 3% line-side reactor; dV/dt filters on motor runs over 50 ft</t>
  </si>
  <si>
    <t xml:space="preserve">E6.1; E7.0; E7.3; E7.4; E7.7; E9.1; E9.2</t>
  </si>
  <si>
    <t xml:space="preserve">26 29 23</t>
  </si>
  <si>
    <t xml:space="preserve">Add. 4 p.2, 22 13 36 ¶2.01 A (VFDs in MCC, PLC control, no local speed dial) — Add. 4 governs; Add. 4 p.2, 43 22 10 ¶2.01 A (VFDs in MCC, PLC control) — Add. 4 governs</t>
  </si>
  <si>
    <t xml:space="preserve">E6.1; E7.0; E7.3; E7.4; E7.7; E9.1; E9.2; 26 29 23</t>
  </si>
  <si>
    <t xml:space="preserve">E6.1 one-line and key notes 1–3 (plans_10 p.2); E7.0 "VFDS IN MCC (TYP OF 10)" (plans_10 p.5); Add. 4 p.2; E7.3 VFD running and fault inputs and E7.4 call-to-run outputs for all ten drives (plans_10 p.8; plans_11 p.1); E9.1 VFD units NP-3A to NP-6G (plans_12 p.3); E9.2 VFD functional wiring diagram and key notes 1–3 (plans_12 p.4); Submittal: 26 29 23 ¶1.02 p.316 (dimensions, wiring diagrams with interface points, options, programming manual); Testing/startup: 26 29 23 ¶3.02–3.03 p.319 (factory load test; certified factory start-up per drive on utility and standby power)</t>
  </si>
  <si>
    <t xml:space="preserve">Serve 2W-P1, 2W-P2 (20/3), WP-1, WP-2, SD-1 (15/3) — dV/dt drawn on these five — and BL-1 to BL-4 (35/3), DB (20/3). Manufacturer sets VFD overcurrent ratings (key note 1). All on the PLC Ethernet network (E7.0). Base specs had pump-mounted VFDs; Add. 4 moves them to the MCC under PLC control — the E sheets already match.; No analog speed outputs on E7.7; speed command and feedback over Ethernet (E9.2 key note 2).; E9.2: lockable breaker disconnect, 480/120 V 350 VA control transformer, door HIM, HOA with 10 kΩ hand speed potentiometer; motor thermal contact to each VFD where available (key note 3).; 26 29 23: provided by the system integrator; factory load test; certified factory start-up per drive, tested on utility and standby power; 1-year warranty. || [Merge] Exceptions: #176.</t>
  </si>
  <si>
    <t xml:space="preserve">TCP-1</t>
  </si>
  <si>
    <t xml:space="preserve">Train No.1 control panel (FUTURE); MCC 30/3 unit and feeder P-TCP1</t>
  </si>
  <si>
    <t xml:space="preserve">6 (MCC provision only, if in scope)</t>
  </si>
  <si>
    <t xml:space="preserve">E6.1; E6.3; E7.3; E7.6; E9.1</t>
  </si>
  <si>
    <t xml:space="preserve">E6.1 one-line (greyed) "CELL 1 CONTROL PANEL TCP-1 TRAIN NO.1 (FUTURE)" and load calcs 10 HP, generator factor 1 (plans_10 p.2); E6.3 P-TCP1 1" 3 #10 from "MCC (FUTURE)" (plans_10 p.4); E7.3 "TREATMENT CELL 1 CONTROL PANEL (FUTURE)" running, alarm, shutdown drawn greyed (plans_10 p.8); E7.6 Cell #1 DO zones 1 and 2 (FUTURE) (plans_11 p.3); E9.1 NP-2A "TRAIN NO.1 / PANEL FEEDER (FUTURE)" (plans_12 p.3)</t>
  </si>
  <si>
    <t xml:space="preserve">Whether Phase I furnishes the MCC unit and conduit is not stated — see Issues. Load calcs and generator sizing include it. || [Merge] Exceptions: #125, #197.</t>
  </si>
  <si>
    <t xml:space="preserve">TCP-2</t>
  </si>
  <si>
    <t xml:space="preserve">Train No.2 control panel (FUTURE); MCC 30/3 unit and feeder P-TCP2</t>
  </si>
  <si>
    <t xml:space="preserve">Train No.2 (future)</t>
  </si>
  <si>
    <t xml:space="preserve">E6.1 one-line (greyed) "CELL 2 CONTROL PANEL TCP-2 TRAIN NO.2 (FUTURE)" and load calcs 10 HP, generator factor 1 (plans_10 p.2); E6.3 P-TCP2 from "MCC (FUTURE)" (plans_10 p.4); E7.3 "TREATMENT CELL 2 CONTROL PANEL (FUTURE)" running, alarm, shutdown drawn greyed (plans_10 p.8); E7.6 Cell #2 DO zones 1 and 2 (FUTURE) (plans_11 p.3); E9.1 NP-2B "TRAIN NO.2 / PANEL FEEDER (FUTURE)" (plans_12 p.3)</t>
  </si>
  <si>
    <t xml:space="preserve">Same open scope question as TCP-1. || [Merge] Exceptions: #126, #197.</t>
  </si>
  <si>
    <t xml:space="preserve">PROPOSED-Conduit-and-Conductor-Runs</t>
  </si>
  <si>
    <t xml:space="preserve">Conduit and conductor runs per the E6.3 schedules: 40 named power runs (+2 unnamed UV controller circuits, AC spare) and 38 named 24 VDC control/signal runs (+DC spare)</t>
  </si>
  <si>
    <t xml:space="preserve">Site-wide</t>
  </si>
  <si>
    <t xml:space="preserve">E6.3; E10.1; E10.2</t>
  </si>
  <si>
    <t xml:space="preserve">E6.3; E10.1; E10.2; 26 05 19; 26 05 33</t>
  </si>
  <si>
    <t xml:space="preserve">E6.3 power schedule and control and signal schedule (plans_10 p.4); E10.1 secondary and feeder raceway detail and trenching notes (plans_12 p.6); 26 05 19 (pp.282–288); 26 05 33 (pp.290–296); Testing/startup: 26 05 19 ¶3.07 pp.286–288 (insulation resistance 1,000 VDC, 1 megohm min; continuity; thermal imaging; ground rods 25 ohms max, composite 15 ohms)</t>
  </si>
  <si>
    <t xml:space="preserve">Roll-up row; individual runs are not carried (workflow log). P-SEC and P-TPS have their own rows. Branch circuits not on the schedule are sized per NEC (E2.2 gen. note 2). Status New inferred: all scheduled runs are new work.; Burial 24 in feeders, 36 in secondary and primary; detectable red marking tape (26 05 33 ¶2.08); feeder insulation-resistance tests per 26 05 19 ¶3.07.</t>
  </si>
  <si>
    <t xml:space="preserve">PROPOSED-Blower-PTC-Relay-Modules</t>
  </si>
  <si>
    <t xml:space="preserve">Blower motor PTC relay modules (5), furnished by the blower supplier, installed in the main PLC control panel</t>
  </si>
  <si>
    <t xml:space="preserve">E7.1; E7.2; E7.3</t>
  </si>
  <si>
    <t xml:space="preserve">E7.1 backpanel "BLOWER MOTOR PROTECTIVE RELAYS (5 SUPPLIED BY BLOWER MANUFACTURER)" (plans_10 p.6); E7.2 key note 1 and 1 A branches CBA4–8 "MOTOR PTC RELAY MODULE (TYP OF 5)" (plans_10 p.7); E7.3 key note 1 at each "HIGH MOTOR TEMP" input (plans_10 p.8)</t>
  </si>
  <si>
    <t xml:space="preserve">Cross-lane: Process &amp; Mechanical. Blower supplier furnishes; system integrator installs, provides a 120 V circuit to each and wires the overtemperature trip to the PLC to shut the blower down (E7.2 key note 1). Five = BL-1 to BL-4 and DB (Inferred from count and the five blower enclosures on E7.3). Status New inferred: new blower package. || [Merge] Exceptions: #127, #214.</t>
  </si>
  <si>
    <t xml:space="preserve">PROPOSED-Influent-Pump-Seal-Fail-Overtemp-Relays</t>
  </si>
  <si>
    <t xml:space="preserve">Influent pump seal-fail and overtemperature relays (4), Mini-CAS or equal, furnished by the pump manufacturer, installed in the IPS panel</t>
  </si>
  <si>
    <t xml:space="preserve">E8.1</t>
  </si>
  <si>
    <t xml:space="preserve">E8.1 key note 3 and backpanel "SEAL FAIL RELAYS"; four "Mini CAS" relay faces with leakage/overtemp and reset (plans_11 p.5)</t>
  </si>
  <si>
    <t xml:space="preserve">Cross-lane: Process &amp; Mechanical. System integrator coordinates the relays with the pump supplier (E8.1 key note 3). Count 4 = relay faces drawn and pumps 1–4 (Verified). Door indicators per pump: seal fail, overtemperature, reset. Status New inferred: new pumps and panel. || [Merge] Exceptions: #42, #214.</t>
  </si>
  <si>
    <t xml:space="preserve">PROPOSED-Temporary-Backup-Generator</t>
  </si>
  <si>
    <t xml:space="preserve">Temporary back-up generator (rental), connected to the permanent ATS until the permanent generator arrives; example cut sheet MQ Power 120 kW prime diesel</t>
  </si>
  <si>
    <t xml:space="preserve">None (Add. 4 and 26 05 00 only)</t>
  </si>
  <si>
    <t xml:space="preserve">Add. 4 p.1, Clarification 5; exhibit pp.11–13 — Add. 4 governs</t>
  </si>
  <si>
    <t xml:space="preserve">Add. 4 Generator Exhibit; 26 05 00</t>
  </si>
  <si>
    <t xml:space="preserve">Add. 4 p.1 Clarification 5 (permanent ATS, temporary connection, tests, 60 dBA or lower at full load, "example cut sheet"); Add. 4 exhibit pp.11–13 (Sunbelt 120 kW, MQ Power, John Deere 180 HP, 269 gal, 9 GPH, 30 h, 202x83x89 in, 9,784 lb, $735/day, $1,975/week, $4,620/4 weeks); 26 05 00 ¶1.016 C (p.276) and ¶3.03 E.5 (p.279); Submittal: 26 05 00 ¶1.016 C p.276 (schedule and written plan for disruptions over 20 minutes, Owner and Engineer approval); Testing/startup: Add. 4 p.1 Clarification 5 (test generator connections; automatic load transfer test)</t>
  </si>
  <si>
    <t xml:space="preserve">Rating not stated: 120 kW prime is about 150 kVA at 0.8 pf against the E6.1 generator load of 188.0 A (156 kVA at 480 V) (Inferred arithmetic) — see Issues. Division 26 also requires temporary generators for disruptions over 20 minutes with an Owner/Engineer-approved written plan (26 05 00 ¶1.016 C), so the item sits under Item 6 and Bid Item #18 — cited flag in Issues. || [Merge] Exceptions: #14, #142, #255.</t>
  </si>
  <si>
    <t xml:space="preserve">PROPOSED-Construction-Power-Service</t>
  </si>
  <si>
    <t xml:space="preserve">Dedicated construction power service (contractor-provided, contractor-paid energy)</t>
  </si>
  <si>
    <t xml:space="preserve">6 (Division 26 per 04)</t>
  </si>
  <si>
    <t xml:space="preserve">Not shown</t>
  </si>
  <si>
    <t xml:space="preserve">26 05 00 ¶1.015 A–C (main spec p.276)</t>
  </si>
  <si>
    <t xml:space="preserve">Serves construction equipment, job trailer and other construction needs; the contractor coordinates with the Utility and pays equipment, installation and metered energy. Location and size not shown (Not stated). || [Merge] Exceptions: #67.</t>
  </si>
  <si>
    <t xml:space="preserve">PROPOSED-Electrical-Equipment-Housekeeping-Pads</t>
  </si>
  <si>
    <t xml:space="preserve">Concrete housekeeping pads under floor-mounted electrical equipment (MCC, main PLC panel, IPS panel)</t>
  </si>
  <si>
    <t xml:space="preserve">6 (Division 26 per 04); concrete per civil specifications</t>
  </si>
  <si>
    <t xml:space="preserve">Blower Building (MCC, main PLC panel); Influent Pump Station (IPS panel)</t>
  </si>
  <si>
    <t xml:space="preserve">E7.1; E8.1; E9.1</t>
  </si>
  <si>
    <t xml:space="preserve">E7.1; E8.1; E9.1; 26 05 00</t>
  </si>
  <si>
    <t xml:space="preserve">26 05 00 ¶2.04 (main spec p.278): pad under each floor-mounted MCC and electrical equipment, 3 in wider than the base on both ends, 3 in minimum height; E9.1 4 in pad under the MCC (plans_12 p.3); E7.1 "CONCRETE HOUSKEEPING PAD PER CIVIL SPECS" (plans_10 p.6); E8.1 "CONCRETE EQUIPMENT PAD PER CIVIL SPECIFICATIONS" (plans_11 p.5)</t>
  </si>
  <si>
    <t xml:space="preserve">Cross-lane: Civil &amp; Site (concrete per civil specifications). The generator pad is a separate civil item (E1.1, E10.3; see Issues). Status New inferred: pads for new equipment. || [Merge] Exceptions: #213.</t>
  </si>
  <si>
    <t xml:space="preserve">PROPOSED-Blower-Building-Slab-and-Grade-Beams</t>
  </si>
  <si>
    <t xml:space="preserve">Blower Building concrete slab-on-grade and grade beams</t>
  </si>
  <si>
    <t xml:space="preserve">Structural &amp; Building</t>
  </si>
  <si>
    <t xml:space="preserve">A1.1; A1.2; S1.1; S2.3; S4.1</t>
  </si>
  <si>
    <t xml:space="preserve">03 30 00</t>
  </si>
  <si>
    <t xml:space="preserve">Add. 4 p.3; p.4 (A1.1: extend slab 9 in north to abut existing Train 2 slab; match Train 2 finished floor); p.9 (S2.3 reissue) — Add. 4 governs</t>
  </si>
  <si>
    <t xml:space="preserve">A1.1; A1.2; S1.1; S2.3; 03 30 00</t>
  </si>
  <si>
    <t xml:space="preserve">plans_7 p.5, p.6, p.8; plans_8 p.3; Add. 4 p.3, p.4, p.9</t>
  </si>
  <si>
    <t xml:space="preserve">6 in SOG, #4 @ 18 in each way mid-depth; 20 in W x 18 in D perimeter grade beam, (3) bars T&amp;B, bar size illegible (Issues, Missing #6). Slab 10 ft-0 in wide (building 9 ft-3 in) x 44 ft-0 in per Add. 4 (base 42 ft-0 in x 9 ft-6 in, verify w/ civil). North grade beam widened 9 in to abut existing foundation, #4 x 30 in dowels @ 36 in drilled/epoxied 4 in (Add. 4 S2.3). Concrete 4,500 psi, 0.45, 3/4 in, 6% air, 30% fly ash/slag (S1.1). R-10 XPS at footing perimeter with EIFS cover (A1.2). Foundation design subject to change after metal building design (S2.3 note 2). Submittals 03 30 00 ¶1.06 (shop drawings, mix design, joint plan); testing 03 30 00 ¶1.07 B and ¶3.012 A (Owner testing/inspection). Building slab moist cure 7 days (03 30 00 ¶3.010 D.2.a); vapor retarder 15 mil Stego Wrap (¶2.05).</t>
  </si>
  <si>
    <t xml:space="preserve">PROPOSED-Blower-Pad</t>
  </si>
  <si>
    <t xml:space="preserve">Concrete blower equipment pad carrying 4 blowers</t>
  </si>
  <si>
    <t xml:space="preserve">A1.1; A1.3; S1.1; S2.3</t>
  </si>
  <si>
    <t xml:space="preserve">Add. 4 p.4 (A1.1: pad 6.00 ft to 7.00 ft from west wall); p.9 (S2.3: pad 4 in min. to 3-1/2 in, per civil) — Add. 4 governs</t>
  </si>
  <si>
    <t xml:space="preserve">A1.1; S1.1; S2.3; 03 30 00</t>
  </si>
  <si>
    <t xml:space="preserve">plans_7 p.5 (A1.1: 22.60 ft x 4.50 ft pad; 3 in typ blower to pad edge); plans_7 p.8 (S1.1 schedule: misc equipment pads); plans_8 p.3; Add. 4 p.4, p.9</t>
  </si>
  <si>
    <t xml:space="preserve">Pad 22.60 ft x 4.50 ft (A1.1). Thickness 3-1/2 in per Add. 4 S2.3, "per civil" (cross-lane check: civil blower sheets C6.4/C6.5 are Process &amp; Mechanical lane per 01). Mix per S1.1 misc equipment pads. Submittals 03 30 00 ¶1.06 (shop drawings, mix design, joint plan); testing 03 30 00 ¶1.07 B and ¶3.012 A (Owner testing/inspection). || [Merge] Exceptions: #233.</t>
  </si>
  <si>
    <t xml:space="preserve">PROPOSED-Blowers-Blower-Building</t>
  </si>
  <si>
    <t xml:space="preserve">Blowers (4) on the blower pad</t>
  </si>
  <si>
    <t xml:space="preserve">A1.1; A1.3</t>
  </si>
  <si>
    <t xml:space="preserve">plans_7 p.5; plans_7 p.7</t>
  </si>
  <si>
    <t xml:space="preserve">Cross-lane: Process &amp; Mechanical (43 11 00 Blower Equipment; C6.4/C6.5). No equipment tags shown on A sheets. || [Merge] Exceptions: #18, #224.</t>
  </si>
  <si>
    <t xml:space="preserve">PROPOSED-2W-Bladder-Tank-Assembly</t>
  </si>
  <si>
    <t xml:space="preserve">2W bladder tank assembly — 2 tanks, 24 in diameter</t>
  </si>
  <si>
    <t xml:space="preserve">A1.1</t>
  </si>
  <si>
    <t xml:space="preserve">Add. 4 p.3; p.4 (A1.1: move to new location, see C6.4) — Add. 4 governs</t>
  </si>
  <si>
    <t xml:space="preserve">plans_7 p.5 (BLADDER TANKS PER 1/C4.3); Add. 4 p.4</t>
  </si>
  <si>
    <t xml:space="preserve">Cross-lane: Process &amp; Mechanical (C4.3, C6.4). || [Merge] Exceptions: #25, #227.</t>
  </si>
  <si>
    <t xml:space="preserve">PROPOSED-Louver-36x84-Motorized</t>
  </si>
  <si>
    <t xml:space="preserve">Louver, 36 in x 84 in, motorized — Blower Building west wall</t>
  </si>
  <si>
    <t xml:space="preserve">A1.1; A1.2</t>
  </si>
  <si>
    <t xml:space="preserve">plans_7 p.5; plans_7 p.6</t>
  </si>
  <si>
    <t xml:space="preserve">Cross-lane: Process &amp; Mechanical (23 34 00 per 02 judgment call; cross-check E9.3). || [Merge] Exceptions: #21, #228.</t>
  </si>
  <si>
    <t xml:space="preserve">PROPOSED-Louver-24x24-Manual</t>
  </si>
  <si>
    <t xml:space="preserve">Louver, 24 in x 24 in, manual — Blower Building west wall</t>
  </si>
  <si>
    <t xml:space="preserve">Cross-lane: Process &amp; Mechanical (23 34 00 per 02 judgment call). || [Merge] Exceptions: #22, #228.</t>
  </si>
  <si>
    <t xml:space="preserve">PROPOSED-Exhaust-Fans-Blower-Building</t>
  </si>
  <si>
    <t xml:space="preserve">Exhaust fans (2) with 24 in x 24 in wall vents — Blower Building east wall</t>
  </si>
  <si>
    <t xml:space="preserve">Add. 4 p.4 (A1.1 vent spacing 1.50 ft to 1.25 ft); p.5 (A1.2: raise building for both through-wall exhaust fans) — Add. 4 governs</t>
  </si>
  <si>
    <t xml:space="preserve">plans_7 p.5; plans_7 p.6; Add. 4 p.4, p.5</t>
  </si>
  <si>
    <t xml:space="preserve">Cross-lane: Process &amp; Mechanical (23 34 00); controls cross-check E9.3 (Electrical &amp; Controls) per 02 judgment call. || [Merge] Exceptions: #20, #228.</t>
  </si>
  <si>
    <t xml:space="preserve">PROPOSED-Fire-Extinguishers-Blower-Building</t>
  </si>
  <si>
    <t xml:space="preserve">Fire extinguisher assemblies (2), wall-mounted — Blower Building</t>
  </si>
  <si>
    <t xml:space="preserve">10 52 00</t>
  </si>
  <si>
    <t xml:space="preserve">Add. 4 p.4 (A1.1: provide 2 assemblies; field-coordinate wall locations with Owner) — Add. 4 governs (base shows 1)</t>
  </si>
  <si>
    <t xml:space="preserve">A1.1; 10 52 00</t>
  </si>
  <si>
    <t xml:space="preserve">plans_7 p.5; Add. 4 p.4</t>
  </si>
  <si>
    <t xml:space="preserve">J.L. Industries Cosmic 5E, UL 2A-10BC, standard red, brackets (10 52 00 ¶2.01). Product data submittal (¶1.02 A); operation check and inspection tag at completion (¶3.01 C).</t>
  </si>
  <si>
    <t xml:space="preserve">101A</t>
  </si>
  <si>
    <t xml:space="preserve">Door pair, 10 ft-0 in x 8 ft-0 in x 1-3/4 in, insulated hollow metal, painted, Type B — 2 openings tagged 101A</t>
  </si>
  <si>
    <t xml:space="preserve">08 10 00; 08 70 00; 09 90 00</t>
  </si>
  <si>
    <t xml:space="preserve">Add. 4 p.4 (A1.1 south-wall dimensions revised; door schedule unchanged) — Add. 4 governs</t>
  </si>
  <si>
    <t xml:space="preserve">A1.1; A1.2; 08 10 00; 08 70 00; 09 90 00</t>
  </si>
  <si>
    <t xml:space="preserve">plans_7 p.5 (door schedule); plans_7 p.6 (south elevation)</t>
  </si>
  <si>
    <t xml:space="preserve">Hardware Group 2 (exterior double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</si>
  <si>
    <t xml:space="preserve">101B</t>
  </si>
  <si>
    <t xml:space="preserve">Door, 3 ft-0 in wide, insulated hollow metal, painted, Type A</t>
  </si>
  <si>
    <t xml:space="preserve">Add. 4 p.4 (door schedule unchanged) — Add. 4 governs</t>
  </si>
  <si>
    <t xml:space="preserve">A1.2 south elevation dimensions 3.00 ft x 6 ft-8 in (Verified-Visual); A1.1 schedule height illegible at stored resolution — see Issues, Missing information #1. Hardware Group 1 (exterior single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</si>
  <si>
    <t xml:space="preserve">101C</t>
  </si>
  <si>
    <t xml:space="preserve">Door, 5 ft-0 in x 8 ft-0 in x 1-3/4 in, insulated hollow metal, painted, Type A</t>
  </si>
  <si>
    <t xml:space="preserve">Hardware Group 1 (exterior single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</si>
  <si>
    <t xml:space="preserve">PROPOSED-Existing-Office-Louver-4x4</t>
  </si>
  <si>
    <t xml:space="preserve">Existing louvered vent, 4 ft x 4 ft — existing office building south wall; remove, re-side floor to eave</t>
  </si>
  <si>
    <t xml:space="preserve">A1.3</t>
  </si>
  <si>
    <t xml:space="preserve">13 12 20</t>
  </si>
  <si>
    <t xml:space="preserve">A1.3; 13 12 20</t>
  </si>
  <si>
    <t xml:space="preserve">plans_7 p.7</t>
  </si>
  <si>
    <t xml:space="preserve">Replace metal siding floor to eave with continuous siding to match, no horizontal seams. A1.3 existing building modifications are in 13 12 20 scope (¶1.01 B.2). || [Merge] Exceptions: #28.</t>
  </si>
  <si>
    <t xml:space="preserve">PROPOSED-Existing-Office-Louver-2x3</t>
  </si>
  <si>
    <t xml:space="preserve">Existing louvered vent, 2 ft x 3 ft — existing office building east wall; remove, re-side floor to eave</t>
  </si>
  <si>
    <t xml:space="preserve">PROPOSED-Existing-Generator-Exhaust-Assembly</t>
  </si>
  <si>
    <t xml:space="preserve">Existing generator exhaust assembly — existing office building east wall; remove</t>
  </si>
  <si>
    <t xml:space="preserve">Cross-lane: Electrical &amp; Controls (Inferred: part of the existing generator system). Framing, trim and siding under 13 12 20 ¶1.01 B.2 (A1.3 modifications); the equipment itself is specified outside this stack, so Y/N not stated. || [Merge] Exceptions: #28, #230.</t>
  </si>
  <si>
    <t xml:space="preserve">PROPOSED-WWTP-Building-Louver-3x7</t>
  </si>
  <si>
    <t xml:space="preserve">Louvered vent, 3 ft x 7 ft — existing WWTP building, 3 locations</t>
  </si>
  <si>
    <t xml:space="preserve">Existing WWTP Building</t>
  </si>
  <si>
    <t xml:space="preserve">Cross-lane: Process &amp; Mechanical (23 34 00 per 02 judgment call). Frame in, trim to match existing louvers, caulk; final location with Owner. Framing, trim and siding under 13 12 20 ¶1.01 B.2 (A1.3 modifications); the equipment itself is specified outside this stack, so Y/N not stated. || [Merge] Exceptions: #27, #229.</t>
  </si>
  <si>
    <t xml:space="preserve">PROPOSED-WWTP-Building-Exhaust-Fan-24x24</t>
  </si>
  <si>
    <t xml:space="preserve">Exhaust fan, 24 in x 24 in — existing WWTP building, 3 locations, 6 ft above slab</t>
  </si>
  <si>
    <t xml:space="preserve">Cross-lane: Process &amp; Mechanical (23 34 00); power by Electrical &amp; Controls (Inferred). Frame in, trim to match, caulk; final location with Owner. Framing, trim and siding under 13 12 20 ¶1.01 B.2 (A1.3 modifications); the equipment itself is specified outside this stack, so Y/N not stated. || [Merge] Exceptions: #26, #229.</t>
  </si>
  <si>
    <t xml:space="preserve">PROPOSED-Train-3-Concrete-Tank</t>
  </si>
  <si>
    <t xml:space="preserve">Train 3 cast-in-place concrete tank — 12 in circular wall on 12 in mat slab with raised center pedestal</t>
  </si>
  <si>
    <t xml:space="preserve">S2.1; S1.1; S4.1</t>
  </si>
  <si>
    <t xml:space="preserve">S2.1; S1.1; 03 30 00</t>
  </si>
  <si>
    <t xml:space="preserve">plans_8 p.1 (S2.1 Details 1-5); plans_7 p.8 (S1.1)</t>
  </si>
  <si>
    <t xml:space="preserve">Hydrophilic waterstop, submit for approval (S2.1 Detail 4); S1.1 Submittals 4. Horizontal wall bars Grade 75; lap length per 3/S4.1 whose table covers Grade 60 only (Issues, Conflicts #2). Hydraulic-structure mix per S1.1 by inference (Issues, Missing #3). Train 3 stainless fabrication is Bid Items 18/19 (04), not this row. Submittals 03 30 00 ¶1.06 (shop drawings, mix design, joint plan); testing 03 30 00 ¶1.07 B and ¶3.012 A (Owner testing/inspection). Whether the 03 30 00 ¶1.06 F formwork submittal applies is not stated (Issues, Missing information). Cure duration conflict 90 vs 7 days (Issues, Conflicts). || [Merge] Exceptions: #29, #158.</t>
  </si>
  <si>
    <t xml:space="preserve">PROPOSED-Train-3-Guardrail-and-Ladders</t>
  </si>
  <si>
    <t xml:space="preserve">Train 3 guardrail and ladders — shown "per civil"</t>
  </si>
  <si>
    <t xml:space="preserve">S2.1</t>
  </si>
  <si>
    <t xml:space="preserve">05 52 00; 05 51 10</t>
  </si>
  <si>
    <t xml:space="preserve">S2.1; 05 52 00; 05 51 10</t>
  </si>
  <si>
    <t xml:space="preserve">plans_8 p.1 (S2.1 Detail 4)</t>
  </si>
  <si>
    <t xml:space="preserve">Cross-lane: Process &amp; Mechanical (S2.1 refers to civil; Train 3 civil sheets C3.3-C3.5 are Process &amp; Mechanical lane per 01 — Inferred). Touches Bid Alternates 1/2 (Items 18/19, Train 3 stainless fabrication) per 04. Submittals: WA SE-sealed railing calcs and shop drawings (05 52 00 ¶1.02 A); PE-sealed ladder shop drawings (05 51 10 ¶1.03). Railing material conflict steel vs aluminum (Issues, Conflicts). || [Merge] Exceptions: #34, #232, #255.</t>
  </si>
  <si>
    <t xml:space="preserve">PROPOSED-Blower-Building-Foundation-Drains</t>
  </si>
  <si>
    <t xml:space="preserve">Perimeter foundation drains, 4 in rigid ABS perforated pipe or drain tile in drain rock — Blower Building slab edge</t>
  </si>
  <si>
    <t xml:space="preserve">S2.3</t>
  </si>
  <si>
    <t xml:space="preserve">Add. 4 p.9 (S2.3 reissue, detail unchanged) — Add. 4 governs</t>
  </si>
  <si>
    <t xml:space="preserve">plans_8 p.3 (S2.3 Detail 7); Add. 4 p.9</t>
  </si>
  <si>
    <t xml:space="preserve">Submit a foundation drainage plan to civil for review (S2.3 Detail 7 note 6). Discharge by gravity or mechanical means to an approved system (note 1). Cross-lane: Civil &amp; Site (discharge point and drainage plan review). || [Merge] Exceptions: #128, #239.</t>
  </si>
  <si>
    <t xml:space="preserve">PROPOSED-UV-Disinfection-Chamber-Basin</t>
  </si>
  <si>
    <t xml:space="preserve">UV Disinfection Chamber basin — 8 in CIP concrete walls on 12 in mat slab, with 8 in equipment support walls (4)</t>
  </si>
  <si>
    <t xml:space="preserve">S2.2; S1.1; S4.1</t>
  </si>
  <si>
    <t xml:space="preserve">S2.2; S1.1; S4.1; 03 30 00</t>
  </si>
  <si>
    <t xml:space="preserve">plans_8 p.2 (S2.2 Details 1, 3, 4); plans_7 p.8</t>
  </si>
  <si>
    <t xml:space="preserve">Hydrophilic waterstop at all construction joints, submit for approval (S2.2). Mat slab bar spacing conflict 10 in vs 12 in (Issues, Conflicts #1). 3 in mechanical equipment pads per civil at each end of equipment (cross-lane check: Process &amp; Mechanical). UV equipment drawn in the basin, unlabeled (46 66 00, Process &amp; Mechanical). Hydraulic mix by inference (Issues, Missing #3). Submittals 03 30 00 ¶1.06 (shop drawings, mix design, joint plan); testing 03 30 00 ¶1.07 B and ¶3.012 A (Owner testing/inspection). Whether the 03 30 00 ¶1.06 F formwork submittal applies is not stated (Issues, Missing information). || [Merge] Exceptions: #56, #234.</t>
  </si>
  <si>
    <t xml:space="preserve">PROPOSED-Digester-Concrete-Tank</t>
  </si>
  <si>
    <t xml:space="preserve">Digester — 12 in CIP concrete walls on 12 in mat slab with sloped unreinforced topping</t>
  </si>
  <si>
    <t xml:space="preserve">plans_8 p.2 (S2.2 Details 1-3)</t>
  </si>
  <si>
    <t xml:space="preserve">Hydrophilic waterstop, submit for approval. Topping slope per civil. Mat slab bar spacing conflict (Issues, Conflicts #1). Hydraulic mix by inference (Issues, Missing #3). Submittals 03 30 00 ¶1.06 (shop drawings, mix design, joint plan); testing 03 30 00 ¶1.07 B and ¶3.012 A (Owner testing/inspection). Formwork plans and calcs sealed by a WA SE required — 03 30 00 ¶1.06 F names the digester. || [Merge] Exceptions: #56.</t>
  </si>
  <si>
    <t xml:space="preserve">PROPOSED-Digester-Grating-Beam</t>
  </si>
  <si>
    <t xml:space="preserve">Steel beam, HDG W8x18, spanning the digester for grating support</t>
  </si>
  <si>
    <t xml:space="preserve">S2.2; S1.1</t>
  </si>
  <si>
    <t xml:space="preserve">05 50 00</t>
  </si>
  <si>
    <t xml:space="preserve">S2.2; S1.1; 05 50 00</t>
  </si>
  <si>
    <t xml:space="preserve">plans_8 p.2 (S2.2 Details 1, 2, 7)</t>
  </si>
  <si>
    <t xml:space="preserve">Connection each end per 7/S2.2: HDG L4x4x3/8 each side, (2) 3/4 in A307 bolts, 5/8 in epoxy anchors; short slotted holes one end. Submittals 05 50 00 ¶1.04 and S1.1 Submittals 4 (structural steel). Testing: S1.1 special inspection schedule (steel; post-installed anchors) — none in 05 50 00. Chemical anchors required on water-bearing structures (05 50 00 ¶2.03 B.2).</t>
  </si>
  <si>
    <t xml:space="preserve">PROPOSED-UV-Digester-Grating</t>
  </si>
  <si>
    <t xml:space="preserve">Aluminum solid plank grating with continuous HDG edge angles — UV basin and digester</t>
  </si>
  <si>
    <t xml:space="preserve">S2.2</t>
  </si>
  <si>
    <t xml:space="preserve">05 53 00</t>
  </si>
  <si>
    <t xml:space="preserve">S2.2; 05 53 00</t>
  </si>
  <si>
    <t xml:space="preserve">plans_8 p.2 (S2.2 Details 2, 3, 5, 6)</t>
  </si>
  <si>
    <t xml:space="preserve">Submittals 05 53 00 ¶1.03 A and S2.2 "submit for approval". Grating type and support angles conflict: S2.2 solid plank on HDG steel angles vs 05 53 00 solid plank for UV channels only and bar grating on FRP embedment angles (Issues, Conflicts). Attachment by manufacturer; 316 SS bolts, aluminum clips (¶3.01 B). || [Merge] Exceptions: #57.</t>
  </si>
  <si>
    <t xml:space="preserve">PROPOSED-UV-Digester-Guardrail-and-Ladders</t>
  </si>
  <si>
    <t xml:space="preserve">Guardrail and ladders at the UV basin and digester — shown "per civil"</t>
  </si>
  <si>
    <t xml:space="preserve">S2.2; 05 52 00; 05 51 10</t>
  </si>
  <si>
    <t xml:space="preserve">plans_8 p.2 (S2.2 Detail 3)</t>
  </si>
  <si>
    <t xml:space="preserve">Cross-lane: Process &amp; Mechanical (S2.2 refers to civil; UV/digester civil sheets C5.1-C5.4 are Process &amp; Mechanical lane per 01 — Inferred). Submittals: WA SE-sealed railing calcs and shop drawings (05 52 00 ¶1.02 A); PE-sealed ladder shop drawings (05 51 10 ¶1.03). Railing material conflict steel vs aluminum (Issues, Conflicts). || [Merge] Exceptions: #57, #234.</t>
  </si>
  <si>
    <t xml:space="preserve">PROPOSED-Drain-Pump-Station-Lid</t>
  </si>
  <si>
    <t xml:space="preserve">Drain pump station lid — 16 in CIP concrete, H-20 loading, two hatch openings and center beam</t>
  </si>
  <si>
    <t xml:space="preserve">Drain Pump Station</t>
  </si>
  <si>
    <t xml:space="preserve">S2.4; S1.1</t>
  </si>
  <si>
    <t xml:space="preserve">S2.4; S1.1; 03 30 00</t>
  </si>
  <si>
    <t xml:space="preserve">plans_8 p.4 (S2.4 Details 1-3, Notes 1-6); plans_7 p.8 (S1.1 schedule)</t>
  </si>
  <si>
    <t xml:space="preserve">Mix per S1.1 "Drain Pump Station Lid": 4,500 psi, 0.45, 3/4 in, 5% air, 20% fly ash/slag. Center beam (2) #8 T&amp;B, #4 closed ties @ 3 in max. Lid keyed to precast wall. Which pump station this is — Issues, Missing #4. Submittals per S1.1 Submittals 4. Submittals 03 30 00 ¶1.06 (shop drawings, mix design, joint plan); testing 03 30 00 ¶1.07 B and ¶3.012 A (Owner testing/inspection).</t>
  </si>
  <si>
    <t xml:space="preserve">PROPOSED-Drain-Pump-Station-Precast-Wet-Well</t>
  </si>
  <si>
    <t xml:space="preserve">Precast concrete wet well, 8 ft min., 96 in I.D. — per civil</t>
  </si>
  <si>
    <t xml:space="preserve">S2.4</t>
  </si>
  <si>
    <t xml:space="preserve">03 40 00</t>
  </si>
  <si>
    <t xml:space="preserve">Add. 4 p.1, Clarification 2 (exterior of precast joints sealed with CANUSA-CPS WrapidSeal or approved equal) — Add. 4 governs</t>
  </si>
  <si>
    <t xml:space="preserve">S2.4; 03 40 00</t>
  </si>
  <si>
    <t xml:space="preserve">plans_8 p.4 (S2.4 Details 1-3); main spec pp.182-185 (03 40 00 ¶1.06, ¶2.02 E, ¶2.02 I); Add. 4 p.1</t>
  </si>
  <si>
    <t xml:space="preserve">Cross-lane: Process &amp; Mechanical (wet well, per 03 Add. 4 map for Clarification 2). S2.4 base: "seal AA at joints per civil"; 03 40 00 ¶2.02 I: WrapidSeal joint sleeves; Add. 4 extends to all precast wet well and vault joints. WA-engineer-sealed shop drawings and calcs (¶1.06 A). No testing stated (¶1.07: NPCA certificates, plant inspection rights). Station identity — Issues, Missing #4. || [Merge] Exceptions: #235.</t>
  </si>
  <si>
    <t xml:space="preserve">PROPOSED-Drain-Pump-Station-Hatches</t>
  </si>
  <si>
    <t xml:space="preserve">Access hatches (2), 2 ft-6 in x 4 ft-0 in rough openings, in the drain pump station lid — per civil</t>
  </si>
  <si>
    <t xml:space="preserve">plans_8 p.4 (S2.4 Details 1-3)</t>
  </si>
  <si>
    <t xml:space="preserve">Hatches "per civil", inset into the concrete. Cross-lane: Process &amp; Mechanical / Civil &amp; Site (defining civil sheet not named on S2.4). || [Merge] Exceptions: #38, #235.</t>
  </si>
  <si>
    <t xml:space="preserve">PROPOSED-Generator-Slab</t>
  </si>
  <si>
    <t xml:space="preserve">Generator slab-on-grade, 6 in with thickened edge (about 1 ft-6 in min. deep)</t>
  </si>
  <si>
    <t xml:space="preserve">Generator Pad</t>
  </si>
  <si>
    <t xml:space="preserve">S2.4; 03 30 00</t>
  </si>
  <si>
    <t xml:space="preserve">plans_8 p.4 (S2.4 Detail 4)</t>
  </si>
  <si>
    <t xml:space="preserve">#4 @ 18 in each way mid-depth; (2) #4 continuous in thickened edge; subgrade prep per structural notes; max. slope 2V:1H. Generator "per civil, attachment by others"; permanent vs. temporary not stated (Issues, Missing #5). Submittals 03 30 00 ¶1.06 (shop drawings, mix design, joint plan); testing 03 30 00 ¶1.07 B and ¶3.012 A (Owner testing/inspection). || [Merge] Exceptions: #201.</t>
  </si>
  <si>
    <t xml:space="preserve">PROPOSED-Generator-on-S2.4</t>
  </si>
  <si>
    <t xml:space="preserve">Generator shown on the generator slab — "per civil, attachment by others"</t>
  </si>
  <si>
    <t xml:space="preserve">1 or 6 — Unresolved (see 04)</t>
  </si>
  <si>
    <t xml:space="preserve">Cross-lane: Electrical &amp; Controls (26 32 13; E10.3 by title — Inferred). Permanent-generator bid item already flagged (04 Other bid-item conflicts #1, candidate). If this is the temporary back-up generator, Bid Item 18 applies — 18 — Unresolved (see 04). S2.4 does not say which. || [Merge] Exceptions: #65, #236, #257.</t>
  </si>
  <si>
    <t xml:space="preserve">PROPOSED-Flow-Splitter-Pad</t>
  </si>
  <si>
    <t xml:space="preserve">Concrete equipment pad for the flow splitter, on the existing equipment slab-on-grade</t>
  </si>
  <si>
    <t xml:space="preserve">Flow Splitter</t>
  </si>
  <si>
    <t xml:space="preserve">plans_8 p.4 (S2.4 Detail 5)</t>
  </si>
  <si>
    <t xml:space="preserve">#4 @ 12 in each way top and bottom; #4 hooked dowels @ 24 in around perimeter, drilled and epoxied; roughened joint; pad per mech and civil. Existing slab: overall thickness to field verify. Submittals 03 30 00 ¶1.06 (shop drawings, mix design, joint plan); testing 03 30 00 ¶1.07 B and ¶3.012 A (Owner testing/inspection). || [Merge] Exceptions: #76, #157.</t>
  </si>
  <si>
    <t xml:space="preserve">PROPOSED-Flow-Splitter</t>
  </si>
  <si>
    <t xml:space="preserve">Flow splitter — per civil, attachment by others</t>
  </si>
  <si>
    <t xml:space="preserve">Cross-lane: Process &amp; Mechanical (C3.1/C3.2 Influent Flow Splitter per 01 — Inferred by title). || [Merge] Exceptions: #75, #103, #237.</t>
  </si>
  <si>
    <t xml:space="preserve">PROPOSED-Existing-Slab-Trench-Infill</t>
  </si>
  <si>
    <t xml:space="preserve">Trench cut and concrete infill in existing slab for sub-floor sludge piping (Detail 8)</t>
  </si>
  <si>
    <t xml:space="preserve">Not stated (existing building per C1.6A)</t>
  </si>
  <si>
    <t xml:space="preserve">S4.1</t>
  </si>
  <si>
    <t xml:space="preserve">Add. 4 p.3 (C1.6A item cites S4.1 Detail 8); p.10 (S4.1 reissue, new Detail 8) — Add. 4 governs</t>
  </si>
  <si>
    <t xml:space="preserve">S4.1; 03 30 00</t>
  </si>
  <si>
    <t xml:space="preserve">Add. 4 p.10 (S4.1 Detail 8); Add. 4 p.3</t>
  </si>
  <si>
    <t xml:space="preserve">Saw-cut 24 in max.; pipe encased in CDF 1,000 psi min.; infill to match existing slab; #4 dowels @ 18 in alternating, 4 in min. embed, epoxy. Cross-lane: Civil &amp; Site (C1.6A defines locations; 03 map: C1.6A primary Civil &amp; Site). Submittals 03 30 00 ¶1.06 (shop drawings, mix design, joint plan); testing 03 30 00 ¶1.07 B and ¶3.012 A (Owner testing/inspection). || [Merge] Exceptions: #78, #238.</t>
  </si>
  <si>
    <t xml:space="preserve">PROPOSED-2W-Pump-Station-Precast-Wet-Well</t>
  </si>
  <si>
    <t xml:space="preserve">Precast wet well, 8 ft ID (Oldcastle Infrastructure 96 in diameter), with 48 in x 30 in H-20 aluminum hatch and safety grate (LW Products HD-3C) — 2W Plant Water Pump Station</t>
  </si>
  <si>
    <t xml:space="preserve">Add. 4 p.1, Clarification 2 (exterior of all precast joints sealed with CANUSA-CPS WrapidSeal or approved equal) — Add. 4 governs</t>
  </si>
  <si>
    <t xml:space="preserve">main spec p.183 (03 40 00 ¶2.02 E.2); p.182 (¶1.06); Add. 4 p.1</t>
  </si>
  <si>
    <t xml:space="preserve">Cross-lane: Process &amp; Mechanical (C4.2, P&amp;M lane per 01). 5,000 psi, A615 Gr 60, ASTM C857; WA-engineer-sealed shop drawings and calcs (03 40 00 ¶1.06 A); no testing stated (¶1.07). Drawing sheet not in this stack. || [Merge] Exceptions: #47, #240.</t>
  </si>
  <si>
    <t xml:space="preserve">PROPOSED-Influent-Pump-Station-Precast-Wet-Well</t>
  </si>
  <si>
    <t xml:space="preserve">Precast wet well, 8 ft ID (Oldcastle Infrastructure 96 in diameter), with 48 in x 30 in H-20 aluminum hatch and safety grate (LW Products HD-3C) — Influent Pump Station</t>
  </si>
  <si>
    <t xml:space="preserve">main spec p.183 (03 40 00 ¶2.02 E.2); p.182; Add. 4 p.1</t>
  </si>
  <si>
    <t xml:space="preserve">Cross-lane: Process &amp; Mechanical (C4.1). Hatch conflicts with ¶2.02 D.1 (Issues, Conflicts). 5,000 psi, A615 Gr 60, ASTM C857; WA-engineer-sealed shop drawings and calcs (03 40 00 ¶1.06 A); no testing stated (¶1.07). Drawing sheet not in this stack. || [Merge] Exceptions: #37, #38, #240.</t>
  </si>
  <si>
    <t xml:space="preserve">PROPOSED-Influent-Pump-Station-Top-Slab</t>
  </si>
  <si>
    <t xml:space="preserve">Influent Pump Station top slab per Contract Plan details, with new aluminum access hatch and safety grates</t>
  </si>
  <si>
    <t xml:space="preserve">main spec p.183 (03 40 00 ¶2.02 D.1, E.2); Add. 4 p.1</t>
  </si>
  <si>
    <t xml:space="preserve">Hatch: 3 ft-0 in x 5 ft-0 in light-duty Flygt FLED-13 or equal (¶2.02 D.1) vs 48 in x 30 in H-20 LW Products HD-3C (¶2.02 E.2) — Issues, Conflicts. Cross-lane: Process &amp; Mechanical (C4.1). The "details on the Contract Plans" are not identified; see Issues, Missing #4. || [Merge] Exceptions: #38, #240.</t>
  </si>
  <si>
    <t xml:space="preserve">PROPOSED-Influent-Flow-Meter-Valve-Vault</t>
  </si>
  <si>
    <t xml:space="preserve">Precast vault, 4 ft x 4 ft (Oldcastle Infrastructure 4686-LA), with 36 in x 36 in H-20 single-leaf hatch (Halliday H1R3636) — Influent Flow Meter Valve Vault</t>
  </si>
  <si>
    <t xml:space="preserve">main spec p.183 (03 40 00 ¶2.02 E.2); Add. 4 p.1</t>
  </si>
  <si>
    <t xml:space="preserve">Cross-lane: Civil &amp; Site (C7.4 Civil Details per 01). 5,000 psi, A615 Gr 60, ASTM C857; WA-engineer-sealed shop drawings and calcs (03 40 00 ¶1.06 A); no testing stated (¶1.07). Drawing sheet not in this stack. || [Merge] Exceptions: #44, #240.</t>
  </si>
  <si>
    <t xml:space="preserve">PROPOSED-Effluent-Flow-Meter-Valve-Vault</t>
  </si>
  <si>
    <t xml:space="preserve">Precast vault, 4 ft x 4 ft (Oldcastle Infrastructure 4686-LA), with 36 in x 36 in H-20 single-leaf hatch (Halliday H1R3636) — Effluent Flow Meter Valve Vault</t>
  </si>
  <si>
    <t xml:space="preserve">Cross-lane: Civil &amp; Site (C7.4). 5,000 psi, A615 Gr 60, ASTM C857; WA-engineer-sealed shop drawings and calcs (03 40 00 ¶1.06 A); no testing stated (¶1.07). Drawing sheet not in this stack. || [Merge] Exceptions: #240.</t>
  </si>
  <si>
    <t xml:space="preserve">PROPOSED-Plants-2-and-3-Flow-Meter-Vault</t>
  </si>
  <si>
    <t xml:space="preserve">Precast vault, 4 ft x 4 ft (Oldcastle Infrastructure 4686-LA), with 36 in x 36 in H-20 single-leaf hatch (Halliday H1R3636) — Plants 2 &amp; 3 Flow Meter Vault</t>
  </si>
  <si>
    <t xml:space="preserve">Cross-lane: Civil &amp; Site (C7.4). 5,000 psi, A615 Gr 60, ASTM C857; WA-engineer-sealed shop drawings and calcs (03 40 00 ¶1.06 A); no testing stated (¶1.07). Drawing sheet not in this stack. || [Merge] Exceptions: #5, #6, #240.</t>
  </si>
  <si>
    <t xml:space="preserve">PROPOSED-Influent-Pump-Station-Meter-Vaults</t>
  </si>
  <si>
    <t xml:space="preserve">Precast vaults, 4 ft x 4 ft (Oldcastle Infrastructure 4686-LA), with 36 in x 36 in H-20 single-leaf hatches (Halliday H1R3636) — Influent Pump Station Meter Vaults, quantity not stated</t>
  </si>
  <si>
    <t xml:space="preserve">Cross-lane: Process &amp; Mechanical (C4.1). Quantity not stated ("vaults"). 5,000 psi, A615 Gr 60, ASTM C857; WA-engineer-sealed shop drawings and calcs (03 40 00 ¶1.06 A); no testing stated (¶1.07). Drawing sheet not in this stack. || [Merge] Exceptions: #41, #240.</t>
  </si>
  <si>
    <t xml:space="preserve">PROPOSED-Steel-Stairs-Ladders-Platforms</t>
  </si>
  <si>
    <t xml:space="preserve">Steel stairs, ladders and grating platforms — galvanized, Contractor-designed, where shown on the plans</t>
  </si>
  <si>
    <t xml:space="preserve">1 (Inferred per 04); any Train 3 portion: 18 — Unresolved (see 04)</t>
  </si>
  <si>
    <t xml:space="preserve">Not stated (locations per civil drawings)</t>
  </si>
  <si>
    <t xml:space="preserve">S1.1</t>
  </si>
  <si>
    <t xml:space="preserve">05 51 10; 05 53 00; 05 52 00</t>
  </si>
  <si>
    <t xml:space="preserve">S1.1; 05 51 10</t>
  </si>
  <si>
    <t xml:space="preserve">main spec pp.200-202 (05 51 10 ¶1.01, ¶1.03, ¶2.04); plans_7 p.8 (S1.1 Submittals 5)</t>
  </si>
  <si>
    <t xml:space="preserve">Deferred submittal sealed by WA PE (S1.1); location-specific PE-sealed calcs and shop drawings (05 51 10 ¶1.03). Defaults unless shown: 7 in riser, 11 in tread, stair width 4 ft-0 in min, ladder width 3 ft-0 in min. No locations on S/A sheets. Cross-lane: Process &amp; Mechanical / Civil &amp; Site (locations on civil drawings). || [Merge] Exceptions: #241, #255.</t>
  </si>
  <si>
    <t xml:space="preserve">PROPOSED-Boot-Brush-and-Pad</t>
  </si>
  <si>
    <t xml:space="preserve">Boot and shoe brush with scraper (Gempler's #2900) on a concrete pad next to the Blower Building exterior door</t>
  </si>
  <si>
    <t xml:space="preserve">08 70 00</t>
  </si>
  <si>
    <t xml:space="preserve">main spec p.220 (08 70 00 ¶2.08 A)</t>
  </si>
  <si>
    <t xml:space="preserve">Location coordinated with Owner; not shown on A1.1. Pad concrete by subject 03 30 00 (Inferred). Submittal: manufacturer's data with the hardware schedule (08 70 00 ¶1.03 A). || [Merge] Exceptions: #129.</t>
  </si>
  <si>
    <t xml:space="preserve">PROPOSED-Influent-Pump-Station-Interior-Coating</t>
  </si>
  <si>
    <t xml:space="preserve">Epoxy protective lining, spray-applied 100% solids (Raven 405 or Tnemec G436), on all interior concrete surfaces — Influent Pump Station</t>
  </si>
  <si>
    <t xml:space="preserve">09 97 23</t>
  </si>
  <si>
    <t xml:space="preserve">main spec pp.236-241 (09 97 23 ¶1.01 B.1, ¶1.02, ¶2.04, ¶3.05 D, ¶3.06)</t>
  </si>
  <si>
    <t xml:space="preserve">Cross-lane: Process &amp; Mechanical (C4.1; locations "see drawings"). Testing: wet film (ASTM D4414), holiday test at 100 V/mil, pull-off adhesion (ASTM D7234, 2 of 3 over 200 psi). Concrete cured 28 days min. before coating. || [Merge] Exceptions: #130, #243.</t>
  </si>
  <si>
    <t xml:space="preserve">PROPOSED-Bollards</t>
  </si>
  <si>
    <t xml:space="preserve">Bollards</t>
  </si>
  <si>
    <t xml:space="preserve">3</t>
  </si>
  <si>
    <t xml:space="preserve">Contract &amp; General</t>
  </si>
  <si>
    <t xml:space="preserve">00 24 13; 00 41 00</t>
  </si>
  <si>
    <t xml:space="preserve">main spec 00 24 13 ¶3 p.16; 00 41 00 p.23</t>
  </si>
  <si>
    <t xml:space="preserve">12 EA approx. qty (00 41 00 p.23, Verified); locations chosen by the Owner; paid per finished bollard (00 24 13 ¶3.A–B p.16, Verified). Discipline Inferred (site item). Cross-lane: Civil &amp; Site || [Merge] Exceptions: #131, #250.</t>
  </si>
  <si>
    <t xml:space="preserve">PROPOSED-Trench-Safety-System</t>
  </si>
  <si>
    <t xml:space="preserve">Trench safety system</t>
  </si>
  <si>
    <t xml:space="preserve">main spec 00 24 13 ¶2 p.16; 00 41 00 p.23</t>
  </si>
  <si>
    <t xml:space="preserve">Installed per WSDOT, OSHA and other rules — WSDOT part Unresolved: external reference, not staged. Status Temporary is Inferred (protects open excavations; not stated). Bid form title 'Trench Safety Excavation Provisions' vs scope title 'Trench Safety System' — wording already logged in 04 (cited). Cross-lane: Civil &amp; Site || [Merge] Exceptions: #70, #250.</t>
  </si>
  <si>
    <t xml:space="preserve">PROPOSED-Erosion-and-Sediment-Control-Measures</t>
  </si>
  <si>
    <t xml:space="preserve">Erosion and sediment control measures (SWPPP)</t>
  </si>
  <si>
    <t xml:space="preserve">5</t>
  </si>
  <si>
    <t xml:space="preserve">TESC plans (civil sheets, not numbered in source)</t>
  </si>
  <si>
    <t xml:space="preserve">00 24 13; 00 41 00; 01 50 00</t>
  </si>
  <si>
    <t xml:space="preserve">main spec 00 24 13 ¶4–5 p.17; 00 41 00 p.23; 01 50 00 ¶1.05.D p.145</t>
  </si>
  <si>
    <t xml:space="preserve">Named in ¶5 (Verified): quarry spall construction entrance, track clean plates, siltation ponds, silt fencing, straw, other sediment trapping devices, slope stabilization; maintained for the life of the project. SWPPP prep (Item 4) per 31 32 11, TESC plans and NPDES permit. Status Temporary Inferred from 'life of the project'. Split into components at Merge. 01 50 00 ¶1.05.D: per the Contract Plans and 31 32 11 (Verified). Cross-lane: Civil &amp; Site || [Merge] Exceptions: #71, #250.</t>
  </si>
  <si>
    <t xml:space="preserve">PROPOSED-Temporary-Bypass-Pipe</t>
  </si>
  <si>
    <t xml:space="preserve">Temporary bypass pipe (chlorine contact tank outlet to 8-inch plant outlet)</t>
  </si>
  <si>
    <t xml:space="preserve">00 31 13</t>
  </si>
  <si>
    <t xml:space="preserve">main spec 00 31 13 Construction Phasing Plan ¶A.5 p.21</t>
  </si>
  <si>
    <t xml:space="preserve">Set up April 2023 per the Plan of Interim Operation, from the existing chlorine contact tank outlet to the existing 8-inch plant outlet pipe (Verified). Source does not say whether that plan is Appendix F or sheet C0.7 (C0.7 Assigned — unavailable per 01). Bid Item 1 Inferred (04: Item 1 = work not itemized elsewhere). Cross-lane: Civil &amp; Site || [Merge] Exceptions: #68, #250.</t>
  </si>
  <si>
    <t xml:space="preserve">PROPOSED-Temporary-8in-Effluent-Piping</t>
  </si>
  <si>
    <t xml:space="preserve">Temporary 8-inch effluent piping</t>
  </si>
  <si>
    <t xml:space="preserve">main spec 00 31 13 ¶A.14 p.22</t>
  </si>
  <si>
    <t xml:space="preserve">Switched over to the new 8-inch effluent piping when UV goes on line Oct 11, 2023 (Verified). Whether this is the same run as the temporary bypass pipe (¶A.5) is not stated. Bid Item 1 Inferred. Cross-lane: Civil &amp; Site || [Merge] Exceptions: #74, #250.</t>
  </si>
  <si>
    <t xml:space="preserve">PROPOSED-8in-Effluent-Piping</t>
  </si>
  <si>
    <t xml:space="preserve">8-inch effluent piping (new)</t>
  </si>
  <si>
    <t xml:space="preserve">00 31 13; 01 45 00</t>
  </si>
  <si>
    <t xml:space="preserve">main spec 00 31 13 ¶A.14 p.22; 01 45 00 ¶1.05.B.1.a p.137</t>
  </si>
  <si>
    <t xml:space="preserve">Placed in service at the UV switch-over, Oct 11, 2023 (Verified). Bid Item 1 Inferred. Testing Y: Contractor-paid pipe pressure testing 'per specs' (01 45 00, Verified); which lines and test values are set outside this lane's stack (Inferred). Cross-lane: Civil &amp; Site || [Merge] Exceptions: #105, #250.</t>
  </si>
  <si>
    <t xml:space="preserve">PROPOSED-8in-Effluent-Flow-Meter</t>
  </si>
  <si>
    <t xml:space="preserve">8-inch effluent flow meter</t>
  </si>
  <si>
    <t xml:space="preserve">00 31 13; 01 33 00; 01 70 00</t>
  </si>
  <si>
    <t xml:space="preserve">main spec 00 31 13 ¶A.14 p.22; 01 33 00 ¶1.05.G pp.131–132; 01 70 00 ¶1.03.A.6 p.152, ¶1.06 p.155</t>
  </si>
  <si>
    <t xml:space="preserve">New meter placed in service at the UV switch-over, Oct 11, 2023 (Verified). Item 1 or 6 depends on which section specifies it (not in my stack). Discipline Inferred (instrument). Meter type not stated; may be one of the magnetic flow meters commissioned under 01 91 00 ¶1.11 (Inferred) — see PROPOSED-Magnetic-Flow-Meters.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Civil &amp; Site (vault) || [Merge] Exceptions: #10, #253.</t>
  </si>
  <si>
    <t xml:space="preserve">PROPOSED-Aerobic-Digester</t>
  </si>
  <si>
    <t xml:space="preserve">Aerobic digester</t>
  </si>
  <si>
    <t xml:space="preserve">00 24 13; 00 31 13; 00 73 00; 01 45 00; 01 50 00</t>
  </si>
  <si>
    <t xml:space="preserve">00 24 13; 00 31 13; 00 73 00; 01 45 00; 01 50 00; CQA Plan</t>
  </si>
  <si>
    <t xml:space="preserve">main spec 00 31 13 ¶A.6 p.21, ¶A.19 p.22; 00 24 13 ¶9 p.18; 00 73 00 SC 19 p.92; 01 45 00 ¶1.09 pp.139–140; 01 50 00 ¶1.04.C p.143; QA plan §2.0 p.6</t>
  </si>
  <si>
    <t xml:space="preserve">Start April 2023; new aerobic digester complete Nov 1, 2023 (Verified). 00 24 13 ¶9 prices extra structural concrete 'similar to the digester basin walls'. Area from sheet titles (Inferred). SC 19 lists a 'digester' in Substantial Completion (Verified); read as this new aerobic digester (Inferred — only digester named in my stack). Both lists say 'Digester' — mapping to this row Inferred. Testing Y: clean water leakage test before startup — filled to the rim, held 2 hours, no visible leakage (01 45 00 ¶1.09; 01 50 00 ¶1.04.C — Verified). QA plan §2.0 lists a 'new aerated digester'; read as this aerobic digester (Inferred). The QA plan is not a Contract Document (§1.3 p.5). Cross-lane: Process &amp; Mechanical; Structural &amp; Building || [Merge] Exceptions: #56, #251, #252.</t>
  </si>
  <si>
    <t xml:space="preserve">PROPOSED-UV-Disinfection-Chamber</t>
  </si>
  <si>
    <t xml:space="preserve">UV disinfection chamber (UV channels #1 and #2)</t>
  </si>
  <si>
    <t xml:space="preserve">00 31 13; 01 45 00; 01 50 00</t>
  </si>
  <si>
    <t xml:space="preserve">main spec 00 31 13 ¶A.6 p.21; ¶A.14 p.22; 01 45 00 ¶1.09 pp.139–140; 01 50 00 ¶1.04.C p.143</t>
  </si>
  <si>
    <t xml:space="preserve">Start April 2023; UV channels #1 and #2 placed in service Oct 11, 2023 (Verified). Discipline and area Inferred. 01 45 00 says 'UV Disinfection Chamber', 01 50 00 'UV Disinfection Channel #1 and #2' (Verified). Testing Y: clean water leakage test before startup — filled to the rim, held 2 hours, no visible leakage (01 45 00 ¶1.09; 01 50 00 ¶1.04.C — Verified). Cross-lane: Structural &amp; Building; Process &amp; Mechanical || [Merge] Exceptions: #56, #252.</t>
  </si>
  <si>
    <t xml:space="preserve">PROPOSED-UV-Disinfection-System</t>
  </si>
  <si>
    <t xml:space="preserve">UV disinfection system equipment</t>
  </si>
  <si>
    <t xml:space="preserve">00 31 13; 00 41 00; 00 73 00; 01 33 00; 01 70 00; 01 91 00</t>
  </si>
  <si>
    <t xml:space="preserve">00 31 13; 00 41 00; 00 73 00; 01 33 00; 01 70 00; 01 91 00; CQA Plan</t>
  </si>
  <si>
    <t xml:space="preserve">main spec 00 41 00 p.26; 00 31 13 ¶A.13 p.21, ¶A.14 p.22; 00 73 00 SC 19 p.92; 01 33 00 ¶1.05.G pp.131–132; 01 70 00 ¶1.03.A.6 p.152, ¶1.06 p.155; 01 91 00 ¶1.05 p.158; QA plan §2.0 p.6</t>
  </si>
  <si>
    <t xml:space="preserve">Base manufacturer Trojan; Base Bid Item 1 is based on it; Equipment Alternate D is a lump-sum deduction (Verified). Complete Oct 7, 2023; on line Oct 11, 2023 (Verified). Spec 46 66 00 link Inferred (04). Area Inferred. SC 19 lists the UV disinfection system in Substantial Completion (Verified). 01 91 00 ¶1.05: supplier at least 2 days; UV module amperage and intensity monitoring checked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ultraviolet disinfection system' (Verified). The QA plan is not a Contract Document (§1.3 p.5). Cross-lane: Process &amp; Mechanical || [Merge] Exceptions: #54, #251.</t>
  </si>
  <si>
    <t xml:space="preserve">PROPOSED-Sludge-Pumps</t>
  </si>
  <si>
    <t xml:space="preserve">Sludge pumps (peristaltic; WAS and digested sludge)</t>
  </si>
  <si>
    <t xml:space="preserve">00 31 13; 01 33 00; 01 70 00; 01 91 00; 01 45 00</t>
  </si>
  <si>
    <t xml:space="preserve">00 31 13; 01 33 00; 01 70 00; 01 91 00; 01 45 00; CQA Plan</t>
  </si>
  <si>
    <t xml:space="preserve">main spec 00 31 13 ¶A.6 p.21; 01 33 00 ¶1.05.G pp.131–132; 01 70 00 ¶1.03.A.6 p.152, ¶1.06 p.155; 01 91 00 ¶1.06 p.158; QA plan §2.0 p.6</t>
  </si>
  <si>
    <t xml:space="preserve">Construction starts April 2023 (Verified). Status New and area (C6.2 title in 01) Inferred. Add. 4 item on 22 13 36 ¶2.01 A is mapped to Process &amp; Mechanical in 03 — pointer only. 01 91 00 ¶1.06: peristaltic pumps for WAS and digested sludge; supplier at least 2 days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'new sludge pumps' — Status New now read directly (Verified). The QA plan is not a Contract Document (§1.3 p.5). Cross-lane: Process &amp; Mechanical || [Merge] Exceptions: #59, #251.</t>
  </si>
  <si>
    <t xml:space="preserve">PROPOSED-Yard-Piping</t>
  </si>
  <si>
    <t xml:space="preserve">Yard piping</t>
  </si>
  <si>
    <t xml:space="preserve">00 31 13; 00 73 00; 01 45 00</t>
  </si>
  <si>
    <t xml:space="preserve">main spec 00 31 13 ¶A.6 p.21; ¶A.18 p.22; 00 73 00 SC 19 p.92; 01 45 00 ¶1.05.B.1.a p.137</t>
  </si>
  <si>
    <t xml:space="preserve">Starts April 2023; major piping work completion deadline Nov 1, 2023 (Verified). Status New Inferred. SC 19 lists yard piping in Substantial Completion (Verified). Testing Y: Contractor-paid pipe pressure testing 'per specs' (01 45 00, Verified); which lines and test values are set outside this lane's stack (Inferred). Cross-lane: Civil &amp; Site || [Merge] Exceptions: #250.</t>
  </si>
  <si>
    <t xml:space="preserve">PROPOSED-Yard-Piping-Vaults</t>
  </si>
  <si>
    <t xml:space="preserve">Vaults associated with yard piping</t>
  </si>
  <si>
    <t xml:space="preserve">main spec 00 31 13 ¶A.6 p.21</t>
  </si>
  <si>
    <t xml:space="preserve">'Associated Vaults' start April 2023 (Verified); vault list not given. Cross-lane: Civil &amp; Site || [Merge] Exceptions: #250.</t>
  </si>
  <si>
    <t xml:space="preserve">PROPOSED-2W-Air-Gap-Water-System</t>
  </si>
  <si>
    <t xml:space="preserve">2W air gap water system</t>
  </si>
  <si>
    <t xml:space="preserve">00 31 13; 01 33 00; 01 70 00; 01 91 00</t>
  </si>
  <si>
    <t xml:space="preserve">00 31 13; 01 33 00; 01 70 00; 01 91 00; CQA Plan</t>
  </si>
  <si>
    <t xml:space="preserve">main spec 00 31 13 ¶A.7 p.21; ¶A.15 p.22; 01 33 00 ¶1.05.G pp.131–132; 01 70 00 ¶1.03.A.6 p.152, ¶1.06 p.155; 01 91 00 ¶1.10 p.159; QA plan §2.0 p.6</t>
  </si>
  <si>
    <t xml:space="preserve">New system; start May 2023; complete Oct 18, 2023 (Verified). Spec 43 22 10 link Inferred (Add. 4 item on it mapped to Process &amp; Mechanical in 03 — pointer only). 01 91 00 ¶1.10: supplier at least 1 day; verify constant 60–90 psi with pumps ramping to hold setpoint from 0 to 50 gpm, the automatic valve at the air gap and the floats (Verified). The pump station wet well has its own row.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2W water system' (Verified). The QA plan is not a Contract Document (§1.3 p.5). Cross-lane: Process &amp; Mechanical || [Merge] Exceptions: #17, #251.</t>
  </si>
  <si>
    <t xml:space="preserve">PROPOSED-Influent-Pump-Station</t>
  </si>
  <si>
    <t xml:space="preserve">Influent pump station</t>
  </si>
  <si>
    <t xml:space="preserve">00 31 13; 00 73 00; 01 45 00; 01 50 00</t>
  </si>
  <si>
    <t xml:space="preserve">00 31 13; 00 73 00; 01 45 00; 01 50 00; CQA Plan</t>
  </si>
  <si>
    <t xml:space="preserve">main spec 00 31 13 ¶A.8 p.21; ¶A.16–17 p.22; 00 73 00 SC 19 p.92; 01 45 00 ¶1.09 pp.139–140; 01 50 00 ¶1.04.C p.143; QA plan §2.0 p.6</t>
  </si>
  <si>
    <t xml:space="preserve">New station; start June 2023; complete and on line Oct 25, 2023; all flow to Train #1 until influent piping is reconnected to Train #2 (Verified). Bid Item 1 Inferred. SC 19 lists the influent pump station in Substantial Completion (Verified). Testing Y: clean water leakage test before startup — filled to the rim, held 2 hours, no visible leakage (01 45 00 ¶1.09; 01 50 00 ¶1.04.C — Verified). QA plan §2.0 lists a 'new influent pump station' (Verified). The QA plan is not a Contract Document (§1.3 p.5). Cross-lane: Process &amp; Mechanical || [Merge] Exceptions: #37, #251.</t>
  </si>
  <si>
    <t xml:space="preserve">PROPOSED-Submersible-Pump-Equipment</t>
  </si>
  <si>
    <t xml:space="preserve">Submersible pump equipment</t>
  </si>
  <si>
    <t xml:space="preserve">00 41 00; 01 33 00; 01 70 00; 01 91 00; 01 45 00</t>
  </si>
  <si>
    <t xml:space="preserve">main spec 00 41 00 p.26; 01 33 00 ¶1.05.G pp.131–132; 01 70 00 ¶1.03.A.6 p.152, ¶1.06 p.155; 01 91 00 ¶1.02 p.157; 01 45 00 ¶1.05.B.1.e p.137</t>
  </si>
  <si>
    <t xml:space="preserve">Base manufacturer Flygt; Equipment Alternate A lump-sum deduction (Verified). Which pumps is not stated on the bid form; 04 links to 22 13 29 (Inferred). Status Inferred. 01 91 00 ¶1.02: influent pump station submersible pumps; supplier gives at least 5 days of start-up supervision and operator training (Verified) — area now Verified. Clean water mechanical testing of pumps is Contractor-paid (01 45 00 ¶1.05.B.1.e,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#36, #251.</t>
  </si>
  <si>
    <t xml:space="preserve">PROPOSED-Influent-Flow-Splitter</t>
  </si>
  <si>
    <t xml:space="preserve">Influent flow splitter</t>
  </si>
  <si>
    <t xml:space="preserve">main spec 00 31 13 ¶A.17 p.22; 00 73 00 SC 19 p.92; 01 45 00 ¶1.09 pp.139–140; 01 50 00 ¶1.04.C p.143; QA plan §2.0 p.6</t>
  </si>
  <si>
    <t xml:space="preserve">Placed on line with the new influent pump station Oct 25, 2023 (Verified). 'New' read as applying to the listed items (Inferred). SC 19 lists a 'flow splitter' in Substantial Completion (Verified); read as this influent flow splitter (Inferred — SC 19 does not say 'influent'). Both lists say 'Flow Splitter' — mapping to this row Inferred. Testing Y: clean water leakage test before startup — filled to the rim, held 2 hours, no visible leakage (01 45 00 ¶1.09; 01 50 00 ¶1.04.C — Verified). QA plan §2.0 lists a 'new influent flow splitter' — Status New now read directly (Verified). The QA plan is not a Contract Document (§1.3 p.5). Cross-lane: Process &amp; Mechanical || [Merge] Exceptions: #75, #103, #251.</t>
  </si>
  <si>
    <t xml:space="preserve">Influent sampler</t>
  </si>
  <si>
    <t xml:space="preserve">main spec 00 31 13 ¶A.17 p.22; 01 33 00 ¶1.05.G pp.131–132; 01 70 00 ¶1.03.A.6 p.152, ¶1.06 p.155</t>
  </si>
  <si>
    <t xml:space="preserve">Placed on line Oct 25, 2023 (Verified). Specifying section not in my stack, so Item 1 vs 6 not stated. Status and discipline Inferred.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#13, #122, #251.</t>
  </si>
  <si>
    <t xml:space="preserve">PROPOSED-Train-3</t>
  </si>
  <si>
    <t xml:space="preserve">Train 3 (third treatment train)</t>
  </si>
  <si>
    <t xml:space="preserve">00 31 13; 00 24 13; 00 73 00; 01 45 00; 01 50 00</t>
  </si>
  <si>
    <t xml:space="preserve">00 31 13; 00 24 13; 00 73 00; 01 45 00; 01 50 00; CQA Plan</t>
  </si>
  <si>
    <t xml:space="preserve">main spec 00 31 13 ¶A.10 p.21, ¶A.22–23 p.22; 00 73 00 SC 19 p.92; 01 45 00 ¶1.09 pp.139–140; 01 50 00 ¶1.04.C p.143; QA plan §2.0 p.6</t>
  </si>
  <si>
    <t xml:space="preserve">Start Aug 2023; complete July 8, 2024; seeded with 10,000 gal activated sludge from Train #1 or #2, July 8–12, 2024 (Verified). Bid Item 1 Inferred. SC 19 lists 'train 3' in Substantial Completion (Verified). 01 50 00 lists 'Train #3 (including Aeration Basins, Anoxic Basins, and Clarifier)' (Verified); those structures also have their own rows. Testing Y: clean water leakage test before startup — filled to the rim, held 2 hours, no visible leakage (01 45 00 ¶1.09; 01 50 00 ¶1.04.C — Verified). QA plan §2.0: 'new third train configured to match the dimensions of the other two existing bullseye treatment cells' (Verified). The QA plan is not a Contract Document (§1.3 p.5). Cross-lane: Process &amp; Mechanical; Structural &amp; Building || [Merge] Exceptions: #251, #253.</t>
  </si>
  <si>
    <t xml:space="preserve">PROPOSED-Train-3-Biological-Treatment-Equipment</t>
  </si>
  <si>
    <t xml:space="preserve">Train 3 biological treatment system equipment</t>
  </si>
  <si>
    <t xml:space="preserve">1; Equipment Alternate B; 18 — Unresolved (see 04); 19</t>
  </si>
  <si>
    <t xml:space="preserve">00 24 13; 00 41 00; 01 33 00; 01 70 00; 01 91 00; 01 45 00</t>
  </si>
  <si>
    <t xml:space="preserve">main spec 00 41 00 pp.25–26; 00 24 13 ¶18–19 p.20; 01 33 00 ¶1.05.G pp.131–132; 01 70 00 ¶1.03.A.6 p.152, ¶1.06 p.155; 01 91 00 ¶1.03 pp.157–158; 01 45 00 ¶1.05.B.1.e p.137</t>
  </si>
  <si>
    <t xml:space="preserve">Base manufacturer Smith and Loveless (Verified). Alt 1 (Item 18): Type 316 SS for in-basin steel above water to 1 ft below, submerged parts painted; Alt 2 (Item 19): SS throughout, structural supports may be painted; FRP effluent weirs and covers excluded; per 46 53 00 (Verified). Add. 4 p.1 Clar. 5 uses #18 for another scope — existing flag (02/03/04), cited not re-raised. 01 91 00 ¶1.03: supplier gives at least 2 weeks of start-up supervision and training; items named: clarifier drive, mixers, valves, DO sensors, pH sensors, air lift pumps, weirs and baffles set level (Verified) — sensors also rowed separately. Clean water mechanical testing of diffusers, mixers and air lift assemblies is Contractor-paid (01 45 00 ¶1.05.B.1.e,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#30, #251, #255.</t>
  </si>
  <si>
    <t xml:space="preserve">PROPOSED-Temporary-Back-Up-Generator</t>
  </si>
  <si>
    <t xml:space="preserve">Temporary back-up generator (rental, 480V)</t>
  </si>
  <si>
    <t xml:space="preserve">00 31 13; 00 41 00</t>
  </si>
  <si>
    <t xml:space="preserve">main spec 00 31 13 ¶A.11 p.21, ¶A.21 p.22; Add. 4 p.1 Clarification 5</t>
  </si>
  <si>
    <t xml:space="preserve">Rent Sept 25, 2023; rental removed when the permanent 480V generator is on line, April 2024 (00 31 13, Verified). Add. 4: connects temporarily to the permanent ATS until the permanent genset arrives; test generator connections and automatic load transfer; quiet operation, 60 dBA or lower at full load; example Sunbelt 120 kW diesel exhibit on Add. 4 pp.11–13 (Electrical &amp; Controls stack, not read) (Verified). Bid item number stays Unresolved per the existing flag. Submittal left N: the O&amp;M and start-up procedure rules (01 33 00, 01 70 00) are read as applying to permanent equipment, not the rental (Inferred). Separate from temporary construction power (01 50 00 ¶1.04.A). Cross-lane: Electrical &amp; Controls || [Merge] Exceptions: #14, #253, #255.</t>
  </si>
  <si>
    <t xml:space="preserve">PROPOSED-Automatic-Transfer-Switch</t>
  </si>
  <si>
    <t xml:space="preserve">Automatic transfer switch (permanent)</t>
  </si>
  <si>
    <t xml:space="preserve">01 33 00; 01 70 00</t>
  </si>
  <si>
    <t xml:space="preserve">00 41 00; 01 33 00; 01 70 00</t>
  </si>
  <si>
    <t xml:space="preserve">Add. 4 p.1 Clarification 5; 01 33 00 ¶1.05.G pp.131–132; 01 70 00 ¶1.03.A.6 p.152, ¶1.06 p.155</t>
  </si>
  <si>
    <t xml:space="preserve">The transfer switch is the project's permanent ATS, not a long-lead item; the temporary generator connects to it (Verified). Testing Y = the automatic load transfer test in Clar. 5 exercises the ATS (Inferred). Touches the #18 scope, so carries 18 — Unresolved; by content likely Item 6 (Inferred, 00 24 13 ¶6 p.17). Spec 26 36 00 link Inferred.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#66, #253, #255.</t>
  </si>
  <si>
    <t xml:space="preserve">PROPOSED-Permanent-Standby-Generator</t>
  </si>
  <si>
    <t xml:space="preserve">Permanent 480V standby generator</t>
  </si>
  <si>
    <t xml:space="preserve">1 or 6 — Unresolved (see 04); Equipment Alternate E</t>
  </si>
  <si>
    <t xml:space="preserve">00 31 13; 00 41 00; 00 73 00; 01 33 00; 01 70 00</t>
  </si>
  <si>
    <t xml:space="preserve">00 31 13; 00 41 00; 00 73 00; 01 33 00; 01 70 00; CQA Plan</t>
  </si>
  <si>
    <t xml:space="preserve">main spec 00 31 13 ¶A.21 p.22; 00 41 00 pp.26–27; 00 73 00 SC 19 p.92; 01 33 00 ¶1.05.G pp.131–132; 01 70 00 ¶1.03.A.6 p.152, ¶1.06 p.155; QA plan §2.0 p.6</t>
  </si>
  <si>
    <t xml:space="preserve">Base manufacturers Cummins, Kohler, Caterpillar, Generac; Equipment Alternate E deduction (Verified). Installed, tested and on line April 2024, rental removed (00 31 13 ¶A.21, Verified) — Testing Y from that milestone. Item 1 vs Item 6 conflict already flagged (03 candidate; 04 other conflict 1) — cited, not re-raised. Named as the 'permanent genset' in Add. 4 Clar. 5. SC 19 lists a 'backup generator' in Substantial Completion (Verified); read as the permanent unit (Inferred — the rental is removed once the permanent unit is on line, 00 31 13 ¶A.21).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emergency generator'; read as this permanent unit (Inferred). The QA plan is not a Contract Document (§1.3 p.5). Cross-lane: Electrical &amp; Controls || [Merge] Exceptions: #65, #253, #257.</t>
  </si>
  <si>
    <t xml:space="preserve">PROPOSED-480V-Electrical-Service</t>
  </si>
  <si>
    <t xml:space="preserve">480V electrical service (new)</t>
  </si>
  <si>
    <t xml:space="preserve">main spec 00 31 13 ¶A.12 p.21; 01 33 00 ¶1.05.G pp.131–132; 01 70 00 ¶1.03.A.6 p.152, ¶1.06 p.155</t>
  </si>
  <si>
    <t xml:space="preserve">Complete Oct 4, 2023 (Verified). Bid Item 6 Inferred (00 24 13 ¶6 p.17: all E sheets and Division 26).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#253.</t>
  </si>
  <si>
    <t xml:space="preserve">PROPOSED-Motor-Control-Center</t>
  </si>
  <si>
    <t xml:space="preserve">Motor control center (MCC)</t>
  </si>
  <si>
    <t xml:space="preserve">Complete Oct 4, 2023 (Verified). Area Inferred from the E9.1 title in 01. Bid Item 6 Inferred. Add. 4 p.1 Clarification 4 (MCC size) is mapped to Electrical &amp; Controls in 03 — pointer only.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#23, #253.</t>
  </si>
  <si>
    <t xml:space="preserve">PROPOSED-PLC-Control-Panel</t>
  </si>
  <si>
    <t xml:space="preserve">PLC control panel (new)</t>
  </si>
  <si>
    <t xml:space="preserve">00 31 13; 00 73 00; 01 33 00; 01 70 00</t>
  </si>
  <si>
    <t xml:space="preserve">main spec 00 31 13 ¶A.12 p.21; 00 73 00 SC 19 p.92; 01 33 00 ¶1.05.G pp.131–132; 01 70 00 ¶1.03.A.6 p.152, ¶1.06 p.155</t>
  </si>
  <si>
    <t xml:space="preserve">Complete Oct 4, 2023 (Verified). Bid Item 6 Inferred. SC 19 lists 'SCADA/PLC programming' in Substantial Completion (Verified); tie to this panel Inferred. O&amp;M manuals expressly cover controls, telemetry and SCADA (01 70 00 ¶1.03.A.6, Verified).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#24, #253.</t>
  </si>
  <si>
    <t xml:space="preserve">PROPOSED-Dewatering-System</t>
  </si>
  <si>
    <t xml:space="preserve">Sludge dewatering system (rotary fan press)</t>
  </si>
  <si>
    <t xml:space="preserve">main spec 00 31 13 ¶A.20 p.22; 00 41 00 p.26; 00 73 00 SC 19 p.92; 01 33 00 ¶1.05.G pp.131–132; 01 70 00 ¶1.03.A.6 p.152, ¶1.06 p.155; 01 91 00 ¶1.07 p.159; QA plan §2.0 p.6</t>
  </si>
  <si>
    <t xml:space="preserve">New dewatering system complete Feb 9, 2024 (00 31 13, Verified); rotary fan press base manufacturers Fournier, Prime Solutions, Equipment Alternate C (00 41 00, Verified). Treating the two mentions as one item is Inferred. Area from C6.1 title (Inferred). SC 19 lists the sludge dewatering system in Substantial Completion (Verified). 01 91 00 ¶1.07: dewatering equipment suppliers (plural) each give 'a minimum of one (2) days' — Issues 1.21 (Unresolved); motors named: conveyor, press, pumps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biosolids dewatering system' (Verified). The QA plan is not a Contract Document (§1.3 p.5). Cross-lane: Process &amp; Mechanical || [Merge] Exceptions: #15, #63, #251.</t>
  </si>
  <si>
    <t xml:space="preserve">PROPOSED-Site-Final-Surfacing-and-Pavement</t>
  </si>
  <si>
    <t xml:space="preserve">Final surfacing and pavement (entire site)</t>
  </si>
  <si>
    <t xml:space="preserve">1; 8 (extra HMA only)</t>
  </si>
  <si>
    <t xml:space="preserve">00 31 13; 00 24 13; 00 41 00; 00 73 00; 01 45 00</t>
  </si>
  <si>
    <t xml:space="preserve">main spec 00 31 13 ¶A.26 p.22; 00 24 13 ¶8 p.17; 00 41 00 p.24; 00 73 00 SC 19 p.92; 01 45 00 ¶1.05.B.2.d p.138, p.141</t>
  </si>
  <si>
    <t xml:space="preserve">Final surfacing/pavement for the entire site, August 2024 (Verified). Extra HMA (Class 1/2-inch PG 58H-22 per 32 12 16) is unit-price Item 8, 10 TN approx. (Verified). Base paving in Item 1 Inferred. SC 19 puts asphalt pavement and remaining site work in Final Completion (Verified). Testing Y: Owner-paid asphalt testing — Rice density, compaction, extraction/gradation (01 45 00, Verified). Cross-lane: Civil &amp; Site || [Merge] Exceptions: #73, #250.</t>
  </si>
  <si>
    <t xml:space="preserve">PROPOSED-Funding-Recognition-Sign</t>
  </si>
  <si>
    <t xml:space="preserve">Funding recognition sign (Ecology financial assistance)</t>
  </si>
  <si>
    <t xml:space="preserve">00 53 00</t>
  </si>
  <si>
    <t xml:space="preserve">main spec 00 53 00 'Funding Recognition' p.42</t>
  </si>
  <si>
    <t xml:space="preserve">Sign of sufficient size to be seen from nearby roadways, acknowledging Ecology financial assistance, left in place for the life of the project; Department logos on all signs (Verified). Status Temporary Inferred from 'life of the project'. Bid Item 1 Inferred. Possibly the same sign as 15 08 13 Temporary Construction Sign (not in my stack; not stated). Cross-lane: Civil &amp; Site || [Merge] Exceptions: #72, #250.</t>
  </si>
  <si>
    <t xml:space="preserve">PROPOSED-Temporary-Barriers</t>
  </si>
  <si>
    <t xml:space="preserve">Temporary barriers at openings and hazards (fencing, railing, barricades, steel plates, with warning signs or lights)</t>
  </si>
  <si>
    <t xml:space="preserve">00 73 00; 01 50 00</t>
  </si>
  <si>
    <t xml:space="preserve">main spec 00 73 00 SC 23 p.93; 01 50 00 ¶1.08.A p.145</t>
  </si>
  <si>
    <t xml:space="preserve">Maintained at all openings, obstructions and hazards throughout construction, with warning signs or lights as needed for safety; safe access to and protection of the site and the Contractor's records (Verified). Status Temporary Verified ('temporary fencing, railing, barricades or steel plates'). Bid Item 1 (04: work not itemized elsewhere), area and discipline Inferred. Contract-wide requirement owned by this lane. 01 50 00 ¶1.08.A repeats the SC 23 barrier text for all excavations (Verified). Storage fences, gates and locks (01 50 00 ¶1.04.G p.144) are treated as means and methods, not rowed.</t>
  </si>
  <si>
    <t xml:space="preserve">PROPOSED-Temporary-Pump-and-Process-Equipment</t>
  </si>
  <si>
    <t xml:space="preserve">Temporary pump and process equipment (removed at Final Completion)</t>
  </si>
  <si>
    <t xml:space="preserve">00 73 00; 01 50 00; 01 70 00</t>
  </si>
  <si>
    <t xml:space="preserve">main spec 00 73 00 SC 19 p.92; 01 50 00 ¶1.04.H p.144; 01 70 00 ¶1.03.A.3 p.152</t>
  </si>
  <si>
    <t xml:space="preserve">Removal of temporary pump/process equipment is part of Final Completion (Verified). Which equipment, where, and whether it is the bypass pumping system (01 33 00 ¶1.03.G) or the temporary bypass pipe set-up (00 31 13 ¶A.5) is not stated. Bid Item 1 and discipline Inferred. 01 50 00 ¶1.04.H puts 'other temporary process equipment' under the same continuous oversight as bypass pumping (Verified). 01 70 00 wants temporary facilities out before the Substantial Completion request; SC 19 governs for this equipment (Issues 1.19, Inferred). Cross-lane: Process &amp; Mechanical || [Merge] Exceptions: #251.</t>
  </si>
  <si>
    <t xml:space="preserve">PROPOSED-Bypass-Pumping-System</t>
  </si>
  <si>
    <t xml:space="preserve">Bypass pumping systems (influent and effluent) for WWTP shutdowns</t>
  </si>
  <si>
    <t xml:space="preserve">01 33 00; 01 50 00</t>
  </si>
  <si>
    <t xml:space="preserve">main spec 01 33 00 ¶1.03.G p.130; 01 50 00 ¶1.01.D.2 p.142, ¶1.04.H p.144</t>
  </si>
  <si>
    <t xml:space="preserve">Submittal Y: a bypass pumping and emergency response plan for the site is due 14 days before any WWTP work that needs a shutdown (Verified). The section requires the plan; the pumping equipment itself is Inferred from it. Relation to SC 19 temporary pump/process equipment and the 00 31 13 temporary bypass pipe not stated. Status, Bid Item 1, area ('for the site') and discipline Inferred. 01 50 00: bypass systems for both influent and effluent wastewater; continuous oversight by on-site staff or an alarm with automatic cellular notification; call-out staff 24/7, on site within 30 minutes (Verified). Removal: SC 19 (Final Completion) governs over 01 70 00 ¶1.03.A.3 (Issues 1.19, Inferred). Cross-lane: Process &amp; Mechanical; Civil &amp; Site || [Merge] Exceptions: #68, #250, #251.</t>
  </si>
  <si>
    <t xml:space="preserve">PROPOSED-Temporary-Construction-Dewatering</t>
  </si>
  <si>
    <t xml:space="preserve">Temporary construction dewatering (excavations)</t>
  </si>
  <si>
    <t xml:space="preserve">01 11 10; 00 31 13</t>
  </si>
  <si>
    <t xml:space="preserve">main spec 01 11 10 ¶1.01.B p.123; 00 31 13 ¶A.4 p.21</t>
  </si>
  <si>
    <t xml:space="preserve">Contractor provides pumping, dewatering and drainage as required (01 11 10, Verified). 00 31 13 schedules 'Prepare Dewatering Plan for Excavations: March 2023' but is planning-only (p.21 intro), so Submittal stays N here; the owning section may require a plan. Status, Bid Item 1 and area Inferred. Cross-lane: Civil &amp; Site (31 23 19 Dewatering — link Inferred by title) || [Merge] Exceptions: #69, #250.</t>
  </si>
  <si>
    <t xml:space="preserve">PROPOSED-Temporary-Excavation-Support</t>
  </si>
  <si>
    <t xml:space="preserve">Temporary excavation support (shoring, bracing, sheeting, cribbing)</t>
  </si>
  <si>
    <t xml:space="preserve">1; 2 (trench safety only)</t>
  </si>
  <si>
    <t xml:space="preserve">01 11 10</t>
  </si>
  <si>
    <t xml:space="preserve">main spec 01 11 10 ¶1.01.B p.123</t>
  </si>
  <si>
    <t xml:space="preserve">Contractor provides shoring, bracing, sheeting, cribbing, falsework and forms as required (Verified); falsework and forms treated as means and methods, not rowed. Split between Item 1 and Item 2 (trench safety) Inferred; trench portion overlaps PROPOSED-Trench-Safety-System. Status and area Inferred. Cross-lane: Civil &amp; Site (31 40 00 Temporary Shoring Bracing — link Inferred by title) || [Merge] Exceptions: #70, #250.</t>
  </si>
  <si>
    <t xml:space="preserve">PROPOSED-Contractor-Field-Office</t>
  </si>
  <si>
    <t xml:space="preserve">Contractor's field office (optional)</t>
  </si>
  <si>
    <t xml:space="preserve">01 50 00; 01 31 00</t>
  </si>
  <si>
    <t xml:space="preserve">01 50 00; 01 31 00; CQA Plan</t>
  </si>
  <si>
    <t xml:space="preserve">main spec 01 50 00 ¶1.01.B p.142, ¶1.04.D.1 p.143; 01 31 00 ¶1.05.D p.128; QA plan §3.0 p.6, §5.3 pp.11–12, §6.3.1 p.14, §8 p.18</t>
  </si>
  <si>
    <t xml:space="preserve">Encouraged but not required (01 50 00 ¶1.01.B, Verified), yet the updated schedule is kept at the Contractor's field office (01 31 00 ¶1.05.D, Verified) and restrooms go at the field office or another central site (01 50 00 ¶1.04.D.1) — whether one is provided is Unresolved (Issues 1.16). Status Temporary, Bid Item 1 and area Inferred. Owned by this lane. The QA plan (not a Contract Document) assumes a Contractor field office for the schedule, photos, pay requests, test records, RFI/WD/CO files and reviewed submittals (Verified) — adds weight to Issues 1.16, does not settle it.</t>
  </si>
  <si>
    <t xml:space="preserve">PROPOSED-Temporary-Construction-Power</t>
  </si>
  <si>
    <t xml:space="preserve">Temporary construction power and lighting (poles, transformer if required, cords, outlets, lamps)</t>
  </si>
  <si>
    <t xml:space="preserve">01 50 00</t>
  </si>
  <si>
    <t xml:space="preserve">main spec 01 50 00 ¶1.04.A p.142</t>
  </si>
  <si>
    <t xml:space="preserve">Temporary connection to the closest utility source; removed at completion of the work or sooner if directed (Verified); 01 70 00 ¶1.03.A.3 wants temporary facilities out before the Substantial Completion request — Issues 1.19. Separate from the Add. 4 temporary back-up generator (process standby power). Bid Item 1 Inferred (Division 01 work; Item 6 covers E sheets and Division 26, 00 24 13 ¶6). Owned by this lane. || [Merge] Exceptions: #67.</t>
  </si>
  <si>
    <t xml:space="preserve">PROPOSED-Temporary-Construction-Water-Connection</t>
  </si>
  <si>
    <t xml:space="preserve">Temporary metered construction water connection with backflow preventer (if agreed)</t>
  </si>
  <si>
    <t xml:space="preserve">main spec 01 50 00 ¶1.04.B–C p.143</t>
  </si>
  <si>
    <t xml:space="preserve">Made only 'if agreed'; Contractor supplies meter, piping, hoses and nozzles, secures it against unauthorized use, removes it at completion or when directed, and supplies the water for the clean water leakage tests (Verified). Removal timing — Issues 1.19. Discipline, area and Bid Item 1 Inferred. Owned by this lane.</t>
  </si>
  <si>
    <t xml:space="preserve">PROPOSED-Temporary-Sanitary-Facilities</t>
  </si>
  <si>
    <t xml:space="preserve">Temporary restrooms (contract service allowed)</t>
  </si>
  <si>
    <t xml:space="preserve">main spec 01 50 00 ¶1.04.D p.143</t>
  </si>
  <si>
    <t xml:space="preserve">At the field office location or another central site; regularly serviced, kept reasonably clean, removed promptly at the conclusion of the work (Verified). Removal timing — Issues 1.19. Bid Item 1 and area Inferred. Owned by this lane.</t>
  </si>
  <si>
    <t xml:space="preserve">PROPOSED-Temporary-Bypass-Alarm-Monitoring</t>
  </si>
  <si>
    <t xml:space="preserve">Temporary bypass alarm and status monitoring (cellular notification; wired to the existing WWTP control system)</t>
  </si>
  <si>
    <t xml:space="preserve">main spec 01 50 00 ¶1.04.H p.144</t>
  </si>
  <si>
    <t xml:space="preserve">Oversight by on-site staff or an alarm system with automatic cellular notification (either allowed); backup alarms and Normal/Running status wired to the District's existing WWTP control system in every case; PLC/SCADA programming by the PLC/SCADA Programmer is incidental (Verified). Whether that programming draws on Item 17 (SCADA/PLC force account) is not stated. Status and Bid Item 1 Inferred. Cross-lane: Electrical &amp; Controls || [Merge] Exceptions: #68, #253.</t>
  </si>
  <si>
    <t xml:space="preserve">PROPOSED-Aeration-Basins</t>
  </si>
  <si>
    <t xml:space="preserve">Aeration basins (Train 3)</t>
  </si>
  <si>
    <t xml:space="preserve">01 45 00; 01 50 00</t>
  </si>
  <si>
    <t xml:space="preserve">main spec 01 45 00 ¶1.09 pp.139–140; 01 50 00 ¶1.04.C p.143</t>
  </si>
  <si>
    <t xml:space="preserve">Part of Train #3 (01 50 00 ¶1.04.C.1.c, Verified); a 'newly constructed' structure (Verified). Testing Y: clean water leakage test before startup — filled to the rim, held 2 hours, no visible leakage (01 45 00 ¶1.09; 01 50 00 ¶1.04.C — Verified). Discipline and Bid Item 1 Inferred; Items 18/19 cover Train 3 equipment steel, not basin structures (Inferred). Cross-lane: Structural &amp; Building; Process &amp; Mechanical || [Merge] Exceptions: #251, #252.</t>
  </si>
  <si>
    <t xml:space="preserve">PROPOSED-Anoxic-Basins</t>
  </si>
  <si>
    <t xml:space="preserve">Anoxic basins (Train 3)</t>
  </si>
  <si>
    <t xml:space="preserve">PROPOSED-Clarifier</t>
  </si>
  <si>
    <t xml:space="preserve">Clarifier (Train 3)</t>
  </si>
  <si>
    <t xml:space="preserve">01 45 00; 01 50 00; 01 91 00</t>
  </si>
  <si>
    <t xml:space="preserve">main spec 01 45 00 ¶1.09 pp.139–140; 01 50 00 ¶1.04.C p.143; 01 91 00 ¶1.03 pp.157–158</t>
  </si>
  <si>
    <t xml:space="preserve">Part of Train #3 (01 50 00 ¶1.04.C.1.c, Verified); a 'newly constructed' structure (Verified). Testing Y: clean water leakage test before startup — filled to the rim, held 2 hours, no visible leakage (01 45 00 ¶1.09; 01 50 00 ¶1.04.C — Verified). Clarifier drive, weirs and baffles are commissioned with the Train 3 biological treatment equipment (01 91 00 ¶1.03, Verified). Discipline and Bid Item 1 Inferred. Cross-lane: Structural &amp; Building; Process &amp; Mechanical || [Merge] Exceptions: #33, #251, #252.</t>
  </si>
  <si>
    <t xml:space="preserve">PROPOSED-Blowers</t>
  </si>
  <si>
    <t xml:space="preserve">Blower equipment (blowers and drives)</t>
  </si>
  <si>
    <t xml:space="preserve">01 91 00; 01 33 00; 01 70 00</t>
  </si>
  <si>
    <t xml:space="preserve">01 91 00; 01 33 00; 01 70 00; CQA Plan</t>
  </si>
  <si>
    <t xml:space="preserve">main spec 01 91 00 ¶1.04 p.158; 01 33 00 ¶1.05.G pp.131–132; 01 70 00 ¶1.03.A.6 p.152, ¶1.06 p.155; QA plan §2.0 p.6</t>
  </si>
  <si>
    <t xml:space="preserve">01 91 00 ¶1.04: blower supplier gives at least 2 days of start-up supervision and training; blower drive amperage checked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Area Blower Building Inferred (not stated in 01 91 00); Status New and Bid Item 1 Inferred. QA plan §2.0 lists 'new blower equipment' — Status New now read directly (Verified). The QA plan is not a Contract Document (§1.3 p.5). Cross-lane: Process &amp; Mechanical || [Merge] Exceptions: #18, #251.</t>
  </si>
  <si>
    <t xml:space="preserve">PROPOSED-Train-3-Dissolved-Oxygen-Sensors</t>
  </si>
  <si>
    <t xml:space="preserve">Dissolved oxygen (DO) sensors, Train 3</t>
  </si>
  <si>
    <t xml:space="preserve">1; Equipment Alternate B (package — Inferred)</t>
  </si>
  <si>
    <t xml:space="preserve">main spec 01 91 00 ¶1.03 p.157; 01 33 00 ¶1.05.G pp.131–132; 01 70 00 ¶1.03.A.6 p.152, ¶1.06 p.155</t>
  </si>
  <si>
    <t xml:space="preserve">Named in the Train 3 biological treatment commissioning checklist — controls including these sensors must work properly (01 91 00 ¶1.03.A.4, Verified); quantity not stated. Supplied with the biological treatment package (Inferred from the checklist; would follow Equipment Alternate B).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Status New and Bid Item 1 Inferred. Cross-lane: Electrical &amp; Controls; Process &amp; Mechanical || [Merge] Exceptions: #35, #251, #253.</t>
  </si>
  <si>
    <t xml:space="preserve">PROPOSED-Train-3-pH-Sensors</t>
  </si>
  <si>
    <t xml:space="preserve">pH sensors, Train 3</t>
  </si>
  <si>
    <t xml:space="preserve">PROPOSED-Magnetic-Flow-Meters</t>
  </si>
  <si>
    <t xml:space="preserve">Magnetic flow meters (all units; count and locations not stated)</t>
  </si>
  <si>
    <t xml:space="preserve">main spec 01 91 00 ¶1.11 pp.159–160; 01 33 00 ¶1.05.G pp.131–132; 01 70 00 ¶1.03.A.6 p.152, ¶1.06 p.155</t>
  </si>
  <si>
    <t xml:space="preserve">01 91 00 ¶1.11: flow meter supplier gives at least 2 days; verify units are configured, sealed and rated for their environment — some may be submerged (Verified). The 8-inch effluent flow meter (00 31 13 ¶A.14) may be one of these (Inferred).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Item 1 vs 6 depends on the specifying section (not in this stack). Cross-lane: Electrical &amp; Controls; Process &amp; Mechanical || [Merge] Exceptions: #251, #253.</t>
  </si>
  <si>
    <t xml:space="preserve">PROPOSED-Handrails</t>
  </si>
  <si>
    <t xml:space="preserve">Handrails</t>
  </si>
  <si>
    <t xml:space="preserve">01 70 00</t>
  </si>
  <si>
    <t xml:space="preserve">main spec 01 70 00 ¶1.03.A.5 p.152</t>
  </si>
  <si>
    <t xml:space="preserve">Named only as work to finish before the Substantial Completion request ('installation of handrails', Verified); locations and extent not stated. Status, discipline and Bid Item 1 Inferred. Cross-lane: Structural &amp; Building || [Merge] Exceptions: #34, #252.</t>
  </si>
  <si>
    <t xml:space="preserve">Rows in lane Ledger file (input)</t>
  </si>
  <si>
    <t xml:space="preserve">Project Ledger rows naming this lane (formula)</t>
  </si>
  <si>
    <t xml:space="preserve">Source of input</t>
  </si>
  <si>
    <t xml:space="preserve">Civil_and_Site_Ledger.csv data rows</t>
  </si>
  <si>
    <t xml:space="preserve">Process_and_Mechanical_Ledger.csv data rows</t>
  </si>
  <si>
    <t xml:space="preserve">Electrical_and_Controls_Ledger.csv data rows</t>
  </si>
  <si>
    <t xml:space="preserve">Structural_and_Building_Ledger.csv data rows</t>
  </si>
  <si>
    <t xml:space="preserve">Contract_and_General_Ledger.csv data rows</t>
  </si>
  <si>
    <t xml:space="preserve">Total</t>
  </si>
  <si>
    <t xml:space="preserve">Column C total = Project Ledger data rows</t>
  </si>
  <si>
    <t xml:space="preserve">Rows combined away (formula)</t>
  </si>
  <si>
    <t xml:space="preserve">Combine rule (as written): same Tag, or same PROPOSED name in the same Area/Building. Matching ignores case, spaces, hyphens and # (e.g. DO #1 = DO-1; PROPOSED-BLOWER-BUILDING = PROPOSED-Blower-Building).</t>
  </si>
  <si>
    <t xml:space="preserve">Guard: SD-1 is not combined — Civil &amp; Site storm drain alignment vs Electrical &amp; Controls sludge pump (Exception Report, tag collision).</t>
  </si>
  <si>
    <t xml:space="preserve">Combined rows: Tag, Name, Bid Item, Area/Building keep every distinct lane value joined with " | "; Lane lists every lane; Drawing Sheets, Spec Sections and Wiki Note(s) are de-duplicated unions; Addenda joined with " | ".</t>
  </si>
  <si>
    <t xml:space="preserve">Combined rows: Source Citation and Notes keep every lane's text, each prefixed [Lane], joined with " || "; a [Merge] note names the source rows.</t>
  </si>
  <si>
    <t xml:space="preserve">Combined rows: Submittal / Testing = Y if any lane says Y (each lane's N covers only its own stack; per-lane values kept in the [Merge] note). Status keeps every stated value. Tag level = weakest part (Verified &gt; Verified-Visual &gt; Inferred &gt; Unresolved).</t>
  </si>
  <si>
    <t xml:space="preserve">Every row an exception touches ends its Notes with "[Merge] Exceptions: #n" pointing into Exception_Report (PROPOSED approval rows excepted).</t>
  </si>
  <si>
    <t xml:space="preserve">PROPOSED tags are kept as written and listed in the Exception Report for approval.</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</si>
</sst>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5"/>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22"/>
    <col collapsed="false" customWidth="true" hidden="false" outlineLevel="0" max="8" min="8" style="0" width="20"/>
    <col collapsed="false" customWidth="true" hidden="false" outlineLevel="0" max="9" min="9" style="0" width="28"/>
    <col collapsed="false" customWidth="true" hidden="false" outlineLevel="0" max="11" min="10" style="0" width="11"/>
    <col collapsed="false" customWidth="true" hidden="false" outlineLevel="0" max="12" min="12" style="0" width="20"/>
    <col collapsed="false" customWidth="true" hidden="false" outlineLevel="0" max="13" min="13" style="0" width="12"/>
    <col collapsed="false" customWidth="true" hidden="false" outlineLevel="0" max="14" min="14" style="0" width="16"/>
    <col collapsed="false" customWidth="true" hidden="false" outlineLevel="0" max="15" min="15" style="0" width="60"/>
    <col collapsed="false" customWidth="true" hidden="false" outlineLevel="0" max="16" min="16" style="0" width="70"/>
  </cols>
  <sheetData>
    <row r="1" customFormat="false" ht="57.4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68.65" hidden="false" customHeight="false" outlineLevel="0" collapsed="false">
      <c r="A2" s="2" t="s">
        <v>16</v>
      </c>
      <c r="B2" s="2" t="s">
        <v>17</v>
      </c>
      <c r="C2" s="2" t="s">
        <v>18</v>
      </c>
      <c r="D2" s="2" t="s">
        <v>19</v>
      </c>
      <c r="E2" s="2" t="s">
        <v>20</v>
      </c>
      <c r="F2" s="2" t="s">
        <v>21</v>
      </c>
      <c r="G2" s="2" t="s">
        <v>22</v>
      </c>
      <c r="H2" s="2"/>
      <c r="I2" s="2"/>
      <c r="J2" s="2" t="s">
        <v>23</v>
      </c>
      <c r="K2" s="2" t="s">
        <v>23</v>
      </c>
      <c r="L2" s="2" t="s">
        <v>24</v>
      </c>
      <c r="M2" s="2" t="s">
        <v>25</v>
      </c>
      <c r="N2" s="2" t="s">
        <v>26</v>
      </c>
      <c r="O2" s="2" t="s">
        <v>27</v>
      </c>
      <c r="P2" s="2" t="s">
        <v>28</v>
      </c>
    </row>
    <row r="3" customFormat="false" ht="46.25" hidden="false" customHeight="false" outlineLevel="0" collapsed="false">
      <c r="A3" s="2" t="s">
        <v>29</v>
      </c>
      <c r="B3" s="2" t="s">
        <v>30</v>
      </c>
      <c r="C3" s="2" t="s">
        <v>31</v>
      </c>
      <c r="D3" s="2" t="s">
        <v>19</v>
      </c>
      <c r="E3" s="2" t="s">
        <v>20</v>
      </c>
      <c r="F3" s="2" t="s">
        <v>32</v>
      </c>
      <c r="G3" s="2" t="s">
        <v>33</v>
      </c>
      <c r="H3" s="2"/>
      <c r="I3" s="2" t="s">
        <v>34</v>
      </c>
      <c r="J3" s="2" t="s">
        <v>23</v>
      </c>
      <c r="K3" s="2" t="s">
        <v>35</v>
      </c>
      <c r="L3" s="2" t="s">
        <v>33</v>
      </c>
      <c r="M3" s="2" t="s">
        <v>25</v>
      </c>
      <c r="N3" s="2" t="s">
        <v>36</v>
      </c>
      <c r="O3" s="2" t="s">
        <v>37</v>
      </c>
      <c r="P3" s="2" t="s">
        <v>38</v>
      </c>
    </row>
    <row r="4" customFormat="false" ht="46.25" hidden="false" customHeight="false" outlineLevel="0" collapsed="false">
      <c r="A4" s="2" t="s">
        <v>39</v>
      </c>
      <c r="B4" s="2" t="s">
        <v>40</v>
      </c>
      <c r="C4" s="2" t="s">
        <v>41</v>
      </c>
      <c r="D4" s="2" t="s">
        <v>19</v>
      </c>
      <c r="E4" s="2" t="s">
        <v>20</v>
      </c>
      <c r="F4" s="2" t="s">
        <v>42</v>
      </c>
      <c r="G4" s="2" t="s">
        <v>43</v>
      </c>
      <c r="H4" s="2" t="s">
        <v>44</v>
      </c>
      <c r="I4" s="2"/>
      <c r="J4" s="2" t="s">
        <v>35</v>
      </c>
      <c r="K4" s="2" t="s">
        <v>23</v>
      </c>
      <c r="L4" s="2" t="s">
        <v>45</v>
      </c>
      <c r="M4" s="2" t="s">
        <v>25</v>
      </c>
      <c r="N4" s="2" t="s">
        <v>26</v>
      </c>
      <c r="O4" s="2" t="s">
        <v>46</v>
      </c>
      <c r="P4" s="2" t="s">
        <v>47</v>
      </c>
    </row>
    <row r="5" customFormat="false" ht="46.25" hidden="false" customHeight="false" outlineLevel="0" collapsed="false">
      <c r="A5" s="2" t="s">
        <v>48</v>
      </c>
      <c r="B5" s="2" t="s">
        <v>49</v>
      </c>
      <c r="C5" s="2" t="s">
        <v>41</v>
      </c>
      <c r="D5" s="2" t="s">
        <v>19</v>
      </c>
      <c r="E5" s="2" t="s">
        <v>20</v>
      </c>
      <c r="F5" s="2" t="s">
        <v>42</v>
      </c>
      <c r="G5" s="2" t="s">
        <v>50</v>
      </c>
      <c r="H5" s="2" t="s">
        <v>44</v>
      </c>
      <c r="I5" s="2"/>
      <c r="J5" s="2" t="s">
        <v>35</v>
      </c>
      <c r="K5" s="2" t="s">
        <v>23</v>
      </c>
      <c r="L5" s="2" t="s">
        <v>51</v>
      </c>
      <c r="M5" s="2" t="s">
        <v>25</v>
      </c>
      <c r="N5" s="2" t="s">
        <v>26</v>
      </c>
      <c r="O5" s="2" t="s">
        <v>52</v>
      </c>
      <c r="P5" s="2" t="s">
        <v>53</v>
      </c>
    </row>
    <row r="6" customFormat="false" ht="57.45" hidden="false" customHeight="false" outlineLevel="0" collapsed="false">
      <c r="A6" s="2" t="s">
        <v>54</v>
      </c>
      <c r="B6" s="2" t="s">
        <v>55</v>
      </c>
      <c r="C6" s="2" t="s">
        <v>41</v>
      </c>
      <c r="D6" s="2" t="s">
        <v>19</v>
      </c>
      <c r="E6" s="2" t="s">
        <v>20</v>
      </c>
      <c r="F6" s="2" t="s">
        <v>42</v>
      </c>
      <c r="G6" s="2" t="s">
        <v>56</v>
      </c>
      <c r="H6" s="2" t="s">
        <v>44</v>
      </c>
      <c r="I6" s="2"/>
      <c r="J6" s="2" t="s">
        <v>35</v>
      </c>
      <c r="K6" s="2" t="s">
        <v>23</v>
      </c>
      <c r="L6" s="2" t="s">
        <v>57</v>
      </c>
      <c r="M6" s="2" t="s">
        <v>25</v>
      </c>
      <c r="N6" s="2" t="s">
        <v>36</v>
      </c>
      <c r="O6" s="2" t="s">
        <v>58</v>
      </c>
      <c r="P6" s="2" t="s">
        <v>59</v>
      </c>
    </row>
    <row r="7" customFormat="false" ht="68.65" hidden="false" customHeight="false" outlineLevel="0" collapsed="false">
      <c r="A7" s="2" t="s">
        <v>60</v>
      </c>
      <c r="B7" s="2" t="s">
        <v>61</v>
      </c>
      <c r="C7" s="2" t="s">
        <v>41</v>
      </c>
      <c r="D7" s="2" t="s">
        <v>19</v>
      </c>
      <c r="E7" s="2" t="s">
        <v>20</v>
      </c>
      <c r="F7" s="2" t="s">
        <v>42</v>
      </c>
      <c r="G7" s="2" t="s">
        <v>62</v>
      </c>
      <c r="H7" s="2" t="s">
        <v>44</v>
      </c>
      <c r="I7" s="2"/>
      <c r="J7" s="2" t="s">
        <v>35</v>
      </c>
      <c r="K7" s="2" t="s">
        <v>23</v>
      </c>
      <c r="L7" s="2" t="s">
        <v>51</v>
      </c>
      <c r="M7" s="2" t="s">
        <v>25</v>
      </c>
      <c r="N7" s="2" t="s">
        <v>36</v>
      </c>
      <c r="O7" s="2" t="s">
        <v>63</v>
      </c>
      <c r="P7" s="2" t="s">
        <v>64</v>
      </c>
    </row>
    <row r="8" customFormat="false" ht="68.65" hidden="false" customHeight="false" outlineLevel="0" collapsed="false">
      <c r="A8" s="2" t="s">
        <v>65</v>
      </c>
      <c r="B8" s="2" t="s">
        <v>66</v>
      </c>
      <c r="C8" s="2" t="s">
        <v>41</v>
      </c>
      <c r="D8" s="2" t="s">
        <v>19</v>
      </c>
      <c r="E8" s="2" t="s">
        <v>20</v>
      </c>
      <c r="F8" s="2" t="s">
        <v>42</v>
      </c>
      <c r="G8" s="2" t="s">
        <v>67</v>
      </c>
      <c r="H8" s="2" t="s">
        <v>44</v>
      </c>
      <c r="I8" s="2"/>
      <c r="J8" s="2" t="s">
        <v>35</v>
      </c>
      <c r="K8" s="2" t="s">
        <v>23</v>
      </c>
      <c r="L8" s="2" t="s">
        <v>45</v>
      </c>
      <c r="M8" s="2" t="s">
        <v>25</v>
      </c>
      <c r="N8" s="2" t="s">
        <v>36</v>
      </c>
      <c r="O8" s="2" t="s">
        <v>68</v>
      </c>
      <c r="P8" s="2" t="s">
        <v>69</v>
      </c>
    </row>
    <row r="9" customFormat="false" ht="46.25" hidden="false" customHeight="false" outlineLevel="0" collapsed="false">
      <c r="A9" s="2" t="s">
        <v>70</v>
      </c>
      <c r="B9" s="2" t="s">
        <v>71</v>
      </c>
      <c r="C9" s="2" t="s">
        <v>18</v>
      </c>
      <c r="D9" s="2" t="s">
        <v>19</v>
      </c>
      <c r="E9" s="2" t="s">
        <v>20</v>
      </c>
      <c r="F9" s="2" t="s">
        <v>42</v>
      </c>
      <c r="G9" s="2" t="s">
        <v>72</v>
      </c>
      <c r="H9" s="2" t="s">
        <v>73</v>
      </c>
      <c r="I9" s="2"/>
      <c r="J9" s="2" t="s">
        <v>23</v>
      </c>
      <c r="K9" s="2" t="s">
        <v>23</v>
      </c>
      <c r="L9" s="2" t="s">
        <v>74</v>
      </c>
      <c r="M9" s="2" t="s">
        <v>75</v>
      </c>
      <c r="N9" s="2" t="s">
        <v>26</v>
      </c>
      <c r="O9" s="2" t="s">
        <v>76</v>
      </c>
      <c r="P9" s="2" t="s">
        <v>77</v>
      </c>
    </row>
    <row r="10" customFormat="false" ht="57.45" hidden="false" customHeight="false" outlineLevel="0" collapsed="false">
      <c r="A10" s="2" t="s">
        <v>78</v>
      </c>
      <c r="B10" s="2" t="s">
        <v>79</v>
      </c>
      <c r="C10" s="2" t="s">
        <v>18</v>
      </c>
      <c r="D10" s="2" t="s">
        <v>19</v>
      </c>
      <c r="E10" s="2" t="s">
        <v>20</v>
      </c>
      <c r="F10" s="2" t="s">
        <v>42</v>
      </c>
      <c r="G10" s="2" t="s">
        <v>80</v>
      </c>
      <c r="H10" s="2" t="s">
        <v>81</v>
      </c>
      <c r="I10" s="2"/>
      <c r="J10" s="2" t="s">
        <v>35</v>
      </c>
      <c r="K10" s="2" t="s">
        <v>35</v>
      </c>
      <c r="L10" s="2" t="s">
        <v>82</v>
      </c>
      <c r="M10" s="2" t="s">
        <v>25</v>
      </c>
      <c r="N10" s="2" t="s">
        <v>36</v>
      </c>
      <c r="O10" s="2" t="s">
        <v>83</v>
      </c>
      <c r="P10" s="2" t="s">
        <v>84</v>
      </c>
    </row>
    <row r="11" customFormat="false" ht="46.25" hidden="false" customHeight="false" outlineLevel="0" collapsed="false">
      <c r="A11" s="2" t="s">
        <v>85</v>
      </c>
      <c r="B11" s="2" t="s">
        <v>86</v>
      </c>
      <c r="C11" s="2" t="s">
        <v>18</v>
      </c>
      <c r="D11" s="2" t="s">
        <v>19</v>
      </c>
      <c r="E11" s="2" t="s">
        <v>20</v>
      </c>
      <c r="F11" s="2" t="s">
        <v>42</v>
      </c>
      <c r="G11" s="2" t="s">
        <v>87</v>
      </c>
      <c r="H11" s="2" t="s">
        <v>73</v>
      </c>
      <c r="I11" s="2"/>
      <c r="J11" s="2" t="s">
        <v>23</v>
      </c>
      <c r="K11" s="2" t="s">
        <v>23</v>
      </c>
      <c r="L11" s="2" t="s">
        <v>74</v>
      </c>
      <c r="M11" s="2" t="s">
        <v>75</v>
      </c>
      <c r="N11" s="2" t="s">
        <v>26</v>
      </c>
      <c r="O11" s="2" t="s">
        <v>88</v>
      </c>
      <c r="P11" s="2" t="s">
        <v>89</v>
      </c>
    </row>
    <row r="12" customFormat="false" ht="68.65" hidden="false" customHeight="false" outlineLevel="0" collapsed="false">
      <c r="A12" s="2" t="s">
        <v>90</v>
      </c>
      <c r="B12" s="2" t="s">
        <v>91</v>
      </c>
      <c r="C12" s="2" t="s">
        <v>18</v>
      </c>
      <c r="D12" s="2" t="s">
        <v>19</v>
      </c>
      <c r="E12" s="2" t="s">
        <v>20</v>
      </c>
      <c r="F12" s="2" t="s">
        <v>21</v>
      </c>
      <c r="G12" s="2" t="s">
        <v>92</v>
      </c>
      <c r="H12" s="2" t="s">
        <v>73</v>
      </c>
      <c r="I12" s="2"/>
      <c r="J12" s="2" t="s">
        <v>23</v>
      </c>
      <c r="K12" s="2" t="s">
        <v>23</v>
      </c>
      <c r="L12" s="2" t="s">
        <v>93</v>
      </c>
      <c r="M12" s="2" t="s">
        <v>75</v>
      </c>
      <c r="N12" s="2" t="s">
        <v>26</v>
      </c>
      <c r="O12" s="2" t="s">
        <v>94</v>
      </c>
      <c r="P12" s="2" t="s">
        <v>95</v>
      </c>
    </row>
    <row r="13" customFormat="false" ht="57.45" hidden="false" customHeight="false" outlineLevel="0" collapsed="false">
      <c r="A13" s="2" t="s">
        <v>96</v>
      </c>
      <c r="B13" s="2" t="s">
        <v>97</v>
      </c>
      <c r="C13" s="2" t="s">
        <v>18</v>
      </c>
      <c r="D13" s="2" t="s">
        <v>19</v>
      </c>
      <c r="E13" s="2" t="s">
        <v>20</v>
      </c>
      <c r="F13" s="2" t="s">
        <v>42</v>
      </c>
      <c r="G13" s="2" t="s">
        <v>98</v>
      </c>
      <c r="H13" s="2" t="s">
        <v>73</v>
      </c>
      <c r="I13" s="2"/>
      <c r="J13" s="2" t="s">
        <v>23</v>
      </c>
      <c r="K13" s="2" t="s">
        <v>23</v>
      </c>
      <c r="L13" s="2" t="s">
        <v>93</v>
      </c>
      <c r="M13" s="2" t="s">
        <v>75</v>
      </c>
      <c r="N13" s="2" t="s">
        <v>26</v>
      </c>
      <c r="O13" s="2" t="s">
        <v>99</v>
      </c>
      <c r="P13" s="2" t="s">
        <v>100</v>
      </c>
    </row>
    <row r="14" customFormat="false" ht="46.25" hidden="false" customHeight="false" outlineLevel="0" collapsed="false">
      <c r="A14" s="2" t="s">
        <v>101</v>
      </c>
      <c r="B14" s="2" t="s">
        <v>102</v>
      </c>
      <c r="C14" s="2" t="s">
        <v>18</v>
      </c>
      <c r="D14" s="2" t="s">
        <v>19</v>
      </c>
      <c r="E14" s="2" t="s">
        <v>20</v>
      </c>
      <c r="F14" s="2" t="s">
        <v>42</v>
      </c>
      <c r="G14" s="2" t="s">
        <v>103</v>
      </c>
      <c r="H14" s="2" t="s">
        <v>73</v>
      </c>
      <c r="I14" s="2"/>
      <c r="J14" s="2" t="s">
        <v>23</v>
      </c>
      <c r="K14" s="2" t="s">
        <v>23</v>
      </c>
      <c r="L14" s="2" t="s">
        <v>74</v>
      </c>
      <c r="M14" s="2" t="s">
        <v>75</v>
      </c>
      <c r="N14" s="2" t="s">
        <v>26</v>
      </c>
      <c r="O14" s="2" t="s">
        <v>104</v>
      </c>
      <c r="P14" s="2" t="s">
        <v>105</v>
      </c>
    </row>
    <row r="15" customFormat="false" ht="35.05" hidden="false" customHeight="false" outlineLevel="0" collapsed="false">
      <c r="A15" s="2" t="s">
        <v>106</v>
      </c>
      <c r="B15" s="2" t="s">
        <v>107</v>
      </c>
      <c r="C15" s="2" t="s">
        <v>18</v>
      </c>
      <c r="D15" s="2" t="s">
        <v>19</v>
      </c>
      <c r="E15" s="2" t="s">
        <v>20</v>
      </c>
      <c r="F15" s="2" t="s">
        <v>42</v>
      </c>
      <c r="G15" s="2" t="s">
        <v>108</v>
      </c>
      <c r="H15" s="2" t="s">
        <v>73</v>
      </c>
      <c r="I15" s="2"/>
      <c r="J15" s="2" t="s">
        <v>23</v>
      </c>
      <c r="K15" s="2" t="s">
        <v>23</v>
      </c>
      <c r="L15" s="2" t="s">
        <v>74</v>
      </c>
      <c r="M15" s="2" t="s">
        <v>75</v>
      </c>
      <c r="N15" s="2" t="s">
        <v>26</v>
      </c>
      <c r="O15" s="2" t="s">
        <v>109</v>
      </c>
      <c r="P15" s="2" t="s">
        <v>110</v>
      </c>
    </row>
    <row r="16" customFormat="false" ht="35.05" hidden="false" customHeight="false" outlineLevel="0" collapsed="false">
      <c r="A16" s="2" t="s">
        <v>111</v>
      </c>
      <c r="B16" s="2" t="s">
        <v>112</v>
      </c>
      <c r="C16" s="2" t="s">
        <v>18</v>
      </c>
      <c r="D16" s="2" t="s">
        <v>19</v>
      </c>
      <c r="E16" s="2" t="s">
        <v>20</v>
      </c>
      <c r="F16" s="2" t="s">
        <v>42</v>
      </c>
      <c r="G16" s="2" t="s">
        <v>113</v>
      </c>
      <c r="H16" s="2" t="s">
        <v>73</v>
      </c>
      <c r="I16" s="2"/>
      <c r="J16" s="2" t="s">
        <v>23</v>
      </c>
      <c r="K16" s="2" t="s">
        <v>23</v>
      </c>
      <c r="L16" s="2" t="s">
        <v>74</v>
      </c>
      <c r="M16" s="2" t="s">
        <v>75</v>
      </c>
      <c r="N16" s="2" t="s">
        <v>26</v>
      </c>
      <c r="O16" s="2" t="s">
        <v>114</v>
      </c>
      <c r="P16" s="2" t="s">
        <v>115</v>
      </c>
    </row>
    <row r="17" customFormat="false" ht="46.25" hidden="false" customHeight="false" outlineLevel="0" collapsed="false">
      <c r="A17" s="2" t="s">
        <v>116</v>
      </c>
      <c r="B17" s="2" t="s">
        <v>117</v>
      </c>
      <c r="C17" s="2" t="s">
        <v>18</v>
      </c>
      <c r="D17" s="2" t="s">
        <v>19</v>
      </c>
      <c r="E17" s="2" t="s">
        <v>20</v>
      </c>
      <c r="F17" s="2" t="s">
        <v>42</v>
      </c>
      <c r="G17" s="2" t="s">
        <v>118</v>
      </c>
      <c r="H17" s="2" t="s">
        <v>73</v>
      </c>
      <c r="I17" s="2"/>
      <c r="J17" s="2" t="s">
        <v>23</v>
      </c>
      <c r="K17" s="2" t="s">
        <v>23</v>
      </c>
      <c r="L17" s="2" t="s">
        <v>74</v>
      </c>
      <c r="M17" s="2" t="s">
        <v>75</v>
      </c>
      <c r="N17" s="2" t="s">
        <v>26</v>
      </c>
      <c r="O17" s="2" t="s">
        <v>119</v>
      </c>
      <c r="P17" s="2" t="s">
        <v>120</v>
      </c>
    </row>
    <row r="18" customFormat="false" ht="23.85" hidden="false" customHeight="false" outlineLevel="0" collapsed="false">
      <c r="A18" s="2" t="s">
        <v>121</v>
      </c>
      <c r="B18" s="2" t="s">
        <v>122</v>
      </c>
      <c r="C18" s="2" t="s">
        <v>18</v>
      </c>
      <c r="D18" s="2" t="s">
        <v>19</v>
      </c>
      <c r="E18" s="2" t="s">
        <v>20</v>
      </c>
      <c r="F18" s="2" t="s">
        <v>42</v>
      </c>
      <c r="G18" s="2" t="s">
        <v>123</v>
      </c>
      <c r="H18" s="2"/>
      <c r="I18" s="2"/>
      <c r="J18" s="2" t="s">
        <v>23</v>
      </c>
      <c r="K18" s="2" t="s">
        <v>23</v>
      </c>
      <c r="L18" s="2" t="s">
        <v>124</v>
      </c>
      <c r="M18" s="2" t="s">
        <v>125</v>
      </c>
      <c r="N18" s="2" t="s">
        <v>26</v>
      </c>
      <c r="O18" s="2" t="s">
        <v>126</v>
      </c>
      <c r="P18" s="2" t="s">
        <v>127</v>
      </c>
    </row>
    <row r="19" customFormat="false" ht="35.05" hidden="false" customHeight="false" outlineLevel="0" collapsed="false">
      <c r="A19" s="2" t="s">
        <v>128</v>
      </c>
      <c r="B19" s="2" t="s">
        <v>129</v>
      </c>
      <c r="C19" s="2" t="s">
        <v>18</v>
      </c>
      <c r="D19" s="2" t="s">
        <v>19</v>
      </c>
      <c r="E19" s="2" t="s">
        <v>20</v>
      </c>
      <c r="F19" s="2" t="s">
        <v>42</v>
      </c>
      <c r="G19" s="2" t="s">
        <v>130</v>
      </c>
      <c r="H19" s="2" t="s">
        <v>73</v>
      </c>
      <c r="I19" s="2"/>
      <c r="J19" s="2" t="s">
        <v>23</v>
      </c>
      <c r="K19" s="2" t="s">
        <v>23</v>
      </c>
      <c r="L19" s="2" t="s">
        <v>74</v>
      </c>
      <c r="M19" s="2" t="s">
        <v>75</v>
      </c>
      <c r="N19" s="2" t="s">
        <v>26</v>
      </c>
      <c r="O19" s="2" t="s">
        <v>131</v>
      </c>
      <c r="P19" s="2" t="s">
        <v>115</v>
      </c>
    </row>
    <row r="20" customFormat="false" ht="35.05" hidden="false" customHeight="false" outlineLevel="0" collapsed="false">
      <c r="A20" s="2" t="s">
        <v>132</v>
      </c>
      <c r="B20" s="2" t="s">
        <v>133</v>
      </c>
      <c r="C20" s="2" t="s">
        <v>18</v>
      </c>
      <c r="D20" s="2" t="s">
        <v>19</v>
      </c>
      <c r="E20" s="2" t="s">
        <v>20</v>
      </c>
      <c r="F20" s="2" t="s">
        <v>42</v>
      </c>
      <c r="G20" s="2" t="s">
        <v>134</v>
      </c>
      <c r="H20" s="2" t="s">
        <v>73</v>
      </c>
      <c r="I20" s="2"/>
      <c r="J20" s="2" t="s">
        <v>23</v>
      </c>
      <c r="K20" s="2" t="s">
        <v>23</v>
      </c>
      <c r="L20" s="2" t="s">
        <v>74</v>
      </c>
      <c r="M20" s="2" t="s">
        <v>75</v>
      </c>
      <c r="N20" s="2" t="s">
        <v>26</v>
      </c>
      <c r="O20" s="2" t="s">
        <v>135</v>
      </c>
      <c r="P20" s="2" t="s">
        <v>136</v>
      </c>
    </row>
    <row r="21" customFormat="false" ht="46.25" hidden="false" customHeight="false" outlineLevel="0" collapsed="false">
      <c r="A21" s="2" t="s">
        <v>137</v>
      </c>
      <c r="B21" s="2" t="s">
        <v>138</v>
      </c>
      <c r="C21" s="2" t="s">
        <v>18</v>
      </c>
      <c r="D21" s="2" t="s">
        <v>19</v>
      </c>
      <c r="E21" s="2" t="s">
        <v>20</v>
      </c>
      <c r="F21" s="2" t="s">
        <v>42</v>
      </c>
      <c r="G21" s="2" t="s">
        <v>139</v>
      </c>
      <c r="H21" s="2" t="s">
        <v>73</v>
      </c>
      <c r="I21" s="2"/>
      <c r="J21" s="2" t="s">
        <v>23</v>
      </c>
      <c r="K21" s="2" t="s">
        <v>23</v>
      </c>
      <c r="L21" s="2" t="s">
        <v>74</v>
      </c>
      <c r="M21" s="2" t="s">
        <v>75</v>
      </c>
      <c r="N21" s="2" t="s">
        <v>26</v>
      </c>
      <c r="O21" s="2" t="s">
        <v>140</v>
      </c>
      <c r="P21" s="2" t="s">
        <v>141</v>
      </c>
    </row>
    <row r="22" customFormat="false" ht="68.65" hidden="false" customHeight="false" outlineLevel="0" collapsed="false">
      <c r="A22" s="2" t="s">
        <v>142</v>
      </c>
      <c r="B22" s="2" t="s">
        <v>143</v>
      </c>
      <c r="C22" s="2" t="s">
        <v>18</v>
      </c>
      <c r="D22" s="2" t="s">
        <v>19</v>
      </c>
      <c r="E22" s="2" t="s">
        <v>20</v>
      </c>
      <c r="F22" s="2" t="s">
        <v>42</v>
      </c>
      <c r="G22" s="2" t="s">
        <v>144</v>
      </c>
      <c r="H22" s="2" t="s">
        <v>73</v>
      </c>
      <c r="I22" s="2"/>
      <c r="J22" s="2" t="s">
        <v>23</v>
      </c>
      <c r="K22" s="2" t="s">
        <v>23</v>
      </c>
      <c r="L22" s="2" t="s">
        <v>145</v>
      </c>
      <c r="M22" s="2" t="s">
        <v>75</v>
      </c>
      <c r="N22" s="2" t="s">
        <v>26</v>
      </c>
      <c r="O22" s="2" t="s">
        <v>146</v>
      </c>
      <c r="P22" s="2" t="s">
        <v>147</v>
      </c>
    </row>
    <row r="23" customFormat="false" ht="35.05" hidden="false" customHeight="false" outlineLevel="0" collapsed="false">
      <c r="A23" s="2" t="s">
        <v>148</v>
      </c>
      <c r="B23" s="2" t="s">
        <v>149</v>
      </c>
      <c r="C23" s="2" t="s">
        <v>18</v>
      </c>
      <c r="D23" s="2" t="s">
        <v>19</v>
      </c>
      <c r="E23" s="2" t="s">
        <v>20</v>
      </c>
      <c r="F23" s="2" t="s">
        <v>42</v>
      </c>
      <c r="G23" s="2" t="s">
        <v>150</v>
      </c>
      <c r="H23" s="2" t="s">
        <v>73</v>
      </c>
      <c r="I23" s="2"/>
      <c r="J23" s="2" t="s">
        <v>23</v>
      </c>
      <c r="K23" s="2" t="s">
        <v>23</v>
      </c>
      <c r="L23" s="2" t="s">
        <v>74</v>
      </c>
      <c r="M23" s="2" t="s">
        <v>75</v>
      </c>
      <c r="N23" s="2" t="s">
        <v>26</v>
      </c>
      <c r="O23" s="2" t="s">
        <v>151</v>
      </c>
      <c r="P23" s="2" t="s">
        <v>115</v>
      </c>
    </row>
    <row r="24" customFormat="false" ht="35.05" hidden="false" customHeight="false" outlineLevel="0" collapsed="false">
      <c r="A24" s="2" t="s">
        <v>152</v>
      </c>
      <c r="B24" s="2" t="s">
        <v>153</v>
      </c>
      <c r="C24" s="2" t="s">
        <v>18</v>
      </c>
      <c r="D24" s="2" t="s">
        <v>19</v>
      </c>
      <c r="E24" s="2" t="s">
        <v>20</v>
      </c>
      <c r="F24" s="2" t="s">
        <v>42</v>
      </c>
      <c r="G24" s="2" t="s">
        <v>154</v>
      </c>
      <c r="H24" s="2" t="s">
        <v>73</v>
      </c>
      <c r="I24" s="2"/>
      <c r="J24" s="2" t="s">
        <v>23</v>
      </c>
      <c r="K24" s="2" t="s">
        <v>23</v>
      </c>
      <c r="L24" s="2" t="s">
        <v>74</v>
      </c>
      <c r="M24" s="2" t="s">
        <v>75</v>
      </c>
      <c r="N24" s="2" t="s">
        <v>26</v>
      </c>
      <c r="O24" s="2" t="s">
        <v>155</v>
      </c>
      <c r="P24" s="2" t="s">
        <v>115</v>
      </c>
    </row>
    <row r="25" customFormat="false" ht="35.05" hidden="false" customHeight="false" outlineLevel="0" collapsed="false">
      <c r="A25" s="2" t="s">
        <v>156</v>
      </c>
      <c r="B25" s="2" t="s">
        <v>157</v>
      </c>
      <c r="C25" s="2" t="s">
        <v>18</v>
      </c>
      <c r="D25" s="2" t="s">
        <v>19</v>
      </c>
      <c r="E25" s="2" t="s">
        <v>20</v>
      </c>
      <c r="F25" s="2" t="s">
        <v>42</v>
      </c>
      <c r="G25" s="2" t="s">
        <v>158</v>
      </c>
      <c r="H25" s="2" t="s">
        <v>159</v>
      </c>
      <c r="I25" s="2"/>
      <c r="J25" s="2" t="s">
        <v>35</v>
      </c>
      <c r="K25" s="2" t="s">
        <v>35</v>
      </c>
      <c r="L25" s="2" t="s">
        <v>160</v>
      </c>
      <c r="M25" s="2" t="s">
        <v>161</v>
      </c>
      <c r="N25" s="2" t="s">
        <v>26</v>
      </c>
      <c r="O25" s="2" t="s">
        <v>162</v>
      </c>
      <c r="P25" s="2" t="s">
        <v>163</v>
      </c>
    </row>
    <row r="26" customFormat="false" ht="46.25" hidden="false" customHeight="false" outlineLevel="0" collapsed="false">
      <c r="A26" s="2" t="s">
        <v>164</v>
      </c>
      <c r="B26" s="2" t="s">
        <v>165</v>
      </c>
      <c r="C26" s="2" t="s">
        <v>18</v>
      </c>
      <c r="D26" s="2" t="s">
        <v>19</v>
      </c>
      <c r="E26" s="2" t="s">
        <v>20</v>
      </c>
      <c r="F26" s="2" t="s">
        <v>21</v>
      </c>
      <c r="G26" s="2" t="s">
        <v>166</v>
      </c>
      <c r="H26" s="2" t="s">
        <v>73</v>
      </c>
      <c r="I26" s="2"/>
      <c r="J26" s="2" t="s">
        <v>23</v>
      </c>
      <c r="K26" s="2" t="s">
        <v>23</v>
      </c>
      <c r="L26" s="2" t="s">
        <v>74</v>
      </c>
      <c r="M26" s="2" t="s">
        <v>75</v>
      </c>
      <c r="N26" s="2" t="s">
        <v>26</v>
      </c>
      <c r="O26" s="2" t="s">
        <v>167</v>
      </c>
      <c r="P26" s="2" t="s">
        <v>168</v>
      </c>
    </row>
    <row r="27" customFormat="false" ht="79.85" hidden="false" customHeight="false" outlineLevel="0" collapsed="false">
      <c r="A27" s="2" t="s">
        <v>169</v>
      </c>
      <c r="B27" s="2" t="s">
        <v>170</v>
      </c>
      <c r="C27" s="2" t="s">
        <v>18</v>
      </c>
      <c r="D27" s="2" t="s">
        <v>19</v>
      </c>
      <c r="E27" s="2" t="s">
        <v>20</v>
      </c>
      <c r="F27" s="2" t="s">
        <v>42</v>
      </c>
      <c r="G27" s="2" t="s">
        <v>171</v>
      </c>
      <c r="H27" s="2" t="s">
        <v>172</v>
      </c>
      <c r="I27" s="2" t="s">
        <v>173</v>
      </c>
      <c r="J27" s="2" t="s">
        <v>23</v>
      </c>
      <c r="K27" s="2" t="s">
        <v>23</v>
      </c>
      <c r="L27" s="2" t="s">
        <v>174</v>
      </c>
      <c r="M27" s="2" t="s">
        <v>75</v>
      </c>
      <c r="N27" s="2" t="s">
        <v>26</v>
      </c>
      <c r="O27" s="2" t="s">
        <v>175</v>
      </c>
      <c r="P27" s="2" t="s">
        <v>176</v>
      </c>
    </row>
    <row r="28" customFormat="false" ht="57.45" hidden="false" customHeight="false" outlineLevel="0" collapsed="false">
      <c r="A28" s="2" t="s">
        <v>177</v>
      </c>
      <c r="B28" s="2" t="s">
        <v>178</v>
      </c>
      <c r="C28" s="2" t="s">
        <v>18</v>
      </c>
      <c r="D28" s="2" t="s">
        <v>19</v>
      </c>
      <c r="E28" s="2" t="s">
        <v>20</v>
      </c>
      <c r="F28" s="2" t="s">
        <v>179</v>
      </c>
      <c r="G28" s="2" t="s">
        <v>180</v>
      </c>
      <c r="H28" s="2" t="s">
        <v>73</v>
      </c>
      <c r="I28" s="2"/>
      <c r="J28" s="2" t="s">
        <v>23</v>
      </c>
      <c r="K28" s="2" t="s">
        <v>23</v>
      </c>
      <c r="L28" s="2" t="s">
        <v>74</v>
      </c>
      <c r="M28" s="2" t="s">
        <v>75</v>
      </c>
      <c r="N28" s="2" t="s">
        <v>26</v>
      </c>
      <c r="O28" s="2" t="s">
        <v>181</v>
      </c>
      <c r="P28" s="2" t="s">
        <v>182</v>
      </c>
    </row>
    <row r="29" customFormat="false" ht="46.25" hidden="false" customHeight="false" outlineLevel="0" collapsed="false">
      <c r="A29" s="2" t="s">
        <v>183</v>
      </c>
      <c r="B29" s="2" t="s">
        <v>184</v>
      </c>
      <c r="C29" s="2" t="s">
        <v>18</v>
      </c>
      <c r="D29" s="2" t="s">
        <v>19</v>
      </c>
      <c r="E29" s="2" t="s">
        <v>20</v>
      </c>
      <c r="F29" s="2" t="s">
        <v>21</v>
      </c>
      <c r="G29" s="2" t="s">
        <v>185</v>
      </c>
      <c r="H29" s="2" t="s">
        <v>73</v>
      </c>
      <c r="I29" s="2"/>
      <c r="J29" s="2" t="s">
        <v>23</v>
      </c>
      <c r="K29" s="2" t="s">
        <v>23</v>
      </c>
      <c r="L29" s="2" t="s">
        <v>74</v>
      </c>
      <c r="M29" s="2" t="s">
        <v>75</v>
      </c>
      <c r="N29" s="2" t="s">
        <v>26</v>
      </c>
      <c r="O29" s="2" t="s">
        <v>186</v>
      </c>
      <c r="P29" s="2" t="s">
        <v>187</v>
      </c>
    </row>
    <row r="30" customFormat="false" ht="35.05" hidden="false" customHeight="false" outlineLevel="0" collapsed="false">
      <c r="A30" s="2" t="s">
        <v>188</v>
      </c>
      <c r="B30" s="2" t="s">
        <v>189</v>
      </c>
      <c r="C30" s="2" t="s">
        <v>18</v>
      </c>
      <c r="D30" s="2" t="s">
        <v>19</v>
      </c>
      <c r="E30" s="2" t="s">
        <v>190</v>
      </c>
      <c r="F30" s="2" t="s">
        <v>42</v>
      </c>
      <c r="G30" s="2" t="s">
        <v>191</v>
      </c>
      <c r="H30" s="2"/>
      <c r="I30" s="2"/>
      <c r="J30" s="2" t="s">
        <v>23</v>
      </c>
      <c r="K30" s="2" t="s">
        <v>23</v>
      </c>
      <c r="L30" s="2" t="s">
        <v>191</v>
      </c>
      <c r="M30" s="2" t="s">
        <v>25</v>
      </c>
      <c r="N30" s="2" t="s">
        <v>26</v>
      </c>
      <c r="O30" s="2" t="s">
        <v>192</v>
      </c>
      <c r="P30" s="2" t="s">
        <v>193</v>
      </c>
    </row>
    <row r="31" customFormat="false" ht="23.85" hidden="false" customHeight="false" outlineLevel="0" collapsed="false">
      <c r="A31" s="2" t="s">
        <v>194</v>
      </c>
      <c r="B31" s="2" t="s">
        <v>195</v>
      </c>
      <c r="C31" s="2" t="s">
        <v>18</v>
      </c>
      <c r="D31" s="2" t="s">
        <v>19</v>
      </c>
      <c r="E31" s="2" t="s">
        <v>20</v>
      </c>
      <c r="F31" s="2" t="s">
        <v>42</v>
      </c>
      <c r="G31" s="2" t="s">
        <v>196</v>
      </c>
      <c r="H31" s="2" t="s">
        <v>197</v>
      </c>
      <c r="I31" s="2" t="s">
        <v>198</v>
      </c>
      <c r="J31" s="2" t="s">
        <v>23</v>
      </c>
      <c r="K31" s="2" t="s">
        <v>23</v>
      </c>
      <c r="L31" s="2" t="s">
        <v>199</v>
      </c>
      <c r="M31" s="2" t="s">
        <v>125</v>
      </c>
      <c r="N31" s="2" t="s">
        <v>26</v>
      </c>
      <c r="O31" s="2" t="s">
        <v>200</v>
      </c>
      <c r="P31" s="2" t="s">
        <v>201</v>
      </c>
    </row>
    <row r="32" customFormat="false" ht="35.05" hidden="false" customHeight="false" outlineLevel="0" collapsed="false">
      <c r="A32" s="2" t="s">
        <v>202</v>
      </c>
      <c r="B32" s="2" t="s">
        <v>203</v>
      </c>
      <c r="C32" s="2" t="s">
        <v>18</v>
      </c>
      <c r="D32" s="2" t="s">
        <v>19</v>
      </c>
      <c r="E32" s="2" t="s">
        <v>20</v>
      </c>
      <c r="F32" s="2" t="s">
        <v>42</v>
      </c>
      <c r="G32" s="2" t="s">
        <v>196</v>
      </c>
      <c r="H32" s="2" t="s">
        <v>204</v>
      </c>
      <c r="I32" s="2" t="s">
        <v>198</v>
      </c>
      <c r="J32" s="2" t="s">
        <v>35</v>
      </c>
      <c r="K32" s="2" t="s">
        <v>35</v>
      </c>
      <c r="L32" s="2" t="s">
        <v>205</v>
      </c>
      <c r="M32" s="2" t="s">
        <v>206</v>
      </c>
      <c r="N32" s="2" t="s">
        <v>26</v>
      </c>
      <c r="O32" s="2" t="s">
        <v>207</v>
      </c>
      <c r="P32" s="2" t="s">
        <v>208</v>
      </c>
    </row>
    <row r="33" customFormat="false" ht="23.85" hidden="false" customHeight="false" outlineLevel="0" collapsed="false">
      <c r="A33" s="2" t="s">
        <v>209</v>
      </c>
      <c r="B33" s="2" t="s">
        <v>210</v>
      </c>
      <c r="C33" s="2" t="s">
        <v>18</v>
      </c>
      <c r="D33" s="2" t="s">
        <v>19</v>
      </c>
      <c r="E33" s="2" t="s">
        <v>20</v>
      </c>
      <c r="F33" s="2" t="s">
        <v>42</v>
      </c>
      <c r="G33" s="2" t="s">
        <v>196</v>
      </c>
      <c r="H33" s="2" t="s">
        <v>204</v>
      </c>
      <c r="I33" s="2" t="s">
        <v>198</v>
      </c>
      <c r="J33" s="2" t="s">
        <v>35</v>
      </c>
      <c r="K33" s="2" t="s">
        <v>35</v>
      </c>
      <c r="L33" s="2" t="s">
        <v>205</v>
      </c>
      <c r="M33" s="2" t="s">
        <v>206</v>
      </c>
      <c r="N33" s="2" t="s">
        <v>26</v>
      </c>
      <c r="O33" s="2" t="s">
        <v>207</v>
      </c>
      <c r="P33" s="2" t="s">
        <v>211</v>
      </c>
    </row>
    <row r="34" customFormat="false" ht="35.05" hidden="false" customHeight="false" outlineLevel="0" collapsed="false">
      <c r="A34" s="2" t="s">
        <v>212</v>
      </c>
      <c r="B34" s="2" t="s">
        <v>213</v>
      </c>
      <c r="C34" s="2" t="s">
        <v>18</v>
      </c>
      <c r="D34" s="2" t="s">
        <v>19</v>
      </c>
      <c r="E34" s="2" t="s">
        <v>20</v>
      </c>
      <c r="F34" s="2" t="s">
        <v>21</v>
      </c>
      <c r="G34" s="2" t="s">
        <v>196</v>
      </c>
      <c r="H34" s="2" t="s">
        <v>214</v>
      </c>
      <c r="I34" s="2" t="s">
        <v>198</v>
      </c>
      <c r="J34" s="2" t="s">
        <v>35</v>
      </c>
      <c r="K34" s="2" t="s">
        <v>35</v>
      </c>
      <c r="L34" s="2" t="s">
        <v>215</v>
      </c>
      <c r="M34" s="2" t="s">
        <v>206</v>
      </c>
      <c r="N34" s="2" t="s">
        <v>26</v>
      </c>
      <c r="O34" s="2" t="s">
        <v>216</v>
      </c>
      <c r="P34" s="2" t="s">
        <v>217</v>
      </c>
    </row>
    <row r="35" customFormat="false" ht="35.05" hidden="false" customHeight="false" outlineLevel="0" collapsed="false">
      <c r="A35" s="2" t="s">
        <v>218</v>
      </c>
      <c r="B35" s="2" t="s">
        <v>219</v>
      </c>
      <c r="C35" s="2" t="s">
        <v>18</v>
      </c>
      <c r="D35" s="2" t="s">
        <v>19</v>
      </c>
      <c r="E35" s="2" t="s">
        <v>20</v>
      </c>
      <c r="F35" s="2" t="s">
        <v>42</v>
      </c>
      <c r="G35" s="2" t="s">
        <v>196</v>
      </c>
      <c r="H35" s="2" t="s">
        <v>204</v>
      </c>
      <c r="I35" s="2" t="s">
        <v>198</v>
      </c>
      <c r="J35" s="2" t="s">
        <v>35</v>
      </c>
      <c r="K35" s="2" t="s">
        <v>35</v>
      </c>
      <c r="L35" s="2" t="s">
        <v>205</v>
      </c>
      <c r="M35" s="2" t="s">
        <v>206</v>
      </c>
      <c r="N35" s="2" t="s">
        <v>26</v>
      </c>
      <c r="O35" s="2" t="s">
        <v>207</v>
      </c>
      <c r="P35" s="2" t="s">
        <v>220</v>
      </c>
    </row>
    <row r="36" customFormat="false" ht="35.05" hidden="false" customHeight="false" outlineLevel="0" collapsed="false">
      <c r="A36" s="2" t="s">
        <v>221</v>
      </c>
      <c r="B36" s="2" t="s">
        <v>222</v>
      </c>
      <c r="C36" s="2" t="s">
        <v>18</v>
      </c>
      <c r="D36" s="2" t="s">
        <v>19</v>
      </c>
      <c r="E36" s="2" t="s">
        <v>20</v>
      </c>
      <c r="F36" s="2" t="s">
        <v>42</v>
      </c>
      <c r="G36" s="2" t="s">
        <v>196</v>
      </c>
      <c r="H36" s="2" t="s">
        <v>204</v>
      </c>
      <c r="I36" s="2" t="s">
        <v>198</v>
      </c>
      <c r="J36" s="2" t="s">
        <v>35</v>
      </c>
      <c r="K36" s="2" t="s">
        <v>35</v>
      </c>
      <c r="L36" s="2" t="s">
        <v>205</v>
      </c>
      <c r="M36" s="2" t="s">
        <v>206</v>
      </c>
      <c r="N36" s="2" t="s">
        <v>26</v>
      </c>
      <c r="O36" s="2" t="s">
        <v>207</v>
      </c>
      <c r="P36" s="2" t="s">
        <v>223</v>
      </c>
    </row>
    <row r="37" customFormat="false" ht="68.65" hidden="false" customHeight="false" outlineLevel="0" collapsed="false">
      <c r="A37" s="2" t="s">
        <v>224</v>
      </c>
      <c r="B37" s="2" t="s">
        <v>225</v>
      </c>
      <c r="C37" s="2" t="s">
        <v>18</v>
      </c>
      <c r="D37" s="2" t="s">
        <v>19</v>
      </c>
      <c r="E37" s="2" t="s">
        <v>226</v>
      </c>
      <c r="F37" s="2" t="s">
        <v>42</v>
      </c>
      <c r="G37" s="2" t="s">
        <v>227</v>
      </c>
      <c r="H37" s="2" t="s">
        <v>204</v>
      </c>
      <c r="I37" s="2" t="s">
        <v>228</v>
      </c>
      <c r="J37" s="2" t="s">
        <v>35</v>
      </c>
      <c r="K37" s="2" t="s">
        <v>35</v>
      </c>
      <c r="L37" s="2" t="s">
        <v>229</v>
      </c>
      <c r="M37" s="2" t="s">
        <v>206</v>
      </c>
      <c r="N37" s="2" t="s">
        <v>26</v>
      </c>
      <c r="O37" s="2" t="s">
        <v>230</v>
      </c>
      <c r="P37" s="2" t="s">
        <v>231</v>
      </c>
    </row>
    <row r="38" customFormat="false" ht="35.05" hidden="false" customHeight="false" outlineLevel="0" collapsed="false">
      <c r="A38" s="2" t="s">
        <v>232</v>
      </c>
      <c r="B38" s="2" t="s">
        <v>233</v>
      </c>
      <c r="C38" s="2" t="s">
        <v>18</v>
      </c>
      <c r="D38" s="2" t="s">
        <v>19</v>
      </c>
      <c r="E38" s="2" t="s">
        <v>20</v>
      </c>
      <c r="F38" s="2" t="s">
        <v>42</v>
      </c>
      <c r="G38" s="2" t="s">
        <v>234</v>
      </c>
      <c r="H38" s="2" t="s">
        <v>204</v>
      </c>
      <c r="I38" s="2" t="s">
        <v>198</v>
      </c>
      <c r="J38" s="2" t="s">
        <v>35</v>
      </c>
      <c r="K38" s="2" t="s">
        <v>35</v>
      </c>
      <c r="L38" s="2" t="s">
        <v>235</v>
      </c>
      <c r="M38" s="2" t="s">
        <v>206</v>
      </c>
      <c r="N38" s="2" t="s">
        <v>26</v>
      </c>
      <c r="O38" s="2" t="s">
        <v>236</v>
      </c>
      <c r="P38" s="2" t="s">
        <v>237</v>
      </c>
    </row>
    <row r="39" customFormat="false" ht="35.05" hidden="false" customHeight="false" outlineLevel="0" collapsed="false">
      <c r="A39" s="2" t="s">
        <v>238</v>
      </c>
      <c r="B39" s="2" t="s">
        <v>239</v>
      </c>
      <c r="C39" s="2" t="s">
        <v>18</v>
      </c>
      <c r="D39" s="2" t="s">
        <v>19</v>
      </c>
      <c r="E39" s="2" t="s">
        <v>20</v>
      </c>
      <c r="F39" s="2" t="s">
        <v>21</v>
      </c>
      <c r="G39" s="2" t="s">
        <v>196</v>
      </c>
      <c r="H39" s="2" t="s">
        <v>214</v>
      </c>
      <c r="I39" s="2" t="s">
        <v>198</v>
      </c>
      <c r="J39" s="2" t="s">
        <v>35</v>
      </c>
      <c r="K39" s="2" t="s">
        <v>35</v>
      </c>
      <c r="L39" s="2" t="s">
        <v>215</v>
      </c>
      <c r="M39" s="2" t="s">
        <v>206</v>
      </c>
      <c r="N39" s="2" t="s">
        <v>26</v>
      </c>
      <c r="O39" s="2" t="s">
        <v>216</v>
      </c>
      <c r="P39" s="2" t="s">
        <v>240</v>
      </c>
    </row>
    <row r="40" customFormat="false" ht="102.2" hidden="false" customHeight="false" outlineLevel="0" collapsed="false">
      <c r="A40" s="2" t="s">
        <v>241</v>
      </c>
      <c r="B40" s="2" t="s">
        <v>242</v>
      </c>
      <c r="C40" s="2" t="s">
        <v>18</v>
      </c>
      <c r="D40" s="2" t="s">
        <v>19</v>
      </c>
      <c r="E40" s="2" t="s">
        <v>226</v>
      </c>
      <c r="F40" s="2" t="s">
        <v>42</v>
      </c>
      <c r="G40" s="2" t="s">
        <v>227</v>
      </c>
      <c r="H40" s="2" t="s">
        <v>243</v>
      </c>
      <c r="I40" s="2" t="s">
        <v>228</v>
      </c>
      <c r="J40" s="2" t="s">
        <v>35</v>
      </c>
      <c r="K40" s="2" t="s">
        <v>35</v>
      </c>
      <c r="L40" s="2" t="s">
        <v>244</v>
      </c>
      <c r="M40" s="2" t="s">
        <v>206</v>
      </c>
      <c r="N40" s="2" t="s">
        <v>26</v>
      </c>
      <c r="O40" s="2" t="s">
        <v>245</v>
      </c>
      <c r="P40" s="2" t="s">
        <v>246</v>
      </c>
    </row>
    <row r="41" customFormat="false" ht="23.85" hidden="false" customHeight="false" outlineLevel="0" collapsed="false">
      <c r="A41" s="2" t="s">
        <v>247</v>
      </c>
      <c r="B41" s="2" t="s">
        <v>248</v>
      </c>
      <c r="C41" s="2" t="s">
        <v>18</v>
      </c>
      <c r="D41" s="2" t="s">
        <v>19</v>
      </c>
      <c r="E41" s="2" t="s">
        <v>20</v>
      </c>
      <c r="F41" s="2" t="s">
        <v>42</v>
      </c>
      <c r="G41" s="2" t="s">
        <v>196</v>
      </c>
      <c r="H41" s="2" t="s">
        <v>204</v>
      </c>
      <c r="I41" s="2" t="s">
        <v>198</v>
      </c>
      <c r="J41" s="2" t="s">
        <v>35</v>
      </c>
      <c r="K41" s="2" t="s">
        <v>35</v>
      </c>
      <c r="L41" s="2" t="s">
        <v>205</v>
      </c>
      <c r="M41" s="2" t="s">
        <v>206</v>
      </c>
      <c r="N41" s="2" t="s">
        <v>26</v>
      </c>
      <c r="O41" s="2" t="s">
        <v>207</v>
      </c>
      <c r="P41" s="2" t="s">
        <v>249</v>
      </c>
    </row>
    <row r="42" customFormat="false" ht="57.45" hidden="false" customHeight="false" outlineLevel="0" collapsed="false">
      <c r="A42" s="2" t="s">
        <v>250</v>
      </c>
      <c r="B42" s="2" t="s">
        <v>251</v>
      </c>
      <c r="C42" s="2" t="s">
        <v>18</v>
      </c>
      <c r="D42" s="2" t="s">
        <v>19</v>
      </c>
      <c r="E42" s="2" t="s">
        <v>20</v>
      </c>
      <c r="F42" s="2" t="s">
        <v>42</v>
      </c>
      <c r="G42" s="2" t="s">
        <v>196</v>
      </c>
      <c r="H42" s="2" t="s">
        <v>252</v>
      </c>
      <c r="I42" s="2" t="s">
        <v>198</v>
      </c>
      <c r="J42" s="2" t="s">
        <v>35</v>
      </c>
      <c r="K42" s="2" t="s">
        <v>35</v>
      </c>
      <c r="L42" s="2" t="s">
        <v>253</v>
      </c>
      <c r="M42" s="2" t="s">
        <v>206</v>
      </c>
      <c r="N42" s="2" t="s">
        <v>36</v>
      </c>
      <c r="O42" s="2" t="s">
        <v>254</v>
      </c>
      <c r="P42" s="2" t="s">
        <v>255</v>
      </c>
    </row>
    <row r="43" customFormat="false" ht="35.05" hidden="false" customHeight="false" outlineLevel="0" collapsed="false">
      <c r="A43" s="2" t="s">
        <v>256</v>
      </c>
      <c r="B43" s="2" t="s">
        <v>257</v>
      </c>
      <c r="C43" s="2" t="s">
        <v>18</v>
      </c>
      <c r="D43" s="2" t="s">
        <v>19</v>
      </c>
      <c r="E43" s="2" t="s">
        <v>20</v>
      </c>
      <c r="F43" s="2" t="s">
        <v>42</v>
      </c>
      <c r="G43" s="2" t="s">
        <v>196</v>
      </c>
      <c r="H43" s="2" t="s">
        <v>204</v>
      </c>
      <c r="I43" s="2" t="s">
        <v>198</v>
      </c>
      <c r="J43" s="2" t="s">
        <v>35</v>
      </c>
      <c r="K43" s="2" t="s">
        <v>35</v>
      </c>
      <c r="L43" s="2" t="s">
        <v>205</v>
      </c>
      <c r="M43" s="2" t="s">
        <v>206</v>
      </c>
      <c r="N43" s="2" t="s">
        <v>26</v>
      </c>
      <c r="O43" s="2" t="s">
        <v>207</v>
      </c>
      <c r="P43" s="2" t="s">
        <v>258</v>
      </c>
    </row>
    <row r="44" customFormat="false" ht="35.05" hidden="false" customHeight="false" outlineLevel="0" collapsed="false">
      <c r="A44" s="2" t="s">
        <v>259</v>
      </c>
      <c r="B44" s="2" t="s">
        <v>260</v>
      </c>
      <c r="C44" s="2" t="s">
        <v>18</v>
      </c>
      <c r="D44" s="2" t="s">
        <v>19</v>
      </c>
      <c r="E44" s="2" t="s">
        <v>20</v>
      </c>
      <c r="F44" s="2" t="s">
        <v>42</v>
      </c>
      <c r="G44" s="2" t="s">
        <v>196</v>
      </c>
      <c r="H44" s="2" t="s">
        <v>204</v>
      </c>
      <c r="I44" s="2" t="s">
        <v>198</v>
      </c>
      <c r="J44" s="2" t="s">
        <v>35</v>
      </c>
      <c r="K44" s="2" t="s">
        <v>35</v>
      </c>
      <c r="L44" s="2" t="s">
        <v>205</v>
      </c>
      <c r="M44" s="2" t="s">
        <v>206</v>
      </c>
      <c r="N44" s="2" t="s">
        <v>26</v>
      </c>
      <c r="O44" s="2" t="s">
        <v>207</v>
      </c>
      <c r="P44" s="2" t="s">
        <v>261</v>
      </c>
    </row>
    <row r="45" customFormat="false" ht="68.65" hidden="false" customHeight="false" outlineLevel="0" collapsed="false">
      <c r="A45" s="2" t="s">
        <v>262</v>
      </c>
      <c r="B45" s="2" t="s">
        <v>263</v>
      </c>
      <c r="C45" s="2" t="s">
        <v>18</v>
      </c>
      <c r="D45" s="2" t="s">
        <v>19</v>
      </c>
      <c r="E45" s="2" t="s">
        <v>226</v>
      </c>
      <c r="F45" s="2" t="s">
        <v>42</v>
      </c>
      <c r="G45" s="2" t="s">
        <v>227</v>
      </c>
      <c r="H45" s="2" t="s">
        <v>204</v>
      </c>
      <c r="I45" s="2" t="s">
        <v>228</v>
      </c>
      <c r="J45" s="2" t="s">
        <v>35</v>
      </c>
      <c r="K45" s="2" t="s">
        <v>35</v>
      </c>
      <c r="L45" s="2" t="s">
        <v>229</v>
      </c>
      <c r="M45" s="2" t="s">
        <v>206</v>
      </c>
      <c r="N45" s="2" t="s">
        <v>36</v>
      </c>
      <c r="O45" s="2" t="s">
        <v>264</v>
      </c>
      <c r="P45" s="2" t="s">
        <v>265</v>
      </c>
    </row>
    <row r="46" customFormat="false" ht="46.25" hidden="false" customHeight="false" outlineLevel="0" collapsed="false">
      <c r="A46" s="2" t="s">
        <v>266</v>
      </c>
      <c r="B46" s="2" t="s">
        <v>267</v>
      </c>
      <c r="C46" s="2" t="s">
        <v>18</v>
      </c>
      <c r="D46" s="2" t="s">
        <v>19</v>
      </c>
      <c r="E46" s="2" t="s">
        <v>226</v>
      </c>
      <c r="F46" s="2" t="s">
        <v>42</v>
      </c>
      <c r="G46" s="2" t="s">
        <v>227</v>
      </c>
      <c r="H46" s="2" t="s">
        <v>204</v>
      </c>
      <c r="I46" s="2" t="s">
        <v>228</v>
      </c>
      <c r="J46" s="2" t="s">
        <v>35</v>
      </c>
      <c r="K46" s="2" t="s">
        <v>35</v>
      </c>
      <c r="L46" s="2" t="s">
        <v>229</v>
      </c>
      <c r="M46" s="2" t="s">
        <v>206</v>
      </c>
      <c r="N46" s="2" t="s">
        <v>26</v>
      </c>
      <c r="O46" s="2" t="s">
        <v>268</v>
      </c>
      <c r="P46" s="2" t="s">
        <v>269</v>
      </c>
    </row>
    <row r="47" customFormat="false" ht="23.85" hidden="false" customHeight="false" outlineLevel="0" collapsed="false">
      <c r="A47" s="2" t="s">
        <v>270</v>
      </c>
      <c r="B47" s="2" t="s">
        <v>271</v>
      </c>
      <c r="C47" s="2" t="s">
        <v>18</v>
      </c>
      <c r="D47" s="2" t="s">
        <v>19</v>
      </c>
      <c r="E47" s="2" t="s">
        <v>20</v>
      </c>
      <c r="F47" s="2" t="s">
        <v>42</v>
      </c>
      <c r="G47" s="2" t="s">
        <v>196</v>
      </c>
      <c r="H47" s="2" t="s">
        <v>204</v>
      </c>
      <c r="I47" s="2" t="s">
        <v>198</v>
      </c>
      <c r="J47" s="2" t="s">
        <v>35</v>
      </c>
      <c r="K47" s="2" t="s">
        <v>35</v>
      </c>
      <c r="L47" s="2" t="s">
        <v>205</v>
      </c>
      <c r="M47" s="2" t="s">
        <v>206</v>
      </c>
      <c r="N47" s="2" t="s">
        <v>26</v>
      </c>
      <c r="O47" s="2" t="s">
        <v>207</v>
      </c>
      <c r="P47" s="2" t="s">
        <v>272</v>
      </c>
    </row>
    <row r="48" customFormat="false" ht="46.25" hidden="false" customHeight="false" outlineLevel="0" collapsed="false">
      <c r="A48" s="2" t="s">
        <v>273</v>
      </c>
      <c r="B48" s="2" t="s">
        <v>274</v>
      </c>
      <c r="C48" s="2" t="s">
        <v>18</v>
      </c>
      <c r="D48" s="2" t="s">
        <v>19</v>
      </c>
      <c r="E48" s="2" t="s">
        <v>20</v>
      </c>
      <c r="F48" s="2" t="s">
        <v>42</v>
      </c>
      <c r="G48" s="2" t="s">
        <v>196</v>
      </c>
      <c r="H48" s="2" t="s">
        <v>204</v>
      </c>
      <c r="I48" s="2" t="s">
        <v>198</v>
      </c>
      <c r="J48" s="2" t="s">
        <v>35</v>
      </c>
      <c r="K48" s="2" t="s">
        <v>35</v>
      </c>
      <c r="L48" s="2" t="s">
        <v>205</v>
      </c>
      <c r="M48" s="2" t="s">
        <v>206</v>
      </c>
      <c r="N48" s="2" t="s">
        <v>26</v>
      </c>
      <c r="O48" s="2" t="s">
        <v>275</v>
      </c>
      <c r="P48" s="2" t="s">
        <v>276</v>
      </c>
    </row>
    <row r="49" customFormat="false" ht="68.65" hidden="false" customHeight="false" outlineLevel="0" collapsed="false">
      <c r="A49" s="2" t="s">
        <v>277</v>
      </c>
      <c r="B49" s="2" t="s">
        <v>278</v>
      </c>
      <c r="C49" s="2" t="s">
        <v>18</v>
      </c>
      <c r="D49" s="2" t="s">
        <v>19</v>
      </c>
      <c r="E49" s="2" t="s">
        <v>226</v>
      </c>
      <c r="F49" s="2" t="s">
        <v>42</v>
      </c>
      <c r="G49" s="2" t="s">
        <v>227</v>
      </c>
      <c r="H49" s="2" t="s">
        <v>204</v>
      </c>
      <c r="I49" s="2" t="s">
        <v>228</v>
      </c>
      <c r="J49" s="2" t="s">
        <v>35</v>
      </c>
      <c r="K49" s="2" t="s">
        <v>35</v>
      </c>
      <c r="L49" s="2" t="s">
        <v>229</v>
      </c>
      <c r="M49" s="2" t="s">
        <v>206</v>
      </c>
      <c r="N49" s="2" t="s">
        <v>36</v>
      </c>
      <c r="O49" s="2" t="s">
        <v>264</v>
      </c>
      <c r="P49" s="2" t="s">
        <v>279</v>
      </c>
    </row>
    <row r="50" customFormat="false" ht="57.45" hidden="false" customHeight="false" outlineLevel="0" collapsed="false">
      <c r="A50" s="2" t="s">
        <v>280</v>
      </c>
      <c r="B50" s="2" t="s">
        <v>281</v>
      </c>
      <c r="C50" s="2" t="s">
        <v>18</v>
      </c>
      <c r="D50" s="2" t="s">
        <v>19</v>
      </c>
      <c r="E50" s="2" t="s">
        <v>20</v>
      </c>
      <c r="F50" s="2" t="s">
        <v>21</v>
      </c>
      <c r="G50" s="2" t="s">
        <v>196</v>
      </c>
      <c r="H50" s="2" t="s">
        <v>204</v>
      </c>
      <c r="I50" s="2" t="s">
        <v>198</v>
      </c>
      <c r="J50" s="2" t="s">
        <v>35</v>
      </c>
      <c r="K50" s="2" t="s">
        <v>35</v>
      </c>
      <c r="L50" s="2" t="s">
        <v>205</v>
      </c>
      <c r="M50" s="2" t="s">
        <v>206</v>
      </c>
      <c r="N50" s="2" t="s">
        <v>36</v>
      </c>
      <c r="O50" s="2" t="s">
        <v>282</v>
      </c>
      <c r="P50" s="2" t="s">
        <v>283</v>
      </c>
    </row>
    <row r="51" customFormat="false" ht="68.65" hidden="false" customHeight="false" outlineLevel="0" collapsed="false">
      <c r="A51" s="2" t="s">
        <v>284</v>
      </c>
      <c r="B51" s="2" t="s">
        <v>285</v>
      </c>
      <c r="C51" s="2" t="s">
        <v>18</v>
      </c>
      <c r="D51" s="2" t="s">
        <v>19</v>
      </c>
      <c r="E51" s="2" t="s">
        <v>226</v>
      </c>
      <c r="F51" s="2" t="s">
        <v>21</v>
      </c>
      <c r="G51" s="2" t="s">
        <v>227</v>
      </c>
      <c r="H51" s="2" t="s">
        <v>204</v>
      </c>
      <c r="I51" s="2" t="s">
        <v>228</v>
      </c>
      <c r="J51" s="2" t="s">
        <v>35</v>
      </c>
      <c r="K51" s="2" t="s">
        <v>35</v>
      </c>
      <c r="L51" s="2" t="s">
        <v>229</v>
      </c>
      <c r="M51" s="2" t="s">
        <v>206</v>
      </c>
      <c r="N51" s="2" t="s">
        <v>36</v>
      </c>
      <c r="O51" s="2" t="s">
        <v>286</v>
      </c>
      <c r="P51" s="2" t="s">
        <v>287</v>
      </c>
    </row>
    <row r="52" customFormat="false" ht="68.65" hidden="false" customHeight="false" outlineLevel="0" collapsed="false">
      <c r="A52" s="2" t="s">
        <v>288</v>
      </c>
      <c r="B52" s="2" t="s">
        <v>289</v>
      </c>
      <c r="C52" s="2" t="s">
        <v>18</v>
      </c>
      <c r="D52" s="2" t="s">
        <v>19</v>
      </c>
      <c r="E52" s="2" t="s">
        <v>20</v>
      </c>
      <c r="F52" s="2" t="s">
        <v>42</v>
      </c>
      <c r="G52" s="2" t="s">
        <v>290</v>
      </c>
      <c r="H52" s="2" t="s">
        <v>204</v>
      </c>
      <c r="I52" s="2" t="s">
        <v>198</v>
      </c>
      <c r="J52" s="2" t="s">
        <v>35</v>
      </c>
      <c r="K52" s="2" t="s">
        <v>35</v>
      </c>
      <c r="L52" s="2" t="s">
        <v>291</v>
      </c>
      <c r="M52" s="2" t="s">
        <v>206</v>
      </c>
      <c r="N52" s="2" t="s">
        <v>36</v>
      </c>
      <c r="O52" s="2" t="s">
        <v>292</v>
      </c>
      <c r="P52" s="2" t="s">
        <v>293</v>
      </c>
    </row>
    <row r="53" customFormat="false" ht="91" hidden="false" customHeight="false" outlineLevel="0" collapsed="false">
      <c r="A53" s="2" t="s">
        <v>294</v>
      </c>
      <c r="B53" s="2" t="s">
        <v>295</v>
      </c>
      <c r="C53" s="2" t="s">
        <v>18</v>
      </c>
      <c r="D53" s="2" t="s">
        <v>19</v>
      </c>
      <c r="E53" s="2" t="s">
        <v>226</v>
      </c>
      <c r="F53" s="2" t="s">
        <v>42</v>
      </c>
      <c r="G53" s="2" t="s">
        <v>227</v>
      </c>
      <c r="H53" s="2" t="s">
        <v>243</v>
      </c>
      <c r="I53" s="2" t="s">
        <v>228</v>
      </c>
      <c r="J53" s="2" t="s">
        <v>35</v>
      </c>
      <c r="K53" s="2" t="s">
        <v>35</v>
      </c>
      <c r="L53" s="2" t="s">
        <v>244</v>
      </c>
      <c r="M53" s="2" t="s">
        <v>206</v>
      </c>
      <c r="N53" s="2" t="s">
        <v>26</v>
      </c>
      <c r="O53" s="2" t="s">
        <v>245</v>
      </c>
      <c r="P53" s="2" t="s">
        <v>296</v>
      </c>
    </row>
    <row r="54" customFormat="false" ht="35.05" hidden="false" customHeight="false" outlineLevel="0" collapsed="false">
      <c r="A54" s="2" t="s">
        <v>297</v>
      </c>
      <c r="B54" s="2" t="s">
        <v>298</v>
      </c>
      <c r="C54" s="2" t="s">
        <v>18</v>
      </c>
      <c r="D54" s="2" t="s">
        <v>19</v>
      </c>
      <c r="E54" s="2" t="s">
        <v>20</v>
      </c>
      <c r="F54" s="2" t="s">
        <v>42</v>
      </c>
      <c r="G54" s="2" t="s">
        <v>196</v>
      </c>
      <c r="H54" s="2" t="s">
        <v>204</v>
      </c>
      <c r="I54" s="2" t="s">
        <v>198</v>
      </c>
      <c r="J54" s="2" t="s">
        <v>35</v>
      </c>
      <c r="K54" s="2" t="s">
        <v>35</v>
      </c>
      <c r="L54" s="2" t="s">
        <v>205</v>
      </c>
      <c r="M54" s="2" t="s">
        <v>206</v>
      </c>
      <c r="N54" s="2" t="s">
        <v>26</v>
      </c>
      <c r="O54" s="2" t="s">
        <v>207</v>
      </c>
      <c r="P54" s="2" t="s">
        <v>299</v>
      </c>
    </row>
    <row r="55" customFormat="false" ht="68.65" hidden="false" customHeight="false" outlineLevel="0" collapsed="false">
      <c r="A55" s="2" t="s">
        <v>300</v>
      </c>
      <c r="B55" s="2" t="s">
        <v>301</v>
      </c>
      <c r="C55" s="2" t="s">
        <v>18</v>
      </c>
      <c r="D55" s="2" t="s">
        <v>19</v>
      </c>
      <c r="E55" s="2" t="s">
        <v>226</v>
      </c>
      <c r="F55" s="2" t="s">
        <v>42</v>
      </c>
      <c r="G55" s="2" t="s">
        <v>227</v>
      </c>
      <c r="H55" s="2" t="s">
        <v>204</v>
      </c>
      <c r="I55" s="2" t="s">
        <v>228</v>
      </c>
      <c r="J55" s="2" t="s">
        <v>35</v>
      </c>
      <c r="K55" s="2" t="s">
        <v>35</v>
      </c>
      <c r="L55" s="2" t="s">
        <v>229</v>
      </c>
      <c r="M55" s="2" t="s">
        <v>206</v>
      </c>
      <c r="N55" s="2" t="s">
        <v>26</v>
      </c>
      <c r="O55" s="2" t="s">
        <v>268</v>
      </c>
      <c r="P55" s="2" t="s">
        <v>302</v>
      </c>
    </row>
    <row r="56" customFormat="false" ht="35.05" hidden="false" customHeight="false" outlineLevel="0" collapsed="false">
      <c r="A56" s="2" t="s">
        <v>303</v>
      </c>
      <c r="B56" s="2" t="s">
        <v>304</v>
      </c>
      <c r="C56" s="2" t="s">
        <v>18</v>
      </c>
      <c r="D56" s="2" t="s">
        <v>19</v>
      </c>
      <c r="E56" s="2" t="s">
        <v>20</v>
      </c>
      <c r="F56" s="2" t="s">
        <v>42</v>
      </c>
      <c r="G56" s="2" t="s">
        <v>196</v>
      </c>
      <c r="H56" s="2" t="s">
        <v>204</v>
      </c>
      <c r="I56" s="2" t="s">
        <v>198</v>
      </c>
      <c r="J56" s="2" t="s">
        <v>35</v>
      </c>
      <c r="K56" s="2" t="s">
        <v>35</v>
      </c>
      <c r="L56" s="2" t="s">
        <v>205</v>
      </c>
      <c r="M56" s="2" t="s">
        <v>206</v>
      </c>
      <c r="N56" s="2" t="s">
        <v>26</v>
      </c>
      <c r="O56" s="2" t="s">
        <v>207</v>
      </c>
      <c r="P56" s="2" t="s">
        <v>305</v>
      </c>
    </row>
    <row r="57" customFormat="false" ht="23.85" hidden="false" customHeight="false" outlineLevel="0" collapsed="false">
      <c r="A57" s="2" t="s">
        <v>306</v>
      </c>
      <c r="B57" s="2" t="s">
        <v>307</v>
      </c>
      <c r="C57" s="2" t="s">
        <v>18</v>
      </c>
      <c r="D57" s="2" t="s">
        <v>19</v>
      </c>
      <c r="E57" s="2" t="s">
        <v>20</v>
      </c>
      <c r="F57" s="2" t="s">
        <v>42</v>
      </c>
      <c r="G57" s="2" t="s">
        <v>308</v>
      </c>
      <c r="H57" s="2" t="s">
        <v>73</v>
      </c>
      <c r="I57" s="2" t="s">
        <v>198</v>
      </c>
      <c r="J57" s="2" t="s">
        <v>23</v>
      </c>
      <c r="K57" s="2" t="s">
        <v>23</v>
      </c>
      <c r="L57" s="2" t="s">
        <v>309</v>
      </c>
      <c r="M57" s="2" t="s">
        <v>125</v>
      </c>
      <c r="N57" s="2" t="s">
        <v>26</v>
      </c>
      <c r="O57" s="2" t="s">
        <v>310</v>
      </c>
      <c r="P57" s="2" t="s">
        <v>311</v>
      </c>
    </row>
    <row r="58" customFormat="false" ht="91" hidden="false" customHeight="false" outlineLevel="0" collapsed="false">
      <c r="A58" s="2" t="s">
        <v>312</v>
      </c>
      <c r="B58" s="2" t="s">
        <v>313</v>
      </c>
      <c r="C58" s="2" t="s">
        <v>18</v>
      </c>
      <c r="D58" s="2" t="s">
        <v>19</v>
      </c>
      <c r="E58" s="2" t="s">
        <v>20</v>
      </c>
      <c r="F58" s="2" t="s">
        <v>42</v>
      </c>
      <c r="G58" s="2" t="s">
        <v>314</v>
      </c>
      <c r="H58" s="2"/>
      <c r="I58" s="2" t="s">
        <v>198</v>
      </c>
      <c r="J58" s="2" t="s">
        <v>23</v>
      </c>
      <c r="K58" s="2" t="s">
        <v>23</v>
      </c>
      <c r="L58" s="2" t="s">
        <v>315</v>
      </c>
      <c r="M58" s="2" t="s">
        <v>206</v>
      </c>
      <c r="N58" s="2" t="s">
        <v>26</v>
      </c>
      <c r="O58" s="2" t="s">
        <v>316</v>
      </c>
      <c r="P58" s="2" t="s">
        <v>317</v>
      </c>
    </row>
    <row r="59" customFormat="false" ht="79.85" hidden="false" customHeight="false" outlineLevel="0" collapsed="false">
      <c r="A59" s="2" t="s">
        <v>318</v>
      </c>
      <c r="B59" s="2" t="s">
        <v>319</v>
      </c>
      <c r="C59" s="2" t="s">
        <v>18</v>
      </c>
      <c r="D59" s="2" t="s">
        <v>19</v>
      </c>
      <c r="E59" s="2" t="s">
        <v>20</v>
      </c>
      <c r="F59" s="2" t="s">
        <v>42</v>
      </c>
      <c r="G59" s="2" t="s">
        <v>320</v>
      </c>
      <c r="H59" s="2"/>
      <c r="I59" s="2" t="s">
        <v>198</v>
      </c>
      <c r="J59" s="2" t="s">
        <v>23</v>
      </c>
      <c r="K59" s="2" t="s">
        <v>23</v>
      </c>
      <c r="L59" s="2" t="s">
        <v>315</v>
      </c>
      <c r="M59" s="2" t="s">
        <v>206</v>
      </c>
      <c r="N59" s="2" t="s">
        <v>26</v>
      </c>
      <c r="O59" s="2" t="s">
        <v>321</v>
      </c>
      <c r="P59" s="2" t="s">
        <v>322</v>
      </c>
    </row>
    <row r="60" customFormat="false" ht="57.45" hidden="false" customHeight="false" outlineLevel="0" collapsed="false">
      <c r="A60" s="2" t="s">
        <v>323</v>
      </c>
      <c r="B60" s="2" t="s">
        <v>324</v>
      </c>
      <c r="C60" s="2" t="s">
        <v>18</v>
      </c>
      <c r="D60" s="2" t="s">
        <v>19</v>
      </c>
      <c r="E60" s="2" t="s">
        <v>20</v>
      </c>
      <c r="F60" s="2" t="s">
        <v>42</v>
      </c>
      <c r="G60" s="2" t="s">
        <v>325</v>
      </c>
      <c r="H60" s="2" t="s">
        <v>214</v>
      </c>
      <c r="I60" s="2"/>
      <c r="J60" s="2" t="s">
        <v>35</v>
      </c>
      <c r="K60" s="2" t="s">
        <v>35</v>
      </c>
      <c r="L60" s="2" t="s">
        <v>326</v>
      </c>
      <c r="M60" s="2" t="s">
        <v>206</v>
      </c>
      <c r="N60" s="2" t="s">
        <v>26</v>
      </c>
      <c r="O60" s="2" t="s">
        <v>327</v>
      </c>
      <c r="P60" s="2" t="s">
        <v>328</v>
      </c>
    </row>
    <row r="61" customFormat="false" ht="68.65" hidden="false" customHeight="false" outlineLevel="0" collapsed="false">
      <c r="A61" s="2" t="s">
        <v>329</v>
      </c>
      <c r="B61" s="2" t="s">
        <v>330</v>
      </c>
      <c r="C61" s="2" t="s">
        <v>18</v>
      </c>
      <c r="D61" s="2" t="s">
        <v>19</v>
      </c>
      <c r="E61" s="2" t="s">
        <v>20</v>
      </c>
      <c r="F61" s="2" t="s">
        <v>42</v>
      </c>
      <c r="G61" s="2" t="s">
        <v>331</v>
      </c>
      <c r="H61" s="2" t="s">
        <v>214</v>
      </c>
      <c r="I61" s="2"/>
      <c r="J61" s="2" t="s">
        <v>35</v>
      </c>
      <c r="K61" s="2" t="s">
        <v>35</v>
      </c>
      <c r="L61" s="2" t="s">
        <v>332</v>
      </c>
      <c r="M61" s="2" t="s">
        <v>206</v>
      </c>
      <c r="N61" s="2" t="s">
        <v>36</v>
      </c>
      <c r="O61" s="2" t="s">
        <v>333</v>
      </c>
      <c r="P61" s="2" t="s">
        <v>334</v>
      </c>
    </row>
    <row r="62" customFormat="false" ht="68.65" hidden="false" customHeight="false" outlineLevel="0" collapsed="false">
      <c r="A62" s="2" t="s">
        <v>335</v>
      </c>
      <c r="B62" s="2" t="s">
        <v>336</v>
      </c>
      <c r="C62" s="2" t="s">
        <v>18</v>
      </c>
      <c r="D62" s="2" t="s">
        <v>19</v>
      </c>
      <c r="E62" s="2" t="s">
        <v>20</v>
      </c>
      <c r="F62" s="2" t="s">
        <v>42</v>
      </c>
      <c r="G62" s="2" t="s">
        <v>331</v>
      </c>
      <c r="H62" s="2" t="s">
        <v>214</v>
      </c>
      <c r="I62" s="2"/>
      <c r="J62" s="2" t="s">
        <v>35</v>
      </c>
      <c r="K62" s="2" t="s">
        <v>35</v>
      </c>
      <c r="L62" s="2" t="s">
        <v>332</v>
      </c>
      <c r="M62" s="2" t="s">
        <v>206</v>
      </c>
      <c r="N62" s="2" t="s">
        <v>36</v>
      </c>
      <c r="O62" s="2" t="s">
        <v>337</v>
      </c>
      <c r="P62" s="2" t="s">
        <v>334</v>
      </c>
    </row>
    <row r="63" customFormat="false" ht="57.45" hidden="false" customHeight="false" outlineLevel="0" collapsed="false">
      <c r="A63" s="2" t="s">
        <v>338</v>
      </c>
      <c r="B63" s="2" t="s">
        <v>339</v>
      </c>
      <c r="C63" s="2" t="s">
        <v>18</v>
      </c>
      <c r="D63" s="2" t="s">
        <v>19</v>
      </c>
      <c r="E63" s="2" t="s">
        <v>20</v>
      </c>
      <c r="F63" s="2" t="s">
        <v>42</v>
      </c>
      <c r="G63" s="2" t="s">
        <v>325</v>
      </c>
      <c r="H63" s="2" t="s">
        <v>214</v>
      </c>
      <c r="I63" s="2"/>
      <c r="J63" s="2" t="s">
        <v>35</v>
      </c>
      <c r="K63" s="2" t="s">
        <v>35</v>
      </c>
      <c r="L63" s="2" t="s">
        <v>326</v>
      </c>
      <c r="M63" s="2" t="s">
        <v>206</v>
      </c>
      <c r="N63" s="2" t="s">
        <v>26</v>
      </c>
      <c r="O63" s="2" t="s">
        <v>327</v>
      </c>
      <c r="P63" s="2" t="s">
        <v>340</v>
      </c>
    </row>
    <row r="64" customFormat="false" ht="57.45" hidden="false" customHeight="false" outlineLevel="0" collapsed="false">
      <c r="A64" s="2" t="s">
        <v>341</v>
      </c>
      <c r="B64" s="2" t="s">
        <v>339</v>
      </c>
      <c r="C64" s="2" t="s">
        <v>18</v>
      </c>
      <c r="D64" s="2" t="s">
        <v>19</v>
      </c>
      <c r="E64" s="2" t="s">
        <v>20</v>
      </c>
      <c r="F64" s="2" t="s">
        <v>42</v>
      </c>
      <c r="G64" s="2" t="s">
        <v>325</v>
      </c>
      <c r="H64" s="2" t="s">
        <v>214</v>
      </c>
      <c r="I64" s="2"/>
      <c r="J64" s="2" t="s">
        <v>35</v>
      </c>
      <c r="K64" s="2" t="s">
        <v>35</v>
      </c>
      <c r="L64" s="2" t="s">
        <v>326</v>
      </c>
      <c r="M64" s="2" t="s">
        <v>206</v>
      </c>
      <c r="N64" s="2" t="s">
        <v>26</v>
      </c>
      <c r="O64" s="2" t="s">
        <v>327</v>
      </c>
      <c r="P64" s="2" t="s">
        <v>340</v>
      </c>
    </row>
    <row r="65" customFormat="false" ht="57.45" hidden="false" customHeight="false" outlineLevel="0" collapsed="false">
      <c r="A65" s="2" t="s">
        <v>342</v>
      </c>
      <c r="B65" s="2" t="s">
        <v>343</v>
      </c>
      <c r="C65" s="2" t="s">
        <v>18</v>
      </c>
      <c r="D65" s="2" t="s">
        <v>19</v>
      </c>
      <c r="E65" s="2" t="s">
        <v>20</v>
      </c>
      <c r="F65" s="2" t="s">
        <v>42</v>
      </c>
      <c r="G65" s="2" t="s">
        <v>325</v>
      </c>
      <c r="H65" s="2" t="s">
        <v>214</v>
      </c>
      <c r="I65" s="2"/>
      <c r="J65" s="2" t="s">
        <v>35</v>
      </c>
      <c r="K65" s="2" t="s">
        <v>35</v>
      </c>
      <c r="L65" s="2" t="s">
        <v>326</v>
      </c>
      <c r="M65" s="2" t="s">
        <v>206</v>
      </c>
      <c r="N65" s="2" t="s">
        <v>36</v>
      </c>
      <c r="O65" s="2" t="s">
        <v>327</v>
      </c>
      <c r="P65" s="2" t="s">
        <v>344</v>
      </c>
    </row>
    <row r="66" customFormat="false" ht="57.45" hidden="false" customHeight="false" outlineLevel="0" collapsed="false">
      <c r="A66" s="2" t="s">
        <v>345</v>
      </c>
      <c r="B66" s="2" t="s">
        <v>343</v>
      </c>
      <c r="C66" s="2" t="s">
        <v>18</v>
      </c>
      <c r="D66" s="2" t="s">
        <v>19</v>
      </c>
      <c r="E66" s="2" t="s">
        <v>20</v>
      </c>
      <c r="F66" s="2" t="s">
        <v>42</v>
      </c>
      <c r="G66" s="2" t="s">
        <v>325</v>
      </c>
      <c r="H66" s="2" t="s">
        <v>214</v>
      </c>
      <c r="I66" s="2"/>
      <c r="J66" s="2" t="s">
        <v>35</v>
      </c>
      <c r="K66" s="2" t="s">
        <v>35</v>
      </c>
      <c r="L66" s="2" t="s">
        <v>326</v>
      </c>
      <c r="M66" s="2" t="s">
        <v>206</v>
      </c>
      <c r="N66" s="2" t="s">
        <v>36</v>
      </c>
      <c r="O66" s="2" t="s">
        <v>327</v>
      </c>
      <c r="P66" s="2" t="s">
        <v>344</v>
      </c>
    </row>
    <row r="67" customFormat="false" ht="57.45" hidden="false" customHeight="false" outlineLevel="0" collapsed="false">
      <c r="A67" s="2" t="s">
        <v>346</v>
      </c>
      <c r="B67" s="2" t="s">
        <v>347</v>
      </c>
      <c r="C67" s="2" t="s">
        <v>18</v>
      </c>
      <c r="D67" s="2" t="s">
        <v>19</v>
      </c>
      <c r="E67" s="2" t="s">
        <v>20</v>
      </c>
      <c r="F67" s="2" t="s">
        <v>42</v>
      </c>
      <c r="G67" s="2" t="s">
        <v>325</v>
      </c>
      <c r="H67" s="2" t="s">
        <v>214</v>
      </c>
      <c r="I67" s="2"/>
      <c r="J67" s="2" t="s">
        <v>35</v>
      </c>
      <c r="K67" s="2" t="s">
        <v>35</v>
      </c>
      <c r="L67" s="2" t="s">
        <v>326</v>
      </c>
      <c r="M67" s="2" t="s">
        <v>206</v>
      </c>
      <c r="N67" s="2" t="s">
        <v>36</v>
      </c>
      <c r="O67" s="2" t="s">
        <v>327</v>
      </c>
      <c r="P67" s="2" t="s">
        <v>344</v>
      </c>
    </row>
    <row r="68" customFormat="false" ht="57.45" hidden="false" customHeight="false" outlineLevel="0" collapsed="false">
      <c r="A68" s="2" t="s">
        <v>348</v>
      </c>
      <c r="B68" s="2" t="s">
        <v>349</v>
      </c>
      <c r="C68" s="2" t="s">
        <v>18</v>
      </c>
      <c r="D68" s="2" t="s">
        <v>19</v>
      </c>
      <c r="E68" s="2" t="s">
        <v>20</v>
      </c>
      <c r="F68" s="2" t="s">
        <v>42</v>
      </c>
      <c r="G68" s="2" t="s">
        <v>325</v>
      </c>
      <c r="H68" s="2" t="s">
        <v>214</v>
      </c>
      <c r="I68" s="2"/>
      <c r="J68" s="2" t="s">
        <v>35</v>
      </c>
      <c r="K68" s="2" t="s">
        <v>35</v>
      </c>
      <c r="L68" s="2" t="s">
        <v>326</v>
      </c>
      <c r="M68" s="2" t="s">
        <v>206</v>
      </c>
      <c r="N68" s="2" t="s">
        <v>36</v>
      </c>
      <c r="O68" s="2" t="s">
        <v>327</v>
      </c>
      <c r="P68" s="2" t="s">
        <v>344</v>
      </c>
    </row>
    <row r="69" customFormat="false" ht="57.45" hidden="false" customHeight="false" outlineLevel="0" collapsed="false">
      <c r="A69" s="2" t="s">
        <v>350</v>
      </c>
      <c r="B69" s="2" t="s">
        <v>351</v>
      </c>
      <c r="C69" s="2" t="s">
        <v>18</v>
      </c>
      <c r="D69" s="2" t="s">
        <v>19</v>
      </c>
      <c r="E69" s="2" t="s">
        <v>20</v>
      </c>
      <c r="F69" s="2" t="s">
        <v>42</v>
      </c>
      <c r="G69" s="2" t="s">
        <v>325</v>
      </c>
      <c r="H69" s="2" t="s">
        <v>214</v>
      </c>
      <c r="I69" s="2"/>
      <c r="J69" s="2" t="s">
        <v>35</v>
      </c>
      <c r="K69" s="2" t="s">
        <v>35</v>
      </c>
      <c r="L69" s="2" t="s">
        <v>326</v>
      </c>
      <c r="M69" s="2" t="s">
        <v>206</v>
      </c>
      <c r="N69" s="2" t="s">
        <v>36</v>
      </c>
      <c r="O69" s="2" t="s">
        <v>327</v>
      </c>
      <c r="P69" s="2" t="s">
        <v>344</v>
      </c>
    </row>
    <row r="70" customFormat="false" ht="57.45" hidden="false" customHeight="false" outlineLevel="0" collapsed="false">
      <c r="A70" s="2" t="s">
        <v>352</v>
      </c>
      <c r="B70" s="2" t="s">
        <v>351</v>
      </c>
      <c r="C70" s="2" t="s">
        <v>18</v>
      </c>
      <c r="D70" s="2" t="s">
        <v>19</v>
      </c>
      <c r="E70" s="2" t="s">
        <v>20</v>
      </c>
      <c r="F70" s="2" t="s">
        <v>42</v>
      </c>
      <c r="G70" s="2" t="s">
        <v>325</v>
      </c>
      <c r="H70" s="2" t="s">
        <v>214</v>
      </c>
      <c r="I70" s="2"/>
      <c r="J70" s="2" t="s">
        <v>35</v>
      </c>
      <c r="K70" s="2" t="s">
        <v>35</v>
      </c>
      <c r="L70" s="2" t="s">
        <v>326</v>
      </c>
      <c r="M70" s="2" t="s">
        <v>206</v>
      </c>
      <c r="N70" s="2" t="s">
        <v>36</v>
      </c>
      <c r="O70" s="2" t="s">
        <v>327</v>
      </c>
      <c r="P70" s="2" t="s">
        <v>344</v>
      </c>
    </row>
    <row r="71" customFormat="false" ht="57.45" hidden="false" customHeight="false" outlineLevel="0" collapsed="false">
      <c r="A71" s="2" t="s">
        <v>353</v>
      </c>
      <c r="B71" s="2" t="s">
        <v>354</v>
      </c>
      <c r="C71" s="2" t="s">
        <v>18</v>
      </c>
      <c r="D71" s="2" t="s">
        <v>19</v>
      </c>
      <c r="E71" s="2" t="s">
        <v>20</v>
      </c>
      <c r="F71" s="2" t="s">
        <v>42</v>
      </c>
      <c r="G71" s="2" t="s">
        <v>325</v>
      </c>
      <c r="H71" s="2" t="s">
        <v>214</v>
      </c>
      <c r="I71" s="2"/>
      <c r="J71" s="2" t="s">
        <v>35</v>
      </c>
      <c r="K71" s="2" t="s">
        <v>35</v>
      </c>
      <c r="L71" s="2" t="s">
        <v>326</v>
      </c>
      <c r="M71" s="2" t="s">
        <v>206</v>
      </c>
      <c r="N71" s="2" t="s">
        <v>36</v>
      </c>
      <c r="O71" s="2" t="s">
        <v>327</v>
      </c>
      <c r="P71" s="2" t="s">
        <v>344</v>
      </c>
    </row>
    <row r="72" customFormat="false" ht="57.45" hidden="false" customHeight="false" outlineLevel="0" collapsed="false">
      <c r="A72" s="2" t="s">
        <v>355</v>
      </c>
      <c r="B72" s="2" t="s">
        <v>339</v>
      </c>
      <c r="C72" s="2" t="s">
        <v>18</v>
      </c>
      <c r="D72" s="2" t="s">
        <v>19</v>
      </c>
      <c r="E72" s="2" t="s">
        <v>20</v>
      </c>
      <c r="F72" s="2" t="s">
        <v>42</v>
      </c>
      <c r="G72" s="2" t="s">
        <v>325</v>
      </c>
      <c r="H72" s="2" t="s">
        <v>214</v>
      </c>
      <c r="I72" s="2"/>
      <c r="J72" s="2" t="s">
        <v>35</v>
      </c>
      <c r="K72" s="2" t="s">
        <v>35</v>
      </c>
      <c r="L72" s="2" t="s">
        <v>326</v>
      </c>
      <c r="M72" s="2" t="s">
        <v>206</v>
      </c>
      <c r="N72" s="2" t="s">
        <v>36</v>
      </c>
      <c r="O72" s="2" t="s">
        <v>327</v>
      </c>
      <c r="P72" s="2" t="s">
        <v>344</v>
      </c>
    </row>
    <row r="73" customFormat="false" ht="57.45" hidden="false" customHeight="false" outlineLevel="0" collapsed="false">
      <c r="A73" s="2" t="s">
        <v>356</v>
      </c>
      <c r="B73" s="2" t="s">
        <v>357</v>
      </c>
      <c r="C73" s="2" t="s">
        <v>18</v>
      </c>
      <c r="D73" s="2" t="s">
        <v>19</v>
      </c>
      <c r="E73" s="2" t="s">
        <v>358</v>
      </c>
      <c r="F73" s="2" t="s">
        <v>179</v>
      </c>
      <c r="G73" s="2" t="s">
        <v>359</v>
      </c>
      <c r="H73" s="2"/>
      <c r="I73" s="2" t="s">
        <v>360</v>
      </c>
      <c r="J73" s="2" t="s">
        <v>23</v>
      </c>
      <c r="K73" s="2" t="s">
        <v>23</v>
      </c>
      <c r="L73" s="2" t="s">
        <v>361</v>
      </c>
      <c r="M73" s="2" t="s">
        <v>125</v>
      </c>
      <c r="N73" s="2" t="s">
        <v>26</v>
      </c>
      <c r="O73" s="2" t="s">
        <v>362</v>
      </c>
      <c r="P73" s="2" t="s">
        <v>363</v>
      </c>
    </row>
    <row r="74" customFormat="false" ht="79.85" hidden="false" customHeight="false" outlineLevel="0" collapsed="false">
      <c r="A74" s="2" t="s">
        <v>364</v>
      </c>
      <c r="B74" s="2" t="s">
        <v>365</v>
      </c>
      <c r="C74" s="2" t="s">
        <v>18</v>
      </c>
      <c r="D74" s="2" t="s">
        <v>19</v>
      </c>
      <c r="E74" s="2" t="s">
        <v>20</v>
      </c>
      <c r="F74" s="2" t="s">
        <v>42</v>
      </c>
      <c r="G74" s="2" t="s">
        <v>366</v>
      </c>
      <c r="H74" s="2" t="s">
        <v>367</v>
      </c>
      <c r="I74" s="2"/>
      <c r="J74" s="2" t="s">
        <v>35</v>
      </c>
      <c r="K74" s="2" t="s">
        <v>35</v>
      </c>
      <c r="L74" s="2" t="s">
        <v>368</v>
      </c>
      <c r="M74" s="2" t="s">
        <v>206</v>
      </c>
      <c r="N74" s="2" t="s">
        <v>36</v>
      </c>
      <c r="O74" s="2" t="s">
        <v>369</v>
      </c>
      <c r="P74" s="2" t="s">
        <v>370</v>
      </c>
    </row>
    <row r="75" customFormat="false" ht="46.25" hidden="false" customHeight="false" outlineLevel="0" collapsed="false">
      <c r="A75" s="2" t="s">
        <v>371</v>
      </c>
      <c r="B75" s="2" t="s">
        <v>372</v>
      </c>
      <c r="C75" s="2" t="s">
        <v>18</v>
      </c>
      <c r="D75" s="2" t="s">
        <v>19</v>
      </c>
      <c r="E75" s="2" t="s">
        <v>20</v>
      </c>
      <c r="F75" s="2" t="s">
        <v>42</v>
      </c>
      <c r="G75" s="2" t="s">
        <v>366</v>
      </c>
      <c r="H75" s="2" t="s">
        <v>367</v>
      </c>
      <c r="I75" s="2"/>
      <c r="J75" s="2" t="s">
        <v>35</v>
      </c>
      <c r="K75" s="2" t="s">
        <v>35</v>
      </c>
      <c r="L75" s="2" t="s">
        <v>373</v>
      </c>
      <c r="M75" s="2" t="s">
        <v>206</v>
      </c>
      <c r="N75" s="2" t="s">
        <v>26</v>
      </c>
      <c r="O75" s="2" t="s">
        <v>374</v>
      </c>
      <c r="P75" s="2" t="s">
        <v>375</v>
      </c>
    </row>
    <row r="76" customFormat="false" ht="68.65" hidden="false" customHeight="false" outlineLevel="0" collapsed="false">
      <c r="A76" s="2" t="s">
        <v>376</v>
      </c>
      <c r="B76" s="2" t="s">
        <v>377</v>
      </c>
      <c r="C76" s="2" t="s">
        <v>18</v>
      </c>
      <c r="D76" s="2" t="s">
        <v>19</v>
      </c>
      <c r="E76" s="2" t="s">
        <v>20</v>
      </c>
      <c r="F76" s="2" t="s">
        <v>42</v>
      </c>
      <c r="G76" s="2" t="s">
        <v>378</v>
      </c>
      <c r="H76" s="2" t="s">
        <v>379</v>
      </c>
      <c r="I76" s="2"/>
      <c r="J76" s="2" t="s">
        <v>35</v>
      </c>
      <c r="K76" s="2" t="s">
        <v>23</v>
      </c>
      <c r="L76" s="2" t="s">
        <v>380</v>
      </c>
      <c r="M76" s="2" t="s">
        <v>206</v>
      </c>
      <c r="N76" s="2" t="s">
        <v>36</v>
      </c>
      <c r="O76" s="2" t="s">
        <v>381</v>
      </c>
      <c r="P76" s="2" t="s">
        <v>382</v>
      </c>
    </row>
    <row r="77" customFormat="false" ht="57.45" hidden="false" customHeight="false" outlineLevel="0" collapsed="false">
      <c r="A77" s="2" t="s">
        <v>383</v>
      </c>
      <c r="B77" s="2" t="s">
        <v>384</v>
      </c>
      <c r="C77" s="2" t="s">
        <v>18</v>
      </c>
      <c r="D77" s="2" t="s">
        <v>19</v>
      </c>
      <c r="E77" s="2" t="s">
        <v>20</v>
      </c>
      <c r="F77" s="2" t="s">
        <v>42</v>
      </c>
      <c r="G77" s="2" t="s">
        <v>385</v>
      </c>
      <c r="H77" s="2" t="s">
        <v>379</v>
      </c>
      <c r="I77" s="2"/>
      <c r="J77" s="2" t="s">
        <v>35</v>
      </c>
      <c r="K77" s="2" t="s">
        <v>23</v>
      </c>
      <c r="L77" s="2" t="s">
        <v>386</v>
      </c>
      <c r="M77" s="2" t="s">
        <v>206</v>
      </c>
      <c r="N77" s="2" t="s">
        <v>36</v>
      </c>
      <c r="O77" s="2" t="s">
        <v>387</v>
      </c>
      <c r="P77" s="2" t="s">
        <v>388</v>
      </c>
    </row>
    <row r="78" customFormat="false" ht="57.45" hidden="false" customHeight="false" outlineLevel="0" collapsed="false">
      <c r="A78" s="2" t="s">
        <v>389</v>
      </c>
      <c r="B78" s="2" t="s">
        <v>390</v>
      </c>
      <c r="C78" s="2" t="s">
        <v>18</v>
      </c>
      <c r="D78" s="2" t="s">
        <v>19</v>
      </c>
      <c r="E78" s="2" t="s">
        <v>20</v>
      </c>
      <c r="F78" s="2" t="s">
        <v>42</v>
      </c>
      <c r="G78" s="2" t="s">
        <v>385</v>
      </c>
      <c r="H78" s="2" t="s">
        <v>379</v>
      </c>
      <c r="I78" s="2"/>
      <c r="J78" s="2" t="s">
        <v>35</v>
      </c>
      <c r="K78" s="2" t="s">
        <v>23</v>
      </c>
      <c r="L78" s="2" t="s">
        <v>386</v>
      </c>
      <c r="M78" s="2" t="s">
        <v>206</v>
      </c>
      <c r="N78" s="2" t="s">
        <v>36</v>
      </c>
      <c r="O78" s="2" t="s">
        <v>387</v>
      </c>
      <c r="P78" s="2" t="s">
        <v>391</v>
      </c>
    </row>
    <row r="79" customFormat="false" ht="79.85" hidden="false" customHeight="false" outlineLevel="0" collapsed="false">
      <c r="A79" s="2" t="s">
        <v>392</v>
      </c>
      <c r="B79" s="2" t="s">
        <v>393</v>
      </c>
      <c r="C79" s="2" t="s">
        <v>18</v>
      </c>
      <c r="D79" s="2" t="s">
        <v>19</v>
      </c>
      <c r="E79" s="2" t="s">
        <v>20</v>
      </c>
      <c r="F79" s="2" t="s">
        <v>42</v>
      </c>
      <c r="G79" s="2" t="s">
        <v>394</v>
      </c>
      <c r="H79" s="2" t="s">
        <v>379</v>
      </c>
      <c r="I79" s="2"/>
      <c r="J79" s="2" t="s">
        <v>35</v>
      </c>
      <c r="K79" s="2" t="s">
        <v>23</v>
      </c>
      <c r="L79" s="2" t="s">
        <v>395</v>
      </c>
      <c r="M79" s="2" t="s">
        <v>206</v>
      </c>
      <c r="N79" s="2" t="s">
        <v>36</v>
      </c>
      <c r="O79" s="2" t="s">
        <v>396</v>
      </c>
      <c r="P79" s="2" t="s">
        <v>397</v>
      </c>
    </row>
    <row r="80" customFormat="false" ht="79.85" hidden="false" customHeight="false" outlineLevel="0" collapsed="false">
      <c r="A80" s="2" t="s">
        <v>398</v>
      </c>
      <c r="B80" s="2" t="s">
        <v>399</v>
      </c>
      <c r="C80" s="2" t="s">
        <v>18</v>
      </c>
      <c r="D80" s="2" t="s">
        <v>19</v>
      </c>
      <c r="E80" s="2" t="s">
        <v>20</v>
      </c>
      <c r="F80" s="2" t="s">
        <v>42</v>
      </c>
      <c r="G80" s="2" t="s">
        <v>394</v>
      </c>
      <c r="H80" s="2" t="s">
        <v>379</v>
      </c>
      <c r="I80" s="2"/>
      <c r="J80" s="2" t="s">
        <v>35</v>
      </c>
      <c r="K80" s="2" t="s">
        <v>23</v>
      </c>
      <c r="L80" s="2" t="s">
        <v>395</v>
      </c>
      <c r="M80" s="2" t="s">
        <v>206</v>
      </c>
      <c r="N80" s="2" t="s">
        <v>36</v>
      </c>
      <c r="O80" s="2" t="s">
        <v>396</v>
      </c>
      <c r="P80" s="2" t="s">
        <v>400</v>
      </c>
    </row>
    <row r="81" customFormat="false" ht="91" hidden="false" customHeight="false" outlineLevel="0" collapsed="false">
      <c r="A81" s="2" t="s">
        <v>401</v>
      </c>
      <c r="B81" s="2" t="s">
        <v>402</v>
      </c>
      <c r="C81" s="2" t="s">
        <v>18</v>
      </c>
      <c r="D81" s="2" t="s">
        <v>19</v>
      </c>
      <c r="E81" s="2" t="s">
        <v>20</v>
      </c>
      <c r="F81" s="2" t="s">
        <v>42</v>
      </c>
      <c r="G81" s="2" t="s">
        <v>394</v>
      </c>
      <c r="H81" s="2" t="s">
        <v>379</v>
      </c>
      <c r="I81" s="2"/>
      <c r="J81" s="2" t="s">
        <v>35</v>
      </c>
      <c r="K81" s="2" t="s">
        <v>23</v>
      </c>
      <c r="L81" s="2" t="s">
        <v>395</v>
      </c>
      <c r="M81" s="2" t="s">
        <v>206</v>
      </c>
      <c r="N81" s="2" t="s">
        <v>36</v>
      </c>
      <c r="O81" s="2" t="s">
        <v>403</v>
      </c>
      <c r="P81" s="2" t="s">
        <v>404</v>
      </c>
    </row>
    <row r="82" customFormat="false" ht="91" hidden="false" customHeight="false" outlineLevel="0" collapsed="false">
      <c r="A82" s="2" t="s">
        <v>405</v>
      </c>
      <c r="B82" s="2" t="s">
        <v>406</v>
      </c>
      <c r="C82" s="2" t="s">
        <v>18</v>
      </c>
      <c r="D82" s="2" t="s">
        <v>19</v>
      </c>
      <c r="E82" s="2" t="s">
        <v>20</v>
      </c>
      <c r="F82" s="2" t="s">
        <v>42</v>
      </c>
      <c r="G82" s="2" t="s">
        <v>394</v>
      </c>
      <c r="H82" s="2" t="s">
        <v>379</v>
      </c>
      <c r="I82" s="2"/>
      <c r="J82" s="2" t="s">
        <v>35</v>
      </c>
      <c r="K82" s="2" t="s">
        <v>23</v>
      </c>
      <c r="L82" s="2" t="s">
        <v>395</v>
      </c>
      <c r="M82" s="2" t="s">
        <v>206</v>
      </c>
      <c r="N82" s="2" t="s">
        <v>36</v>
      </c>
      <c r="O82" s="2" t="s">
        <v>403</v>
      </c>
      <c r="P82" s="2" t="s">
        <v>407</v>
      </c>
    </row>
    <row r="83" customFormat="false" ht="91" hidden="false" customHeight="false" outlineLevel="0" collapsed="false">
      <c r="A83" s="2" t="s">
        <v>408</v>
      </c>
      <c r="B83" s="2" t="s">
        <v>409</v>
      </c>
      <c r="C83" s="2" t="s">
        <v>18</v>
      </c>
      <c r="D83" s="2" t="s">
        <v>19</v>
      </c>
      <c r="E83" s="2" t="s">
        <v>20</v>
      </c>
      <c r="F83" s="2" t="s">
        <v>42</v>
      </c>
      <c r="G83" s="2" t="s">
        <v>394</v>
      </c>
      <c r="H83" s="2" t="s">
        <v>379</v>
      </c>
      <c r="I83" s="2"/>
      <c r="J83" s="2" t="s">
        <v>35</v>
      </c>
      <c r="K83" s="2" t="s">
        <v>23</v>
      </c>
      <c r="L83" s="2" t="s">
        <v>395</v>
      </c>
      <c r="M83" s="2" t="s">
        <v>206</v>
      </c>
      <c r="N83" s="2" t="s">
        <v>36</v>
      </c>
      <c r="O83" s="2" t="s">
        <v>403</v>
      </c>
      <c r="P83" s="2" t="s">
        <v>410</v>
      </c>
    </row>
    <row r="84" customFormat="false" ht="91" hidden="false" customHeight="false" outlineLevel="0" collapsed="false">
      <c r="A84" s="2" t="s">
        <v>411</v>
      </c>
      <c r="B84" s="2" t="s">
        <v>412</v>
      </c>
      <c r="C84" s="2" t="s">
        <v>18</v>
      </c>
      <c r="D84" s="2" t="s">
        <v>19</v>
      </c>
      <c r="E84" s="2" t="s">
        <v>20</v>
      </c>
      <c r="F84" s="2" t="s">
        <v>42</v>
      </c>
      <c r="G84" s="2" t="s">
        <v>394</v>
      </c>
      <c r="H84" s="2" t="s">
        <v>379</v>
      </c>
      <c r="I84" s="2"/>
      <c r="J84" s="2" t="s">
        <v>35</v>
      </c>
      <c r="K84" s="2" t="s">
        <v>23</v>
      </c>
      <c r="L84" s="2" t="s">
        <v>395</v>
      </c>
      <c r="M84" s="2" t="s">
        <v>206</v>
      </c>
      <c r="N84" s="2" t="s">
        <v>36</v>
      </c>
      <c r="O84" s="2" t="s">
        <v>403</v>
      </c>
      <c r="P84" s="2" t="s">
        <v>413</v>
      </c>
    </row>
    <row r="85" customFormat="false" ht="23.85" hidden="false" customHeight="false" outlineLevel="0" collapsed="false">
      <c r="A85" s="2" t="s">
        <v>414</v>
      </c>
      <c r="B85" s="2" t="s">
        <v>415</v>
      </c>
      <c r="C85" s="2" t="s">
        <v>18</v>
      </c>
      <c r="D85" s="2" t="s">
        <v>19</v>
      </c>
      <c r="E85" s="2" t="s">
        <v>20</v>
      </c>
      <c r="F85" s="2" t="s">
        <v>42</v>
      </c>
      <c r="G85" s="2" t="s">
        <v>416</v>
      </c>
      <c r="H85" s="2" t="s">
        <v>379</v>
      </c>
      <c r="I85" s="2"/>
      <c r="J85" s="2" t="s">
        <v>23</v>
      </c>
      <c r="K85" s="2" t="s">
        <v>23</v>
      </c>
      <c r="L85" s="2" t="s">
        <v>417</v>
      </c>
      <c r="M85" s="2" t="s">
        <v>125</v>
      </c>
      <c r="N85" s="2" t="s">
        <v>26</v>
      </c>
      <c r="O85" s="2" t="s">
        <v>418</v>
      </c>
      <c r="P85" s="2" t="s">
        <v>419</v>
      </c>
    </row>
    <row r="86" customFormat="false" ht="68.65" hidden="false" customHeight="false" outlineLevel="0" collapsed="false">
      <c r="A86" s="2" t="s">
        <v>420</v>
      </c>
      <c r="B86" s="2" t="s">
        <v>421</v>
      </c>
      <c r="C86" s="2" t="s">
        <v>18</v>
      </c>
      <c r="D86" s="2" t="s">
        <v>19</v>
      </c>
      <c r="E86" s="2" t="s">
        <v>20</v>
      </c>
      <c r="F86" s="2" t="s">
        <v>42</v>
      </c>
      <c r="G86" s="2" t="s">
        <v>422</v>
      </c>
      <c r="H86" s="2" t="s">
        <v>379</v>
      </c>
      <c r="I86" s="2" t="s">
        <v>423</v>
      </c>
      <c r="J86" s="2" t="s">
        <v>23</v>
      </c>
      <c r="K86" s="2" t="s">
        <v>23</v>
      </c>
      <c r="L86" s="2" t="s">
        <v>424</v>
      </c>
      <c r="M86" s="2" t="s">
        <v>206</v>
      </c>
      <c r="N86" s="2" t="s">
        <v>26</v>
      </c>
      <c r="O86" s="2" t="s">
        <v>425</v>
      </c>
      <c r="P86" s="2" t="s">
        <v>426</v>
      </c>
    </row>
    <row r="87" customFormat="false" ht="68.65" hidden="false" customHeight="false" outlineLevel="0" collapsed="false">
      <c r="A87" s="2" t="s">
        <v>427</v>
      </c>
      <c r="B87" s="2" t="s">
        <v>428</v>
      </c>
      <c r="C87" s="2" t="s">
        <v>18</v>
      </c>
      <c r="D87" s="2" t="s">
        <v>19</v>
      </c>
      <c r="E87" s="2" t="s">
        <v>20</v>
      </c>
      <c r="F87" s="2" t="s">
        <v>42</v>
      </c>
      <c r="G87" s="2" t="s">
        <v>422</v>
      </c>
      <c r="H87" s="2" t="s">
        <v>379</v>
      </c>
      <c r="I87" s="2" t="s">
        <v>423</v>
      </c>
      <c r="J87" s="2" t="s">
        <v>23</v>
      </c>
      <c r="K87" s="2" t="s">
        <v>23</v>
      </c>
      <c r="L87" s="2" t="s">
        <v>424</v>
      </c>
      <c r="M87" s="2" t="s">
        <v>206</v>
      </c>
      <c r="N87" s="2" t="s">
        <v>26</v>
      </c>
      <c r="O87" s="2" t="s">
        <v>429</v>
      </c>
      <c r="P87" s="2" t="s">
        <v>426</v>
      </c>
    </row>
    <row r="88" customFormat="false" ht="79.85" hidden="false" customHeight="false" outlineLevel="0" collapsed="false">
      <c r="A88" s="2" t="s">
        <v>430</v>
      </c>
      <c r="B88" s="2" t="s">
        <v>431</v>
      </c>
      <c r="C88" s="2" t="s">
        <v>18</v>
      </c>
      <c r="D88" s="2" t="s">
        <v>19</v>
      </c>
      <c r="E88" s="2" t="s">
        <v>20</v>
      </c>
      <c r="F88" s="2" t="s">
        <v>42</v>
      </c>
      <c r="G88" s="2" t="s">
        <v>432</v>
      </c>
      <c r="H88" s="2" t="s">
        <v>433</v>
      </c>
      <c r="I88" s="2"/>
      <c r="J88" s="2" t="s">
        <v>35</v>
      </c>
      <c r="K88" s="2" t="s">
        <v>35</v>
      </c>
      <c r="L88" s="2" t="s">
        <v>434</v>
      </c>
      <c r="M88" s="2" t="s">
        <v>206</v>
      </c>
      <c r="N88" s="2" t="s">
        <v>36</v>
      </c>
      <c r="O88" s="2" t="s">
        <v>435</v>
      </c>
      <c r="P88" s="2" t="s">
        <v>436</v>
      </c>
    </row>
    <row r="89" customFormat="false" ht="68.65" hidden="false" customHeight="false" outlineLevel="0" collapsed="false">
      <c r="A89" s="2" t="s">
        <v>437</v>
      </c>
      <c r="B89" s="2" t="s">
        <v>438</v>
      </c>
      <c r="C89" s="2" t="s">
        <v>18</v>
      </c>
      <c r="D89" s="2" t="s">
        <v>19</v>
      </c>
      <c r="E89" s="2" t="s">
        <v>20</v>
      </c>
      <c r="F89" s="2" t="s">
        <v>42</v>
      </c>
      <c r="G89" s="2" t="s">
        <v>439</v>
      </c>
      <c r="H89" s="2" t="s">
        <v>440</v>
      </c>
      <c r="I89" s="2"/>
      <c r="J89" s="2" t="s">
        <v>35</v>
      </c>
      <c r="K89" s="2" t="s">
        <v>23</v>
      </c>
      <c r="L89" s="2" t="s">
        <v>441</v>
      </c>
      <c r="M89" s="2" t="s">
        <v>206</v>
      </c>
      <c r="N89" s="2" t="s">
        <v>36</v>
      </c>
      <c r="O89" s="2" t="s">
        <v>442</v>
      </c>
      <c r="P89" s="2" t="s">
        <v>443</v>
      </c>
    </row>
    <row r="90" customFormat="false" ht="68.65" hidden="false" customHeight="false" outlineLevel="0" collapsed="false">
      <c r="A90" s="2" t="s">
        <v>444</v>
      </c>
      <c r="B90" s="2" t="s">
        <v>445</v>
      </c>
      <c r="C90" s="2" t="s">
        <v>18</v>
      </c>
      <c r="D90" s="2" t="s">
        <v>19</v>
      </c>
      <c r="E90" s="2" t="s">
        <v>20</v>
      </c>
      <c r="F90" s="2" t="s">
        <v>42</v>
      </c>
      <c r="G90" s="2" t="s">
        <v>446</v>
      </c>
      <c r="H90" s="2" t="s">
        <v>447</v>
      </c>
      <c r="I90" s="2"/>
      <c r="J90" s="2" t="s">
        <v>23</v>
      </c>
      <c r="K90" s="2" t="s">
        <v>23</v>
      </c>
      <c r="L90" s="2" t="s">
        <v>448</v>
      </c>
      <c r="M90" s="2" t="s">
        <v>206</v>
      </c>
      <c r="N90" s="2" t="s">
        <v>26</v>
      </c>
      <c r="O90" s="2" t="s">
        <v>449</v>
      </c>
      <c r="P90" s="2" t="s">
        <v>450</v>
      </c>
    </row>
    <row r="91" customFormat="false" ht="46.25" hidden="false" customHeight="false" outlineLevel="0" collapsed="false">
      <c r="A91" s="2" t="s">
        <v>451</v>
      </c>
      <c r="B91" s="2" t="s">
        <v>452</v>
      </c>
      <c r="C91" s="2" t="s">
        <v>18</v>
      </c>
      <c r="D91" s="2" t="s">
        <v>19</v>
      </c>
      <c r="E91" s="2" t="s">
        <v>453</v>
      </c>
      <c r="F91" s="2" t="s">
        <v>42</v>
      </c>
      <c r="G91" s="2" t="s">
        <v>454</v>
      </c>
      <c r="H91" s="2" t="s">
        <v>455</v>
      </c>
      <c r="I91" s="2"/>
      <c r="J91" s="2" t="s">
        <v>23</v>
      </c>
      <c r="K91" s="2" t="s">
        <v>23</v>
      </c>
      <c r="L91" s="2" t="s">
        <v>456</v>
      </c>
      <c r="M91" s="2" t="s">
        <v>206</v>
      </c>
      <c r="N91" s="2" t="s">
        <v>26</v>
      </c>
      <c r="O91" s="2" t="s">
        <v>457</v>
      </c>
      <c r="P91" s="2" t="s">
        <v>458</v>
      </c>
    </row>
    <row r="92" customFormat="false" ht="68.65" hidden="false" customHeight="false" outlineLevel="0" collapsed="false">
      <c r="A92" s="2" t="s">
        <v>459</v>
      </c>
      <c r="B92" s="2" t="s">
        <v>460</v>
      </c>
      <c r="C92" s="2" t="s">
        <v>18</v>
      </c>
      <c r="D92" s="2" t="s">
        <v>19</v>
      </c>
      <c r="E92" s="2" t="s">
        <v>20</v>
      </c>
      <c r="F92" s="2" t="s">
        <v>42</v>
      </c>
      <c r="G92" s="2" t="s">
        <v>461</v>
      </c>
      <c r="H92" s="2"/>
      <c r="I92" s="2"/>
      <c r="J92" s="2" t="s">
        <v>23</v>
      </c>
      <c r="K92" s="2" t="s">
        <v>23</v>
      </c>
      <c r="L92" s="2" t="s">
        <v>462</v>
      </c>
      <c r="M92" s="2" t="s">
        <v>206</v>
      </c>
      <c r="N92" s="2" t="s">
        <v>36</v>
      </c>
      <c r="O92" s="2" t="s">
        <v>463</v>
      </c>
      <c r="P92" s="2" t="s">
        <v>464</v>
      </c>
    </row>
    <row r="93" customFormat="false" ht="23.85" hidden="false" customHeight="false" outlineLevel="0" collapsed="false">
      <c r="A93" s="2" t="s">
        <v>465</v>
      </c>
      <c r="B93" s="2" t="s">
        <v>466</v>
      </c>
      <c r="C93" s="2" t="s">
        <v>18</v>
      </c>
      <c r="D93" s="2" t="s">
        <v>19</v>
      </c>
      <c r="E93" s="2" t="s">
        <v>20</v>
      </c>
      <c r="F93" s="2" t="s">
        <v>42</v>
      </c>
      <c r="G93" s="2" t="s">
        <v>467</v>
      </c>
      <c r="H93" s="2" t="s">
        <v>468</v>
      </c>
      <c r="I93" s="2"/>
      <c r="J93" s="2" t="s">
        <v>35</v>
      </c>
      <c r="K93" s="2" t="s">
        <v>35</v>
      </c>
      <c r="L93" s="2" t="s">
        <v>469</v>
      </c>
      <c r="M93" s="2" t="s">
        <v>206</v>
      </c>
      <c r="N93" s="2" t="s">
        <v>26</v>
      </c>
      <c r="O93" s="2" t="s">
        <v>470</v>
      </c>
      <c r="P93" s="2" t="s">
        <v>471</v>
      </c>
    </row>
    <row r="94" customFormat="false" ht="79.85" hidden="false" customHeight="false" outlineLevel="0" collapsed="false">
      <c r="A94" s="2" t="s">
        <v>472</v>
      </c>
      <c r="B94" s="2" t="s">
        <v>473</v>
      </c>
      <c r="C94" s="2" t="s">
        <v>18</v>
      </c>
      <c r="D94" s="2" t="s">
        <v>19</v>
      </c>
      <c r="E94" s="2" t="s">
        <v>20</v>
      </c>
      <c r="F94" s="2" t="s">
        <v>42</v>
      </c>
      <c r="G94" s="2" t="s">
        <v>474</v>
      </c>
      <c r="H94" s="2" t="s">
        <v>475</v>
      </c>
      <c r="I94" s="2"/>
      <c r="J94" s="2" t="s">
        <v>35</v>
      </c>
      <c r="K94" s="2" t="s">
        <v>23</v>
      </c>
      <c r="L94" s="2" t="s">
        <v>476</v>
      </c>
      <c r="M94" s="2" t="s">
        <v>206</v>
      </c>
      <c r="N94" s="2" t="s">
        <v>36</v>
      </c>
      <c r="O94" s="2" t="s">
        <v>477</v>
      </c>
      <c r="P94" s="2" t="s">
        <v>478</v>
      </c>
    </row>
    <row r="95" customFormat="false" ht="57.45" hidden="false" customHeight="false" outlineLevel="0" collapsed="false">
      <c r="A95" s="2" t="s">
        <v>479</v>
      </c>
      <c r="B95" s="2" t="s">
        <v>480</v>
      </c>
      <c r="C95" s="2" t="s">
        <v>18</v>
      </c>
      <c r="D95" s="2" t="s">
        <v>19</v>
      </c>
      <c r="E95" s="2" t="s">
        <v>20</v>
      </c>
      <c r="F95" s="2" t="s">
        <v>42</v>
      </c>
      <c r="G95" s="2" t="s">
        <v>481</v>
      </c>
      <c r="H95" s="2"/>
      <c r="I95" s="2"/>
      <c r="J95" s="2" t="s">
        <v>23</v>
      </c>
      <c r="K95" s="2" t="s">
        <v>23</v>
      </c>
      <c r="L95" s="2" t="s">
        <v>482</v>
      </c>
      <c r="M95" s="2" t="s">
        <v>206</v>
      </c>
      <c r="N95" s="2" t="s">
        <v>26</v>
      </c>
      <c r="O95" s="2" t="s">
        <v>483</v>
      </c>
      <c r="P95" s="2" t="s">
        <v>484</v>
      </c>
    </row>
    <row r="96" customFormat="false" ht="46.25" hidden="false" customHeight="false" outlineLevel="0" collapsed="false">
      <c r="A96" s="2" t="s">
        <v>485</v>
      </c>
      <c r="B96" s="2" t="s">
        <v>486</v>
      </c>
      <c r="C96" s="2" t="s">
        <v>18</v>
      </c>
      <c r="D96" s="2" t="s">
        <v>19</v>
      </c>
      <c r="E96" s="2" t="s">
        <v>20</v>
      </c>
      <c r="F96" s="2" t="s">
        <v>487</v>
      </c>
      <c r="G96" s="2" t="s">
        <v>488</v>
      </c>
      <c r="H96" s="2"/>
      <c r="I96" s="2"/>
      <c r="J96" s="2" t="s">
        <v>23</v>
      </c>
      <c r="K96" s="2" t="s">
        <v>23</v>
      </c>
      <c r="L96" s="2" t="s">
        <v>489</v>
      </c>
      <c r="M96" s="2" t="s">
        <v>206</v>
      </c>
      <c r="N96" s="2" t="s">
        <v>26</v>
      </c>
      <c r="O96" s="2" t="s">
        <v>490</v>
      </c>
      <c r="P96" s="2" t="s">
        <v>491</v>
      </c>
    </row>
    <row r="97" customFormat="false" ht="35.05" hidden="false" customHeight="false" outlineLevel="0" collapsed="false">
      <c r="A97" s="2" t="s">
        <v>492</v>
      </c>
      <c r="B97" s="2" t="s">
        <v>493</v>
      </c>
      <c r="C97" s="2" t="s">
        <v>18</v>
      </c>
      <c r="D97" s="2" t="s">
        <v>19</v>
      </c>
      <c r="E97" s="2" t="s">
        <v>20</v>
      </c>
      <c r="F97" s="2" t="s">
        <v>42</v>
      </c>
      <c r="G97" s="2" t="s">
        <v>494</v>
      </c>
      <c r="H97" s="2"/>
      <c r="I97" s="2"/>
      <c r="J97" s="2" t="s">
        <v>23</v>
      </c>
      <c r="K97" s="2" t="s">
        <v>23</v>
      </c>
      <c r="L97" s="2" t="s">
        <v>495</v>
      </c>
      <c r="M97" s="2" t="s">
        <v>206</v>
      </c>
      <c r="N97" s="2" t="s">
        <v>36</v>
      </c>
      <c r="O97" s="2" t="s">
        <v>496</v>
      </c>
      <c r="P97" s="2" t="s">
        <v>497</v>
      </c>
    </row>
    <row r="98" customFormat="false" ht="79.85" hidden="false" customHeight="false" outlineLevel="0" collapsed="false">
      <c r="A98" s="2" t="s">
        <v>498</v>
      </c>
      <c r="B98" s="2" t="s">
        <v>499</v>
      </c>
      <c r="C98" s="2" t="s">
        <v>18</v>
      </c>
      <c r="D98" s="2" t="s">
        <v>19</v>
      </c>
      <c r="E98" s="2" t="s">
        <v>20</v>
      </c>
      <c r="F98" s="2" t="s">
        <v>42</v>
      </c>
      <c r="G98" s="2" t="s">
        <v>500</v>
      </c>
      <c r="H98" s="2" t="s">
        <v>501</v>
      </c>
      <c r="I98" s="2"/>
      <c r="J98" s="2" t="s">
        <v>35</v>
      </c>
      <c r="K98" s="2" t="s">
        <v>35</v>
      </c>
      <c r="L98" s="2" t="s">
        <v>502</v>
      </c>
      <c r="M98" s="2" t="s">
        <v>206</v>
      </c>
      <c r="N98" s="2" t="s">
        <v>36</v>
      </c>
      <c r="O98" s="2" t="s">
        <v>503</v>
      </c>
      <c r="P98" s="2" t="s">
        <v>504</v>
      </c>
    </row>
    <row r="99" customFormat="false" ht="68.65" hidden="false" customHeight="false" outlineLevel="0" collapsed="false">
      <c r="A99" s="2" t="s">
        <v>505</v>
      </c>
      <c r="B99" s="2" t="s">
        <v>506</v>
      </c>
      <c r="C99" s="2" t="s">
        <v>18</v>
      </c>
      <c r="D99" s="2" t="s">
        <v>19</v>
      </c>
      <c r="E99" s="2" t="s">
        <v>20</v>
      </c>
      <c r="F99" s="2" t="s">
        <v>42</v>
      </c>
      <c r="G99" s="2" t="s">
        <v>507</v>
      </c>
      <c r="H99" s="2"/>
      <c r="I99" s="2"/>
      <c r="J99" s="2" t="s">
        <v>23</v>
      </c>
      <c r="K99" s="2" t="s">
        <v>23</v>
      </c>
      <c r="L99" s="2" t="s">
        <v>489</v>
      </c>
      <c r="M99" s="2" t="s">
        <v>206</v>
      </c>
      <c r="N99" s="2" t="s">
        <v>36</v>
      </c>
      <c r="O99" s="2" t="s">
        <v>508</v>
      </c>
      <c r="P99" s="2" t="s">
        <v>509</v>
      </c>
    </row>
    <row r="100" customFormat="false" ht="35.05" hidden="false" customHeight="false" outlineLevel="0" collapsed="false">
      <c r="A100" s="2" t="s">
        <v>510</v>
      </c>
      <c r="B100" s="2" t="s">
        <v>511</v>
      </c>
      <c r="C100" s="2" t="s">
        <v>18</v>
      </c>
      <c r="D100" s="2" t="s">
        <v>19</v>
      </c>
      <c r="E100" s="2" t="s">
        <v>20</v>
      </c>
      <c r="F100" s="2" t="s">
        <v>42</v>
      </c>
      <c r="G100" s="2" t="s">
        <v>512</v>
      </c>
      <c r="H100" s="2" t="s">
        <v>197</v>
      </c>
      <c r="I100" s="2"/>
      <c r="J100" s="2" t="s">
        <v>35</v>
      </c>
      <c r="K100" s="2" t="s">
        <v>35</v>
      </c>
      <c r="L100" s="2" t="s">
        <v>513</v>
      </c>
      <c r="M100" s="2" t="s">
        <v>206</v>
      </c>
      <c r="N100" s="2" t="s">
        <v>36</v>
      </c>
      <c r="O100" s="2" t="s">
        <v>514</v>
      </c>
      <c r="P100" s="2" t="s">
        <v>515</v>
      </c>
    </row>
    <row r="101" customFormat="false" ht="68.65" hidden="false" customHeight="false" outlineLevel="0" collapsed="false">
      <c r="A101" s="2" t="s">
        <v>516</v>
      </c>
      <c r="B101" s="2" t="s">
        <v>517</v>
      </c>
      <c r="C101" s="2" t="s">
        <v>18</v>
      </c>
      <c r="D101" s="2" t="s">
        <v>19</v>
      </c>
      <c r="E101" s="2" t="s">
        <v>161</v>
      </c>
      <c r="F101" s="2" t="s">
        <v>42</v>
      </c>
      <c r="G101" s="2" t="s">
        <v>518</v>
      </c>
      <c r="H101" s="2" t="s">
        <v>197</v>
      </c>
      <c r="I101" s="2"/>
      <c r="J101" s="2" t="s">
        <v>23</v>
      </c>
      <c r="K101" s="2" t="s">
        <v>23</v>
      </c>
      <c r="L101" s="2" t="s">
        <v>513</v>
      </c>
      <c r="M101" s="2" t="s">
        <v>206</v>
      </c>
      <c r="N101" s="2" t="s">
        <v>36</v>
      </c>
      <c r="O101" s="2" t="s">
        <v>519</v>
      </c>
      <c r="P101" s="2" t="s">
        <v>520</v>
      </c>
    </row>
    <row r="102" customFormat="false" ht="68.65" hidden="false" customHeight="false" outlineLevel="0" collapsed="false">
      <c r="A102" s="2" t="s">
        <v>521</v>
      </c>
      <c r="B102" s="2" t="s">
        <v>522</v>
      </c>
      <c r="C102" s="2" t="s">
        <v>18</v>
      </c>
      <c r="D102" s="2" t="s">
        <v>19</v>
      </c>
      <c r="E102" s="2" t="s">
        <v>20</v>
      </c>
      <c r="F102" s="2" t="s">
        <v>42</v>
      </c>
      <c r="G102" s="2" t="s">
        <v>523</v>
      </c>
      <c r="H102" s="2" t="s">
        <v>524</v>
      </c>
      <c r="I102" s="2"/>
      <c r="J102" s="2" t="s">
        <v>23</v>
      </c>
      <c r="K102" s="2" t="s">
        <v>23</v>
      </c>
      <c r="L102" s="2" t="s">
        <v>525</v>
      </c>
      <c r="M102" s="2" t="s">
        <v>206</v>
      </c>
      <c r="N102" s="2" t="s">
        <v>26</v>
      </c>
      <c r="O102" s="2" t="s">
        <v>526</v>
      </c>
      <c r="P102" s="2" t="s">
        <v>527</v>
      </c>
    </row>
    <row r="103" customFormat="false" ht="35.05" hidden="false" customHeight="false" outlineLevel="0" collapsed="false">
      <c r="A103" s="2" t="s">
        <v>528</v>
      </c>
      <c r="B103" s="2" t="s">
        <v>529</v>
      </c>
      <c r="C103" s="2" t="s">
        <v>18</v>
      </c>
      <c r="D103" s="2" t="s">
        <v>19</v>
      </c>
      <c r="E103" s="2" t="s">
        <v>20</v>
      </c>
      <c r="F103" s="2" t="s">
        <v>530</v>
      </c>
      <c r="G103" s="2" t="s">
        <v>531</v>
      </c>
      <c r="H103" s="2"/>
      <c r="I103" s="2"/>
      <c r="J103" s="2" t="s">
        <v>23</v>
      </c>
      <c r="K103" s="2" t="s">
        <v>23</v>
      </c>
      <c r="L103" s="2" t="s">
        <v>532</v>
      </c>
      <c r="M103" s="2" t="s">
        <v>206</v>
      </c>
      <c r="N103" s="2" t="s">
        <v>26</v>
      </c>
      <c r="O103" s="2" t="s">
        <v>533</v>
      </c>
      <c r="P103" s="2" t="s">
        <v>534</v>
      </c>
    </row>
    <row r="104" customFormat="false" ht="46.25" hidden="false" customHeight="false" outlineLevel="0" collapsed="false">
      <c r="A104" s="2" t="s">
        <v>535</v>
      </c>
      <c r="B104" s="2" t="s">
        <v>536</v>
      </c>
      <c r="C104" s="2" t="s">
        <v>18</v>
      </c>
      <c r="D104" s="2" t="s">
        <v>19</v>
      </c>
      <c r="E104" s="2" t="s">
        <v>20</v>
      </c>
      <c r="F104" s="2" t="s">
        <v>21</v>
      </c>
      <c r="G104" s="2" t="s">
        <v>531</v>
      </c>
      <c r="H104" s="2"/>
      <c r="I104" s="2"/>
      <c r="J104" s="2" t="s">
        <v>23</v>
      </c>
      <c r="K104" s="2" t="s">
        <v>23</v>
      </c>
      <c r="L104" s="2" t="s">
        <v>532</v>
      </c>
      <c r="M104" s="2" t="s">
        <v>206</v>
      </c>
      <c r="N104" s="2" t="s">
        <v>26</v>
      </c>
      <c r="O104" s="2" t="s">
        <v>537</v>
      </c>
      <c r="P104" s="2" t="s">
        <v>538</v>
      </c>
    </row>
    <row r="105" customFormat="false" ht="68.65" hidden="false" customHeight="false" outlineLevel="0" collapsed="false">
      <c r="A105" s="2" t="s">
        <v>539</v>
      </c>
      <c r="B105" s="2" t="s">
        <v>540</v>
      </c>
      <c r="C105" s="2" t="s">
        <v>18</v>
      </c>
      <c r="D105" s="2" t="s">
        <v>19</v>
      </c>
      <c r="E105" s="2" t="s">
        <v>541</v>
      </c>
      <c r="F105" s="2" t="s">
        <v>42</v>
      </c>
      <c r="G105" s="2" t="s">
        <v>542</v>
      </c>
      <c r="H105" s="2" t="s">
        <v>524</v>
      </c>
      <c r="I105" s="2" t="s">
        <v>543</v>
      </c>
      <c r="J105" s="2" t="s">
        <v>23</v>
      </c>
      <c r="K105" s="2" t="s">
        <v>23</v>
      </c>
      <c r="L105" s="2" t="s">
        <v>544</v>
      </c>
      <c r="M105" s="2" t="s">
        <v>206</v>
      </c>
      <c r="N105" s="2" t="s">
        <v>26</v>
      </c>
      <c r="O105" s="2" t="s">
        <v>545</v>
      </c>
      <c r="P105" s="2" t="s">
        <v>546</v>
      </c>
    </row>
    <row r="106" customFormat="false" ht="68.65" hidden="false" customHeight="false" outlineLevel="0" collapsed="false">
      <c r="A106" s="2" t="s">
        <v>547</v>
      </c>
      <c r="B106" s="2" t="s">
        <v>548</v>
      </c>
      <c r="C106" s="2" t="s">
        <v>18</v>
      </c>
      <c r="D106" s="2" t="s">
        <v>19</v>
      </c>
      <c r="E106" s="2" t="s">
        <v>549</v>
      </c>
      <c r="F106" s="2" t="s">
        <v>42</v>
      </c>
      <c r="G106" s="2" t="s">
        <v>550</v>
      </c>
      <c r="H106" s="2" t="s">
        <v>524</v>
      </c>
      <c r="I106" s="2" t="s">
        <v>543</v>
      </c>
      <c r="J106" s="2" t="s">
        <v>23</v>
      </c>
      <c r="K106" s="2" t="s">
        <v>23</v>
      </c>
      <c r="L106" s="2" t="s">
        <v>544</v>
      </c>
      <c r="M106" s="2" t="s">
        <v>206</v>
      </c>
      <c r="N106" s="2" t="s">
        <v>26</v>
      </c>
      <c r="O106" s="2" t="s">
        <v>551</v>
      </c>
      <c r="P106" s="2" t="s">
        <v>552</v>
      </c>
    </row>
    <row r="107" customFormat="false" ht="57.45" hidden="false" customHeight="false" outlineLevel="0" collapsed="false">
      <c r="A107" s="2" t="s">
        <v>553</v>
      </c>
      <c r="B107" s="2" t="s">
        <v>554</v>
      </c>
      <c r="C107" s="2" t="s">
        <v>18</v>
      </c>
      <c r="D107" s="2" t="s">
        <v>19</v>
      </c>
      <c r="E107" s="2" t="s">
        <v>541</v>
      </c>
      <c r="F107" s="2" t="s">
        <v>530</v>
      </c>
      <c r="G107" s="2" t="s">
        <v>542</v>
      </c>
      <c r="H107" s="2"/>
      <c r="I107" s="2"/>
      <c r="J107" s="2" t="s">
        <v>23</v>
      </c>
      <c r="K107" s="2" t="s">
        <v>23</v>
      </c>
      <c r="L107" s="2" t="s">
        <v>555</v>
      </c>
      <c r="M107" s="2" t="s">
        <v>206</v>
      </c>
      <c r="N107" s="2" t="s">
        <v>26</v>
      </c>
      <c r="O107" s="2" t="s">
        <v>556</v>
      </c>
      <c r="P107" s="2" t="s">
        <v>557</v>
      </c>
    </row>
    <row r="108" customFormat="false" ht="57.45" hidden="false" customHeight="false" outlineLevel="0" collapsed="false">
      <c r="A108" s="2" t="s">
        <v>558</v>
      </c>
      <c r="B108" s="2" t="s">
        <v>559</v>
      </c>
      <c r="C108" s="2" t="s">
        <v>18</v>
      </c>
      <c r="D108" s="2" t="s">
        <v>19</v>
      </c>
      <c r="E108" s="2" t="s">
        <v>549</v>
      </c>
      <c r="F108" s="2" t="s">
        <v>530</v>
      </c>
      <c r="G108" s="2" t="s">
        <v>550</v>
      </c>
      <c r="H108" s="2"/>
      <c r="I108" s="2"/>
      <c r="J108" s="2" t="s">
        <v>23</v>
      </c>
      <c r="K108" s="2" t="s">
        <v>23</v>
      </c>
      <c r="L108" s="2" t="s">
        <v>555</v>
      </c>
      <c r="M108" s="2" t="s">
        <v>206</v>
      </c>
      <c r="N108" s="2" t="s">
        <v>26</v>
      </c>
      <c r="O108" s="2" t="s">
        <v>560</v>
      </c>
      <c r="P108" s="2" t="s">
        <v>561</v>
      </c>
    </row>
    <row r="109" customFormat="false" ht="46.25" hidden="false" customHeight="false" outlineLevel="0" collapsed="false">
      <c r="A109" s="2" t="s">
        <v>562</v>
      </c>
      <c r="B109" s="2" t="s">
        <v>563</v>
      </c>
      <c r="C109" s="2" t="s">
        <v>18</v>
      </c>
      <c r="D109" s="2" t="s">
        <v>19</v>
      </c>
      <c r="E109" s="2" t="s">
        <v>20</v>
      </c>
      <c r="F109" s="2" t="s">
        <v>42</v>
      </c>
      <c r="G109" s="2" t="s">
        <v>564</v>
      </c>
      <c r="H109" s="2" t="s">
        <v>565</v>
      </c>
      <c r="I109" s="2"/>
      <c r="J109" s="2" t="s">
        <v>35</v>
      </c>
      <c r="K109" s="2" t="s">
        <v>23</v>
      </c>
      <c r="L109" s="2" t="s">
        <v>566</v>
      </c>
      <c r="M109" s="2" t="s">
        <v>206</v>
      </c>
      <c r="N109" s="2" t="s">
        <v>36</v>
      </c>
      <c r="O109" s="2" t="s">
        <v>567</v>
      </c>
      <c r="P109" s="2" t="s">
        <v>568</v>
      </c>
    </row>
    <row r="110" customFormat="false" ht="23.85" hidden="false" customHeight="false" outlineLevel="0" collapsed="false">
      <c r="A110" s="2" t="s">
        <v>569</v>
      </c>
      <c r="B110" s="2" t="s">
        <v>570</v>
      </c>
      <c r="C110" s="2" t="s">
        <v>18</v>
      </c>
      <c r="D110" s="2" t="s">
        <v>19</v>
      </c>
      <c r="E110" s="2" t="s">
        <v>20</v>
      </c>
      <c r="F110" s="2" t="s">
        <v>487</v>
      </c>
      <c r="G110" s="2" t="s">
        <v>571</v>
      </c>
      <c r="H110" s="2" t="s">
        <v>572</v>
      </c>
      <c r="I110" s="2"/>
      <c r="J110" s="2" t="s">
        <v>35</v>
      </c>
      <c r="K110" s="2" t="s">
        <v>23</v>
      </c>
      <c r="L110" s="2" t="s">
        <v>572</v>
      </c>
      <c r="M110" s="2" t="s">
        <v>25</v>
      </c>
      <c r="N110" s="2" t="s">
        <v>26</v>
      </c>
      <c r="O110" s="2" t="s">
        <v>573</v>
      </c>
      <c r="P110" s="2" t="s">
        <v>574</v>
      </c>
    </row>
    <row r="111" customFormat="false" ht="68.65" hidden="false" customHeight="false" outlineLevel="0" collapsed="false">
      <c r="A111" s="2" t="s">
        <v>575</v>
      </c>
      <c r="B111" s="2" t="s">
        <v>576</v>
      </c>
      <c r="C111" s="2" t="s">
        <v>18</v>
      </c>
      <c r="D111" s="2" t="s">
        <v>19</v>
      </c>
      <c r="E111" s="2" t="s">
        <v>20</v>
      </c>
      <c r="F111" s="2" t="s">
        <v>21</v>
      </c>
      <c r="G111" s="2" t="s">
        <v>577</v>
      </c>
      <c r="H111" s="2" t="s">
        <v>578</v>
      </c>
      <c r="I111" s="2"/>
      <c r="J111" s="2" t="s">
        <v>35</v>
      </c>
      <c r="K111" s="2" t="s">
        <v>35</v>
      </c>
      <c r="L111" s="2" t="s">
        <v>579</v>
      </c>
      <c r="M111" s="2" t="s">
        <v>25</v>
      </c>
      <c r="N111" s="2" t="s">
        <v>26</v>
      </c>
      <c r="O111" s="2" t="s">
        <v>580</v>
      </c>
      <c r="P111" s="2" t="s">
        <v>581</v>
      </c>
    </row>
    <row r="112" customFormat="false" ht="46.25" hidden="false" customHeight="false" outlineLevel="0" collapsed="false">
      <c r="A112" s="2" t="s">
        <v>582</v>
      </c>
      <c r="B112" s="2" t="s">
        <v>583</v>
      </c>
      <c r="C112" s="2" t="s">
        <v>41</v>
      </c>
      <c r="D112" s="2" t="s">
        <v>19</v>
      </c>
      <c r="E112" s="2" t="s">
        <v>20</v>
      </c>
      <c r="F112" s="2" t="s">
        <v>42</v>
      </c>
      <c r="G112" s="2" t="s">
        <v>571</v>
      </c>
      <c r="H112" s="2" t="s">
        <v>44</v>
      </c>
      <c r="I112" s="2"/>
      <c r="J112" s="2" t="s">
        <v>35</v>
      </c>
      <c r="K112" s="2" t="s">
        <v>23</v>
      </c>
      <c r="L112" s="2" t="s">
        <v>44</v>
      </c>
      <c r="M112" s="2" t="s">
        <v>25</v>
      </c>
      <c r="N112" s="2" t="s">
        <v>36</v>
      </c>
      <c r="O112" s="2" t="s">
        <v>584</v>
      </c>
      <c r="P112" s="2" t="s">
        <v>585</v>
      </c>
    </row>
    <row r="113" customFormat="false" ht="35.05" hidden="false" customHeight="false" outlineLevel="0" collapsed="false">
      <c r="A113" s="2" t="s">
        <v>586</v>
      </c>
      <c r="B113" s="2" t="s">
        <v>587</v>
      </c>
      <c r="C113" s="2" t="s">
        <v>41</v>
      </c>
      <c r="D113" s="2" t="s">
        <v>19</v>
      </c>
      <c r="E113" s="2" t="s">
        <v>20</v>
      </c>
      <c r="F113" s="2" t="s">
        <v>42</v>
      </c>
      <c r="G113" s="2" t="s">
        <v>588</v>
      </c>
      <c r="H113" s="2" t="s">
        <v>44</v>
      </c>
      <c r="I113" s="2"/>
      <c r="J113" s="2" t="s">
        <v>35</v>
      </c>
      <c r="K113" s="2" t="s">
        <v>23</v>
      </c>
      <c r="L113" s="2" t="s">
        <v>589</v>
      </c>
      <c r="M113" s="2" t="s">
        <v>25</v>
      </c>
      <c r="N113" s="2" t="s">
        <v>36</v>
      </c>
      <c r="O113" s="2" t="s">
        <v>590</v>
      </c>
      <c r="P113" s="2" t="s">
        <v>591</v>
      </c>
    </row>
    <row r="114" customFormat="false" ht="46.25" hidden="false" customHeight="false" outlineLevel="0" collapsed="false">
      <c r="A114" s="2" t="s">
        <v>592</v>
      </c>
      <c r="B114" s="2" t="s">
        <v>593</v>
      </c>
      <c r="C114" s="2" t="s">
        <v>594</v>
      </c>
      <c r="D114" s="2" t="s">
        <v>19</v>
      </c>
      <c r="E114" s="2" t="s">
        <v>20</v>
      </c>
      <c r="F114" s="2" t="s">
        <v>42</v>
      </c>
      <c r="G114" s="2" t="s">
        <v>595</v>
      </c>
      <c r="H114" s="2" t="s">
        <v>596</v>
      </c>
      <c r="I114" s="2"/>
      <c r="J114" s="2" t="s">
        <v>35</v>
      </c>
      <c r="K114" s="2" t="s">
        <v>23</v>
      </c>
      <c r="L114" s="2" t="s">
        <v>597</v>
      </c>
      <c r="M114" s="2" t="s">
        <v>25</v>
      </c>
      <c r="N114" s="2" t="s">
        <v>26</v>
      </c>
      <c r="O114" s="2" t="s">
        <v>598</v>
      </c>
      <c r="P114" s="2" t="s">
        <v>599</v>
      </c>
    </row>
    <row r="115" customFormat="false" ht="23.85" hidden="false" customHeight="false" outlineLevel="0" collapsed="false">
      <c r="A115" s="2" t="s">
        <v>600</v>
      </c>
      <c r="B115" s="2" t="s">
        <v>601</v>
      </c>
      <c r="C115" s="2" t="s">
        <v>18</v>
      </c>
      <c r="D115" s="2" t="s">
        <v>19</v>
      </c>
      <c r="E115" s="2" t="s">
        <v>20</v>
      </c>
      <c r="F115" s="2" t="s">
        <v>42</v>
      </c>
      <c r="G115" s="2" t="s">
        <v>571</v>
      </c>
      <c r="H115" s="2" t="s">
        <v>501</v>
      </c>
      <c r="I115" s="2"/>
      <c r="J115" s="2" t="s">
        <v>23</v>
      </c>
      <c r="K115" s="2" t="s">
        <v>23</v>
      </c>
      <c r="L115" s="2" t="s">
        <v>501</v>
      </c>
      <c r="M115" s="2" t="s">
        <v>25</v>
      </c>
      <c r="N115" s="2" t="s">
        <v>26</v>
      </c>
      <c r="O115" s="2" t="s">
        <v>602</v>
      </c>
      <c r="P115" s="2" t="s">
        <v>603</v>
      </c>
    </row>
    <row r="116" customFormat="false" ht="91" hidden="false" customHeight="false" outlineLevel="0" collapsed="false">
      <c r="A116" s="2" t="s">
        <v>604</v>
      </c>
      <c r="B116" s="2" t="s">
        <v>605</v>
      </c>
      <c r="C116" s="2" t="s">
        <v>18</v>
      </c>
      <c r="D116" s="2" t="s">
        <v>19</v>
      </c>
      <c r="E116" s="2" t="s">
        <v>20</v>
      </c>
      <c r="F116" s="2" t="s">
        <v>42</v>
      </c>
      <c r="G116" s="2" t="s">
        <v>439</v>
      </c>
      <c r="H116" s="2" t="s">
        <v>606</v>
      </c>
      <c r="I116" s="2"/>
      <c r="J116" s="2" t="s">
        <v>23</v>
      </c>
      <c r="K116" s="2" t="s">
        <v>23</v>
      </c>
      <c r="L116" s="2" t="s">
        <v>606</v>
      </c>
      <c r="M116" s="2" t="s">
        <v>206</v>
      </c>
      <c r="N116" s="2" t="s">
        <v>36</v>
      </c>
      <c r="O116" s="2" t="s">
        <v>607</v>
      </c>
      <c r="P116" s="2" t="s">
        <v>608</v>
      </c>
    </row>
    <row r="117" customFormat="false" ht="46.25" hidden="false" customHeight="false" outlineLevel="0" collapsed="false">
      <c r="A117" s="2" t="s">
        <v>609</v>
      </c>
      <c r="B117" s="2" t="s">
        <v>610</v>
      </c>
      <c r="C117" s="2" t="s">
        <v>18</v>
      </c>
      <c r="D117" s="2" t="s">
        <v>19</v>
      </c>
      <c r="E117" s="2" t="s">
        <v>20</v>
      </c>
      <c r="F117" s="2" t="s">
        <v>42</v>
      </c>
      <c r="G117" s="2" t="s">
        <v>611</v>
      </c>
      <c r="H117" s="2" t="s">
        <v>379</v>
      </c>
      <c r="I117" s="2" t="s">
        <v>571</v>
      </c>
      <c r="J117" s="2" t="s">
        <v>35</v>
      </c>
      <c r="K117" s="2" t="s">
        <v>23</v>
      </c>
      <c r="L117" s="2" t="s">
        <v>612</v>
      </c>
      <c r="M117" s="2" t="s">
        <v>206</v>
      </c>
      <c r="N117" s="2" t="s">
        <v>36</v>
      </c>
      <c r="O117" s="2" t="s">
        <v>613</v>
      </c>
      <c r="P117" s="2" t="s">
        <v>614</v>
      </c>
    </row>
    <row r="118" customFormat="false" ht="35.05" hidden="false" customHeight="false" outlineLevel="0" collapsed="false">
      <c r="A118" s="2" t="s">
        <v>615</v>
      </c>
      <c r="B118" s="2" t="s">
        <v>616</v>
      </c>
      <c r="C118" s="2" t="s">
        <v>18</v>
      </c>
      <c r="D118" s="2" t="s">
        <v>19</v>
      </c>
      <c r="E118" s="2" t="s">
        <v>20</v>
      </c>
      <c r="F118" s="2" t="s">
        <v>42</v>
      </c>
      <c r="G118" s="2" t="s">
        <v>617</v>
      </c>
      <c r="H118" s="2" t="s">
        <v>367</v>
      </c>
      <c r="I118" s="2" t="s">
        <v>571</v>
      </c>
      <c r="J118" s="2" t="s">
        <v>35</v>
      </c>
      <c r="K118" s="2" t="s">
        <v>35</v>
      </c>
      <c r="L118" s="2" t="s">
        <v>618</v>
      </c>
      <c r="M118" s="2" t="s">
        <v>206</v>
      </c>
      <c r="N118" s="2" t="s">
        <v>26</v>
      </c>
      <c r="O118" s="2" t="s">
        <v>619</v>
      </c>
      <c r="P118" s="2" t="s">
        <v>620</v>
      </c>
    </row>
    <row r="119" customFormat="false" ht="46.25" hidden="false" customHeight="false" outlineLevel="0" collapsed="false">
      <c r="A119" s="2" t="s">
        <v>621</v>
      </c>
      <c r="B119" s="2" t="s">
        <v>622</v>
      </c>
      <c r="C119" s="2" t="s">
        <v>18</v>
      </c>
      <c r="D119" s="2" t="s">
        <v>19</v>
      </c>
      <c r="E119" s="2" t="s">
        <v>20</v>
      </c>
      <c r="F119" s="2" t="s">
        <v>42</v>
      </c>
      <c r="G119" s="2" t="s">
        <v>617</v>
      </c>
      <c r="H119" s="2" t="s">
        <v>367</v>
      </c>
      <c r="I119" s="2" t="s">
        <v>571</v>
      </c>
      <c r="J119" s="2" t="s">
        <v>35</v>
      </c>
      <c r="K119" s="2" t="s">
        <v>35</v>
      </c>
      <c r="L119" s="2" t="s">
        <v>618</v>
      </c>
      <c r="M119" s="2" t="s">
        <v>206</v>
      </c>
      <c r="N119" s="2" t="s">
        <v>36</v>
      </c>
      <c r="O119" s="2" t="s">
        <v>619</v>
      </c>
      <c r="P119" s="2" t="s">
        <v>623</v>
      </c>
    </row>
    <row r="120" customFormat="false" ht="23.85" hidden="false" customHeight="false" outlineLevel="0" collapsed="false">
      <c r="A120" s="2" t="s">
        <v>624</v>
      </c>
      <c r="B120" s="2" t="s">
        <v>625</v>
      </c>
      <c r="C120" s="2" t="s">
        <v>18</v>
      </c>
      <c r="D120" s="2" t="s">
        <v>19</v>
      </c>
      <c r="E120" s="2" t="s">
        <v>20</v>
      </c>
      <c r="F120" s="2" t="s">
        <v>42</v>
      </c>
      <c r="G120" s="2" t="s">
        <v>626</v>
      </c>
      <c r="H120" s="2" t="s">
        <v>627</v>
      </c>
      <c r="I120" s="2" t="s">
        <v>571</v>
      </c>
      <c r="J120" s="2" t="s">
        <v>35</v>
      </c>
      <c r="K120" s="2" t="s">
        <v>35</v>
      </c>
      <c r="L120" s="2" t="s">
        <v>628</v>
      </c>
      <c r="M120" s="2" t="s">
        <v>206</v>
      </c>
      <c r="N120" s="2" t="s">
        <v>36</v>
      </c>
      <c r="O120" s="2" t="s">
        <v>629</v>
      </c>
      <c r="P120" s="2" t="s">
        <v>630</v>
      </c>
    </row>
    <row r="121" customFormat="false" ht="35.05" hidden="false" customHeight="false" outlineLevel="0" collapsed="false">
      <c r="A121" s="2" t="s">
        <v>631</v>
      </c>
      <c r="B121" s="2" t="s">
        <v>632</v>
      </c>
      <c r="C121" s="2" t="s">
        <v>41</v>
      </c>
      <c r="D121" s="2" t="s">
        <v>19</v>
      </c>
      <c r="E121" s="2" t="s">
        <v>20</v>
      </c>
      <c r="F121" s="2" t="s">
        <v>42</v>
      </c>
      <c r="G121" s="2" t="s">
        <v>633</v>
      </c>
      <c r="H121" s="2" t="s">
        <v>44</v>
      </c>
      <c r="I121" s="2" t="s">
        <v>571</v>
      </c>
      <c r="J121" s="2" t="s">
        <v>35</v>
      </c>
      <c r="K121" s="2" t="s">
        <v>23</v>
      </c>
      <c r="L121" s="2" t="s">
        <v>634</v>
      </c>
      <c r="M121" s="2" t="s">
        <v>25</v>
      </c>
      <c r="N121" s="2" t="s">
        <v>26</v>
      </c>
      <c r="O121" s="2" t="s">
        <v>635</v>
      </c>
      <c r="P121" s="2" t="s">
        <v>636</v>
      </c>
    </row>
    <row r="122" customFormat="false" ht="23.85" hidden="false" customHeight="false" outlineLevel="0" collapsed="false">
      <c r="A122" s="2" t="s">
        <v>637</v>
      </c>
      <c r="B122" s="2" t="s">
        <v>638</v>
      </c>
      <c r="C122" s="2" t="s">
        <v>18</v>
      </c>
      <c r="D122" s="2" t="s">
        <v>19</v>
      </c>
      <c r="E122" s="2" t="s">
        <v>20</v>
      </c>
      <c r="F122" s="2" t="s">
        <v>42</v>
      </c>
      <c r="G122" s="2" t="s">
        <v>639</v>
      </c>
      <c r="H122" s="2" t="s">
        <v>367</v>
      </c>
      <c r="I122" s="2" t="s">
        <v>571</v>
      </c>
      <c r="J122" s="2" t="s">
        <v>35</v>
      </c>
      <c r="K122" s="2" t="s">
        <v>35</v>
      </c>
      <c r="L122" s="2" t="s">
        <v>640</v>
      </c>
      <c r="M122" s="2" t="s">
        <v>206</v>
      </c>
      <c r="N122" s="2" t="s">
        <v>26</v>
      </c>
      <c r="O122" s="2" t="s">
        <v>641</v>
      </c>
      <c r="P122" s="2" t="s">
        <v>642</v>
      </c>
    </row>
    <row r="123" customFormat="false" ht="57.45" hidden="false" customHeight="false" outlineLevel="0" collapsed="false">
      <c r="A123" s="2" t="s">
        <v>643</v>
      </c>
      <c r="B123" s="2" t="s">
        <v>644</v>
      </c>
      <c r="C123" s="2" t="s">
        <v>18</v>
      </c>
      <c r="D123" s="2" t="s">
        <v>645</v>
      </c>
      <c r="E123" s="2" t="s">
        <v>646</v>
      </c>
      <c r="F123" s="2" t="s">
        <v>21</v>
      </c>
      <c r="G123" s="2" t="s">
        <v>647</v>
      </c>
      <c r="H123" s="2"/>
      <c r="I123" s="2"/>
      <c r="J123" s="2" t="s">
        <v>23</v>
      </c>
      <c r="K123" s="2" t="s">
        <v>23</v>
      </c>
      <c r="L123" s="2" t="s">
        <v>647</v>
      </c>
      <c r="M123" s="2" t="s">
        <v>206</v>
      </c>
      <c r="N123" s="2" t="s">
        <v>26</v>
      </c>
      <c r="O123" s="2" t="s">
        <v>648</v>
      </c>
      <c r="P123" s="2" t="s">
        <v>649</v>
      </c>
    </row>
    <row r="124" customFormat="false" ht="68.65" hidden="false" customHeight="false" outlineLevel="0" collapsed="false">
      <c r="A124" s="2" t="s">
        <v>650</v>
      </c>
      <c r="B124" s="2" t="s">
        <v>651</v>
      </c>
      <c r="C124" s="2" t="s">
        <v>18</v>
      </c>
      <c r="D124" s="2" t="s">
        <v>645</v>
      </c>
      <c r="E124" s="2" t="s">
        <v>646</v>
      </c>
      <c r="F124" s="2" t="s">
        <v>21</v>
      </c>
      <c r="G124" s="2" t="s">
        <v>647</v>
      </c>
      <c r="H124" s="2"/>
      <c r="I124" s="2"/>
      <c r="J124" s="2" t="s">
        <v>23</v>
      </c>
      <c r="K124" s="2" t="s">
        <v>23</v>
      </c>
      <c r="L124" s="2" t="s">
        <v>647</v>
      </c>
      <c r="M124" s="2" t="s">
        <v>206</v>
      </c>
      <c r="N124" s="2" t="s">
        <v>26</v>
      </c>
      <c r="O124" s="2" t="s">
        <v>652</v>
      </c>
      <c r="P124" s="2" t="s">
        <v>653</v>
      </c>
    </row>
    <row r="125" customFormat="false" ht="46.25" hidden="false" customHeight="false" outlineLevel="0" collapsed="false">
      <c r="A125" s="2" t="s">
        <v>654</v>
      </c>
      <c r="B125" s="2" t="s">
        <v>655</v>
      </c>
      <c r="C125" s="2" t="s">
        <v>18</v>
      </c>
      <c r="D125" s="2" t="s">
        <v>645</v>
      </c>
      <c r="E125" s="2" t="s">
        <v>656</v>
      </c>
      <c r="F125" s="2" t="s">
        <v>21</v>
      </c>
      <c r="G125" s="2" t="s">
        <v>657</v>
      </c>
      <c r="H125" s="2"/>
      <c r="I125" s="2"/>
      <c r="J125" s="2" t="s">
        <v>23</v>
      </c>
      <c r="K125" s="2" t="s">
        <v>23</v>
      </c>
      <c r="L125" s="2" t="s">
        <v>657</v>
      </c>
      <c r="M125" s="2" t="s">
        <v>206</v>
      </c>
      <c r="N125" s="2" t="s">
        <v>26</v>
      </c>
      <c r="O125" s="2" t="s">
        <v>658</v>
      </c>
      <c r="P125" s="2" t="s">
        <v>659</v>
      </c>
    </row>
    <row r="126" customFormat="false" ht="35.05" hidden="false" customHeight="false" outlineLevel="0" collapsed="false">
      <c r="A126" s="2" t="s">
        <v>660</v>
      </c>
      <c r="B126" s="2" t="s">
        <v>661</v>
      </c>
      <c r="C126" s="2" t="s">
        <v>18</v>
      </c>
      <c r="D126" s="2" t="s">
        <v>645</v>
      </c>
      <c r="E126" s="2" t="s">
        <v>20</v>
      </c>
      <c r="F126" s="2" t="s">
        <v>21</v>
      </c>
      <c r="G126" s="2" t="s">
        <v>662</v>
      </c>
      <c r="H126" s="2"/>
      <c r="I126" s="2"/>
      <c r="J126" s="2" t="s">
        <v>23</v>
      </c>
      <c r="K126" s="2" t="s">
        <v>23</v>
      </c>
      <c r="L126" s="2" t="s">
        <v>662</v>
      </c>
      <c r="M126" s="2" t="s">
        <v>161</v>
      </c>
      <c r="N126" s="2" t="s">
        <v>26</v>
      </c>
      <c r="O126" s="2" t="s">
        <v>663</v>
      </c>
      <c r="P126" s="2" t="s">
        <v>664</v>
      </c>
    </row>
    <row r="127" customFormat="false" ht="35.05" hidden="false" customHeight="false" outlineLevel="0" collapsed="false">
      <c r="A127" s="2" t="s">
        <v>665</v>
      </c>
      <c r="B127" s="2" t="s">
        <v>666</v>
      </c>
      <c r="C127" s="2" t="s">
        <v>18</v>
      </c>
      <c r="D127" s="2" t="s">
        <v>645</v>
      </c>
      <c r="E127" s="2" t="s">
        <v>20</v>
      </c>
      <c r="F127" s="2" t="s">
        <v>21</v>
      </c>
      <c r="G127" s="2" t="s">
        <v>662</v>
      </c>
      <c r="H127" s="2"/>
      <c r="I127" s="2"/>
      <c r="J127" s="2" t="s">
        <v>23</v>
      </c>
      <c r="K127" s="2" t="s">
        <v>23</v>
      </c>
      <c r="L127" s="2" t="s">
        <v>662</v>
      </c>
      <c r="M127" s="2" t="s">
        <v>161</v>
      </c>
      <c r="N127" s="2" t="s">
        <v>26</v>
      </c>
      <c r="O127" s="2" t="s">
        <v>667</v>
      </c>
      <c r="P127" s="2" t="s">
        <v>668</v>
      </c>
    </row>
    <row r="128" customFormat="false" ht="35.05" hidden="false" customHeight="false" outlineLevel="0" collapsed="false">
      <c r="A128" s="2" t="s">
        <v>669</v>
      </c>
      <c r="B128" s="2" t="s">
        <v>670</v>
      </c>
      <c r="C128" s="2" t="s">
        <v>18</v>
      </c>
      <c r="D128" s="2" t="s">
        <v>645</v>
      </c>
      <c r="E128" s="2" t="s">
        <v>549</v>
      </c>
      <c r="F128" s="2" t="s">
        <v>21</v>
      </c>
      <c r="G128" s="2" t="s">
        <v>671</v>
      </c>
      <c r="H128" s="2"/>
      <c r="I128" s="2"/>
      <c r="J128" s="2" t="s">
        <v>23</v>
      </c>
      <c r="K128" s="2" t="s">
        <v>23</v>
      </c>
      <c r="L128" s="2" t="s">
        <v>671</v>
      </c>
      <c r="M128" s="2" t="s">
        <v>206</v>
      </c>
      <c r="N128" s="2" t="s">
        <v>26</v>
      </c>
      <c r="O128" s="2" t="s">
        <v>672</v>
      </c>
      <c r="P128" s="2" t="s">
        <v>673</v>
      </c>
    </row>
    <row r="129" customFormat="false" ht="35.05" hidden="false" customHeight="false" outlineLevel="0" collapsed="false">
      <c r="A129" s="2" t="s">
        <v>674</v>
      </c>
      <c r="B129" s="2" t="s">
        <v>675</v>
      </c>
      <c r="C129" s="2" t="s">
        <v>18</v>
      </c>
      <c r="D129" s="2" t="s">
        <v>645</v>
      </c>
      <c r="E129" s="2" t="s">
        <v>20</v>
      </c>
      <c r="F129" s="2" t="s">
        <v>21</v>
      </c>
      <c r="G129" s="2" t="s">
        <v>676</v>
      </c>
      <c r="H129" s="2"/>
      <c r="I129" s="2"/>
      <c r="J129" s="2" t="s">
        <v>23</v>
      </c>
      <c r="K129" s="2" t="s">
        <v>23</v>
      </c>
      <c r="L129" s="2" t="s">
        <v>676</v>
      </c>
      <c r="M129" s="2" t="s">
        <v>161</v>
      </c>
      <c r="N129" s="2" t="s">
        <v>26</v>
      </c>
      <c r="O129" s="2" t="s">
        <v>677</v>
      </c>
      <c r="P129" s="2" t="s">
        <v>678</v>
      </c>
    </row>
    <row r="130" customFormat="false" ht="35.05" hidden="false" customHeight="false" outlineLevel="0" collapsed="false">
      <c r="A130" s="2" t="s">
        <v>679</v>
      </c>
      <c r="B130" s="2" t="s">
        <v>680</v>
      </c>
      <c r="C130" s="2" t="s">
        <v>18</v>
      </c>
      <c r="D130" s="2" t="s">
        <v>645</v>
      </c>
      <c r="E130" s="2" t="s">
        <v>20</v>
      </c>
      <c r="F130" s="2" t="s">
        <v>21</v>
      </c>
      <c r="G130" s="2" t="s">
        <v>676</v>
      </c>
      <c r="H130" s="2"/>
      <c r="I130" s="2"/>
      <c r="J130" s="2" t="s">
        <v>23</v>
      </c>
      <c r="K130" s="2" t="s">
        <v>23</v>
      </c>
      <c r="L130" s="2" t="s">
        <v>676</v>
      </c>
      <c r="M130" s="2" t="s">
        <v>161</v>
      </c>
      <c r="N130" s="2" t="s">
        <v>26</v>
      </c>
      <c r="O130" s="2" t="s">
        <v>681</v>
      </c>
      <c r="P130" s="2" t="s">
        <v>682</v>
      </c>
    </row>
    <row r="131" customFormat="false" ht="57.45" hidden="false" customHeight="false" outlineLevel="0" collapsed="false">
      <c r="A131" s="2" t="s">
        <v>683</v>
      </c>
      <c r="B131" s="2" t="s">
        <v>684</v>
      </c>
      <c r="C131" s="2" t="s">
        <v>18</v>
      </c>
      <c r="D131" s="2" t="s">
        <v>645</v>
      </c>
      <c r="E131" s="2" t="s">
        <v>549</v>
      </c>
      <c r="F131" s="2" t="s">
        <v>21</v>
      </c>
      <c r="G131" s="2" t="s">
        <v>685</v>
      </c>
      <c r="H131" s="2" t="s">
        <v>686</v>
      </c>
      <c r="I131" s="2"/>
      <c r="J131" s="2" t="s">
        <v>23</v>
      </c>
      <c r="K131" s="2" t="s">
        <v>23</v>
      </c>
      <c r="L131" s="2" t="s">
        <v>687</v>
      </c>
      <c r="M131" s="2" t="s">
        <v>206</v>
      </c>
      <c r="N131" s="2" t="s">
        <v>26</v>
      </c>
      <c r="O131" s="2" t="s">
        <v>688</v>
      </c>
      <c r="P131" s="2" t="s">
        <v>689</v>
      </c>
    </row>
    <row r="132" customFormat="false" ht="113.4" hidden="false" customHeight="false" outlineLevel="0" collapsed="false">
      <c r="A132" s="2" t="s">
        <v>690</v>
      </c>
      <c r="B132" s="2" t="s">
        <v>691</v>
      </c>
      <c r="C132" s="2" t="s">
        <v>18</v>
      </c>
      <c r="D132" s="2" t="s">
        <v>645</v>
      </c>
      <c r="E132" s="2" t="s">
        <v>646</v>
      </c>
      <c r="F132" s="2" t="s">
        <v>21</v>
      </c>
      <c r="G132" s="2" t="s">
        <v>692</v>
      </c>
      <c r="H132" s="2" t="s">
        <v>693</v>
      </c>
      <c r="I132" s="2"/>
      <c r="J132" s="2" t="s">
        <v>23</v>
      </c>
      <c r="K132" s="2" t="s">
        <v>23</v>
      </c>
      <c r="L132" s="2" t="s">
        <v>694</v>
      </c>
      <c r="M132" s="2" t="s">
        <v>206</v>
      </c>
      <c r="N132" s="2" t="s">
        <v>26</v>
      </c>
      <c r="O132" s="2" t="s">
        <v>695</v>
      </c>
      <c r="P132" s="2" t="s">
        <v>696</v>
      </c>
    </row>
    <row r="133" customFormat="false" ht="46.25" hidden="false" customHeight="false" outlineLevel="0" collapsed="false">
      <c r="A133" s="2" t="s">
        <v>697</v>
      </c>
      <c r="B133" s="2" t="s">
        <v>698</v>
      </c>
      <c r="C133" s="2" t="s">
        <v>18</v>
      </c>
      <c r="D133" s="2" t="s">
        <v>645</v>
      </c>
      <c r="E133" s="2" t="s">
        <v>646</v>
      </c>
      <c r="F133" s="2" t="s">
        <v>21</v>
      </c>
      <c r="G133" s="2" t="s">
        <v>699</v>
      </c>
      <c r="H133" s="2"/>
      <c r="I133" s="2"/>
      <c r="J133" s="2" t="s">
        <v>23</v>
      </c>
      <c r="K133" s="2" t="s">
        <v>23</v>
      </c>
      <c r="L133" s="2" t="s">
        <v>699</v>
      </c>
      <c r="M133" s="2" t="s">
        <v>75</v>
      </c>
      <c r="N133" s="2" t="s">
        <v>26</v>
      </c>
      <c r="O133" s="2" t="s">
        <v>700</v>
      </c>
      <c r="P133" s="2" t="s">
        <v>701</v>
      </c>
    </row>
    <row r="134" customFormat="false" ht="68.65" hidden="false" customHeight="false" outlineLevel="0" collapsed="false">
      <c r="A134" s="2" t="s">
        <v>702</v>
      </c>
      <c r="B134" s="2" t="s">
        <v>703</v>
      </c>
      <c r="C134" s="2" t="s">
        <v>704</v>
      </c>
      <c r="D134" s="2" t="s">
        <v>645</v>
      </c>
      <c r="E134" s="2" t="s">
        <v>646</v>
      </c>
      <c r="F134" s="2" t="s">
        <v>530</v>
      </c>
      <c r="G134" s="2" t="s">
        <v>705</v>
      </c>
      <c r="H134" s="2"/>
      <c r="I134" s="2"/>
      <c r="J134" s="2" t="s">
        <v>23</v>
      </c>
      <c r="K134" s="2" t="s">
        <v>23</v>
      </c>
      <c r="L134" s="2" t="s">
        <v>705</v>
      </c>
      <c r="M134" s="2" t="s">
        <v>206</v>
      </c>
      <c r="N134" s="2" t="s">
        <v>26</v>
      </c>
      <c r="O134" s="2" t="s">
        <v>706</v>
      </c>
      <c r="P134" s="2" t="s">
        <v>707</v>
      </c>
    </row>
    <row r="135" customFormat="false" ht="46.25" hidden="false" customHeight="false" outlineLevel="0" collapsed="false">
      <c r="A135" s="2" t="s">
        <v>708</v>
      </c>
      <c r="B135" s="2" t="s">
        <v>709</v>
      </c>
      <c r="C135" s="2" t="s">
        <v>704</v>
      </c>
      <c r="D135" s="2" t="s">
        <v>645</v>
      </c>
      <c r="E135" s="2" t="s">
        <v>646</v>
      </c>
      <c r="F135" s="2" t="s">
        <v>530</v>
      </c>
      <c r="G135" s="2" t="s">
        <v>705</v>
      </c>
      <c r="H135" s="2"/>
      <c r="I135" s="2"/>
      <c r="J135" s="2" t="s">
        <v>23</v>
      </c>
      <c r="K135" s="2" t="s">
        <v>23</v>
      </c>
      <c r="L135" s="2" t="s">
        <v>705</v>
      </c>
      <c r="M135" s="2" t="s">
        <v>206</v>
      </c>
      <c r="N135" s="2" t="s">
        <v>26</v>
      </c>
      <c r="O135" s="2" t="s">
        <v>710</v>
      </c>
      <c r="P135" s="2" t="s">
        <v>711</v>
      </c>
    </row>
    <row r="136" customFormat="false" ht="46.25" hidden="false" customHeight="false" outlineLevel="0" collapsed="false">
      <c r="A136" s="2" t="s">
        <v>712</v>
      </c>
      <c r="B136" s="2" t="s">
        <v>713</v>
      </c>
      <c r="C136" s="2" t="s">
        <v>704</v>
      </c>
      <c r="D136" s="2" t="s">
        <v>645</v>
      </c>
      <c r="E136" s="2" t="s">
        <v>646</v>
      </c>
      <c r="F136" s="2" t="s">
        <v>530</v>
      </c>
      <c r="G136" s="2" t="s">
        <v>705</v>
      </c>
      <c r="H136" s="2"/>
      <c r="I136" s="2"/>
      <c r="J136" s="2" t="s">
        <v>23</v>
      </c>
      <c r="K136" s="2" t="s">
        <v>23</v>
      </c>
      <c r="L136" s="2" t="s">
        <v>705</v>
      </c>
      <c r="M136" s="2" t="s">
        <v>206</v>
      </c>
      <c r="N136" s="2" t="s">
        <v>26</v>
      </c>
      <c r="O136" s="2" t="s">
        <v>714</v>
      </c>
      <c r="P136" s="2" t="s">
        <v>715</v>
      </c>
    </row>
    <row r="137" customFormat="false" ht="46.25" hidden="false" customHeight="false" outlineLevel="0" collapsed="false">
      <c r="A137" s="2" t="s">
        <v>716</v>
      </c>
      <c r="B137" s="2" t="s">
        <v>717</v>
      </c>
      <c r="C137" s="2" t="s">
        <v>704</v>
      </c>
      <c r="D137" s="2" t="s">
        <v>645</v>
      </c>
      <c r="E137" s="2" t="s">
        <v>718</v>
      </c>
      <c r="F137" s="2" t="s">
        <v>530</v>
      </c>
      <c r="G137" s="2" t="s">
        <v>719</v>
      </c>
      <c r="H137" s="2"/>
      <c r="I137" s="2"/>
      <c r="J137" s="2" t="s">
        <v>23</v>
      </c>
      <c r="K137" s="2" t="s">
        <v>23</v>
      </c>
      <c r="L137" s="2" t="s">
        <v>719</v>
      </c>
      <c r="M137" s="2" t="s">
        <v>206</v>
      </c>
      <c r="N137" s="2" t="s">
        <v>26</v>
      </c>
      <c r="O137" s="2" t="s">
        <v>720</v>
      </c>
      <c r="P137" s="2" t="s">
        <v>721</v>
      </c>
    </row>
    <row r="138" customFormat="false" ht="135.8" hidden="false" customHeight="false" outlineLevel="0" collapsed="false">
      <c r="A138" s="2" t="s">
        <v>722</v>
      </c>
      <c r="B138" s="2" t="s">
        <v>723</v>
      </c>
      <c r="C138" s="2" t="s">
        <v>704</v>
      </c>
      <c r="D138" s="2" t="s">
        <v>724</v>
      </c>
      <c r="E138" s="2" t="s">
        <v>725</v>
      </c>
      <c r="F138" s="2" t="s">
        <v>530</v>
      </c>
      <c r="G138" s="2" t="s">
        <v>726</v>
      </c>
      <c r="H138" s="2" t="s">
        <v>727</v>
      </c>
      <c r="I138" s="2" t="s">
        <v>728</v>
      </c>
      <c r="J138" s="2" t="s">
        <v>35</v>
      </c>
      <c r="K138" s="2" t="s">
        <v>35</v>
      </c>
      <c r="L138" s="2" t="s">
        <v>726</v>
      </c>
      <c r="M138" s="2" t="s">
        <v>206</v>
      </c>
      <c r="N138" s="2" t="s">
        <v>26</v>
      </c>
      <c r="O138" s="2" t="s">
        <v>729</v>
      </c>
      <c r="P138" s="2" t="s">
        <v>730</v>
      </c>
    </row>
    <row r="139" customFormat="false" ht="79.85" hidden="false" customHeight="false" outlineLevel="0" collapsed="false">
      <c r="A139" s="2" t="s">
        <v>731</v>
      </c>
      <c r="B139" s="2" t="s">
        <v>732</v>
      </c>
      <c r="C139" s="2" t="s">
        <v>18</v>
      </c>
      <c r="D139" s="2" t="s">
        <v>645</v>
      </c>
      <c r="E139" s="2" t="s">
        <v>733</v>
      </c>
      <c r="F139" s="2" t="s">
        <v>530</v>
      </c>
      <c r="G139" s="2" t="s">
        <v>734</v>
      </c>
      <c r="H139" s="2" t="s">
        <v>735</v>
      </c>
      <c r="I139" s="2"/>
      <c r="J139" s="2" t="s">
        <v>35</v>
      </c>
      <c r="K139" s="2" t="s">
        <v>23</v>
      </c>
      <c r="L139" s="2" t="s">
        <v>736</v>
      </c>
      <c r="M139" s="2" t="s">
        <v>161</v>
      </c>
      <c r="N139" s="2" t="s">
        <v>26</v>
      </c>
      <c r="O139" s="2" t="s">
        <v>737</v>
      </c>
      <c r="P139" s="2" t="s">
        <v>738</v>
      </c>
    </row>
    <row r="140" customFormat="false" ht="79.85" hidden="false" customHeight="false" outlineLevel="0" collapsed="false">
      <c r="A140" s="2" t="s">
        <v>739</v>
      </c>
      <c r="B140" s="2" t="s">
        <v>740</v>
      </c>
      <c r="C140" s="2" t="s">
        <v>741</v>
      </c>
      <c r="D140" s="2" t="s">
        <v>645</v>
      </c>
      <c r="E140" s="2" t="s">
        <v>742</v>
      </c>
      <c r="F140" s="2" t="s">
        <v>530</v>
      </c>
      <c r="G140" s="2" t="s">
        <v>676</v>
      </c>
      <c r="H140" s="2" t="s">
        <v>743</v>
      </c>
      <c r="I140" s="2"/>
      <c r="J140" s="2" t="s">
        <v>35</v>
      </c>
      <c r="K140" s="2" t="s">
        <v>23</v>
      </c>
      <c r="L140" s="2" t="s">
        <v>744</v>
      </c>
      <c r="M140" s="2" t="s">
        <v>161</v>
      </c>
      <c r="N140" s="2" t="s">
        <v>36</v>
      </c>
      <c r="O140" s="2" t="s">
        <v>745</v>
      </c>
      <c r="P140" s="2" t="s">
        <v>746</v>
      </c>
    </row>
    <row r="141" customFormat="false" ht="124.6" hidden="false" customHeight="false" outlineLevel="0" collapsed="false">
      <c r="A141" s="2" t="s">
        <v>747</v>
      </c>
      <c r="B141" s="2" t="s">
        <v>748</v>
      </c>
      <c r="C141" s="2" t="s">
        <v>749</v>
      </c>
      <c r="D141" s="2" t="s">
        <v>724</v>
      </c>
      <c r="E141" s="2" t="s">
        <v>750</v>
      </c>
      <c r="F141" s="2" t="s">
        <v>530</v>
      </c>
      <c r="G141" s="2" t="s">
        <v>751</v>
      </c>
      <c r="H141" s="2" t="s">
        <v>752</v>
      </c>
      <c r="I141" s="2"/>
      <c r="J141" s="2" t="s">
        <v>35</v>
      </c>
      <c r="K141" s="2" t="s">
        <v>35</v>
      </c>
      <c r="L141" s="2" t="s">
        <v>753</v>
      </c>
      <c r="M141" s="2" t="s">
        <v>206</v>
      </c>
      <c r="N141" s="2" t="s">
        <v>36</v>
      </c>
      <c r="O141" s="2" t="s">
        <v>754</v>
      </c>
      <c r="P141" s="2" t="s">
        <v>755</v>
      </c>
    </row>
    <row r="142" customFormat="false" ht="135.8" hidden="false" customHeight="false" outlineLevel="0" collapsed="false">
      <c r="A142" s="2" t="s">
        <v>756</v>
      </c>
      <c r="B142" s="2" t="s">
        <v>757</v>
      </c>
      <c r="C142" s="2" t="s">
        <v>749</v>
      </c>
      <c r="D142" s="2" t="s">
        <v>724</v>
      </c>
      <c r="E142" s="2" t="s">
        <v>750</v>
      </c>
      <c r="F142" s="2" t="s">
        <v>530</v>
      </c>
      <c r="G142" s="2" t="s">
        <v>758</v>
      </c>
      <c r="H142" s="2" t="s">
        <v>752</v>
      </c>
      <c r="I142" s="2"/>
      <c r="J142" s="2" t="s">
        <v>35</v>
      </c>
      <c r="K142" s="2" t="s">
        <v>35</v>
      </c>
      <c r="L142" s="2" t="s">
        <v>759</v>
      </c>
      <c r="M142" s="2" t="s">
        <v>206</v>
      </c>
      <c r="N142" s="2" t="s">
        <v>36</v>
      </c>
      <c r="O142" s="2" t="s">
        <v>760</v>
      </c>
      <c r="P142" s="2" t="s">
        <v>761</v>
      </c>
    </row>
    <row r="143" customFormat="false" ht="46.25" hidden="false" customHeight="false" outlineLevel="0" collapsed="false">
      <c r="A143" s="2" t="s">
        <v>762</v>
      </c>
      <c r="B143" s="2" t="s">
        <v>763</v>
      </c>
      <c r="C143" s="2" t="s">
        <v>18</v>
      </c>
      <c r="D143" s="2" t="s">
        <v>645</v>
      </c>
      <c r="E143" s="2" t="s">
        <v>646</v>
      </c>
      <c r="F143" s="2" t="s">
        <v>21</v>
      </c>
      <c r="G143" s="2" t="s">
        <v>764</v>
      </c>
      <c r="H143" s="2"/>
      <c r="I143" s="2"/>
      <c r="J143" s="2" t="s">
        <v>23</v>
      </c>
      <c r="K143" s="2" t="s">
        <v>23</v>
      </c>
      <c r="L143" s="2" t="s">
        <v>764</v>
      </c>
      <c r="M143" s="2" t="s">
        <v>206</v>
      </c>
      <c r="N143" s="2" t="s">
        <v>26</v>
      </c>
      <c r="O143" s="2" t="s">
        <v>765</v>
      </c>
      <c r="P143" s="2" t="s">
        <v>766</v>
      </c>
    </row>
    <row r="144" customFormat="false" ht="46.25" hidden="false" customHeight="false" outlineLevel="0" collapsed="false">
      <c r="A144" s="2" t="s">
        <v>767</v>
      </c>
      <c r="B144" s="2" t="s">
        <v>768</v>
      </c>
      <c r="C144" s="2" t="s">
        <v>18</v>
      </c>
      <c r="D144" s="2" t="s">
        <v>645</v>
      </c>
      <c r="E144" s="2" t="s">
        <v>646</v>
      </c>
      <c r="F144" s="2" t="s">
        <v>179</v>
      </c>
      <c r="G144" s="2" t="s">
        <v>769</v>
      </c>
      <c r="H144" s="2"/>
      <c r="I144" s="2"/>
      <c r="J144" s="2" t="s">
        <v>23</v>
      </c>
      <c r="K144" s="2" t="s">
        <v>23</v>
      </c>
      <c r="L144" s="2" t="s">
        <v>769</v>
      </c>
      <c r="M144" s="2" t="s">
        <v>206</v>
      </c>
      <c r="N144" s="2" t="s">
        <v>26</v>
      </c>
      <c r="O144" s="2" t="s">
        <v>770</v>
      </c>
      <c r="P144" s="2" t="s">
        <v>771</v>
      </c>
    </row>
    <row r="145" customFormat="false" ht="46.25" hidden="false" customHeight="false" outlineLevel="0" collapsed="false">
      <c r="A145" s="2" t="s">
        <v>772</v>
      </c>
      <c r="B145" s="2" t="s">
        <v>773</v>
      </c>
      <c r="C145" s="2" t="s">
        <v>18</v>
      </c>
      <c r="D145" s="2" t="s">
        <v>645</v>
      </c>
      <c r="E145" s="2" t="s">
        <v>646</v>
      </c>
      <c r="F145" s="2" t="s">
        <v>42</v>
      </c>
      <c r="G145" s="2" t="s">
        <v>699</v>
      </c>
      <c r="H145" s="2"/>
      <c r="I145" s="2"/>
      <c r="J145" s="2" t="s">
        <v>23</v>
      </c>
      <c r="K145" s="2" t="s">
        <v>23</v>
      </c>
      <c r="L145" s="2" t="s">
        <v>699</v>
      </c>
      <c r="M145" s="2" t="s">
        <v>161</v>
      </c>
      <c r="N145" s="2" t="s">
        <v>26</v>
      </c>
      <c r="O145" s="2" t="s">
        <v>774</v>
      </c>
      <c r="P145" s="2" t="s">
        <v>775</v>
      </c>
    </row>
    <row r="146" customFormat="false" ht="35.05" hidden="false" customHeight="false" outlineLevel="0" collapsed="false">
      <c r="A146" s="2" t="s">
        <v>776</v>
      </c>
      <c r="B146" s="2" t="s">
        <v>777</v>
      </c>
      <c r="C146" s="2" t="s">
        <v>18</v>
      </c>
      <c r="D146" s="2" t="s">
        <v>645</v>
      </c>
      <c r="E146" s="2" t="s">
        <v>646</v>
      </c>
      <c r="F146" s="2" t="s">
        <v>42</v>
      </c>
      <c r="G146" s="2" t="s">
        <v>699</v>
      </c>
      <c r="H146" s="2"/>
      <c r="I146" s="2"/>
      <c r="J146" s="2" t="s">
        <v>23</v>
      </c>
      <c r="K146" s="2" t="s">
        <v>23</v>
      </c>
      <c r="L146" s="2" t="s">
        <v>699</v>
      </c>
      <c r="M146" s="2" t="s">
        <v>206</v>
      </c>
      <c r="N146" s="2" t="s">
        <v>26</v>
      </c>
      <c r="O146" s="2" t="s">
        <v>778</v>
      </c>
      <c r="P146" s="2" t="s">
        <v>779</v>
      </c>
    </row>
    <row r="147" customFormat="false" ht="35.05" hidden="false" customHeight="false" outlineLevel="0" collapsed="false">
      <c r="A147" s="2" t="s">
        <v>780</v>
      </c>
      <c r="B147" s="2" t="s">
        <v>781</v>
      </c>
      <c r="C147" s="2" t="s">
        <v>18</v>
      </c>
      <c r="D147" s="2" t="s">
        <v>645</v>
      </c>
      <c r="E147" s="2" t="s">
        <v>646</v>
      </c>
      <c r="F147" s="2" t="s">
        <v>42</v>
      </c>
      <c r="G147" s="2" t="s">
        <v>699</v>
      </c>
      <c r="H147" s="2"/>
      <c r="I147" s="2"/>
      <c r="J147" s="2" t="s">
        <v>23</v>
      </c>
      <c r="K147" s="2" t="s">
        <v>23</v>
      </c>
      <c r="L147" s="2" t="s">
        <v>699</v>
      </c>
      <c r="M147" s="2" t="s">
        <v>161</v>
      </c>
      <c r="N147" s="2" t="s">
        <v>26</v>
      </c>
      <c r="O147" s="2" t="s">
        <v>782</v>
      </c>
      <c r="P147" s="2" t="s">
        <v>783</v>
      </c>
    </row>
    <row r="148" customFormat="false" ht="68.65" hidden="false" customHeight="false" outlineLevel="0" collapsed="false">
      <c r="A148" s="2" t="s">
        <v>784</v>
      </c>
      <c r="B148" s="2" t="s">
        <v>785</v>
      </c>
      <c r="C148" s="2" t="s">
        <v>786</v>
      </c>
      <c r="D148" s="2" t="s">
        <v>645</v>
      </c>
      <c r="E148" s="2" t="s">
        <v>549</v>
      </c>
      <c r="F148" s="2" t="s">
        <v>179</v>
      </c>
      <c r="G148" s="2" t="s">
        <v>787</v>
      </c>
      <c r="H148" s="2" t="s">
        <v>686</v>
      </c>
      <c r="I148" s="2"/>
      <c r="J148" s="2" t="s">
        <v>23</v>
      </c>
      <c r="K148" s="2" t="s">
        <v>23</v>
      </c>
      <c r="L148" s="2" t="s">
        <v>788</v>
      </c>
      <c r="M148" s="2" t="s">
        <v>206</v>
      </c>
      <c r="N148" s="2" t="s">
        <v>36</v>
      </c>
      <c r="O148" s="2" t="s">
        <v>789</v>
      </c>
      <c r="P148" s="2" t="s">
        <v>790</v>
      </c>
    </row>
    <row r="149" customFormat="false" ht="68.65" hidden="false" customHeight="false" outlineLevel="0" collapsed="false">
      <c r="A149" s="2" t="s">
        <v>791</v>
      </c>
      <c r="B149" s="2" t="s">
        <v>792</v>
      </c>
      <c r="C149" s="2" t="s">
        <v>18</v>
      </c>
      <c r="D149" s="2" t="s">
        <v>645</v>
      </c>
      <c r="E149" s="2" t="s">
        <v>725</v>
      </c>
      <c r="F149" s="2" t="s">
        <v>42</v>
      </c>
      <c r="G149" s="2" t="s">
        <v>793</v>
      </c>
      <c r="H149" s="2"/>
      <c r="I149" s="2"/>
      <c r="J149" s="2" t="s">
        <v>23</v>
      </c>
      <c r="K149" s="2" t="s">
        <v>23</v>
      </c>
      <c r="L149" s="2" t="s">
        <v>793</v>
      </c>
      <c r="M149" s="2" t="s">
        <v>206</v>
      </c>
      <c r="N149" s="2" t="s">
        <v>26</v>
      </c>
      <c r="O149" s="2" t="s">
        <v>794</v>
      </c>
      <c r="P149" s="2" t="s">
        <v>795</v>
      </c>
    </row>
    <row r="150" customFormat="false" ht="68.65" hidden="false" customHeight="false" outlineLevel="0" collapsed="false">
      <c r="A150" s="2" t="s">
        <v>796</v>
      </c>
      <c r="B150" s="2" t="s">
        <v>797</v>
      </c>
      <c r="C150" s="2" t="s">
        <v>18</v>
      </c>
      <c r="D150" s="2" t="s">
        <v>645</v>
      </c>
      <c r="E150" s="2" t="s">
        <v>798</v>
      </c>
      <c r="F150" s="2" t="s">
        <v>42</v>
      </c>
      <c r="G150" s="2" t="s">
        <v>799</v>
      </c>
      <c r="H150" s="2"/>
      <c r="I150" s="2"/>
      <c r="J150" s="2" t="s">
        <v>23</v>
      </c>
      <c r="K150" s="2" t="s">
        <v>23</v>
      </c>
      <c r="L150" s="2" t="s">
        <v>799</v>
      </c>
      <c r="M150" s="2" t="s">
        <v>206</v>
      </c>
      <c r="N150" s="2" t="s">
        <v>26</v>
      </c>
      <c r="O150" s="2" t="s">
        <v>800</v>
      </c>
      <c r="P150" s="2" t="s">
        <v>801</v>
      </c>
    </row>
    <row r="151" customFormat="false" ht="68.65" hidden="false" customHeight="false" outlineLevel="0" collapsed="false">
      <c r="A151" s="2" t="s">
        <v>802</v>
      </c>
      <c r="B151" s="2" t="s">
        <v>803</v>
      </c>
      <c r="C151" s="2" t="s">
        <v>786</v>
      </c>
      <c r="D151" s="2" t="s">
        <v>645</v>
      </c>
      <c r="E151" s="2" t="s">
        <v>549</v>
      </c>
      <c r="F151" s="2" t="s">
        <v>21</v>
      </c>
      <c r="G151" s="2" t="s">
        <v>787</v>
      </c>
      <c r="H151" s="2" t="s">
        <v>686</v>
      </c>
      <c r="I151" s="2"/>
      <c r="J151" s="2" t="s">
        <v>35</v>
      </c>
      <c r="K151" s="2" t="s">
        <v>35</v>
      </c>
      <c r="L151" s="2" t="s">
        <v>804</v>
      </c>
      <c r="M151" s="2" t="s">
        <v>206</v>
      </c>
      <c r="N151" s="2" t="s">
        <v>36</v>
      </c>
      <c r="O151" s="2" t="s">
        <v>805</v>
      </c>
      <c r="P151" s="2" t="s">
        <v>806</v>
      </c>
    </row>
    <row r="152" customFormat="false" ht="46.25" hidden="false" customHeight="false" outlineLevel="0" collapsed="false">
      <c r="A152" s="2" t="s">
        <v>807</v>
      </c>
      <c r="B152" s="2" t="s">
        <v>808</v>
      </c>
      <c r="C152" s="2" t="s">
        <v>786</v>
      </c>
      <c r="D152" s="2" t="s">
        <v>645</v>
      </c>
      <c r="E152" s="2" t="s">
        <v>549</v>
      </c>
      <c r="F152" s="2" t="s">
        <v>21</v>
      </c>
      <c r="G152" s="2" t="s">
        <v>809</v>
      </c>
      <c r="H152" s="2" t="s">
        <v>686</v>
      </c>
      <c r="I152" s="2"/>
      <c r="J152" s="2" t="s">
        <v>35</v>
      </c>
      <c r="K152" s="2" t="s">
        <v>23</v>
      </c>
      <c r="L152" s="2" t="s">
        <v>810</v>
      </c>
      <c r="M152" s="2" t="s">
        <v>206</v>
      </c>
      <c r="N152" s="2" t="s">
        <v>36</v>
      </c>
      <c r="O152" s="2" t="s">
        <v>811</v>
      </c>
      <c r="P152" s="2" t="s">
        <v>812</v>
      </c>
    </row>
    <row r="153" customFormat="false" ht="57.45" hidden="false" customHeight="false" outlineLevel="0" collapsed="false">
      <c r="A153" s="2" t="s">
        <v>813</v>
      </c>
      <c r="B153" s="2" t="s">
        <v>814</v>
      </c>
      <c r="C153" s="2" t="s">
        <v>786</v>
      </c>
      <c r="D153" s="2" t="s">
        <v>645</v>
      </c>
      <c r="E153" s="2" t="s">
        <v>549</v>
      </c>
      <c r="F153" s="2" t="s">
        <v>21</v>
      </c>
      <c r="G153" s="2" t="s">
        <v>815</v>
      </c>
      <c r="H153" s="2" t="s">
        <v>686</v>
      </c>
      <c r="I153" s="2"/>
      <c r="J153" s="2" t="s">
        <v>35</v>
      </c>
      <c r="K153" s="2" t="s">
        <v>35</v>
      </c>
      <c r="L153" s="2" t="s">
        <v>816</v>
      </c>
      <c r="M153" s="2" t="s">
        <v>206</v>
      </c>
      <c r="N153" s="2" t="s">
        <v>36</v>
      </c>
      <c r="O153" s="2" t="s">
        <v>817</v>
      </c>
      <c r="P153" s="2" t="s">
        <v>818</v>
      </c>
    </row>
    <row r="154" customFormat="false" ht="57.45" hidden="false" customHeight="false" outlineLevel="0" collapsed="false">
      <c r="A154" s="2" t="s">
        <v>819</v>
      </c>
      <c r="B154" s="2" t="s">
        <v>820</v>
      </c>
      <c r="C154" s="2" t="s">
        <v>786</v>
      </c>
      <c r="D154" s="2" t="s">
        <v>645</v>
      </c>
      <c r="E154" s="2" t="s">
        <v>549</v>
      </c>
      <c r="F154" s="2" t="s">
        <v>21</v>
      </c>
      <c r="G154" s="2" t="s">
        <v>815</v>
      </c>
      <c r="H154" s="2" t="s">
        <v>686</v>
      </c>
      <c r="I154" s="2"/>
      <c r="J154" s="2" t="s">
        <v>35</v>
      </c>
      <c r="K154" s="2" t="s">
        <v>23</v>
      </c>
      <c r="L154" s="2" t="s">
        <v>821</v>
      </c>
      <c r="M154" s="2" t="s">
        <v>206</v>
      </c>
      <c r="N154" s="2" t="s">
        <v>36</v>
      </c>
      <c r="O154" s="2" t="s">
        <v>822</v>
      </c>
      <c r="P154" s="2" t="s">
        <v>823</v>
      </c>
    </row>
    <row r="155" customFormat="false" ht="57.45" hidden="false" customHeight="false" outlineLevel="0" collapsed="false">
      <c r="A155" s="2" t="s">
        <v>824</v>
      </c>
      <c r="B155" s="2" t="s">
        <v>825</v>
      </c>
      <c r="C155" s="2" t="s">
        <v>786</v>
      </c>
      <c r="D155" s="2" t="s">
        <v>645</v>
      </c>
      <c r="E155" s="2" t="s">
        <v>549</v>
      </c>
      <c r="F155" s="2" t="s">
        <v>21</v>
      </c>
      <c r="G155" s="2" t="s">
        <v>826</v>
      </c>
      <c r="H155" s="2" t="s">
        <v>686</v>
      </c>
      <c r="I155" s="2"/>
      <c r="J155" s="2" t="s">
        <v>35</v>
      </c>
      <c r="K155" s="2" t="s">
        <v>35</v>
      </c>
      <c r="L155" s="2" t="s">
        <v>827</v>
      </c>
      <c r="M155" s="2" t="s">
        <v>206</v>
      </c>
      <c r="N155" s="2" t="s">
        <v>36</v>
      </c>
      <c r="O155" s="2" t="s">
        <v>828</v>
      </c>
      <c r="P155" s="2" t="s">
        <v>829</v>
      </c>
    </row>
    <row r="156" customFormat="false" ht="68.65" hidden="false" customHeight="false" outlineLevel="0" collapsed="false">
      <c r="A156" s="2" t="s">
        <v>830</v>
      </c>
      <c r="B156" s="2" t="s">
        <v>831</v>
      </c>
      <c r="C156" s="2" t="s">
        <v>786</v>
      </c>
      <c r="D156" s="2" t="s">
        <v>645</v>
      </c>
      <c r="E156" s="2" t="s">
        <v>549</v>
      </c>
      <c r="F156" s="2" t="s">
        <v>21</v>
      </c>
      <c r="G156" s="2" t="s">
        <v>832</v>
      </c>
      <c r="H156" s="2" t="s">
        <v>833</v>
      </c>
      <c r="I156" s="2"/>
      <c r="J156" s="2" t="s">
        <v>35</v>
      </c>
      <c r="K156" s="2" t="s">
        <v>35</v>
      </c>
      <c r="L156" s="2" t="s">
        <v>834</v>
      </c>
      <c r="M156" s="2" t="s">
        <v>206</v>
      </c>
      <c r="N156" s="2" t="s">
        <v>36</v>
      </c>
      <c r="O156" s="2" t="s">
        <v>835</v>
      </c>
      <c r="P156" s="2" t="s">
        <v>836</v>
      </c>
    </row>
    <row r="157" customFormat="false" ht="35.05" hidden="false" customHeight="false" outlineLevel="0" collapsed="false">
      <c r="A157" s="2" t="s">
        <v>837</v>
      </c>
      <c r="B157" s="2" t="s">
        <v>838</v>
      </c>
      <c r="C157" s="2" t="s">
        <v>786</v>
      </c>
      <c r="D157" s="2" t="s">
        <v>645</v>
      </c>
      <c r="E157" s="2" t="s">
        <v>549</v>
      </c>
      <c r="F157" s="2" t="s">
        <v>21</v>
      </c>
      <c r="G157" s="2" t="s">
        <v>839</v>
      </c>
      <c r="H157" s="2" t="s">
        <v>840</v>
      </c>
      <c r="I157" s="2"/>
      <c r="J157" s="2" t="s">
        <v>35</v>
      </c>
      <c r="K157" s="2" t="s">
        <v>23</v>
      </c>
      <c r="L157" s="2" t="s">
        <v>841</v>
      </c>
      <c r="M157" s="2" t="s">
        <v>206</v>
      </c>
      <c r="N157" s="2" t="s">
        <v>36</v>
      </c>
      <c r="O157" s="2" t="s">
        <v>842</v>
      </c>
      <c r="P157" s="2" t="s">
        <v>843</v>
      </c>
    </row>
    <row r="158" customFormat="false" ht="46.25" hidden="false" customHeight="false" outlineLevel="0" collapsed="false">
      <c r="A158" s="2" t="s">
        <v>844</v>
      </c>
      <c r="B158" s="2" t="s">
        <v>845</v>
      </c>
      <c r="C158" s="2" t="s">
        <v>786</v>
      </c>
      <c r="D158" s="2" t="s">
        <v>645</v>
      </c>
      <c r="E158" s="2" t="s">
        <v>549</v>
      </c>
      <c r="F158" s="2" t="s">
        <v>21</v>
      </c>
      <c r="G158" s="2" t="s">
        <v>846</v>
      </c>
      <c r="H158" s="2" t="s">
        <v>686</v>
      </c>
      <c r="I158" s="2"/>
      <c r="J158" s="2" t="s">
        <v>35</v>
      </c>
      <c r="K158" s="2" t="s">
        <v>35</v>
      </c>
      <c r="L158" s="2" t="s">
        <v>847</v>
      </c>
      <c r="M158" s="2" t="s">
        <v>206</v>
      </c>
      <c r="N158" s="2" t="s">
        <v>36</v>
      </c>
      <c r="O158" s="2" t="s">
        <v>848</v>
      </c>
      <c r="P158" s="2" t="s">
        <v>849</v>
      </c>
    </row>
    <row r="159" customFormat="false" ht="68.65" hidden="false" customHeight="false" outlineLevel="0" collapsed="false">
      <c r="A159" s="2" t="s">
        <v>850</v>
      </c>
      <c r="B159" s="2" t="s">
        <v>851</v>
      </c>
      <c r="C159" s="2" t="s">
        <v>786</v>
      </c>
      <c r="D159" s="2" t="s">
        <v>645</v>
      </c>
      <c r="E159" s="2" t="s">
        <v>549</v>
      </c>
      <c r="F159" s="2" t="s">
        <v>21</v>
      </c>
      <c r="G159" s="2" t="s">
        <v>852</v>
      </c>
      <c r="H159" s="2" t="s">
        <v>686</v>
      </c>
      <c r="I159" s="2"/>
      <c r="J159" s="2" t="s">
        <v>35</v>
      </c>
      <c r="K159" s="2" t="s">
        <v>35</v>
      </c>
      <c r="L159" s="2" t="s">
        <v>853</v>
      </c>
      <c r="M159" s="2" t="s">
        <v>206</v>
      </c>
      <c r="N159" s="2" t="s">
        <v>36</v>
      </c>
      <c r="O159" s="2" t="s">
        <v>854</v>
      </c>
      <c r="P159" s="2" t="s">
        <v>855</v>
      </c>
    </row>
    <row r="160" customFormat="false" ht="35.05" hidden="false" customHeight="false" outlineLevel="0" collapsed="false">
      <c r="A160" s="2" t="s">
        <v>856</v>
      </c>
      <c r="B160" s="2" t="s">
        <v>857</v>
      </c>
      <c r="C160" s="2" t="s">
        <v>786</v>
      </c>
      <c r="D160" s="2" t="s">
        <v>645</v>
      </c>
      <c r="E160" s="2" t="s">
        <v>858</v>
      </c>
      <c r="F160" s="2" t="s">
        <v>21</v>
      </c>
      <c r="G160" s="2" t="s">
        <v>662</v>
      </c>
      <c r="H160" s="2" t="s">
        <v>686</v>
      </c>
      <c r="I160" s="2"/>
      <c r="J160" s="2" t="s">
        <v>35</v>
      </c>
      <c r="K160" s="2" t="s">
        <v>35</v>
      </c>
      <c r="L160" s="2" t="s">
        <v>859</v>
      </c>
      <c r="M160" s="2" t="s">
        <v>206</v>
      </c>
      <c r="N160" s="2" t="s">
        <v>36</v>
      </c>
      <c r="O160" s="2" t="s">
        <v>860</v>
      </c>
      <c r="P160" s="2" t="s">
        <v>861</v>
      </c>
    </row>
    <row r="161" customFormat="false" ht="79.85" hidden="false" customHeight="false" outlineLevel="0" collapsed="false">
      <c r="A161" s="2" t="s">
        <v>862</v>
      </c>
      <c r="B161" s="2" t="s">
        <v>863</v>
      </c>
      <c r="C161" s="2" t="s">
        <v>786</v>
      </c>
      <c r="D161" s="2" t="s">
        <v>645</v>
      </c>
      <c r="E161" s="2" t="s">
        <v>549</v>
      </c>
      <c r="F161" s="2" t="s">
        <v>530</v>
      </c>
      <c r="G161" s="2"/>
      <c r="H161" s="2" t="s">
        <v>686</v>
      </c>
      <c r="I161" s="2"/>
      <c r="J161" s="2" t="s">
        <v>35</v>
      </c>
      <c r="K161" s="2" t="s">
        <v>35</v>
      </c>
      <c r="L161" s="2" t="s">
        <v>686</v>
      </c>
      <c r="M161" s="2" t="s">
        <v>206</v>
      </c>
      <c r="N161" s="2" t="s">
        <v>36</v>
      </c>
      <c r="O161" s="2" t="s">
        <v>864</v>
      </c>
      <c r="P161" s="2" t="s">
        <v>865</v>
      </c>
    </row>
    <row r="162" customFormat="false" ht="57.45" hidden="false" customHeight="false" outlineLevel="0" collapsed="false">
      <c r="A162" s="2" t="s">
        <v>866</v>
      </c>
      <c r="B162" s="2" t="s">
        <v>867</v>
      </c>
      <c r="C162" s="2" t="s">
        <v>786</v>
      </c>
      <c r="D162" s="2" t="s">
        <v>645</v>
      </c>
      <c r="E162" s="2" t="s">
        <v>549</v>
      </c>
      <c r="F162" s="2" t="s">
        <v>21</v>
      </c>
      <c r="G162" s="2" t="s">
        <v>868</v>
      </c>
      <c r="H162" s="2" t="s">
        <v>869</v>
      </c>
      <c r="I162" s="2"/>
      <c r="J162" s="2" t="s">
        <v>35</v>
      </c>
      <c r="K162" s="2" t="s">
        <v>35</v>
      </c>
      <c r="L162" s="2" t="s">
        <v>870</v>
      </c>
      <c r="M162" s="2" t="s">
        <v>206</v>
      </c>
      <c r="N162" s="2" t="s">
        <v>36</v>
      </c>
      <c r="O162" s="2" t="s">
        <v>871</v>
      </c>
      <c r="P162" s="2" t="s">
        <v>872</v>
      </c>
    </row>
    <row r="163" customFormat="false" ht="147" hidden="false" customHeight="false" outlineLevel="0" collapsed="false">
      <c r="A163" s="2" t="s">
        <v>873</v>
      </c>
      <c r="B163" s="2" t="s">
        <v>874</v>
      </c>
      <c r="C163" s="2" t="s">
        <v>18</v>
      </c>
      <c r="D163" s="2" t="s">
        <v>645</v>
      </c>
      <c r="E163" s="2" t="s">
        <v>725</v>
      </c>
      <c r="F163" s="2" t="s">
        <v>42</v>
      </c>
      <c r="G163" s="2" t="s">
        <v>793</v>
      </c>
      <c r="H163" s="2" t="s">
        <v>693</v>
      </c>
      <c r="I163" s="2" t="s">
        <v>543</v>
      </c>
      <c r="J163" s="2" t="s">
        <v>35</v>
      </c>
      <c r="K163" s="2" t="s">
        <v>23</v>
      </c>
      <c r="L163" s="2" t="s">
        <v>875</v>
      </c>
      <c r="M163" s="2" t="s">
        <v>206</v>
      </c>
      <c r="N163" s="2" t="s">
        <v>36</v>
      </c>
      <c r="O163" s="2" t="s">
        <v>876</v>
      </c>
      <c r="P163" s="2" t="s">
        <v>877</v>
      </c>
    </row>
    <row r="164" customFormat="false" ht="135.8" hidden="false" customHeight="false" outlineLevel="0" collapsed="false">
      <c r="A164" s="2" t="s">
        <v>878</v>
      </c>
      <c r="B164" s="2" t="s">
        <v>879</v>
      </c>
      <c r="C164" s="2" t="s">
        <v>880</v>
      </c>
      <c r="D164" s="2" t="s">
        <v>645</v>
      </c>
      <c r="E164" s="2" t="s">
        <v>725</v>
      </c>
      <c r="F164" s="2" t="s">
        <v>21</v>
      </c>
      <c r="G164" s="2" t="s">
        <v>881</v>
      </c>
      <c r="H164" s="2" t="s">
        <v>693</v>
      </c>
      <c r="I164" s="2"/>
      <c r="J164" s="2" t="s">
        <v>35</v>
      </c>
      <c r="K164" s="2" t="s">
        <v>35</v>
      </c>
      <c r="L164" s="2" t="s">
        <v>882</v>
      </c>
      <c r="M164" s="2" t="s">
        <v>206</v>
      </c>
      <c r="N164" s="2" t="s">
        <v>26</v>
      </c>
      <c r="O164" s="2" t="s">
        <v>883</v>
      </c>
      <c r="P164" s="2" t="s">
        <v>884</v>
      </c>
    </row>
    <row r="165" customFormat="false" ht="135.8" hidden="false" customHeight="false" outlineLevel="0" collapsed="false">
      <c r="A165" s="2" t="s">
        <v>885</v>
      </c>
      <c r="B165" s="2" t="s">
        <v>886</v>
      </c>
      <c r="C165" s="2" t="s">
        <v>880</v>
      </c>
      <c r="D165" s="2" t="s">
        <v>645</v>
      </c>
      <c r="E165" s="2" t="s">
        <v>725</v>
      </c>
      <c r="F165" s="2" t="s">
        <v>21</v>
      </c>
      <c r="G165" s="2" t="s">
        <v>881</v>
      </c>
      <c r="H165" s="2" t="s">
        <v>693</v>
      </c>
      <c r="I165" s="2"/>
      <c r="J165" s="2" t="s">
        <v>35</v>
      </c>
      <c r="K165" s="2" t="s">
        <v>35</v>
      </c>
      <c r="L165" s="2" t="s">
        <v>882</v>
      </c>
      <c r="M165" s="2" t="s">
        <v>206</v>
      </c>
      <c r="N165" s="2" t="s">
        <v>26</v>
      </c>
      <c r="O165" s="2" t="s">
        <v>887</v>
      </c>
      <c r="P165" s="2" t="s">
        <v>888</v>
      </c>
    </row>
    <row r="166" customFormat="false" ht="79.85" hidden="false" customHeight="false" outlineLevel="0" collapsed="false">
      <c r="A166" s="2" t="s">
        <v>889</v>
      </c>
      <c r="B166" s="2" t="s">
        <v>890</v>
      </c>
      <c r="C166" s="2" t="s">
        <v>18</v>
      </c>
      <c r="D166" s="2" t="s">
        <v>645</v>
      </c>
      <c r="E166" s="2" t="s">
        <v>725</v>
      </c>
      <c r="F166" s="2" t="s">
        <v>530</v>
      </c>
      <c r="G166" s="2" t="s">
        <v>891</v>
      </c>
      <c r="H166" s="2" t="s">
        <v>693</v>
      </c>
      <c r="I166" s="2"/>
      <c r="J166" s="2" t="s">
        <v>23</v>
      </c>
      <c r="K166" s="2" t="s">
        <v>23</v>
      </c>
      <c r="L166" s="2" t="s">
        <v>892</v>
      </c>
      <c r="M166" s="2" t="s">
        <v>206</v>
      </c>
      <c r="N166" s="2" t="s">
        <v>26</v>
      </c>
      <c r="O166" s="2" t="s">
        <v>893</v>
      </c>
      <c r="P166" s="2" t="s">
        <v>894</v>
      </c>
    </row>
    <row r="167" customFormat="false" ht="68.65" hidden="false" customHeight="false" outlineLevel="0" collapsed="false">
      <c r="A167" s="2" t="s">
        <v>895</v>
      </c>
      <c r="B167" s="2" t="s">
        <v>896</v>
      </c>
      <c r="C167" s="2" t="s">
        <v>18</v>
      </c>
      <c r="D167" s="2" t="s">
        <v>645</v>
      </c>
      <c r="E167" s="2" t="s">
        <v>725</v>
      </c>
      <c r="F167" s="2" t="s">
        <v>530</v>
      </c>
      <c r="G167" s="2" t="s">
        <v>891</v>
      </c>
      <c r="H167" s="2" t="s">
        <v>693</v>
      </c>
      <c r="I167" s="2"/>
      <c r="J167" s="2" t="s">
        <v>23</v>
      </c>
      <c r="K167" s="2" t="s">
        <v>35</v>
      </c>
      <c r="L167" s="2" t="s">
        <v>892</v>
      </c>
      <c r="M167" s="2" t="s">
        <v>206</v>
      </c>
      <c r="N167" s="2" t="s">
        <v>26</v>
      </c>
      <c r="O167" s="2" t="s">
        <v>897</v>
      </c>
      <c r="P167" s="2" t="s">
        <v>898</v>
      </c>
    </row>
    <row r="168" customFormat="false" ht="57.45" hidden="false" customHeight="false" outlineLevel="0" collapsed="false">
      <c r="A168" s="2" t="s">
        <v>899</v>
      </c>
      <c r="B168" s="2" t="s">
        <v>900</v>
      </c>
      <c r="C168" s="2" t="s">
        <v>18</v>
      </c>
      <c r="D168" s="2" t="s">
        <v>645</v>
      </c>
      <c r="E168" s="2" t="s">
        <v>725</v>
      </c>
      <c r="F168" s="2" t="s">
        <v>42</v>
      </c>
      <c r="G168" s="2" t="s">
        <v>891</v>
      </c>
      <c r="H168" s="2" t="s">
        <v>693</v>
      </c>
      <c r="I168" s="2" t="s">
        <v>543</v>
      </c>
      <c r="J168" s="2" t="s">
        <v>23</v>
      </c>
      <c r="K168" s="2" t="s">
        <v>23</v>
      </c>
      <c r="L168" s="2" t="s">
        <v>892</v>
      </c>
      <c r="M168" s="2" t="s">
        <v>206</v>
      </c>
      <c r="N168" s="2" t="s">
        <v>26</v>
      </c>
      <c r="O168" s="2" t="s">
        <v>901</v>
      </c>
      <c r="P168" s="2" t="s">
        <v>902</v>
      </c>
    </row>
    <row r="169" customFormat="false" ht="35.05" hidden="false" customHeight="false" outlineLevel="0" collapsed="false">
      <c r="A169" s="2" t="s">
        <v>903</v>
      </c>
      <c r="B169" s="2" t="s">
        <v>904</v>
      </c>
      <c r="C169" s="2" t="s">
        <v>18</v>
      </c>
      <c r="D169" s="2" t="s">
        <v>645</v>
      </c>
      <c r="E169" s="2" t="s">
        <v>725</v>
      </c>
      <c r="F169" s="2" t="s">
        <v>179</v>
      </c>
      <c r="G169" s="2" t="s">
        <v>891</v>
      </c>
      <c r="H169" s="2"/>
      <c r="I169" s="2"/>
      <c r="J169" s="2" t="s">
        <v>23</v>
      </c>
      <c r="K169" s="2" t="s">
        <v>23</v>
      </c>
      <c r="L169" s="2" t="s">
        <v>891</v>
      </c>
      <c r="M169" s="2" t="s">
        <v>206</v>
      </c>
      <c r="N169" s="2" t="s">
        <v>26</v>
      </c>
      <c r="O169" s="2" t="s">
        <v>905</v>
      </c>
      <c r="P169" s="2" t="s">
        <v>906</v>
      </c>
    </row>
    <row r="170" customFormat="false" ht="91" hidden="false" customHeight="false" outlineLevel="0" collapsed="false">
      <c r="A170" s="2" t="s">
        <v>907</v>
      </c>
      <c r="B170" s="2" t="s">
        <v>908</v>
      </c>
      <c r="C170" s="2" t="s">
        <v>18</v>
      </c>
      <c r="D170" s="2" t="s">
        <v>645</v>
      </c>
      <c r="E170" s="2" t="s">
        <v>20</v>
      </c>
      <c r="F170" s="2" t="s">
        <v>21</v>
      </c>
      <c r="G170" s="2" t="s">
        <v>909</v>
      </c>
      <c r="H170" s="2" t="s">
        <v>743</v>
      </c>
      <c r="I170" s="2"/>
      <c r="J170" s="2" t="s">
        <v>23</v>
      </c>
      <c r="K170" s="2" t="s">
        <v>23</v>
      </c>
      <c r="L170" s="2" t="s">
        <v>910</v>
      </c>
      <c r="M170" s="2" t="s">
        <v>206</v>
      </c>
      <c r="N170" s="2" t="s">
        <v>26</v>
      </c>
      <c r="O170" s="2" t="s">
        <v>911</v>
      </c>
      <c r="P170" s="2" t="s">
        <v>912</v>
      </c>
    </row>
    <row r="171" customFormat="false" ht="46.25" hidden="false" customHeight="false" outlineLevel="0" collapsed="false">
      <c r="A171" s="2" t="s">
        <v>913</v>
      </c>
      <c r="B171" s="2" t="s">
        <v>914</v>
      </c>
      <c r="C171" s="2" t="s">
        <v>18</v>
      </c>
      <c r="D171" s="2" t="s">
        <v>645</v>
      </c>
      <c r="E171" s="2" t="s">
        <v>725</v>
      </c>
      <c r="F171" s="2" t="s">
        <v>21</v>
      </c>
      <c r="G171" s="2" t="s">
        <v>915</v>
      </c>
      <c r="H171" s="2"/>
      <c r="I171" s="2"/>
      <c r="J171" s="2" t="s">
        <v>23</v>
      </c>
      <c r="K171" s="2" t="s">
        <v>23</v>
      </c>
      <c r="L171" s="2" t="s">
        <v>915</v>
      </c>
      <c r="M171" s="2" t="s">
        <v>206</v>
      </c>
      <c r="N171" s="2" t="s">
        <v>26</v>
      </c>
      <c r="O171" s="2" t="s">
        <v>916</v>
      </c>
      <c r="P171" s="2" t="s">
        <v>917</v>
      </c>
    </row>
    <row r="172" customFormat="false" ht="214.15" hidden="false" customHeight="false" outlineLevel="0" collapsed="false">
      <c r="A172" s="2" t="s">
        <v>918</v>
      </c>
      <c r="B172" s="2" t="s">
        <v>919</v>
      </c>
      <c r="C172" s="2" t="s">
        <v>18</v>
      </c>
      <c r="D172" s="2" t="s">
        <v>920</v>
      </c>
      <c r="E172" s="2" t="s">
        <v>921</v>
      </c>
      <c r="F172" s="2" t="s">
        <v>922</v>
      </c>
      <c r="G172" s="2" t="s">
        <v>923</v>
      </c>
      <c r="H172" s="2" t="s">
        <v>924</v>
      </c>
      <c r="I172" s="2" t="s">
        <v>543</v>
      </c>
      <c r="J172" s="2" t="s">
        <v>35</v>
      </c>
      <c r="K172" s="2" t="s">
        <v>35</v>
      </c>
      <c r="L172" s="2" t="s">
        <v>925</v>
      </c>
      <c r="M172" s="2" t="s">
        <v>206</v>
      </c>
      <c r="N172" s="2" t="s">
        <v>26</v>
      </c>
      <c r="O172" s="2" t="s">
        <v>926</v>
      </c>
      <c r="P172" s="2" t="s">
        <v>927</v>
      </c>
    </row>
    <row r="173" customFormat="false" ht="124.6" hidden="false" customHeight="false" outlineLevel="0" collapsed="false">
      <c r="A173" s="2" t="s">
        <v>928</v>
      </c>
      <c r="B173" s="2" t="s">
        <v>929</v>
      </c>
      <c r="C173" s="2" t="s">
        <v>930</v>
      </c>
      <c r="D173" s="2" t="s">
        <v>645</v>
      </c>
      <c r="E173" s="2" t="s">
        <v>921</v>
      </c>
      <c r="F173" s="2" t="s">
        <v>21</v>
      </c>
      <c r="G173" s="2" t="s">
        <v>931</v>
      </c>
      <c r="H173" s="2" t="s">
        <v>735</v>
      </c>
      <c r="I173" s="2" t="s">
        <v>932</v>
      </c>
      <c r="J173" s="2" t="s">
        <v>35</v>
      </c>
      <c r="K173" s="2" t="s">
        <v>35</v>
      </c>
      <c r="L173" s="2" t="s">
        <v>933</v>
      </c>
      <c r="M173" s="2" t="s">
        <v>206</v>
      </c>
      <c r="N173" s="2" t="s">
        <v>26</v>
      </c>
      <c r="O173" s="2" t="s">
        <v>934</v>
      </c>
      <c r="P173" s="2" t="s">
        <v>935</v>
      </c>
    </row>
    <row r="174" customFormat="false" ht="68.65" hidden="false" customHeight="false" outlineLevel="0" collapsed="false">
      <c r="A174" s="2" t="s">
        <v>936</v>
      </c>
      <c r="B174" s="2" t="s">
        <v>937</v>
      </c>
      <c r="C174" s="2" t="s">
        <v>18</v>
      </c>
      <c r="D174" s="2" t="s">
        <v>645</v>
      </c>
      <c r="E174" s="2" t="s">
        <v>921</v>
      </c>
      <c r="F174" s="2" t="s">
        <v>530</v>
      </c>
      <c r="G174" s="2" t="s">
        <v>923</v>
      </c>
      <c r="H174" s="2" t="s">
        <v>735</v>
      </c>
      <c r="I174" s="2"/>
      <c r="J174" s="2" t="s">
        <v>23</v>
      </c>
      <c r="K174" s="2" t="s">
        <v>23</v>
      </c>
      <c r="L174" s="2" t="s">
        <v>938</v>
      </c>
      <c r="M174" s="2" t="s">
        <v>206</v>
      </c>
      <c r="N174" s="2" t="s">
        <v>26</v>
      </c>
      <c r="O174" s="2" t="s">
        <v>939</v>
      </c>
      <c r="P174" s="2" t="s">
        <v>940</v>
      </c>
    </row>
    <row r="175" customFormat="false" ht="124.6" hidden="false" customHeight="false" outlineLevel="0" collapsed="false">
      <c r="A175" s="2" t="s">
        <v>941</v>
      </c>
      <c r="B175" s="2" t="s">
        <v>942</v>
      </c>
      <c r="C175" s="2" t="s">
        <v>18</v>
      </c>
      <c r="D175" s="2" t="s">
        <v>645</v>
      </c>
      <c r="E175" s="2" t="s">
        <v>943</v>
      </c>
      <c r="F175" s="2" t="s">
        <v>21</v>
      </c>
      <c r="G175" s="2" t="s">
        <v>944</v>
      </c>
      <c r="H175" s="2" t="s">
        <v>735</v>
      </c>
      <c r="I175" s="2" t="s">
        <v>945</v>
      </c>
      <c r="J175" s="2" t="s">
        <v>35</v>
      </c>
      <c r="K175" s="2" t="s">
        <v>35</v>
      </c>
      <c r="L175" s="2" t="s">
        <v>946</v>
      </c>
      <c r="M175" s="2" t="s">
        <v>206</v>
      </c>
      <c r="N175" s="2" t="s">
        <v>36</v>
      </c>
      <c r="O175" s="2" t="s">
        <v>947</v>
      </c>
      <c r="P175" s="2" t="s">
        <v>948</v>
      </c>
    </row>
    <row r="176" customFormat="false" ht="46.25" hidden="false" customHeight="false" outlineLevel="0" collapsed="false">
      <c r="A176" s="2" t="s">
        <v>949</v>
      </c>
      <c r="B176" s="2" t="s">
        <v>950</v>
      </c>
      <c r="C176" s="2" t="s">
        <v>18</v>
      </c>
      <c r="D176" s="2" t="s">
        <v>645</v>
      </c>
      <c r="E176" s="2" t="s">
        <v>951</v>
      </c>
      <c r="F176" s="2" t="s">
        <v>530</v>
      </c>
      <c r="G176" s="2" t="s">
        <v>952</v>
      </c>
      <c r="H176" s="2" t="s">
        <v>735</v>
      </c>
      <c r="I176" s="2"/>
      <c r="J176" s="2" t="s">
        <v>23</v>
      </c>
      <c r="K176" s="2" t="s">
        <v>23</v>
      </c>
      <c r="L176" s="2" t="s">
        <v>953</v>
      </c>
      <c r="M176" s="2" t="s">
        <v>206</v>
      </c>
      <c r="N176" s="2" t="s">
        <v>26</v>
      </c>
      <c r="O176" s="2" t="s">
        <v>954</v>
      </c>
      <c r="P176" s="2" t="s">
        <v>955</v>
      </c>
    </row>
    <row r="177" customFormat="false" ht="57.45" hidden="false" customHeight="false" outlineLevel="0" collapsed="false">
      <c r="A177" s="2" t="s">
        <v>956</v>
      </c>
      <c r="B177" s="2" t="s">
        <v>957</v>
      </c>
      <c r="C177" s="2" t="s">
        <v>18</v>
      </c>
      <c r="D177" s="2" t="s">
        <v>645</v>
      </c>
      <c r="E177" s="2" t="s">
        <v>921</v>
      </c>
      <c r="F177" s="2" t="s">
        <v>21</v>
      </c>
      <c r="G177" s="2" t="s">
        <v>958</v>
      </c>
      <c r="H177" s="2" t="s">
        <v>735</v>
      </c>
      <c r="I177" s="2"/>
      <c r="J177" s="2" t="s">
        <v>23</v>
      </c>
      <c r="K177" s="2" t="s">
        <v>23</v>
      </c>
      <c r="L177" s="2" t="s">
        <v>959</v>
      </c>
      <c r="M177" s="2" t="s">
        <v>206</v>
      </c>
      <c r="N177" s="2" t="s">
        <v>26</v>
      </c>
      <c r="O177" s="2" t="s">
        <v>960</v>
      </c>
      <c r="P177" s="2" t="s">
        <v>961</v>
      </c>
    </row>
    <row r="178" customFormat="false" ht="57.45" hidden="false" customHeight="false" outlineLevel="0" collapsed="false">
      <c r="A178" s="2" t="s">
        <v>962</v>
      </c>
      <c r="B178" s="2" t="s">
        <v>963</v>
      </c>
      <c r="C178" s="2" t="s">
        <v>18</v>
      </c>
      <c r="D178" s="2" t="s">
        <v>645</v>
      </c>
      <c r="E178" s="2" t="s">
        <v>921</v>
      </c>
      <c r="F178" s="2" t="s">
        <v>21</v>
      </c>
      <c r="G178" s="2" t="s">
        <v>923</v>
      </c>
      <c r="H178" s="2" t="s">
        <v>735</v>
      </c>
      <c r="I178" s="2"/>
      <c r="J178" s="2" t="s">
        <v>23</v>
      </c>
      <c r="K178" s="2" t="s">
        <v>23</v>
      </c>
      <c r="L178" s="2" t="s">
        <v>938</v>
      </c>
      <c r="M178" s="2" t="s">
        <v>206</v>
      </c>
      <c r="N178" s="2" t="s">
        <v>36</v>
      </c>
      <c r="O178" s="2" t="s">
        <v>964</v>
      </c>
      <c r="P178" s="2" t="s">
        <v>965</v>
      </c>
    </row>
    <row r="179" customFormat="false" ht="79.85" hidden="false" customHeight="false" outlineLevel="0" collapsed="false">
      <c r="A179" s="2" t="s">
        <v>966</v>
      </c>
      <c r="B179" s="2" t="s">
        <v>967</v>
      </c>
      <c r="C179" s="2" t="s">
        <v>18</v>
      </c>
      <c r="D179" s="2" t="s">
        <v>645</v>
      </c>
      <c r="E179" s="2" t="s">
        <v>798</v>
      </c>
      <c r="F179" s="2" t="s">
        <v>179</v>
      </c>
      <c r="G179" s="2" t="s">
        <v>968</v>
      </c>
      <c r="H179" s="2"/>
      <c r="I179" s="2"/>
      <c r="J179" s="2" t="s">
        <v>23</v>
      </c>
      <c r="K179" s="2" t="s">
        <v>23</v>
      </c>
      <c r="L179" s="2" t="s">
        <v>969</v>
      </c>
      <c r="M179" s="2" t="s">
        <v>206</v>
      </c>
      <c r="N179" s="2" t="s">
        <v>36</v>
      </c>
      <c r="O179" s="2" t="s">
        <v>970</v>
      </c>
      <c r="P179" s="2" t="s">
        <v>971</v>
      </c>
    </row>
    <row r="180" customFormat="false" ht="135.8" hidden="false" customHeight="false" outlineLevel="0" collapsed="false">
      <c r="A180" s="2" t="s">
        <v>972</v>
      </c>
      <c r="B180" s="2" t="s">
        <v>973</v>
      </c>
      <c r="C180" s="2" t="s">
        <v>974</v>
      </c>
      <c r="D180" s="2" t="s">
        <v>645</v>
      </c>
      <c r="E180" s="2" t="s">
        <v>798</v>
      </c>
      <c r="F180" s="2" t="s">
        <v>21</v>
      </c>
      <c r="G180" s="2" t="s">
        <v>975</v>
      </c>
      <c r="H180" s="2" t="s">
        <v>976</v>
      </c>
      <c r="I180" s="2"/>
      <c r="J180" s="2" t="s">
        <v>35</v>
      </c>
      <c r="K180" s="2" t="s">
        <v>35</v>
      </c>
      <c r="L180" s="2" t="s">
        <v>977</v>
      </c>
      <c r="M180" s="2" t="s">
        <v>206</v>
      </c>
      <c r="N180" s="2" t="s">
        <v>36</v>
      </c>
      <c r="O180" s="2" t="s">
        <v>978</v>
      </c>
      <c r="P180" s="2" t="s">
        <v>979</v>
      </c>
    </row>
    <row r="181" customFormat="false" ht="91" hidden="false" customHeight="false" outlineLevel="0" collapsed="false">
      <c r="A181" s="2" t="s">
        <v>980</v>
      </c>
      <c r="B181" s="2" t="s">
        <v>981</v>
      </c>
      <c r="C181" s="2" t="s">
        <v>974</v>
      </c>
      <c r="D181" s="2" t="s">
        <v>645</v>
      </c>
      <c r="E181" s="2" t="s">
        <v>798</v>
      </c>
      <c r="F181" s="2" t="s">
        <v>530</v>
      </c>
      <c r="G181" s="2" t="s">
        <v>982</v>
      </c>
      <c r="H181" s="2" t="s">
        <v>976</v>
      </c>
      <c r="I181" s="2"/>
      <c r="J181" s="2" t="s">
        <v>35</v>
      </c>
      <c r="K181" s="2" t="s">
        <v>35</v>
      </c>
      <c r="L181" s="2" t="s">
        <v>983</v>
      </c>
      <c r="M181" s="2" t="s">
        <v>206</v>
      </c>
      <c r="N181" s="2" t="s">
        <v>36</v>
      </c>
      <c r="O181" s="2" t="s">
        <v>984</v>
      </c>
      <c r="P181" s="2" t="s">
        <v>985</v>
      </c>
    </row>
    <row r="182" customFormat="false" ht="35.05" hidden="false" customHeight="false" outlineLevel="0" collapsed="false">
      <c r="A182" s="2" t="s">
        <v>986</v>
      </c>
      <c r="B182" s="2" t="s">
        <v>987</v>
      </c>
      <c r="C182" s="2" t="s">
        <v>18</v>
      </c>
      <c r="D182" s="2" t="s">
        <v>645</v>
      </c>
      <c r="E182" s="2" t="s">
        <v>798</v>
      </c>
      <c r="F182" s="2" t="s">
        <v>21</v>
      </c>
      <c r="G182" s="2" t="s">
        <v>988</v>
      </c>
      <c r="H182" s="2"/>
      <c r="I182" s="2"/>
      <c r="J182" s="2" t="s">
        <v>23</v>
      </c>
      <c r="K182" s="2" t="s">
        <v>23</v>
      </c>
      <c r="L182" s="2" t="s">
        <v>988</v>
      </c>
      <c r="M182" s="2" t="s">
        <v>206</v>
      </c>
      <c r="N182" s="2" t="s">
        <v>26</v>
      </c>
      <c r="O182" s="2" t="s">
        <v>989</v>
      </c>
      <c r="P182" s="2" t="s">
        <v>990</v>
      </c>
    </row>
    <row r="183" customFormat="false" ht="46.25" hidden="false" customHeight="false" outlineLevel="0" collapsed="false">
      <c r="A183" s="2" t="s">
        <v>991</v>
      </c>
      <c r="B183" s="2" t="s">
        <v>992</v>
      </c>
      <c r="C183" s="2" t="s">
        <v>18</v>
      </c>
      <c r="D183" s="2" t="s">
        <v>645</v>
      </c>
      <c r="E183" s="2" t="s">
        <v>798</v>
      </c>
      <c r="F183" s="2" t="s">
        <v>21</v>
      </c>
      <c r="G183" s="2" t="s">
        <v>988</v>
      </c>
      <c r="H183" s="2"/>
      <c r="I183" s="2"/>
      <c r="J183" s="2" t="s">
        <v>23</v>
      </c>
      <c r="K183" s="2" t="s">
        <v>23</v>
      </c>
      <c r="L183" s="2" t="s">
        <v>988</v>
      </c>
      <c r="M183" s="2" t="s">
        <v>206</v>
      </c>
      <c r="N183" s="2" t="s">
        <v>26</v>
      </c>
      <c r="O183" s="2" t="s">
        <v>993</v>
      </c>
      <c r="P183" s="2" t="s">
        <v>994</v>
      </c>
    </row>
    <row r="184" customFormat="false" ht="35.05" hidden="false" customHeight="false" outlineLevel="0" collapsed="false">
      <c r="A184" s="2" t="s">
        <v>995</v>
      </c>
      <c r="B184" s="2" t="s">
        <v>996</v>
      </c>
      <c r="C184" s="2" t="s">
        <v>18</v>
      </c>
      <c r="D184" s="2" t="s">
        <v>645</v>
      </c>
      <c r="E184" s="2" t="s">
        <v>798</v>
      </c>
      <c r="F184" s="2" t="s">
        <v>179</v>
      </c>
      <c r="G184" s="2" t="s">
        <v>997</v>
      </c>
      <c r="H184" s="2"/>
      <c r="I184" s="2"/>
      <c r="J184" s="2" t="s">
        <v>23</v>
      </c>
      <c r="K184" s="2" t="s">
        <v>23</v>
      </c>
      <c r="L184" s="2" t="s">
        <v>997</v>
      </c>
      <c r="M184" s="2" t="s">
        <v>206</v>
      </c>
      <c r="N184" s="2" t="s">
        <v>26</v>
      </c>
      <c r="O184" s="2" t="s">
        <v>998</v>
      </c>
      <c r="P184" s="2" t="s">
        <v>999</v>
      </c>
    </row>
    <row r="185" customFormat="false" ht="68.65" hidden="false" customHeight="false" outlineLevel="0" collapsed="false">
      <c r="A185" s="2" t="s">
        <v>1000</v>
      </c>
      <c r="B185" s="2" t="s">
        <v>1001</v>
      </c>
      <c r="C185" s="2" t="s">
        <v>18</v>
      </c>
      <c r="D185" s="2" t="s">
        <v>645</v>
      </c>
      <c r="E185" s="2" t="s">
        <v>798</v>
      </c>
      <c r="F185" s="2" t="s">
        <v>21</v>
      </c>
      <c r="G185" s="2" t="s">
        <v>1002</v>
      </c>
      <c r="H185" s="2" t="s">
        <v>1003</v>
      </c>
      <c r="I185" s="2"/>
      <c r="J185" s="2" t="s">
        <v>35</v>
      </c>
      <c r="K185" s="2" t="s">
        <v>23</v>
      </c>
      <c r="L185" s="2" t="s">
        <v>1004</v>
      </c>
      <c r="M185" s="2" t="s">
        <v>206</v>
      </c>
      <c r="N185" s="2" t="s">
        <v>26</v>
      </c>
      <c r="O185" s="2" t="s">
        <v>1005</v>
      </c>
      <c r="P185" s="2" t="s">
        <v>1006</v>
      </c>
    </row>
    <row r="186" customFormat="false" ht="57.45" hidden="false" customHeight="false" outlineLevel="0" collapsed="false">
      <c r="A186" s="2" t="s">
        <v>1007</v>
      </c>
      <c r="B186" s="2" t="s">
        <v>1008</v>
      </c>
      <c r="C186" s="2" t="s">
        <v>18</v>
      </c>
      <c r="D186" s="2" t="s">
        <v>645</v>
      </c>
      <c r="E186" s="2" t="s">
        <v>798</v>
      </c>
      <c r="F186" s="2" t="s">
        <v>21</v>
      </c>
      <c r="G186" s="2" t="s">
        <v>1009</v>
      </c>
      <c r="H186" s="2" t="s">
        <v>1010</v>
      </c>
      <c r="I186" s="2"/>
      <c r="J186" s="2" t="s">
        <v>35</v>
      </c>
      <c r="K186" s="2" t="s">
        <v>23</v>
      </c>
      <c r="L186" s="2" t="s">
        <v>1011</v>
      </c>
      <c r="M186" s="2" t="s">
        <v>206</v>
      </c>
      <c r="N186" s="2" t="s">
        <v>26</v>
      </c>
      <c r="O186" s="2" t="s">
        <v>1012</v>
      </c>
      <c r="P186" s="2" t="s">
        <v>1013</v>
      </c>
    </row>
    <row r="187" customFormat="false" ht="46.25" hidden="false" customHeight="false" outlineLevel="0" collapsed="false">
      <c r="A187" s="2" t="s">
        <v>1014</v>
      </c>
      <c r="B187" s="2" t="s">
        <v>1015</v>
      </c>
      <c r="C187" s="2" t="s">
        <v>18</v>
      </c>
      <c r="D187" s="2" t="s">
        <v>645</v>
      </c>
      <c r="E187" s="2" t="s">
        <v>798</v>
      </c>
      <c r="F187" s="2" t="s">
        <v>21</v>
      </c>
      <c r="G187" s="2" t="s">
        <v>1016</v>
      </c>
      <c r="H187" s="2"/>
      <c r="I187" s="2"/>
      <c r="J187" s="2" t="s">
        <v>23</v>
      </c>
      <c r="K187" s="2" t="s">
        <v>23</v>
      </c>
      <c r="L187" s="2" t="s">
        <v>1016</v>
      </c>
      <c r="M187" s="2" t="s">
        <v>206</v>
      </c>
      <c r="N187" s="2" t="s">
        <v>26</v>
      </c>
      <c r="O187" s="2" t="s">
        <v>1017</v>
      </c>
      <c r="P187" s="2" t="s">
        <v>1018</v>
      </c>
    </row>
    <row r="188" customFormat="false" ht="57.45" hidden="false" customHeight="false" outlineLevel="0" collapsed="false">
      <c r="A188" s="2" t="s">
        <v>1019</v>
      </c>
      <c r="B188" s="2" t="s">
        <v>1020</v>
      </c>
      <c r="C188" s="2" t="s">
        <v>18</v>
      </c>
      <c r="D188" s="2" t="s">
        <v>645</v>
      </c>
      <c r="E188" s="2" t="s">
        <v>798</v>
      </c>
      <c r="F188" s="2" t="s">
        <v>21</v>
      </c>
      <c r="G188" s="2" t="s">
        <v>1021</v>
      </c>
      <c r="H188" s="2"/>
      <c r="I188" s="2"/>
      <c r="J188" s="2" t="s">
        <v>23</v>
      </c>
      <c r="K188" s="2" t="s">
        <v>23</v>
      </c>
      <c r="L188" s="2" t="s">
        <v>1021</v>
      </c>
      <c r="M188" s="2" t="s">
        <v>206</v>
      </c>
      <c r="N188" s="2" t="s">
        <v>36</v>
      </c>
      <c r="O188" s="2" t="s">
        <v>1022</v>
      </c>
      <c r="P188" s="2" t="s">
        <v>1023</v>
      </c>
    </row>
    <row r="189" customFormat="false" ht="35.05" hidden="false" customHeight="false" outlineLevel="0" collapsed="false">
      <c r="A189" s="2" t="s">
        <v>1024</v>
      </c>
      <c r="B189" s="2" t="s">
        <v>1025</v>
      </c>
      <c r="C189" s="2" t="s">
        <v>18</v>
      </c>
      <c r="D189" s="2" t="s">
        <v>645</v>
      </c>
      <c r="E189" s="2" t="s">
        <v>798</v>
      </c>
      <c r="F189" s="2" t="s">
        <v>21</v>
      </c>
      <c r="G189" s="2" t="s">
        <v>1021</v>
      </c>
      <c r="H189" s="2"/>
      <c r="I189" s="2"/>
      <c r="J189" s="2" t="s">
        <v>23</v>
      </c>
      <c r="K189" s="2" t="s">
        <v>23</v>
      </c>
      <c r="L189" s="2" t="s">
        <v>1021</v>
      </c>
      <c r="M189" s="2" t="s">
        <v>206</v>
      </c>
      <c r="N189" s="2" t="s">
        <v>36</v>
      </c>
      <c r="O189" s="2" t="s">
        <v>1026</v>
      </c>
      <c r="P189" s="2" t="s">
        <v>1027</v>
      </c>
    </row>
    <row r="190" customFormat="false" ht="46.25" hidden="false" customHeight="false" outlineLevel="0" collapsed="false">
      <c r="A190" s="2" t="s">
        <v>1028</v>
      </c>
      <c r="B190" s="2" t="s">
        <v>1029</v>
      </c>
      <c r="C190" s="2" t="s">
        <v>18</v>
      </c>
      <c r="D190" s="2" t="s">
        <v>645</v>
      </c>
      <c r="E190" s="2" t="s">
        <v>20</v>
      </c>
      <c r="F190" s="2" t="s">
        <v>21</v>
      </c>
      <c r="G190" s="2" t="s">
        <v>1030</v>
      </c>
      <c r="H190" s="2"/>
      <c r="I190" s="2"/>
      <c r="J190" s="2" t="s">
        <v>23</v>
      </c>
      <c r="K190" s="2" t="s">
        <v>23</v>
      </c>
      <c r="L190" s="2" t="s">
        <v>1030</v>
      </c>
      <c r="M190" s="2" t="s">
        <v>206</v>
      </c>
      <c r="N190" s="2" t="s">
        <v>36</v>
      </c>
      <c r="O190" s="2" t="s">
        <v>1031</v>
      </c>
      <c r="P190" s="2" t="s">
        <v>1032</v>
      </c>
    </row>
    <row r="191" customFormat="false" ht="35.05" hidden="false" customHeight="false" outlineLevel="0" collapsed="false">
      <c r="A191" s="2" t="s">
        <v>1033</v>
      </c>
      <c r="B191" s="2" t="s">
        <v>1034</v>
      </c>
      <c r="C191" s="2" t="s">
        <v>18</v>
      </c>
      <c r="D191" s="2" t="s">
        <v>645</v>
      </c>
      <c r="E191" s="2" t="s">
        <v>798</v>
      </c>
      <c r="F191" s="2" t="s">
        <v>530</v>
      </c>
      <c r="G191" s="2" t="s">
        <v>1035</v>
      </c>
      <c r="H191" s="2"/>
      <c r="I191" s="2"/>
      <c r="J191" s="2" t="s">
        <v>23</v>
      </c>
      <c r="K191" s="2" t="s">
        <v>23</v>
      </c>
      <c r="L191" s="2" t="s">
        <v>1035</v>
      </c>
      <c r="M191" s="2" t="s">
        <v>206</v>
      </c>
      <c r="N191" s="2" t="s">
        <v>26</v>
      </c>
      <c r="O191" s="2" t="s">
        <v>1036</v>
      </c>
      <c r="P191" s="2" t="s">
        <v>1037</v>
      </c>
    </row>
    <row r="192" customFormat="false" ht="79.85" hidden="false" customHeight="false" outlineLevel="0" collapsed="false">
      <c r="A192" s="2" t="s">
        <v>1038</v>
      </c>
      <c r="B192" s="2" t="s">
        <v>1039</v>
      </c>
      <c r="C192" s="2" t="s">
        <v>741</v>
      </c>
      <c r="D192" s="2" t="s">
        <v>645</v>
      </c>
      <c r="E192" s="2" t="s">
        <v>742</v>
      </c>
      <c r="F192" s="2" t="s">
        <v>21</v>
      </c>
      <c r="G192" s="2" t="s">
        <v>1040</v>
      </c>
      <c r="H192" s="2" t="s">
        <v>743</v>
      </c>
      <c r="I192" s="2"/>
      <c r="J192" s="2" t="s">
        <v>35</v>
      </c>
      <c r="K192" s="2" t="s">
        <v>35</v>
      </c>
      <c r="L192" s="2" t="s">
        <v>1041</v>
      </c>
      <c r="M192" s="2" t="s">
        <v>206</v>
      </c>
      <c r="N192" s="2" t="s">
        <v>26</v>
      </c>
      <c r="O192" s="2" t="s">
        <v>1042</v>
      </c>
      <c r="P192" s="2" t="s">
        <v>1043</v>
      </c>
    </row>
    <row r="193" customFormat="false" ht="46.25" hidden="false" customHeight="false" outlineLevel="0" collapsed="false">
      <c r="A193" s="2" t="s">
        <v>1044</v>
      </c>
      <c r="B193" s="2" t="s">
        <v>1045</v>
      </c>
      <c r="C193" s="2" t="s">
        <v>741</v>
      </c>
      <c r="D193" s="2" t="s">
        <v>645</v>
      </c>
      <c r="E193" s="2" t="s">
        <v>742</v>
      </c>
      <c r="F193" s="2" t="s">
        <v>21</v>
      </c>
      <c r="G193" s="2" t="s">
        <v>1046</v>
      </c>
      <c r="H193" s="2" t="s">
        <v>743</v>
      </c>
      <c r="I193" s="2"/>
      <c r="J193" s="2" t="s">
        <v>35</v>
      </c>
      <c r="K193" s="2" t="s">
        <v>35</v>
      </c>
      <c r="L193" s="2" t="s">
        <v>1047</v>
      </c>
      <c r="M193" s="2" t="s">
        <v>206</v>
      </c>
      <c r="N193" s="2" t="s">
        <v>26</v>
      </c>
      <c r="O193" s="2" t="s">
        <v>1048</v>
      </c>
      <c r="P193" s="2" t="s">
        <v>1049</v>
      </c>
    </row>
    <row r="194" customFormat="false" ht="57.45" hidden="false" customHeight="false" outlineLevel="0" collapsed="false">
      <c r="A194" s="2" t="s">
        <v>1050</v>
      </c>
      <c r="B194" s="2" t="s">
        <v>1051</v>
      </c>
      <c r="C194" s="2" t="s">
        <v>741</v>
      </c>
      <c r="D194" s="2" t="s">
        <v>645</v>
      </c>
      <c r="E194" s="2" t="s">
        <v>742</v>
      </c>
      <c r="F194" s="2" t="s">
        <v>21</v>
      </c>
      <c r="G194" s="2" t="s">
        <v>1046</v>
      </c>
      <c r="H194" s="2" t="s">
        <v>743</v>
      </c>
      <c r="I194" s="2"/>
      <c r="J194" s="2" t="s">
        <v>35</v>
      </c>
      <c r="K194" s="2" t="s">
        <v>35</v>
      </c>
      <c r="L194" s="2" t="s">
        <v>1047</v>
      </c>
      <c r="M194" s="2" t="s">
        <v>206</v>
      </c>
      <c r="N194" s="2" t="s">
        <v>26</v>
      </c>
      <c r="O194" s="2" t="s">
        <v>1052</v>
      </c>
      <c r="P194" s="2" t="s">
        <v>1053</v>
      </c>
    </row>
    <row r="195" customFormat="false" ht="23.85" hidden="false" customHeight="false" outlineLevel="0" collapsed="false">
      <c r="A195" s="2" t="s">
        <v>1054</v>
      </c>
      <c r="B195" s="2" t="s">
        <v>1055</v>
      </c>
      <c r="C195" s="2" t="s">
        <v>741</v>
      </c>
      <c r="D195" s="2" t="s">
        <v>645</v>
      </c>
      <c r="E195" s="2" t="s">
        <v>742</v>
      </c>
      <c r="F195" s="2" t="s">
        <v>21</v>
      </c>
      <c r="G195" s="2" t="s">
        <v>1046</v>
      </c>
      <c r="H195" s="2" t="s">
        <v>743</v>
      </c>
      <c r="I195" s="2"/>
      <c r="J195" s="2" t="s">
        <v>35</v>
      </c>
      <c r="K195" s="2" t="s">
        <v>23</v>
      </c>
      <c r="L195" s="2" t="s">
        <v>1047</v>
      </c>
      <c r="M195" s="2" t="s">
        <v>206</v>
      </c>
      <c r="N195" s="2" t="s">
        <v>26</v>
      </c>
      <c r="O195" s="2" t="s">
        <v>1056</v>
      </c>
      <c r="P195" s="2" t="s">
        <v>1057</v>
      </c>
    </row>
    <row r="196" customFormat="false" ht="35.05" hidden="false" customHeight="false" outlineLevel="0" collapsed="false">
      <c r="A196" s="2" t="s">
        <v>1058</v>
      </c>
      <c r="B196" s="2" t="s">
        <v>1059</v>
      </c>
      <c r="C196" s="2" t="s">
        <v>741</v>
      </c>
      <c r="D196" s="2" t="s">
        <v>645</v>
      </c>
      <c r="E196" s="2" t="s">
        <v>742</v>
      </c>
      <c r="F196" s="2" t="s">
        <v>21</v>
      </c>
      <c r="G196" s="2" t="s">
        <v>1046</v>
      </c>
      <c r="H196" s="2" t="s">
        <v>743</v>
      </c>
      <c r="I196" s="2"/>
      <c r="J196" s="2" t="s">
        <v>35</v>
      </c>
      <c r="K196" s="2" t="s">
        <v>23</v>
      </c>
      <c r="L196" s="2" t="s">
        <v>1047</v>
      </c>
      <c r="M196" s="2" t="s">
        <v>206</v>
      </c>
      <c r="N196" s="2" t="s">
        <v>26</v>
      </c>
      <c r="O196" s="2" t="s">
        <v>1060</v>
      </c>
      <c r="P196" s="2" t="s">
        <v>1061</v>
      </c>
    </row>
    <row r="197" customFormat="false" ht="68.65" hidden="false" customHeight="false" outlineLevel="0" collapsed="false">
      <c r="A197" s="2" t="s">
        <v>1062</v>
      </c>
      <c r="B197" s="2" t="s">
        <v>1063</v>
      </c>
      <c r="C197" s="2" t="s">
        <v>741</v>
      </c>
      <c r="D197" s="2" t="s">
        <v>645</v>
      </c>
      <c r="E197" s="2" t="s">
        <v>742</v>
      </c>
      <c r="F197" s="2" t="s">
        <v>530</v>
      </c>
      <c r="G197" s="2" t="s">
        <v>1046</v>
      </c>
      <c r="H197" s="2" t="s">
        <v>743</v>
      </c>
      <c r="I197" s="2"/>
      <c r="J197" s="2" t="s">
        <v>35</v>
      </c>
      <c r="K197" s="2" t="s">
        <v>35</v>
      </c>
      <c r="L197" s="2" t="s">
        <v>1047</v>
      </c>
      <c r="M197" s="2" t="s">
        <v>206</v>
      </c>
      <c r="N197" s="2" t="s">
        <v>36</v>
      </c>
      <c r="O197" s="2" t="s">
        <v>1064</v>
      </c>
      <c r="P197" s="2" t="s">
        <v>1065</v>
      </c>
    </row>
    <row r="198" customFormat="false" ht="79.85" hidden="false" customHeight="false" outlineLevel="0" collapsed="false">
      <c r="A198" s="2" t="s">
        <v>1066</v>
      </c>
      <c r="B198" s="2" t="s">
        <v>1067</v>
      </c>
      <c r="C198" s="2" t="s">
        <v>741</v>
      </c>
      <c r="D198" s="2" t="s">
        <v>645</v>
      </c>
      <c r="E198" s="2" t="s">
        <v>742</v>
      </c>
      <c r="F198" s="2" t="s">
        <v>21</v>
      </c>
      <c r="G198" s="2" t="s">
        <v>1046</v>
      </c>
      <c r="H198" s="2" t="s">
        <v>1068</v>
      </c>
      <c r="I198" s="2"/>
      <c r="J198" s="2" t="s">
        <v>35</v>
      </c>
      <c r="K198" s="2" t="s">
        <v>23</v>
      </c>
      <c r="L198" s="2" t="s">
        <v>1069</v>
      </c>
      <c r="M198" s="2" t="s">
        <v>206</v>
      </c>
      <c r="N198" s="2" t="s">
        <v>36</v>
      </c>
      <c r="O198" s="2" t="s">
        <v>1070</v>
      </c>
      <c r="P198" s="2" t="s">
        <v>1071</v>
      </c>
    </row>
    <row r="199" customFormat="false" ht="79.85" hidden="false" customHeight="false" outlineLevel="0" collapsed="false">
      <c r="A199" s="2" t="s">
        <v>1072</v>
      </c>
      <c r="B199" s="2" t="s">
        <v>1073</v>
      </c>
      <c r="C199" s="2" t="s">
        <v>741</v>
      </c>
      <c r="D199" s="2" t="s">
        <v>645</v>
      </c>
      <c r="E199" s="2" t="s">
        <v>742</v>
      </c>
      <c r="F199" s="2" t="s">
        <v>21</v>
      </c>
      <c r="G199" s="2" t="s">
        <v>1046</v>
      </c>
      <c r="H199" s="2" t="s">
        <v>1074</v>
      </c>
      <c r="I199" s="2"/>
      <c r="J199" s="2" t="s">
        <v>35</v>
      </c>
      <c r="K199" s="2" t="s">
        <v>35</v>
      </c>
      <c r="L199" s="2" t="s">
        <v>1075</v>
      </c>
      <c r="M199" s="2" t="s">
        <v>206</v>
      </c>
      <c r="N199" s="2" t="s">
        <v>36</v>
      </c>
      <c r="O199" s="2" t="s">
        <v>1076</v>
      </c>
      <c r="P199" s="2" t="s">
        <v>1077</v>
      </c>
    </row>
    <row r="200" customFormat="false" ht="35.05" hidden="false" customHeight="false" outlineLevel="0" collapsed="false">
      <c r="A200" s="2" t="s">
        <v>1078</v>
      </c>
      <c r="B200" s="2" t="s">
        <v>1079</v>
      </c>
      <c r="C200" s="2" t="s">
        <v>18</v>
      </c>
      <c r="D200" s="2" t="s">
        <v>645</v>
      </c>
      <c r="E200" s="2" t="s">
        <v>742</v>
      </c>
      <c r="F200" s="2" t="s">
        <v>21</v>
      </c>
      <c r="G200" s="2" t="s">
        <v>1080</v>
      </c>
      <c r="H200" s="2"/>
      <c r="I200" s="2"/>
      <c r="J200" s="2" t="s">
        <v>23</v>
      </c>
      <c r="K200" s="2" t="s">
        <v>23</v>
      </c>
      <c r="L200" s="2" t="s">
        <v>1080</v>
      </c>
      <c r="M200" s="2" t="s">
        <v>206</v>
      </c>
      <c r="N200" s="2" t="s">
        <v>26</v>
      </c>
      <c r="O200" s="2" t="s">
        <v>1081</v>
      </c>
      <c r="P200" s="2" t="s">
        <v>1082</v>
      </c>
    </row>
    <row r="201" customFormat="false" ht="46.25" hidden="false" customHeight="false" outlineLevel="0" collapsed="false">
      <c r="A201" s="2" t="s">
        <v>1083</v>
      </c>
      <c r="B201" s="2" t="s">
        <v>1084</v>
      </c>
      <c r="C201" s="2" t="s">
        <v>18</v>
      </c>
      <c r="D201" s="2" t="s">
        <v>645</v>
      </c>
      <c r="E201" s="2" t="s">
        <v>742</v>
      </c>
      <c r="F201" s="2" t="s">
        <v>21</v>
      </c>
      <c r="G201" s="2" t="s">
        <v>1046</v>
      </c>
      <c r="H201" s="2" t="s">
        <v>1085</v>
      </c>
      <c r="I201" s="2"/>
      <c r="J201" s="2" t="s">
        <v>23</v>
      </c>
      <c r="K201" s="2" t="s">
        <v>23</v>
      </c>
      <c r="L201" s="2" t="s">
        <v>1086</v>
      </c>
      <c r="M201" s="2" t="s">
        <v>206</v>
      </c>
      <c r="N201" s="2" t="s">
        <v>26</v>
      </c>
      <c r="O201" s="2" t="s">
        <v>1087</v>
      </c>
      <c r="P201" s="2" t="s">
        <v>1088</v>
      </c>
    </row>
    <row r="202" customFormat="false" ht="91" hidden="false" customHeight="false" outlineLevel="0" collapsed="false">
      <c r="A202" s="2" t="s">
        <v>1089</v>
      </c>
      <c r="B202" s="2" t="s">
        <v>1090</v>
      </c>
      <c r="C202" s="2" t="s">
        <v>930</v>
      </c>
      <c r="D202" s="2" t="s">
        <v>645</v>
      </c>
      <c r="E202" s="2" t="s">
        <v>1091</v>
      </c>
      <c r="F202" s="2" t="s">
        <v>21</v>
      </c>
      <c r="G202" s="2" t="s">
        <v>1092</v>
      </c>
      <c r="H202" s="2" t="s">
        <v>1093</v>
      </c>
      <c r="I202" s="2" t="s">
        <v>1094</v>
      </c>
      <c r="J202" s="2" t="s">
        <v>35</v>
      </c>
      <c r="K202" s="2" t="s">
        <v>35</v>
      </c>
      <c r="L202" s="2" t="s">
        <v>1095</v>
      </c>
      <c r="M202" s="2" t="s">
        <v>206</v>
      </c>
      <c r="N202" s="2" t="s">
        <v>26</v>
      </c>
      <c r="O202" s="2" t="s">
        <v>1096</v>
      </c>
      <c r="P202" s="2" t="s">
        <v>1097</v>
      </c>
    </row>
    <row r="203" customFormat="false" ht="91" hidden="false" customHeight="false" outlineLevel="0" collapsed="false">
      <c r="A203" s="2" t="s">
        <v>1098</v>
      </c>
      <c r="B203" s="2" t="s">
        <v>1099</v>
      </c>
      <c r="C203" s="2" t="s">
        <v>930</v>
      </c>
      <c r="D203" s="2" t="s">
        <v>645</v>
      </c>
      <c r="E203" s="2" t="s">
        <v>1091</v>
      </c>
      <c r="F203" s="2" t="s">
        <v>21</v>
      </c>
      <c r="G203" s="2" t="s">
        <v>1092</v>
      </c>
      <c r="H203" s="2" t="s">
        <v>1093</v>
      </c>
      <c r="I203" s="2" t="s">
        <v>1094</v>
      </c>
      <c r="J203" s="2" t="s">
        <v>35</v>
      </c>
      <c r="K203" s="2" t="s">
        <v>35</v>
      </c>
      <c r="L203" s="2" t="s">
        <v>1095</v>
      </c>
      <c r="M203" s="2" t="s">
        <v>206</v>
      </c>
      <c r="N203" s="2" t="s">
        <v>26</v>
      </c>
      <c r="O203" s="2" t="s">
        <v>1096</v>
      </c>
      <c r="P203" s="2" t="s">
        <v>1100</v>
      </c>
    </row>
    <row r="204" customFormat="false" ht="102.2" hidden="false" customHeight="false" outlineLevel="0" collapsed="false">
      <c r="A204" s="2" t="s">
        <v>1101</v>
      </c>
      <c r="B204" s="2" t="s">
        <v>1102</v>
      </c>
      <c r="C204" s="2" t="s">
        <v>930</v>
      </c>
      <c r="D204" s="2" t="s">
        <v>645</v>
      </c>
      <c r="E204" s="2" t="s">
        <v>1091</v>
      </c>
      <c r="F204" s="2" t="s">
        <v>21</v>
      </c>
      <c r="G204" s="2" t="s">
        <v>1092</v>
      </c>
      <c r="H204" s="2" t="s">
        <v>1103</v>
      </c>
      <c r="I204" s="2" t="s">
        <v>1094</v>
      </c>
      <c r="J204" s="2" t="s">
        <v>35</v>
      </c>
      <c r="K204" s="2" t="s">
        <v>35</v>
      </c>
      <c r="L204" s="2" t="s">
        <v>1104</v>
      </c>
      <c r="M204" s="2" t="s">
        <v>206</v>
      </c>
      <c r="N204" s="2" t="s">
        <v>36</v>
      </c>
      <c r="O204" s="2" t="s">
        <v>1105</v>
      </c>
      <c r="P204" s="2" t="s">
        <v>1106</v>
      </c>
    </row>
    <row r="205" customFormat="false" ht="35.05" hidden="false" customHeight="false" outlineLevel="0" collapsed="false">
      <c r="A205" s="2" t="s">
        <v>1107</v>
      </c>
      <c r="B205" s="2" t="s">
        <v>1108</v>
      </c>
      <c r="C205" s="2" t="s">
        <v>18</v>
      </c>
      <c r="D205" s="2" t="s">
        <v>645</v>
      </c>
      <c r="E205" s="2" t="s">
        <v>1091</v>
      </c>
      <c r="F205" s="2" t="s">
        <v>21</v>
      </c>
      <c r="G205" s="2" t="s">
        <v>1109</v>
      </c>
      <c r="H205" s="2"/>
      <c r="I205" s="2"/>
      <c r="J205" s="2" t="s">
        <v>23</v>
      </c>
      <c r="K205" s="2" t="s">
        <v>23</v>
      </c>
      <c r="L205" s="2" t="s">
        <v>1109</v>
      </c>
      <c r="M205" s="2" t="s">
        <v>206</v>
      </c>
      <c r="N205" s="2" t="s">
        <v>26</v>
      </c>
      <c r="O205" s="2" t="s">
        <v>1110</v>
      </c>
      <c r="P205" s="2" t="s">
        <v>1111</v>
      </c>
    </row>
    <row r="206" customFormat="false" ht="46.25" hidden="false" customHeight="false" outlineLevel="0" collapsed="false">
      <c r="A206" s="2" t="s">
        <v>1112</v>
      </c>
      <c r="B206" s="2" t="s">
        <v>1113</v>
      </c>
      <c r="C206" s="2" t="s">
        <v>18</v>
      </c>
      <c r="D206" s="2" t="s">
        <v>645</v>
      </c>
      <c r="E206" s="2" t="s">
        <v>1091</v>
      </c>
      <c r="F206" s="2" t="s">
        <v>21</v>
      </c>
      <c r="G206" s="2" t="s">
        <v>1109</v>
      </c>
      <c r="H206" s="2" t="s">
        <v>1114</v>
      </c>
      <c r="I206" s="2"/>
      <c r="J206" s="2" t="s">
        <v>23</v>
      </c>
      <c r="K206" s="2" t="s">
        <v>23</v>
      </c>
      <c r="L206" s="2" t="s">
        <v>1115</v>
      </c>
      <c r="M206" s="2" t="s">
        <v>206</v>
      </c>
      <c r="N206" s="2" t="s">
        <v>36</v>
      </c>
      <c r="O206" s="2" t="s">
        <v>1116</v>
      </c>
      <c r="P206" s="2" t="s">
        <v>1117</v>
      </c>
    </row>
    <row r="207" customFormat="false" ht="68.65" hidden="false" customHeight="false" outlineLevel="0" collapsed="false">
      <c r="A207" s="2" t="s">
        <v>1118</v>
      </c>
      <c r="B207" s="2" t="s">
        <v>1119</v>
      </c>
      <c r="C207" s="2" t="s">
        <v>930</v>
      </c>
      <c r="D207" s="2" t="s">
        <v>645</v>
      </c>
      <c r="E207" s="2" t="s">
        <v>1120</v>
      </c>
      <c r="F207" s="2" t="s">
        <v>21</v>
      </c>
      <c r="G207" s="2" t="s">
        <v>1121</v>
      </c>
      <c r="H207" s="2" t="s">
        <v>1122</v>
      </c>
      <c r="I207" s="2" t="s">
        <v>1123</v>
      </c>
      <c r="J207" s="2" t="s">
        <v>35</v>
      </c>
      <c r="K207" s="2" t="s">
        <v>35</v>
      </c>
      <c r="L207" s="2" t="s">
        <v>1124</v>
      </c>
      <c r="M207" s="2" t="s">
        <v>206</v>
      </c>
      <c r="N207" s="2" t="s">
        <v>26</v>
      </c>
      <c r="O207" s="2" t="s">
        <v>1125</v>
      </c>
      <c r="P207" s="2" t="s">
        <v>1126</v>
      </c>
    </row>
    <row r="208" customFormat="false" ht="68.65" hidden="false" customHeight="false" outlineLevel="0" collapsed="false">
      <c r="A208" s="2" t="s">
        <v>1127</v>
      </c>
      <c r="B208" s="2" t="s">
        <v>1128</v>
      </c>
      <c r="C208" s="2" t="s">
        <v>930</v>
      </c>
      <c r="D208" s="2" t="s">
        <v>645</v>
      </c>
      <c r="E208" s="2" t="s">
        <v>1129</v>
      </c>
      <c r="F208" s="2" t="s">
        <v>21</v>
      </c>
      <c r="G208" s="2" t="s">
        <v>1130</v>
      </c>
      <c r="H208" s="2" t="s">
        <v>1122</v>
      </c>
      <c r="I208" s="2" t="s">
        <v>1131</v>
      </c>
      <c r="J208" s="2" t="s">
        <v>35</v>
      </c>
      <c r="K208" s="2" t="s">
        <v>35</v>
      </c>
      <c r="L208" s="2" t="s">
        <v>1132</v>
      </c>
      <c r="M208" s="2" t="s">
        <v>206</v>
      </c>
      <c r="N208" s="2" t="s">
        <v>26</v>
      </c>
      <c r="O208" s="2" t="s">
        <v>1133</v>
      </c>
      <c r="P208" s="2" t="s">
        <v>1134</v>
      </c>
    </row>
    <row r="209" customFormat="false" ht="35.05" hidden="false" customHeight="false" outlineLevel="0" collapsed="false">
      <c r="A209" s="2" t="s">
        <v>1135</v>
      </c>
      <c r="B209" s="2" t="s">
        <v>1136</v>
      </c>
      <c r="C209" s="2" t="s">
        <v>18</v>
      </c>
      <c r="D209" s="2" t="s">
        <v>645</v>
      </c>
      <c r="E209" s="2" t="s">
        <v>1129</v>
      </c>
      <c r="F209" s="2" t="s">
        <v>21</v>
      </c>
      <c r="G209" s="2" t="s">
        <v>1130</v>
      </c>
      <c r="H209" s="2" t="s">
        <v>1137</v>
      </c>
      <c r="I209" s="2"/>
      <c r="J209" s="2" t="s">
        <v>23</v>
      </c>
      <c r="K209" s="2" t="s">
        <v>23</v>
      </c>
      <c r="L209" s="2" t="s">
        <v>1130</v>
      </c>
      <c r="M209" s="2" t="s">
        <v>206</v>
      </c>
      <c r="N209" s="2" t="s">
        <v>26</v>
      </c>
      <c r="O209" s="2" t="s">
        <v>1138</v>
      </c>
      <c r="P209" s="2" t="s">
        <v>1139</v>
      </c>
    </row>
    <row r="210" customFormat="false" ht="57.45" hidden="false" customHeight="false" outlineLevel="0" collapsed="false">
      <c r="A210" s="2" t="s">
        <v>1140</v>
      </c>
      <c r="B210" s="2" t="s">
        <v>1141</v>
      </c>
      <c r="C210" s="2" t="s">
        <v>18</v>
      </c>
      <c r="D210" s="2" t="s">
        <v>645</v>
      </c>
      <c r="E210" s="2" t="s">
        <v>1142</v>
      </c>
      <c r="F210" s="2" t="s">
        <v>21</v>
      </c>
      <c r="G210" s="2" t="s">
        <v>1143</v>
      </c>
      <c r="H210" s="2" t="s">
        <v>1144</v>
      </c>
      <c r="I210" s="2"/>
      <c r="J210" s="2" t="s">
        <v>23</v>
      </c>
      <c r="K210" s="2" t="s">
        <v>35</v>
      </c>
      <c r="L210" s="2" t="s">
        <v>1145</v>
      </c>
      <c r="M210" s="2" t="s">
        <v>206</v>
      </c>
      <c r="N210" s="2" t="s">
        <v>26</v>
      </c>
      <c r="O210" s="2" t="s">
        <v>1146</v>
      </c>
      <c r="P210" s="2" t="s">
        <v>1147</v>
      </c>
    </row>
    <row r="211" customFormat="false" ht="23.85" hidden="false" customHeight="false" outlineLevel="0" collapsed="false">
      <c r="A211" s="2" t="s">
        <v>1148</v>
      </c>
      <c r="B211" s="2" t="s">
        <v>1149</v>
      </c>
      <c r="C211" s="2" t="s">
        <v>18</v>
      </c>
      <c r="D211" s="2" t="s">
        <v>645</v>
      </c>
      <c r="E211" s="2" t="s">
        <v>1129</v>
      </c>
      <c r="F211" s="2" t="s">
        <v>21</v>
      </c>
      <c r="G211" s="2" t="s">
        <v>1150</v>
      </c>
      <c r="H211" s="2"/>
      <c r="I211" s="2"/>
      <c r="J211" s="2" t="s">
        <v>23</v>
      </c>
      <c r="K211" s="2" t="s">
        <v>23</v>
      </c>
      <c r="L211" s="2" t="s">
        <v>1150</v>
      </c>
      <c r="M211" s="2" t="s">
        <v>206</v>
      </c>
      <c r="N211" s="2" t="s">
        <v>26</v>
      </c>
      <c r="O211" s="2" t="s">
        <v>1151</v>
      </c>
      <c r="P211" s="2" t="s">
        <v>1152</v>
      </c>
    </row>
    <row r="212" customFormat="false" ht="23.85" hidden="false" customHeight="false" outlineLevel="0" collapsed="false">
      <c r="A212" s="2" t="s">
        <v>1153</v>
      </c>
      <c r="B212" s="2" t="s">
        <v>1154</v>
      </c>
      <c r="C212" s="2" t="s">
        <v>18</v>
      </c>
      <c r="D212" s="2" t="s">
        <v>645</v>
      </c>
      <c r="E212" s="2" t="s">
        <v>1129</v>
      </c>
      <c r="F212" s="2" t="s">
        <v>21</v>
      </c>
      <c r="G212" s="2" t="s">
        <v>1150</v>
      </c>
      <c r="H212" s="2"/>
      <c r="I212" s="2"/>
      <c r="J212" s="2" t="s">
        <v>23</v>
      </c>
      <c r="K212" s="2" t="s">
        <v>23</v>
      </c>
      <c r="L212" s="2" t="s">
        <v>1150</v>
      </c>
      <c r="M212" s="2" t="s">
        <v>206</v>
      </c>
      <c r="N212" s="2" t="s">
        <v>26</v>
      </c>
      <c r="O212" s="2" t="s">
        <v>1155</v>
      </c>
      <c r="P212" s="2" t="s">
        <v>1156</v>
      </c>
    </row>
    <row r="213" customFormat="false" ht="57.45" hidden="false" customHeight="false" outlineLevel="0" collapsed="false">
      <c r="A213" s="2" t="s">
        <v>1157</v>
      </c>
      <c r="B213" s="2" t="s">
        <v>1158</v>
      </c>
      <c r="C213" s="2" t="s">
        <v>18</v>
      </c>
      <c r="D213" s="2" t="s">
        <v>645</v>
      </c>
      <c r="E213" s="2" t="s">
        <v>943</v>
      </c>
      <c r="F213" s="2" t="s">
        <v>21</v>
      </c>
      <c r="G213" s="2" t="s">
        <v>1159</v>
      </c>
      <c r="H213" s="2" t="s">
        <v>735</v>
      </c>
      <c r="I213" s="2" t="s">
        <v>1160</v>
      </c>
      <c r="J213" s="2" t="s">
        <v>23</v>
      </c>
      <c r="K213" s="2" t="s">
        <v>23</v>
      </c>
      <c r="L213" s="2" t="s">
        <v>1161</v>
      </c>
      <c r="M213" s="2" t="s">
        <v>206</v>
      </c>
      <c r="N213" s="2" t="s">
        <v>26</v>
      </c>
      <c r="O213" s="2" t="s">
        <v>1162</v>
      </c>
      <c r="P213" s="2" t="s">
        <v>1163</v>
      </c>
    </row>
    <row r="214" customFormat="false" ht="348.5" hidden="false" customHeight="false" outlineLevel="0" collapsed="false">
      <c r="A214" s="2" t="s">
        <v>1164</v>
      </c>
      <c r="B214" s="2" t="s">
        <v>1165</v>
      </c>
      <c r="C214" s="2" t="s">
        <v>1166</v>
      </c>
      <c r="D214" s="2" t="s">
        <v>1167</v>
      </c>
      <c r="E214" s="2" t="s">
        <v>1129</v>
      </c>
      <c r="F214" s="2" t="s">
        <v>1168</v>
      </c>
      <c r="G214" s="2" t="s">
        <v>1169</v>
      </c>
      <c r="H214" s="2" t="s">
        <v>1170</v>
      </c>
      <c r="I214" s="2" t="s">
        <v>1171</v>
      </c>
      <c r="J214" s="2" t="s">
        <v>35</v>
      </c>
      <c r="K214" s="2" t="s">
        <v>35</v>
      </c>
      <c r="L214" s="2" t="s">
        <v>1172</v>
      </c>
      <c r="M214" s="2" t="s">
        <v>206</v>
      </c>
      <c r="N214" s="2" t="s">
        <v>36</v>
      </c>
      <c r="O214" s="2" t="s">
        <v>1173</v>
      </c>
      <c r="P214" s="2" t="s">
        <v>1174</v>
      </c>
    </row>
    <row r="215" customFormat="false" ht="35.05" hidden="false" customHeight="false" outlineLevel="0" collapsed="false">
      <c r="A215" s="2" t="s">
        <v>1175</v>
      </c>
      <c r="B215" s="2" t="s">
        <v>1176</v>
      </c>
      <c r="C215" s="2" t="s">
        <v>880</v>
      </c>
      <c r="D215" s="2" t="s">
        <v>645</v>
      </c>
      <c r="E215" s="2" t="s">
        <v>725</v>
      </c>
      <c r="F215" s="2" t="s">
        <v>530</v>
      </c>
      <c r="G215" s="2"/>
      <c r="H215" s="2" t="s">
        <v>693</v>
      </c>
      <c r="I215" s="2"/>
      <c r="J215" s="2" t="s">
        <v>35</v>
      </c>
      <c r="K215" s="2" t="s">
        <v>23</v>
      </c>
      <c r="L215" s="2" t="s">
        <v>693</v>
      </c>
      <c r="M215" s="2" t="s">
        <v>206</v>
      </c>
      <c r="N215" s="2" t="s">
        <v>26</v>
      </c>
      <c r="O215" s="2" t="s">
        <v>1177</v>
      </c>
      <c r="P215" s="2" t="s">
        <v>1178</v>
      </c>
    </row>
    <row r="216" customFormat="false" ht="35.05" hidden="false" customHeight="false" outlineLevel="0" collapsed="false">
      <c r="A216" s="2" t="s">
        <v>1179</v>
      </c>
      <c r="B216" s="2" t="s">
        <v>1180</v>
      </c>
      <c r="C216" s="2" t="s">
        <v>930</v>
      </c>
      <c r="D216" s="2" t="s">
        <v>645</v>
      </c>
      <c r="E216" s="2" t="s">
        <v>1091</v>
      </c>
      <c r="F216" s="2" t="s">
        <v>530</v>
      </c>
      <c r="G216" s="2"/>
      <c r="H216" s="2" t="s">
        <v>1093</v>
      </c>
      <c r="I216" s="2" t="s">
        <v>1181</v>
      </c>
      <c r="J216" s="2" t="s">
        <v>35</v>
      </c>
      <c r="K216" s="2" t="s">
        <v>23</v>
      </c>
      <c r="L216" s="2" t="s">
        <v>1093</v>
      </c>
      <c r="M216" s="2" t="s">
        <v>206</v>
      </c>
      <c r="N216" s="2" t="s">
        <v>26</v>
      </c>
      <c r="O216" s="2" t="s">
        <v>1182</v>
      </c>
      <c r="P216" s="2" t="s">
        <v>1183</v>
      </c>
    </row>
    <row r="217" customFormat="false" ht="46.25" hidden="false" customHeight="false" outlineLevel="0" collapsed="false">
      <c r="A217" s="2" t="s">
        <v>1184</v>
      </c>
      <c r="B217" s="2" t="s">
        <v>1185</v>
      </c>
      <c r="C217" s="2" t="s">
        <v>18</v>
      </c>
      <c r="D217" s="2" t="s">
        <v>645</v>
      </c>
      <c r="E217" s="2" t="s">
        <v>20</v>
      </c>
      <c r="F217" s="2" t="s">
        <v>21</v>
      </c>
      <c r="G217" s="2"/>
      <c r="H217" s="2" t="s">
        <v>1186</v>
      </c>
      <c r="I217" s="2"/>
      <c r="J217" s="2" t="s">
        <v>35</v>
      </c>
      <c r="K217" s="2" t="s">
        <v>23</v>
      </c>
      <c r="L217" s="2" t="s">
        <v>1186</v>
      </c>
      <c r="M217" s="2" t="s">
        <v>161</v>
      </c>
      <c r="N217" s="2" t="s">
        <v>26</v>
      </c>
      <c r="O217" s="2" t="s">
        <v>1187</v>
      </c>
      <c r="P217" s="2" t="s">
        <v>1188</v>
      </c>
    </row>
    <row r="218" customFormat="false" ht="35.05" hidden="false" customHeight="false" outlineLevel="0" collapsed="false">
      <c r="A218" s="2" t="s">
        <v>1189</v>
      </c>
      <c r="B218" s="2" t="s">
        <v>1190</v>
      </c>
      <c r="C218" s="2" t="s">
        <v>18</v>
      </c>
      <c r="D218" s="2" t="s">
        <v>645</v>
      </c>
      <c r="E218" s="2" t="s">
        <v>20</v>
      </c>
      <c r="F218" s="2" t="s">
        <v>21</v>
      </c>
      <c r="G218" s="2"/>
      <c r="H218" s="2" t="s">
        <v>1191</v>
      </c>
      <c r="I218" s="2"/>
      <c r="J218" s="2" t="s">
        <v>35</v>
      </c>
      <c r="K218" s="2" t="s">
        <v>23</v>
      </c>
      <c r="L218" s="2" t="s">
        <v>1191</v>
      </c>
      <c r="M218" s="2" t="s">
        <v>161</v>
      </c>
      <c r="N218" s="2" t="s">
        <v>26</v>
      </c>
      <c r="O218" s="2" t="s">
        <v>1192</v>
      </c>
      <c r="P218" s="2" t="s">
        <v>1193</v>
      </c>
    </row>
    <row r="219" customFormat="false" ht="23.85" hidden="false" customHeight="false" outlineLevel="0" collapsed="false">
      <c r="A219" s="2" t="s">
        <v>1194</v>
      </c>
      <c r="B219" s="2" t="s">
        <v>1195</v>
      </c>
      <c r="C219" s="2" t="s">
        <v>18</v>
      </c>
      <c r="D219" s="2" t="s">
        <v>645</v>
      </c>
      <c r="E219" s="2" t="s">
        <v>20</v>
      </c>
      <c r="F219" s="2" t="s">
        <v>21</v>
      </c>
      <c r="G219" s="2"/>
      <c r="H219" s="2" t="s">
        <v>1191</v>
      </c>
      <c r="I219" s="2"/>
      <c r="J219" s="2" t="s">
        <v>35</v>
      </c>
      <c r="K219" s="2" t="s">
        <v>23</v>
      </c>
      <c r="L219" s="2" t="s">
        <v>1191</v>
      </c>
      <c r="M219" s="2" t="s">
        <v>161</v>
      </c>
      <c r="N219" s="2" t="s">
        <v>26</v>
      </c>
      <c r="O219" s="2" t="s">
        <v>1196</v>
      </c>
      <c r="P219" s="2" t="s">
        <v>1197</v>
      </c>
    </row>
    <row r="220" customFormat="false" ht="57.45" hidden="false" customHeight="false" outlineLevel="0" collapsed="false">
      <c r="A220" s="2" t="s">
        <v>1198</v>
      </c>
      <c r="B220" s="2" t="s">
        <v>1199</v>
      </c>
      <c r="C220" s="2" t="s">
        <v>18</v>
      </c>
      <c r="D220" s="2" t="s">
        <v>645</v>
      </c>
      <c r="E220" s="2" t="s">
        <v>1129</v>
      </c>
      <c r="F220" s="2" t="s">
        <v>21</v>
      </c>
      <c r="G220" s="2"/>
      <c r="H220" s="2" t="s">
        <v>1200</v>
      </c>
      <c r="I220" s="2"/>
      <c r="J220" s="2" t="s">
        <v>23</v>
      </c>
      <c r="K220" s="2" t="s">
        <v>23</v>
      </c>
      <c r="L220" s="2" t="s">
        <v>1200</v>
      </c>
      <c r="M220" s="2" t="s">
        <v>206</v>
      </c>
      <c r="N220" s="2" t="s">
        <v>26</v>
      </c>
      <c r="O220" s="2" t="s">
        <v>1201</v>
      </c>
      <c r="P220" s="2" t="s">
        <v>1202</v>
      </c>
    </row>
    <row r="221" customFormat="false" ht="68.65" hidden="false" customHeight="false" outlineLevel="0" collapsed="false">
      <c r="A221" s="2" t="s">
        <v>1203</v>
      </c>
      <c r="B221" s="2" t="s">
        <v>1204</v>
      </c>
      <c r="C221" s="2" t="s">
        <v>18</v>
      </c>
      <c r="D221" s="2" t="s">
        <v>645</v>
      </c>
      <c r="E221" s="2" t="s">
        <v>1129</v>
      </c>
      <c r="F221" s="2" t="s">
        <v>21</v>
      </c>
      <c r="G221" s="2"/>
      <c r="H221" s="2" t="s">
        <v>1200</v>
      </c>
      <c r="I221" s="2"/>
      <c r="J221" s="2" t="s">
        <v>23</v>
      </c>
      <c r="K221" s="2" t="s">
        <v>23</v>
      </c>
      <c r="L221" s="2" t="s">
        <v>1200</v>
      </c>
      <c r="M221" s="2" t="s">
        <v>206</v>
      </c>
      <c r="N221" s="2" t="s">
        <v>26</v>
      </c>
      <c r="O221" s="2" t="s">
        <v>1205</v>
      </c>
      <c r="P221" s="2" t="s">
        <v>1206</v>
      </c>
    </row>
    <row r="222" customFormat="false" ht="46.25" hidden="false" customHeight="false" outlineLevel="0" collapsed="false">
      <c r="A222" s="2" t="s">
        <v>1207</v>
      </c>
      <c r="B222" s="2" t="s">
        <v>1208</v>
      </c>
      <c r="C222" s="2" t="s">
        <v>18</v>
      </c>
      <c r="D222" s="2" t="s">
        <v>645</v>
      </c>
      <c r="E222" s="2" t="s">
        <v>1129</v>
      </c>
      <c r="F222" s="2" t="s">
        <v>21</v>
      </c>
      <c r="G222" s="2"/>
      <c r="H222" s="2" t="s">
        <v>1200</v>
      </c>
      <c r="I222" s="2"/>
      <c r="J222" s="2" t="s">
        <v>23</v>
      </c>
      <c r="K222" s="2" t="s">
        <v>23</v>
      </c>
      <c r="L222" s="2" t="s">
        <v>1200</v>
      </c>
      <c r="M222" s="2" t="s">
        <v>206</v>
      </c>
      <c r="N222" s="2" t="s">
        <v>26</v>
      </c>
      <c r="O222" s="2" t="s">
        <v>1209</v>
      </c>
      <c r="P222" s="2" t="s">
        <v>1210</v>
      </c>
    </row>
    <row r="223" customFormat="false" ht="35.05" hidden="false" customHeight="false" outlineLevel="0" collapsed="false">
      <c r="A223" s="2" t="s">
        <v>1211</v>
      </c>
      <c r="B223" s="2" t="s">
        <v>1212</v>
      </c>
      <c r="C223" s="2" t="s">
        <v>18</v>
      </c>
      <c r="D223" s="2" t="s">
        <v>645</v>
      </c>
      <c r="E223" s="2" t="s">
        <v>1213</v>
      </c>
      <c r="F223" s="2" t="s">
        <v>21</v>
      </c>
      <c r="G223" s="2"/>
      <c r="H223" s="2" t="s">
        <v>1200</v>
      </c>
      <c r="I223" s="2"/>
      <c r="J223" s="2" t="s">
        <v>23</v>
      </c>
      <c r="K223" s="2" t="s">
        <v>23</v>
      </c>
      <c r="L223" s="2" t="s">
        <v>1200</v>
      </c>
      <c r="M223" s="2" t="s">
        <v>206</v>
      </c>
      <c r="N223" s="2" t="s">
        <v>36</v>
      </c>
      <c r="O223" s="2" t="s">
        <v>1214</v>
      </c>
      <c r="P223" s="2" t="s">
        <v>1215</v>
      </c>
    </row>
    <row r="224" customFormat="false" ht="23.85" hidden="false" customHeight="false" outlineLevel="0" collapsed="false">
      <c r="A224" s="2" t="s">
        <v>1216</v>
      </c>
      <c r="B224" s="2" t="s">
        <v>1217</v>
      </c>
      <c r="C224" s="2" t="s">
        <v>18</v>
      </c>
      <c r="D224" s="2" t="s">
        <v>645</v>
      </c>
      <c r="E224" s="2" t="s">
        <v>1213</v>
      </c>
      <c r="F224" s="2" t="s">
        <v>21</v>
      </c>
      <c r="G224" s="2"/>
      <c r="H224" s="2" t="s">
        <v>1200</v>
      </c>
      <c r="I224" s="2"/>
      <c r="J224" s="2" t="s">
        <v>23</v>
      </c>
      <c r="K224" s="2" t="s">
        <v>23</v>
      </c>
      <c r="L224" s="2" t="s">
        <v>1200</v>
      </c>
      <c r="M224" s="2" t="s">
        <v>206</v>
      </c>
      <c r="N224" s="2" t="s">
        <v>26</v>
      </c>
      <c r="O224" s="2" t="s">
        <v>1218</v>
      </c>
      <c r="P224" s="2" t="s">
        <v>1219</v>
      </c>
    </row>
    <row r="225" customFormat="false" ht="68.65" hidden="false" customHeight="false" outlineLevel="0" collapsed="false">
      <c r="A225" s="2" t="s">
        <v>1220</v>
      </c>
      <c r="B225" s="2" t="s">
        <v>1221</v>
      </c>
      <c r="C225" s="2" t="s">
        <v>741</v>
      </c>
      <c r="D225" s="2" t="s">
        <v>645</v>
      </c>
      <c r="E225" s="2" t="s">
        <v>742</v>
      </c>
      <c r="F225" s="2" t="s">
        <v>21</v>
      </c>
      <c r="G225" s="2"/>
      <c r="H225" s="2" t="s">
        <v>1222</v>
      </c>
      <c r="I225" s="2"/>
      <c r="J225" s="2" t="s">
        <v>35</v>
      </c>
      <c r="K225" s="2" t="s">
        <v>35</v>
      </c>
      <c r="L225" s="2" t="s">
        <v>1223</v>
      </c>
      <c r="M225" s="2" t="s">
        <v>206</v>
      </c>
      <c r="N225" s="2" t="s">
        <v>36</v>
      </c>
      <c r="O225" s="2" t="s">
        <v>1224</v>
      </c>
      <c r="P225" s="2" t="s">
        <v>1225</v>
      </c>
    </row>
    <row r="226" customFormat="false" ht="68.65" hidden="false" customHeight="false" outlineLevel="0" collapsed="false">
      <c r="A226" s="2" t="s">
        <v>1226</v>
      </c>
      <c r="B226" s="2" t="s">
        <v>1227</v>
      </c>
      <c r="C226" s="2" t="s">
        <v>741</v>
      </c>
      <c r="D226" s="2" t="s">
        <v>645</v>
      </c>
      <c r="E226" s="2" t="s">
        <v>742</v>
      </c>
      <c r="F226" s="2" t="s">
        <v>21</v>
      </c>
      <c r="G226" s="2"/>
      <c r="H226" s="2" t="s">
        <v>1222</v>
      </c>
      <c r="I226" s="2"/>
      <c r="J226" s="2" t="s">
        <v>35</v>
      </c>
      <c r="K226" s="2" t="s">
        <v>35</v>
      </c>
      <c r="L226" s="2" t="s">
        <v>1223</v>
      </c>
      <c r="M226" s="2" t="s">
        <v>206</v>
      </c>
      <c r="N226" s="2" t="s">
        <v>36</v>
      </c>
      <c r="O226" s="2" t="s">
        <v>1228</v>
      </c>
      <c r="P226" s="2" t="s">
        <v>1229</v>
      </c>
    </row>
    <row r="227" customFormat="false" ht="46.25" hidden="false" customHeight="false" outlineLevel="0" collapsed="false">
      <c r="A227" s="2" t="s">
        <v>1230</v>
      </c>
      <c r="B227" s="2" t="s">
        <v>1231</v>
      </c>
      <c r="C227" s="2" t="s">
        <v>18</v>
      </c>
      <c r="D227" s="2" t="s">
        <v>645</v>
      </c>
      <c r="E227" s="2" t="s">
        <v>1232</v>
      </c>
      <c r="F227" s="2" t="s">
        <v>21</v>
      </c>
      <c r="G227" s="2"/>
      <c r="H227" s="2" t="s">
        <v>735</v>
      </c>
      <c r="I227" s="2"/>
      <c r="J227" s="2" t="s">
        <v>35</v>
      </c>
      <c r="K227" s="2" t="s">
        <v>23</v>
      </c>
      <c r="L227" s="2" t="s">
        <v>1233</v>
      </c>
      <c r="M227" s="2" t="s">
        <v>206</v>
      </c>
      <c r="N227" s="2" t="s">
        <v>26</v>
      </c>
      <c r="O227" s="2" t="s">
        <v>1234</v>
      </c>
      <c r="P227" s="2" t="s">
        <v>1235</v>
      </c>
    </row>
    <row r="228" customFormat="false" ht="23.85" hidden="false" customHeight="false" outlineLevel="0" collapsed="false">
      <c r="A228" s="2" t="s">
        <v>1236</v>
      </c>
      <c r="B228" s="2" t="s">
        <v>1237</v>
      </c>
      <c r="C228" s="2" t="s">
        <v>18</v>
      </c>
      <c r="D228" s="2" t="s">
        <v>645</v>
      </c>
      <c r="E228" s="2" t="s">
        <v>161</v>
      </c>
      <c r="F228" s="2" t="s">
        <v>21</v>
      </c>
      <c r="G228" s="2"/>
      <c r="H228" s="2" t="s">
        <v>735</v>
      </c>
      <c r="I228" s="2"/>
      <c r="J228" s="2" t="s">
        <v>35</v>
      </c>
      <c r="K228" s="2" t="s">
        <v>23</v>
      </c>
      <c r="L228" s="2" t="s">
        <v>735</v>
      </c>
      <c r="M228" s="2" t="s">
        <v>206</v>
      </c>
      <c r="N228" s="2" t="s">
        <v>26</v>
      </c>
      <c r="O228" s="2" t="s">
        <v>1238</v>
      </c>
      <c r="P228" s="2" t="s">
        <v>1239</v>
      </c>
    </row>
    <row r="229" customFormat="false" ht="35.05" hidden="false" customHeight="false" outlineLevel="0" collapsed="false">
      <c r="A229" s="2" t="s">
        <v>1240</v>
      </c>
      <c r="B229" s="2" t="s">
        <v>1241</v>
      </c>
      <c r="C229" s="2" t="s">
        <v>18</v>
      </c>
      <c r="D229" s="2" t="s">
        <v>645</v>
      </c>
      <c r="E229" s="2" t="s">
        <v>725</v>
      </c>
      <c r="F229" s="2" t="s">
        <v>21</v>
      </c>
      <c r="G229" s="2" t="s">
        <v>891</v>
      </c>
      <c r="H229" s="2" t="s">
        <v>1114</v>
      </c>
      <c r="I229" s="2"/>
      <c r="J229" s="2" t="s">
        <v>35</v>
      </c>
      <c r="K229" s="2" t="s">
        <v>35</v>
      </c>
      <c r="L229" s="2" t="s">
        <v>1242</v>
      </c>
      <c r="M229" s="2" t="s">
        <v>206</v>
      </c>
      <c r="N229" s="2" t="s">
        <v>26</v>
      </c>
      <c r="O229" s="2" t="s">
        <v>1243</v>
      </c>
      <c r="P229" s="2" t="s">
        <v>1244</v>
      </c>
    </row>
    <row r="230" customFormat="false" ht="35.05" hidden="false" customHeight="false" outlineLevel="0" collapsed="false">
      <c r="A230" s="2" t="s">
        <v>1245</v>
      </c>
      <c r="B230" s="2" t="s">
        <v>1246</v>
      </c>
      <c r="C230" s="2" t="s">
        <v>18</v>
      </c>
      <c r="D230" s="2" t="s">
        <v>645</v>
      </c>
      <c r="E230" s="2" t="s">
        <v>725</v>
      </c>
      <c r="F230" s="2" t="s">
        <v>21</v>
      </c>
      <c r="G230" s="2" t="s">
        <v>891</v>
      </c>
      <c r="H230" s="2" t="s">
        <v>1114</v>
      </c>
      <c r="I230" s="2"/>
      <c r="J230" s="2" t="s">
        <v>35</v>
      </c>
      <c r="K230" s="2" t="s">
        <v>35</v>
      </c>
      <c r="L230" s="2" t="s">
        <v>1242</v>
      </c>
      <c r="M230" s="2" t="s">
        <v>206</v>
      </c>
      <c r="N230" s="2" t="s">
        <v>26</v>
      </c>
      <c r="O230" s="2" t="s">
        <v>1247</v>
      </c>
      <c r="P230" s="2" t="s">
        <v>1248</v>
      </c>
    </row>
    <row r="231" customFormat="false" ht="35.05" hidden="false" customHeight="false" outlineLevel="0" collapsed="false">
      <c r="A231" s="2" t="s">
        <v>1249</v>
      </c>
      <c r="B231" s="2" t="s">
        <v>1250</v>
      </c>
      <c r="C231" s="2" t="s">
        <v>18</v>
      </c>
      <c r="D231" s="2" t="s">
        <v>645</v>
      </c>
      <c r="E231" s="2" t="s">
        <v>1251</v>
      </c>
      <c r="F231" s="2" t="s">
        <v>21</v>
      </c>
      <c r="G231" s="2" t="s">
        <v>1252</v>
      </c>
      <c r="H231" s="2" t="s">
        <v>1114</v>
      </c>
      <c r="I231" s="2"/>
      <c r="J231" s="2" t="s">
        <v>35</v>
      </c>
      <c r="K231" s="2" t="s">
        <v>35</v>
      </c>
      <c r="L231" s="2" t="s">
        <v>1253</v>
      </c>
      <c r="M231" s="2" t="s">
        <v>206</v>
      </c>
      <c r="N231" s="2" t="s">
        <v>26</v>
      </c>
      <c r="O231" s="2" t="s">
        <v>1254</v>
      </c>
      <c r="P231" s="2" t="s">
        <v>1255</v>
      </c>
    </row>
    <row r="232" customFormat="false" ht="35.05" hidden="false" customHeight="false" outlineLevel="0" collapsed="false">
      <c r="A232" s="2" t="s">
        <v>1256</v>
      </c>
      <c r="B232" s="2" t="s">
        <v>1257</v>
      </c>
      <c r="C232" s="2" t="s">
        <v>974</v>
      </c>
      <c r="D232" s="2" t="s">
        <v>645</v>
      </c>
      <c r="E232" s="2" t="s">
        <v>798</v>
      </c>
      <c r="F232" s="2" t="s">
        <v>530</v>
      </c>
      <c r="G232" s="2"/>
      <c r="H232" s="2" t="s">
        <v>976</v>
      </c>
      <c r="I232" s="2"/>
      <c r="J232" s="2" t="s">
        <v>35</v>
      </c>
      <c r="K232" s="2" t="s">
        <v>35</v>
      </c>
      <c r="L232" s="2" t="s">
        <v>976</v>
      </c>
      <c r="M232" s="2" t="s">
        <v>206</v>
      </c>
      <c r="N232" s="2" t="s">
        <v>26</v>
      </c>
      <c r="O232" s="2" t="s">
        <v>1258</v>
      </c>
      <c r="P232" s="2" t="s">
        <v>1259</v>
      </c>
    </row>
    <row r="233" customFormat="false" ht="35.05" hidden="false" customHeight="false" outlineLevel="0" collapsed="false">
      <c r="A233" s="2" t="s">
        <v>1260</v>
      </c>
      <c r="B233" s="2" t="s">
        <v>1261</v>
      </c>
      <c r="C233" s="2" t="s">
        <v>18</v>
      </c>
      <c r="D233" s="2" t="s">
        <v>645</v>
      </c>
      <c r="E233" s="2" t="s">
        <v>161</v>
      </c>
      <c r="F233" s="2" t="s">
        <v>530</v>
      </c>
      <c r="G233" s="2"/>
      <c r="H233" s="2" t="s">
        <v>1262</v>
      </c>
      <c r="I233" s="2"/>
      <c r="J233" s="2" t="s">
        <v>35</v>
      </c>
      <c r="K233" s="2" t="s">
        <v>35</v>
      </c>
      <c r="L233" s="2" t="s">
        <v>1262</v>
      </c>
      <c r="M233" s="2" t="s">
        <v>206</v>
      </c>
      <c r="N233" s="2" t="s">
        <v>26</v>
      </c>
      <c r="O233" s="2" t="s">
        <v>1263</v>
      </c>
      <c r="P233" s="2" t="s">
        <v>1264</v>
      </c>
    </row>
    <row r="234" customFormat="false" ht="23.85" hidden="false" customHeight="false" outlineLevel="0" collapsed="false">
      <c r="A234" s="2" t="s">
        <v>1265</v>
      </c>
      <c r="B234" s="2" t="s">
        <v>1266</v>
      </c>
      <c r="C234" s="2" t="s">
        <v>704</v>
      </c>
      <c r="D234" s="2" t="s">
        <v>645</v>
      </c>
      <c r="E234" s="2" t="s">
        <v>1091</v>
      </c>
      <c r="F234" s="2" t="s">
        <v>530</v>
      </c>
      <c r="G234" s="2" t="s">
        <v>1109</v>
      </c>
      <c r="H234" s="2"/>
      <c r="I234" s="2"/>
      <c r="J234" s="2" t="s">
        <v>23</v>
      </c>
      <c r="K234" s="2" t="s">
        <v>23</v>
      </c>
      <c r="L234" s="2" t="s">
        <v>1109</v>
      </c>
      <c r="M234" s="2" t="s">
        <v>206</v>
      </c>
      <c r="N234" s="2" t="s">
        <v>36</v>
      </c>
      <c r="O234" s="2" t="s">
        <v>1267</v>
      </c>
      <c r="P234" s="2" t="s">
        <v>1268</v>
      </c>
    </row>
    <row r="235" customFormat="false" ht="35.05" hidden="false" customHeight="false" outlineLevel="0" collapsed="false">
      <c r="A235" s="2" t="s">
        <v>1269</v>
      </c>
      <c r="B235" s="2" t="s">
        <v>1270</v>
      </c>
      <c r="C235" s="2" t="s">
        <v>741</v>
      </c>
      <c r="D235" s="2" t="s">
        <v>645</v>
      </c>
      <c r="E235" s="2" t="s">
        <v>742</v>
      </c>
      <c r="F235" s="2" t="s">
        <v>530</v>
      </c>
      <c r="G235" s="2"/>
      <c r="H235" s="2" t="s">
        <v>1271</v>
      </c>
      <c r="I235" s="2"/>
      <c r="J235" s="2" t="s">
        <v>35</v>
      </c>
      <c r="K235" s="2" t="s">
        <v>23</v>
      </c>
      <c r="L235" s="2" t="s">
        <v>1271</v>
      </c>
      <c r="M235" s="2" t="s">
        <v>206</v>
      </c>
      <c r="N235" s="2" t="s">
        <v>26</v>
      </c>
      <c r="O235" s="2" t="s">
        <v>1272</v>
      </c>
      <c r="P235" s="2" t="s">
        <v>1273</v>
      </c>
    </row>
    <row r="236" customFormat="false" ht="23.85" hidden="false" customHeight="false" outlineLevel="0" collapsed="false">
      <c r="A236" s="2" t="s">
        <v>1274</v>
      </c>
      <c r="B236" s="2" t="s">
        <v>1275</v>
      </c>
      <c r="C236" s="2" t="s">
        <v>741</v>
      </c>
      <c r="D236" s="2" t="s">
        <v>645</v>
      </c>
      <c r="E236" s="2" t="s">
        <v>742</v>
      </c>
      <c r="F236" s="2" t="s">
        <v>530</v>
      </c>
      <c r="G236" s="2"/>
      <c r="H236" s="2" t="s">
        <v>743</v>
      </c>
      <c r="I236" s="2"/>
      <c r="J236" s="2" t="s">
        <v>35</v>
      </c>
      <c r="K236" s="2" t="s">
        <v>23</v>
      </c>
      <c r="L236" s="2" t="s">
        <v>743</v>
      </c>
      <c r="M236" s="2" t="s">
        <v>206</v>
      </c>
      <c r="N236" s="2" t="s">
        <v>26</v>
      </c>
      <c r="O236" s="2" t="s">
        <v>1276</v>
      </c>
      <c r="P236" s="2" t="s">
        <v>1277</v>
      </c>
    </row>
    <row r="237" customFormat="false" ht="91" hidden="false" customHeight="false" outlineLevel="0" collapsed="false">
      <c r="A237" s="2" t="s">
        <v>1278</v>
      </c>
      <c r="B237" s="2" t="s">
        <v>1279</v>
      </c>
      <c r="C237" s="2" t="s">
        <v>1280</v>
      </c>
      <c r="D237" s="2" t="s">
        <v>1281</v>
      </c>
      <c r="E237" s="2" t="s">
        <v>1282</v>
      </c>
      <c r="F237" s="2" t="s">
        <v>32</v>
      </c>
      <c r="G237" s="2" t="s">
        <v>1283</v>
      </c>
      <c r="H237" s="2" t="s">
        <v>1284</v>
      </c>
      <c r="I237" s="2"/>
      <c r="J237" s="2" t="s">
        <v>161</v>
      </c>
      <c r="K237" s="2" t="s">
        <v>161</v>
      </c>
      <c r="L237" s="2" t="s">
        <v>1283</v>
      </c>
      <c r="M237" s="2" t="s">
        <v>206</v>
      </c>
      <c r="N237" s="2" t="s">
        <v>1285</v>
      </c>
      <c r="O237" s="2" t="s">
        <v>1286</v>
      </c>
      <c r="P237" s="2" t="s">
        <v>1287</v>
      </c>
    </row>
    <row r="238" customFormat="false" ht="113.4" hidden="false" customHeight="false" outlineLevel="0" collapsed="false">
      <c r="A238" s="2" t="s">
        <v>1288</v>
      </c>
      <c r="B238" s="2" t="s">
        <v>1289</v>
      </c>
      <c r="C238" s="2" t="s">
        <v>704</v>
      </c>
      <c r="D238" s="2" t="s">
        <v>1281</v>
      </c>
      <c r="E238" s="2" t="s">
        <v>1282</v>
      </c>
      <c r="F238" s="2" t="s">
        <v>32</v>
      </c>
      <c r="G238" s="2" t="s">
        <v>1290</v>
      </c>
      <c r="H238" s="2" t="s">
        <v>1291</v>
      </c>
      <c r="I238" s="2"/>
      <c r="J238" s="2" t="s">
        <v>23</v>
      </c>
      <c r="K238" s="2" t="s">
        <v>35</v>
      </c>
      <c r="L238" s="2" t="s">
        <v>1290</v>
      </c>
      <c r="M238" s="2" t="s">
        <v>206</v>
      </c>
      <c r="N238" s="2" t="s">
        <v>1285</v>
      </c>
      <c r="O238" s="2" t="s">
        <v>1292</v>
      </c>
      <c r="P238" s="2" t="s">
        <v>1293</v>
      </c>
    </row>
    <row r="239" customFormat="false" ht="68.65" hidden="false" customHeight="false" outlineLevel="0" collapsed="false">
      <c r="A239" s="2" t="s">
        <v>1294</v>
      </c>
      <c r="B239" s="2" t="s">
        <v>1295</v>
      </c>
      <c r="C239" s="2" t="s">
        <v>704</v>
      </c>
      <c r="D239" s="2" t="s">
        <v>1281</v>
      </c>
      <c r="E239" s="2" t="s">
        <v>1282</v>
      </c>
      <c r="F239" s="2" t="s">
        <v>32</v>
      </c>
      <c r="G239" s="2" t="s">
        <v>1296</v>
      </c>
      <c r="H239" s="2" t="s">
        <v>1284</v>
      </c>
      <c r="I239" s="2"/>
      <c r="J239" s="2" t="s">
        <v>161</v>
      </c>
      <c r="K239" s="2" t="s">
        <v>161</v>
      </c>
      <c r="L239" s="2" t="s">
        <v>1296</v>
      </c>
      <c r="M239" s="2" t="s">
        <v>206</v>
      </c>
      <c r="N239" s="2" t="s">
        <v>1297</v>
      </c>
      <c r="O239" s="2" t="s">
        <v>1298</v>
      </c>
      <c r="P239" s="2" t="s">
        <v>1299</v>
      </c>
    </row>
    <row r="240" customFormat="false" ht="147" hidden="false" customHeight="false" outlineLevel="0" collapsed="false">
      <c r="A240" s="2" t="s">
        <v>1300</v>
      </c>
      <c r="B240" s="2" t="s">
        <v>1301</v>
      </c>
      <c r="C240" s="2" t="s">
        <v>1302</v>
      </c>
      <c r="D240" s="2" t="s">
        <v>1281</v>
      </c>
      <c r="E240" s="2" t="s">
        <v>1282</v>
      </c>
      <c r="F240" s="2" t="s">
        <v>32</v>
      </c>
      <c r="G240" s="2" t="s">
        <v>1303</v>
      </c>
      <c r="H240" s="2" t="s">
        <v>1304</v>
      </c>
      <c r="I240" s="2" t="s">
        <v>34</v>
      </c>
      <c r="J240" s="2" t="s">
        <v>35</v>
      </c>
      <c r="K240" s="2" t="s">
        <v>35</v>
      </c>
      <c r="L240" s="2" t="s">
        <v>1305</v>
      </c>
      <c r="M240" s="2" t="s">
        <v>206</v>
      </c>
      <c r="N240" s="2" t="s">
        <v>36</v>
      </c>
      <c r="O240" s="2" t="s">
        <v>1306</v>
      </c>
      <c r="P240" s="2" t="s">
        <v>1307</v>
      </c>
    </row>
    <row r="241" customFormat="false" ht="68.65" hidden="false" customHeight="false" outlineLevel="0" collapsed="false">
      <c r="A241" s="2" t="s">
        <v>1308</v>
      </c>
      <c r="B241" s="2" t="s">
        <v>1309</v>
      </c>
      <c r="C241" s="2" t="s">
        <v>704</v>
      </c>
      <c r="D241" s="2" t="s">
        <v>1281</v>
      </c>
      <c r="E241" s="2" t="s">
        <v>1282</v>
      </c>
      <c r="F241" s="2" t="s">
        <v>32</v>
      </c>
      <c r="G241" s="2" t="s">
        <v>1310</v>
      </c>
      <c r="H241" s="2" t="s">
        <v>1311</v>
      </c>
      <c r="I241" s="2"/>
      <c r="J241" s="2" t="s">
        <v>35</v>
      </c>
      <c r="K241" s="2" t="s">
        <v>35</v>
      </c>
      <c r="L241" s="2" t="s">
        <v>1312</v>
      </c>
      <c r="M241" s="2" t="s">
        <v>206</v>
      </c>
      <c r="N241" s="2" t="s">
        <v>26</v>
      </c>
      <c r="O241" s="2" t="s">
        <v>1313</v>
      </c>
      <c r="P241" s="2" t="s">
        <v>1314</v>
      </c>
    </row>
    <row r="242" customFormat="false" ht="79.85" hidden="false" customHeight="false" outlineLevel="0" collapsed="false">
      <c r="A242" s="2" t="s">
        <v>1315</v>
      </c>
      <c r="B242" s="2" t="s">
        <v>1316</v>
      </c>
      <c r="C242" s="2" t="s">
        <v>704</v>
      </c>
      <c r="D242" s="2" t="s">
        <v>1281</v>
      </c>
      <c r="E242" s="2" t="s">
        <v>1282</v>
      </c>
      <c r="F242" s="2" t="s">
        <v>32</v>
      </c>
      <c r="G242" s="2" t="s">
        <v>1290</v>
      </c>
      <c r="H242" s="2" t="s">
        <v>1317</v>
      </c>
      <c r="I242" s="2"/>
      <c r="J242" s="2" t="s">
        <v>35</v>
      </c>
      <c r="K242" s="2" t="s">
        <v>23</v>
      </c>
      <c r="L242" s="2" t="s">
        <v>1318</v>
      </c>
      <c r="M242" s="2" t="s">
        <v>206</v>
      </c>
      <c r="N242" s="2" t="s">
        <v>26</v>
      </c>
      <c r="O242" s="2" t="s">
        <v>1319</v>
      </c>
      <c r="P242" s="2" t="s">
        <v>1320</v>
      </c>
    </row>
    <row r="243" customFormat="false" ht="135.8" hidden="false" customHeight="false" outlineLevel="0" collapsed="false">
      <c r="A243" s="2" t="s">
        <v>1321</v>
      </c>
      <c r="B243" s="2" t="s">
        <v>1322</v>
      </c>
      <c r="C243" s="2" t="s">
        <v>1323</v>
      </c>
      <c r="D243" s="2" t="s">
        <v>1281</v>
      </c>
      <c r="E243" s="2" t="s">
        <v>1282</v>
      </c>
      <c r="F243" s="2" t="s">
        <v>32</v>
      </c>
      <c r="G243" s="2" t="s">
        <v>1324</v>
      </c>
      <c r="H243" s="2" t="s">
        <v>1325</v>
      </c>
      <c r="I243" s="2"/>
      <c r="J243" s="2" t="s">
        <v>35</v>
      </c>
      <c r="K243" s="2" t="s">
        <v>35</v>
      </c>
      <c r="L243" s="2" t="s">
        <v>1326</v>
      </c>
      <c r="M243" s="2" t="s">
        <v>206</v>
      </c>
      <c r="N243" s="2" t="s">
        <v>36</v>
      </c>
      <c r="O243" s="2" t="s">
        <v>1327</v>
      </c>
      <c r="P243" s="2" t="s">
        <v>1328</v>
      </c>
    </row>
    <row r="244" customFormat="false" ht="68.65" hidden="false" customHeight="false" outlineLevel="0" collapsed="false">
      <c r="A244" s="2" t="s">
        <v>1329</v>
      </c>
      <c r="B244" s="2" t="s">
        <v>1330</v>
      </c>
      <c r="C244" s="2" t="s">
        <v>704</v>
      </c>
      <c r="D244" s="2" t="s">
        <v>1281</v>
      </c>
      <c r="E244" s="2" t="s">
        <v>1331</v>
      </c>
      <c r="F244" s="2" t="s">
        <v>32</v>
      </c>
      <c r="G244" s="2" t="s">
        <v>1332</v>
      </c>
      <c r="H244" s="2" t="s">
        <v>1333</v>
      </c>
      <c r="I244" s="2"/>
      <c r="J244" s="2" t="s">
        <v>23</v>
      </c>
      <c r="K244" s="2" t="s">
        <v>35</v>
      </c>
      <c r="L244" s="2" t="s">
        <v>1332</v>
      </c>
      <c r="M244" s="2" t="s">
        <v>206</v>
      </c>
      <c r="N244" s="2" t="s">
        <v>1297</v>
      </c>
      <c r="O244" s="2" t="s">
        <v>1334</v>
      </c>
      <c r="P244" s="2" t="s">
        <v>1335</v>
      </c>
    </row>
    <row r="245" customFormat="false" ht="91" hidden="false" customHeight="false" outlineLevel="0" collapsed="false">
      <c r="A245" s="2" t="s">
        <v>1336</v>
      </c>
      <c r="B245" s="2" t="s">
        <v>1337</v>
      </c>
      <c r="C245" s="2" t="s">
        <v>704</v>
      </c>
      <c r="D245" s="2" t="s">
        <v>1281</v>
      </c>
      <c r="E245" s="2" t="s">
        <v>1282</v>
      </c>
      <c r="F245" s="2" t="s">
        <v>32</v>
      </c>
      <c r="G245" s="2" t="s">
        <v>1338</v>
      </c>
      <c r="H245" s="2" t="s">
        <v>1339</v>
      </c>
      <c r="I245" s="2"/>
      <c r="J245" s="2" t="s">
        <v>23</v>
      </c>
      <c r="K245" s="2" t="s">
        <v>35</v>
      </c>
      <c r="L245" s="2" t="s">
        <v>1340</v>
      </c>
      <c r="M245" s="2" t="s">
        <v>206</v>
      </c>
      <c r="N245" s="2" t="s">
        <v>26</v>
      </c>
      <c r="O245" s="2" t="s">
        <v>1341</v>
      </c>
      <c r="P245" s="2" t="s">
        <v>1342</v>
      </c>
    </row>
    <row r="246" customFormat="false" ht="46.25" hidden="false" customHeight="false" outlineLevel="0" collapsed="false">
      <c r="A246" s="2" t="s">
        <v>1343</v>
      </c>
      <c r="B246" s="2" t="s">
        <v>1344</v>
      </c>
      <c r="C246" s="2" t="s">
        <v>1345</v>
      </c>
      <c r="D246" s="2" t="s">
        <v>1281</v>
      </c>
      <c r="E246" s="2" t="s">
        <v>1282</v>
      </c>
      <c r="F246" s="2" t="s">
        <v>32</v>
      </c>
      <c r="G246" s="2" t="s">
        <v>1346</v>
      </c>
      <c r="H246" s="2" t="s">
        <v>1284</v>
      </c>
      <c r="I246" s="2"/>
      <c r="J246" s="2" t="s">
        <v>161</v>
      </c>
      <c r="K246" s="2" t="s">
        <v>161</v>
      </c>
      <c r="L246" s="2" t="s">
        <v>1346</v>
      </c>
      <c r="M246" s="2" t="s">
        <v>75</v>
      </c>
      <c r="N246" s="2" t="s">
        <v>1297</v>
      </c>
      <c r="O246" s="2" t="s">
        <v>1347</v>
      </c>
      <c r="P246" s="2" t="s">
        <v>1348</v>
      </c>
    </row>
    <row r="247" customFormat="false" ht="46.25" hidden="false" customHeight="false" outlineLevel="0" collapsed="false">
      <c r="A247" s="2" t="s">
        <v>1349</v>
      </c>
      <c r="B247" s="2" t="s">
        <v>1350</v>
      </c>
      <c r="C247" s="2" t="s">
        <v>704</v>
      </c>
      <c r="D247" s="2" t="s">
        <v>1281</v>
      </c>
      <c r="E247" s="2" t="s">
        <v>1282</v>
      </c>
      <c r="F247" s="2" t="s">
        <v>32</v>
      </c>
      <c r="G247" s="2" t="s">
        <v>1351</v>
      </c>
      <c r="H247" s="2" t="s">
        <v>1284</v>
      </c>
      <c r="I247" s="2"/>
      <c r="J247" s="2" t="s">
        <v>161</v>
      </c>
      <c r="K247" s="2" t="s">
        <v>161</v>
      </c>
      <c r="L247" s="2" t="s">
        <v>1352</v>
      </c>
      <c r="M247" s="2" t="s">
        <v>75</v>
      </c>
      <c r="N247" s="2" t="s">
        <v>1285</v>
      </c>
      <c r="O247" s="2" t="s">
        <v>1353</v>
      </c>
      <c r="P247" s="2" t="s">
        <v>1354</v>
      </c>
    </row>
    <row r="248" customFormat="false" ht="23.85" hidden="false" customHeight="false" outlineLevel="0" collapsed="false">
      <c r="A248" s="2" t="s">
        <v>1355</v>
      </c>
      <c r="B248" s="2" t="s">
        <v>1356</v>
      </c>
      <c r="C248" s="2" t="s">
        <v>704</v>
      </c>
      <c r="D248" s="2" t="s">
        <v>1281</v>
      </c>
      <c r="E248" s="2" t="s">
        <v>1282</v>
      </c>
      <c r="F248" s="2" t="s">
        <v>32</v>
      </c>
      <c r="G248" s="2" t="s">
        <v>1351</v>
      </c>
      <c r="H248" s="2"/>
      <c r="I248" s="2"/>
      <c r="J248" s="2" t="s">
        <v>161</v>
      </c>
      <c r="K248" s="2" t="s">
        <v>161</v>
      </c>
      <c r="L248" s="2" t="s">
        <v>1351</v>
      </c>
      <c r="M248" s="2" t="s">
        <v>75</v>
      </c>
      <c r="N248" s="2" t="s">
        <v>1297</v>
      </c>
      <c r="O248" s="2" t="s">
        <v>1357</v>
      </c>
      <c r="P248" s="2" t="s">
        <v>1358</v>
      </c>
    </row>
    <row r="249" customFormat="false" ht="46.25" hidden="false" customHeight="false" outlineLevel="0" collapsed="false">
      <c r="A249" s="2" t="s">
        <v>1359</v>
      </c>
      <c r="B249" s="2" t="s">
        <v>1360</v>
      </c>
      <c r="C249" s="2" t="s">
        <v>704</v>
      </c>
      <c r="D249" s="2" t="s">
        <v>1281</v>
      </c>
      <c r="E249" s="2" t="s">
        <v>1282</v>
      </c>
      <c r="F249" s="2" t="s">
        <v>32</v>
      </c>
      <c r="G249" s="2" t="s">
        <v>1351</v>
      </c>
      <c r="H249" s="2" t="s">
        <v>1284</v>
      </c>
      <c r="I249" s="2"/>
      <c r="J249" s="2" t="s">
        <v>161</v>
      </c>
      <c r="K249" s="2" t="s">
        <v>161</v>
      </c>
      <c r="L249" s="2" t="s">
        <v>1352</v>
      </c>
      <c r="M249" s="2" t="s">
        <v>75</v>
      </c>
      <c r="N249" s="2" t="s">
        <v>1285</v>
      </c>
      <c r="O249" s="2" t="s">
        <v>1361</v>
      </c>
      <c r="P249" s="2" t="s">
        <v>1362</v>
      </c>
    </row>
    <row r="250" customFormat="false" ht="46.25" hidden="false" customHeight="false" outlineLevel="0" collapsed="false">
      <c r="A250" s="2" t="s">
        <v>1363</v>
      </c>
      <c r="B250" s="2" t="s">
        <v>1364</v>
      </c>
      <c r="C250" s="2" t="s">
        <v>704</v>
      </c>
      <c r="D250" s="2" t="s">
        <v>1281</v>
      </c>
      <c r="E250" s="2" t="s">
        <v>1282</v>
      </c>
      <c r="F250" s="2" t="s">
        <v>32</v>
      </c>
      <c r="G250" s="2" t="s">
        <v>1351</v>
      </c>
      <c r="H250" s="2" t="s">
        <v>1284</v>
      </c>
      <c r="I250" s="2"/>
      <c r="J250" s="2" t="s">
        <v>161</v>
      </c>
      <c r="K250" s="2" t="s">
        <v>161</v>
      </c>
      <c r="L250" s="2" t="s">
        <v>1352</v>
      </c>
      <c r="M250" s="2" t="s">
        <v>75</v>
      </c>
      <c r="N250" s="2" t="s">
        <v>1285</v>
      </c>
      <c r="O250" s="2" t="s">
        <v>1361</v>
      </c>
      <c r="P250" s="2" t="s">
        <v>1362</v>
      </c>
    </row>
    <row r="251" customFormat="false" ht="46.25" hidden="false" customHeight="false" outlineLevel="0" collapsed="false">
      <c r="A251" s="2" t="s">
        <v>1365</v>
      </c>
      <c r="B251" s="2" t="s">
        <v>1366</v>
      </c>
      <c r="C251" s="2" t="s">
        <v>704</v>
      </c>
      <c r="D251" s="2" t="s">
        <v>1281</v>
      </c>
      <c r="E251" s="2" t="s">
        <v>1282</v>
      </c>
      <c r="F251" s="2" t="s">
        <v>32</v>
      </c>
      <c r="G251" s="2" t="s">
        <v>1351</v>
      </c>
      <c r="H251" s="2" t="s">
        <v>1284</v>
      </c>
      <c r="I251" s="2"/>
      <c r="J251" s="2" t="s">
        <v>161</v>
      </c>
      <c r="K251" s="2" t="s">
        <v>161</v>
      </c>
      <c r="L251" s="2" t="s">
        <v>1352</v>
      </c>
      <c r="M251" s="2" t="s">
        <v>75</v>
      </c>
      <c r="N251" s="2" t="s">
        <v>1297</v>
      </c>
      <c r="O251" s="2" t="s">
        <v>1367</v>
      </c>
      <c r="P251" s="2" t="s">
        <v>1368</v>
      </c>
    </row>
    <row r="252" customFormat="false" ht="35.05" hidden="false" customHeight="false" outlineLevel="0" collapsed="false">
      <c r="A252" s="2" t="s">
        <v>1369</v>
      </c>
      <c r="B252" s="2" t="s">
        <v>1370</v>
      </c>
      <c r="C252" s="2" t="s">
        <v>704</v>
      </c>
      <c r="D252" s="2" t="s">
        <v>1281</v>
      </c>
      <c r="E252" s="2" t="s">
        <v>1282</v>
      </c>
      <c r="F252" s="2" t="s">
        <v>32</v>
      </c>
      <c r="G252" s="2" t="s">
        <v>1351</v>
      </c>
      <c r="H252" s="2" t="s">
        <v>1284</v>
      </c>
      <c r="I252" s="2"/>
      <c r="J252" s="2" t="s">
        <v>161</v>
      </c>
      <c r="K252" s="2" t="s">
        <v>161</v>
      </c>
      <c r="L252" s="2" t="s">
        <v>1352</v>
      </c>
      <c r="M252" s="2" t="s">
        <v>75</v>
      </c>
      <c r="N252" s="2" t="s">
        <v>1297</v>
      </c>
      <c r="O252" s="2" t="s">
        <v>1371</v>
      </c>
      <c r="P252" s="2" t="s">
        <v>1372</v>
      </c>
    </row>
    <row r="253" customFormat="false" ht="23.85" hidden="false" customHeight="false" outlineLevel="0" collapsed="false">
      <c r="A253" s="2" t="s">
        <v>1373</v>
      </c>
      <c r="B253" s="2" t="s">
        <v>1374</v>
      </c>
      <c r="C253" s="2" t="s">
        <v>704</v>
      </c>
      <c r="D253" s="2" t="s">
        <v>1281</v>
      </c>
      <c r="E253" s="2" t="s">
        <v>20</v>
      </c>
      <c r="F253" s="2" t="s">
        <v>32</v>
      </c>
      <c r="G253" s="2" t="s">
        <v>1346</v>
      </c>
      <c r="H253" s="2"/>
      <c r="I253" s="2"/>
      <c r="J253" s="2" t="s">
        <v>161</v>
      </c>
      <c r="K253" s="2" t="s">
        <v>161</v>
      </c>
      <c r="L253" s="2" t="s">
        <v>1346</v>
      </c>
      <c r="M253" s="2" t="s">
        <v>75</v>
      </c>
      <c r="N253" s="2" t="s">
        <v>1297</v>
      </c>
      <c r="O253" s="2" t="s">
        <v>1375</v>
      </c>
      <c r="P253" s="2" t="s">
        <v>1376</v>
      </c>
    </row>
    <row r="254" customFormat="false" ht="46.25" hidden="false" customHeight="false" outlineLevel="0" collapsed="false">
      <c r="A254" s="2" t="s">
        <v>1377</v>
      </c>
      <c r="B254" s="2" t="s">
        <v>1378</v>
      </c>
      <c r="C254" s="2" t="s">
        <v>704</v>
      </c>
      <c r="D254" s="2" t="s">
        <v>1281</v>
      </c>
      <c r="E254" s="2" t="s">
        <v>1379</v>
      </c>
      <c r="F254" s="2" t="s">
        <v>32</v>
      </c>
      <c r="G254" s="2" t="s">
        <v>1380</v>
      </c>
      <c r="H254" s="2"/>
      <c r="I254" s="2"/>
      <c r="J254" s="2" t="s">
        <v>161</v>
      </c>
      <c r="K254" s="2" t="s">
        <v>161</v>
      </c>
      <c r="L254" s="2" t="s">
        <v>1380</v>
      </c>
      <c r="M254" s="2" t="s">
        <v>125</v>
      </c>
      <c r="N254" s="2" t="s">
        <v>1297</v>
      </c>
      <c r="O254" s="2" t="s">
        <v>1381</v>
      </c>
      <c r="P254" s="2" t="s">
        <v>1382</v>
      </c>
    </row>
    <row r="255" customFormat="false" ht="57.45" hidden="false" customHeight="false" outlineLevel="0" collapsed="false">
      <c r="A255" s="2" t="s">
        <v>1383</v>
      </c>
      <c r="B255" s="2" t="s">
        <v>1384</v>
      </c>
      <c r="C255" s="2" t="s">
        <v>704</v>
      </c>
      <c r="D255" s="2" t="s">
        <v>1281</v>
      </c>
      <c r="E255" s="2" t="s">
        <v>1385</v>
      </c>
      <c r="F255" s="2" t="s">
        <v>32</v>
      </c>
      <c r="G255" s="2" t="s">
        <v>1296</v>
      </c>
      <c r="H255" s="2"/>
      <c r="I255" s="2"/>
      <c r="J255" s="2" t="s">
        <v>161</v>
      </c>
      <c r="K255" s="2" t="s">
        <v>161</v>
      </c>
      <c r="L255" s="2" t="s">
        <v>1296</v>
      </c>
      <c r="M255" s="2" t="s">
        <v>125</v>
      </c>
      <c r="N255" s="2" t="s">
        <v>26</v>
      </c>
      <c r="O255" s="2" t="s">
        <v>1386</v>
      </c>
      <c r="P255" s="2" t="s">
        <v>1387</v>
      </c>
    </row>
    <row r="256" customFormat="false" ht="23.85" hidden="false" customHeight="false" outlineLevel="0" collapsed="false">
      <c r="A256" s="2" t="s">
        <v>1388</v>
      </c>
      <c r="B256" s="2" t="s">
        <v>1389</v>
      </c>
      <c r="C256" s="2" t="s">
        <v>704</v>
      </c>
      <c r="D256" s="2" t="s">
        <v>1281</v>
      </c>
      <c r="E256" s="2" t="s">
        <v>1390</v>
      </c>
      <c r="F256" s="2" t="s">
        <v>32</v>
      </c>
      <c r="G256" s="2" t="s">
        <v>1346</v>
      </c>
      <c r="H256" s="2" t="s">
        <v>1339</v>
      </c>
      <c r="I256" s="2"/>
      <c r="J256" s="2" t="s">
        <v>23</v>
      </c>
      <c r="K256" s="2" t="s">
        <v>23</v>
      </c>
      <c r="L256" s="2" t="s">
        <v>1346</v>
      </c>
      <c r="M256" s="2" t="s">
        <v>125</v>
      </c>
      <c r="N256" s="2" t="s">
        <v>1297</v>
      </c>
      <c r="O256" s="2" t="s">
        <v>1391</v>
      </c>
      <c r="P256" s="2"/>
    </row>
    <row r="257" customFormat="false" ht="102.2" hidden="false" customHeight="false" outlineLevel="0" collapsed="false">
      <c r="A257" s="2" t="s">
        <v>1392</v>
      </c>
      <c r="B257" s="2" t="s">
        <v>1393</v>
      </c>
      <c r="C257" s="2" t="s">
        <v>1394</v>
      </c>
      <c r="D257" s="2" t="s">
        <v>1281</v>
      </c>
      <c r="E257" s="2" t="s">
        <v>1129</v>
      </c>
      <c r="F257" s="2" t="s">
        <v>21</v>
      </c>
      <c r="G257" s="2" t="s">
        <v>1395</v>
      </c>
      <c r="H257" s="2"/>
      <c r="I257" s="2"/>
      <c r="J257" s="2" t="s">
        <v>161</v>
      </c>
      <c r="K257" s="2" t="s">
        <v>161</v>
      </c>
      <c r="L257" s="2" t="s">
        <v>1395</v>
      </c>
      <c r="M257" s="2" t="s">
        <v>206</v>
      </c>
      <c r="N257" s="2" t="s">
        <v>26</v>
      </c>
      <c r="O257" s="2" t="s">
        <v>1396</v>
      </c>
      <c r="P257" s="2" t="s">
        <v>1397</v>
      </c>
    </row>
    <row r="258" customFormat="false" ht="91" hidden="false" customHeight="false" outlineLevel="0" collapsed="false">
      <c r="A258" s="2" t="s">
        <v>1398</v>
      </c>
      <c r="B258" s="2" t="s">
        <v>1399</v>
      </c>
      <c r="C258" s="2" t="s">
        <v>1394</v>
      </c>
      <c r="D258" s="2" t="s">
        <v>1281</v>
      </c>
      <c r="E258" s="2" t="s">
        <v>1129</v>
      </c>
      <c r="F258" s="2" t="s">
        <v>21</v>
      </c>
      <c r="G258" s="2" t="s">
        <v>1395</v>
      </c>
      <c r="H258" s="2"/>
      <c r="I258" s="2"/>
      <c r="J258" s="2" t="s">
        <v>161</v>
      </c>
      <c r="K258" s="2" t="s">
        <v>161</v>
      </c>
      <c r="L258" s="2" t="s">
        <v>1395</v>
      </c>
      <c r="M258" s="2" t="s">
        <v>206</v>
      </c>
      <c r="N258" s="2" t="s">
        <v>26</v>
      </c>
      <c r="O258" s="2" t="s">
        <v>1400</v>
      </c>
      <c r="P258" s="2" t="s">
        <v>1401</v>
      </c>
    </row>
    <row r="259" customFormat="false" ht="91" hidden="false" customHeight="false" outlineLevel="0" collapsed="false">
      <c r="A259" s="2" t="s">
        <v>1402</v>
      </c>
      <c r="B259" s="2" t="s">
        <v>1403</v>
      </c>
      <c r="C259" s="2" t="s">
        <v>1394</v>
      </c>
      <c r="D259" s="2" t="s">
        <v>1281</v>
      </c>
      <c r="E259" s="2" t="s">
        <v>1129</v>
      </c>
      <c r="F259" s="2" t="s">
        <v>21</v>
      </c>
      <c r="G259" s="2" t="s">
        <v>1395</v>
      </c>
      <c r="H259" s="2"/>
      <c r="I259" s="2"/>
      <c r="J259" s="2" t="s">
        <v>161</v>
      </c>
      <c r="K259" s="2" t="s">
        <v>161</v>
      </c>
      <c r="L259" s="2" t="s">
        <v>1395</v>
      </c>
      <c r="M259" s="2" t="s">
        <v>206</v>
      </c>
      <c r="N259" s="2" t="s">
        <v>26</v>
      </c>
      <c r="O259" s="2" t="s">
        <v>1404</v>
      </c>
      <c r="P259" s="2" t="s">
        <v>1401</v>
      </c>
    </row>
    <row r="260" customFormat="false" ht="102.2" hidden="false" customHeight="false" outlineLevel="0" collapsed="false">
      <c r="A260" s="2" t="s">
        <v>1405</v>
      </c>
      <c r="B260" s="2" t="s">
        <v>1406</v>
      </c>
      <c r="C260" s="2" t="s">
        <v>1394</v>
      </c>
      <c r="D260" s="2" t="s">
        <v>1281</v>
      </c>
      <c r="E260" s="2" t="s">
        <v>1129</v>
      </c>
      <c r="F260" s="2" t="s">
        <v>21</v>
      </c>
      <c r="G260" s="2" t="s">
        <v>1395</v>
      </c>
      <c r="H260" s="2"/>
      <c r="I260" s="2"/>
      <c r="J260" s="2" t="s">
        <v>161</v>
      </c>
      <c r="K260" s="2" t="s">
        <v>161</v>
      </c>
      <c r="L260" s="2" t="s">
        <v>1395</v>
      </c>
      <c r="M260" s="2" t="s">
        <v>206</v>
      </c>
      <c r="N260" s="2" t="s">
        <v>26</v>
      </c>
      <c r="O260" s="2" t="s">
        <v>1407</v>
      </c>
      <c r="P260" s="2" t="s">
        <v>1408</v>
      </c>
    </row>
    <row r="261" customFormat="false" ht="79.85" hidden="false" customHeight="false" outlineLevel="0" collapsed="false">
      <c r="A261" s="2" t="s">
        <v>1409</v>
      </c>
      <c r="B261" s="2" t="s">
        <v>1410</v>
      </c>
      <c r="C261" s="2" t="s">
        <v>1394</v>
      </c>
      <c r="D261" s="2" t="s">
        <v>1281</v>
      </c>
      <c r="E261" s="2" t="s">
        <v>1411</v>
      </c>
      <c r="F261" s="2" t="s">
        <v>21</v>
      </c>
      <c r="G261" s="2" t="s">
        <v>1395</v>
      </c>
      <c r="H261" s="2"/>
      <c r="I261" s="2"/>
      <c r="J261" s="2" t="s">
        <v>161</v>
      </c>
      <c r="K261" s="2" t="s">
        <v>161</v>
      </c>
      <c r="L261" s="2" t="s">
        <v>1395</v>
      </c>
      <c r="M261" s="2" t="s">
        <v>161</v>
      </c>
      <c r="N261" s="2" t="s">
        <v>26</v>
      </c>
      <c r="O261" s="2" t="s">
        <v>1412</v>
      </c>
      <c r="P261" s="2" t="s">
        <v>1413</v>
      </c>
    </row>
    <row r="262" customFormat="false" ht="23.85" hidden="false" customHeight="false" outlineLevel="0" collapsed="false">
      <c r="A262" s="2" t="s">
        <v>1414</v>
      </c>
      <c r="B262" s="2" t="s">
        <v>1415</v>
      </c>
      <c r="C262" s="2" t="s">
        <v>704</v>
      </c>
      <c r="D262" s="2" t="s">
        <v>1281</v>
      </c>
      <c r="E262" s="2" t="s">
        <v>1416</v>
      </c>
      <c r="F262" s="2" t="s">
        <v>32</v>
      </c>
      <c r="G262" s="2" t="s">
        <v>1417</v>
      </c>
      <c r="H262" s="2" t="s">
        <v>1418</v>
      </c>
      <c r="I262" s="2"/>
      <c r="J262" s="2" t="s">
        <v>35</v>
      </c>
      <c r="K262" s="2" t="s">
        <v>23</v>
      </c>
      <c r="L262" s="2" t="s">
        <v>1417</v>
      </c>
      <c r="M262" s="2" t="s">
        <v>206</v>
      </c>
      <c r="N262" s="2" t="s">
        <v>1285</v>
      </c>
      <c r="O262" s="2" t="s">
        <v>1419</v>
      </c>
      <c r="P262" s="2"/>
    </row>
    <row r="263" customFormat="false" ht="258.95" hidden="false" customHeight="false" outlineLevel="0" collapsed="false">
      <c r="A263" s="2" t="s">
        <v>1420</v>
      </c>
      <c r="B263" s="2" t="s">
        <v>1421</v>
      </c>
      <c r="C263" s="2" t="s">
        <v>1422</v>
      </c>
      <c r="D263" s="2" t="s">
        <v>1423</v>
      </c>
      <c r="E263" s="2" t="s">
        <v>1129</v>
      </c>
      <c r="F263" s="2" t="s">
        <v>32</v>
      </c>
      <c r="G263" s="2" t="s">
        <v>1424</v>
      </c>
      <c r="H263" s="2" t="s">
        <v>1425</v>
      </c>
      <c r="I263" s="2" t="s">
        <v>1426</v>
      </c>
      <c r="J263" s="2" t="s">
        <v>35</v>
      </c>
      <c r="K263" s="2" t="s">
        <v>35</v>
      </c>
      <c r="L263" s="2" t="s">
        <v>1427</v>
      </c>
      <c r="M263" s="2" t="s">
        <v>206</v>
      </c>
      <c r="N263" s="2" t="s">
        <v>26</v>
      </c>
      <c r="O263" s="2" t="s">
        <v>1428</v>
      </c>
      <c r="P263" s="2" t="s">
        <v>1429</v>
      </c>
    </row>
    <row r="264" customFormat="false" ht="281.3" hidden="false" customHeight="false" outlineLevel="0" collapsed="false">
      <c r="A264" s="2" t="s">
        <v>1430</v>
      </c>
      <c r="B264" s="2" t="s">
        <v>1431</v>
      </c>
      <c r="C264" s="2" t="s">
        <v>1422</v>
      </c>
      <c r="D264" s="2" t="s">
        <v>1423</v>
      </c>
      <c r="E264" s="2" t="s">
        <v>1129</v>
      </c>
      <c r="F264" s="2" t="s">
        <v>530</v>
      </c>
      <c r="G264" s="2" t="s">
        <v>1432</v>
      </c>
      <c r="H264" s="2" t="s">
        <v>727</v>
      </c>
      <c r="I264" s="2" t="s">
        <v>1433</v>
      </c>
      <c r="J264" s="2" t="s">
        <v>35</v>
      </c>
      <c r="K264" s="2" t="s">
        <v>35</v>
      </c>
      <c r="L264" s="2" t="s">
        <v>1434</v>
      </c>
      <c r="M264" s="2" t="s">
        <v>206</v>
      </c>
      <c r="N264" s="2" t="s">
        <v>36</v>
      </c>
      <c r="O264" s="2" t="s">
        <v>1435</v>
      </c>
      <c r="P264" s="2" t="s">
        <v>1436</v>
      </c>
    </row>
    <row r="265" customFormat="false" ht="79.85" hidden="false" customHeight="false" outlineLevel="0" collapsed="false">
      <c r="A265" s="2" t="s">
        <v>1437</v>
      </c>
      <c r="B265" s="2" t="s">
        <v>1438</v>
      </c>
      <c r="C265" s="2" t="s">
        <v>704</v>
      </c>
      <c r="D265" s="2" t="s">
        <v>1281</v>
      </c>
      <c r="E265" s="2" t="s">
        <v>1129</v>
      </c>
      <c r="F265" s="2" t="s">
        <v>32</v>
      </c>
      <c r="G265" s="2" t="s">
        <v>1439</v>
      </c>
      <c r="H265" s="2" t="s">
        <v>1311</v>
      </c>
      <c r="I265" s="2"/>
      <c r="J265" s="2" t="s">
        <v>35</v>
      </c>
      <c r="K265" s="2" t="s">
        <v>35</v>
      </c>
      <c r="L265" s="2" t="s">
        <v>1440</v>
      </c>
      <c r="M265" s="2" t="s">
        <v>206</v>
      </c>
      <c r="N265" s="2" t="s">
        <v>26</v>
      </c>
      <c r="O265" s="2" t="s">
        <v>1441</v>
      </c>
      <c r="P265" s="2" t="s">
        <v>1442</v>
      </c>
    </row>
    <row r="266" customFormat="false" ht="79.85" hidden="false" customHeight="false" outlineLevel="0" collapsed="false">
      <c r="A266" s="2" t="s">
        <v>1443</v>
      </c>
      <c r="B266" s="2" t="s">
        <v>1444</v>
      </c>
      <c r="C266" s="2" t="s">
        <v>704</v>
      </c>
      <c r="D266" s="2" t="s">
        <v>1281</v>
      </c>
      <c r="E266" s="2" t="s">
        <v>1129</v>
      </c>
      <c r="F266" s="2" t="s">
        <v>32</v>
      </c>
      <c r="G266" s="2" t="s">
        <v>1445</v>
      </c>
      <c r="H266" s="2" t="s">
        <v>1446</v>
      </c>
      <c r="I266" s="2"/>
      <c r="J266" s="2" t="s">
        <v>23</v>
      </c>
      <c r="K266" s="2" t="s">
        <v>23</v>
      </c>
      <c r="L266" s="2" t="s">
        <v>1447</v>
      </c>
      <c r="M266" s="2" t="s">
        <v>206</v>
      </c>
      <c r="N266" s="2" t="s">
        <v>1285</v>
      </c>
      <c r="O266" s="2" t="s">
        <v>1448</v>
      </c>
      <c r="P266" s="2" t="s">
        <v>1449</v>
      </c>
    </row>
    <row r="267" customFormat="false" ht="79.85" hidden="false" customHeight="false" outlineLevel="0" collapsed="false">
      <c r="A267" s="2" t="s">
        <v>1450</v>
      </c>
      <c r="B267" s="2" t="s">
        <v>1451</v>
      </c>
      <c r="C267" s="2" t="s">
        <v>704</v>
      </c>
      <c r="D267" s="2" t="s">
        <v>1281</v>
      </c>
      <c r="E267" s="2" t="s">
        <v>1129</v>
      </c>
      <c r="F267" s="2" t="s">
        <v>32</v>
      </c>
      <c r="G267" s="2" t="s">
        <v>1445</v>
      </c>
      <c r="H267" s="2" t="s">
        <v>1446</v>
      </c>
      <c r="I267" s="2"/>
      <c r="J267" s="2" t="s">
        <v>23</v>
      </c>
      <c r="K267" s="2" t="s">
        <v>23</v>
      </c>
      <c r="L267" s="2" t="s">
        <v>1447</v>
      </c>
      <c r="M267" s="2" t="s">
        <v>206</v>
      </c>
      <c r="N267" s="2" t="s">
        <v>1285</v>
      </c>
      <c r="O267" s="2" t="s">
        <v>1452</v>
      </c>
      <c r="P267" s="2" t="s">
        <v>1453</v>
      </c>
    </row>
    <row r="268" customFormat="false" ht="91" hidden="false" customHeight="false" outlineLevel="0" collapsed="false">
      <c r="A268" s="2" t="s">
        <v>1454</v>
      </c>
      <c r="B268" s="2" t="s">
        <v>1455</v>
      </c>
      <c r="C268" s="2" t="s">
        <v>704</v>
      </c>
      <c r="D268" s="2" t="s">
        <v>1281</v>
      </c>
      <c r="E268" s="2" t="s">
        <v>1129</v>
      </c>
      <c r="F268" s="2" t="s">
        <v>530</v>
      </c>
      <c r="G268" s="2" t="s">
        <v>1456</v>
      </c>
      <c r="H268" s="2" t="s">
        <v>727</v>
      </c>
      <c r="I268" s="2"/>
      <c r="J268" s="2" t="s">
        <v>35</v>
      </c>
      <c r="K268" s="2" t="s">
        <v>35</v>
      </c>
      <c r="L268" s="2" t="s">
        <v>1457</v>
      </c>
      <c r="M268" s="2" t="s">
        <v>206</v>
      </c>
      <c r="N268" s="2" t="s">
        <v>1297</v>
      </c>
      <c r="O268" s="2" t="s">
        <v>1458</v>
      </c>
      <c r="P268" s="2" t="s">
        <v>1459</v>
      </c>
    </row>
    <row r="269" customFormat="false" ht="91" hidden="false" customHeight="false" outlineLevel="0" collapsed="false">
      <c r="A269" s="2" t="s">
        <v>1460</v>
      </c>
      <c r="B269" s="2" t="s">
        <v>1461</v>
      </c>
      <c r="C269" s="2" t="s">
        <v>704</v>
      </c>
      <c r="D269" s="2" t="s">
        <v>1281</v>
      </c>
      <c r="E269" s="2" t="s">
        <v>1129</v>
      </c>
      <c r="F269" s="2" t="s">
        <v>530</v>
      </c>
      <c r="G269" s="2" t="s">
        <v>1456</v>
      </c>
      <c r="H269" s="2" t="s">
        <v>727</v>
      </c>
      <c r="I269" s="2"/>
      <c r="J269" s="2" t="s">
        <v>35</v>
      </c>
      <c r="K269" s="2" t="s">
        <v>35</v>
      </c>
      <c r="L269" s="2" t="s">
        <v>1457</v>
      </c>
      <c r="M269" s="2" t="s">
        <v>206</v>
      </c>
      <c r="N269" s="2" t="s">
        <v>1297</v>
      </c>
      <c r="O269" s="2" t="s">
        <v>1462</v>
      </c>
      <c r="P269" s="2" t="s">
        <v>1463</v>
      </c>
    </row>
    <row r="270" customFormat="false" ht="102.2" hidden="false" customHeight="false" outlineLevel="0" collapsed="false">
      <c r="A270" s="2" t="s">
        <v>1464</v>
      </c>
      <c r="B270" s="2" t="s">
        <v>1465</v>
      </c>
      <c r="C270" s="2" t="s">
        <v>704</v>
      </c>
      <c r="D270" s="2" t="s">
        <v>1281</v>
      </c>
      <c r="E270" s="2" t="s">
        <v>1129</v>
      </c>
      <c r="F270" s="2" t="s">
        <v>530</v>
      </c>
      <c r="G270" s="2" t="s">
        <v>1466</v>
      </c>
      <c r="H270" s="2" t="s">
        <v>1467</v>
      </c>
      <c r="I270" s="2"/>
      <c r="J270" s="2" t="s">
        <v>35</v>
      </c>
      <c r="K270" s="2" t="s">
        <v>35</v>
      </c>
      <c r="L270" s="2" t="s">
        <v>1468</v>
      </c>
      <c r="M270" s="2" t="s">
        <v>161</v>
      </c>
      <c r="N270" s="2" t="s">
        <v>1297</v>
      </c>
      <c r="O270" s="2" t="s">
        <v>1469</v>
      </c>
      <c r="P270" s="2" t="s">
        <v>1470</v>
      </c>
    </row>
    <row r="271" customFormat="false" ht="57.45" hidden="false" customHeight="false" outlineLevel="0" collapsed="false">
      <c r="A271" s="2" t="s">
        <v>1471</v>
      </c>
      <c r="B271" s="2" t="s">
        <v>1472</v>
      </c>
      <c r="C271" s="2" t="s">
        <v>704</v>
      </c>
      <c r="D271" s="2" t="s">
        <v>1281</v>
      </c>
      <c r="E271" s="2" t="s">
        <v>1129</v>
      </c>
      <c r="F271" s="2" t="s">
        <v>530</v>
      </c>
      <c r="G271" s="2" t="s">
        <v>1473</v>
      </c>
      <c r="H271" s="2"/>
      <c r="I271" s="2"/>
      <c r="J271" s="2" t="s">
        <v>161</v>
      </c>
      <c r="K271" s="2" t="s">
        <v>161</v>
      </c>
      <c r="L271" s="2" t="s">
        <v>1473</v>
      </c>
      <c r="M271" s="2" t="s">
        <v>161</v>
      </c>
      <c r="N271" s="2" t="s">
        <v>1285</v>
      </c>
      <c r="O271" s="2" t="s">
        <v>1474</v>
      </c>
      <c r="P271" s="2" t="s">
        <v>1475</v>
      </c>
    </row>
    <row r="272" customFormat="false" ht="79.85" hidden="false" customHeight="false" outlineLevel="0" collapsed="false">
      <c r="A272" s="2" t="s">
        <v>1476</v>
      </c>
      <c r="B272" s="2" t="s">
        <v>1477</v>
      </c>
      <c r="C272" s="2" t="s">
        <v>704</v>
      </c>
      <c r="D272" s="2" t="s">
        <v>1281</v>
      </c>
      <c r="E272" s="2" t="s">
        <v>1129</v>
      </c>
      <c r="F272" s="2" t="s">
        <v>32</v>
      </c>
      <c r="G272" s="2" t="s">
        <v>1445</v>
      </c>
      <c r="H272" s="2" t="s">
        <v>1339</v>
      </c>
      <c r="I272" s="2"/>
      <c r="J272" s="2" t="s">
        <v>23</v>
      </c>
      <c r="K272" s="2" t="s">
        <v>35</v>
      </c>
      <c r="L272" s="2" t="s">
        <v>1478</v>
      </c>
      <c r="M272" s="2" t="s">
        <v>206</v>
      </c>
      <c r="N272" s="2" t="s">
        <v>1297</v>
      </c>
      <c r="O272" s="2" t="s">
        <v>1479</v>
      </c>
      <c r="P272" s="2"/>
    </row>
    <row r="273" customFormat="false" ht="46.25" hidden="false" customHeight="false" outlineLevel="0" collapsed="false">
      <c r="A273" s="2" t="s">
        <v>1480</v>
      </c>
      <c r="B273" s="2" t="s">
        <v>1481</v>
      </c>
      <c r="C273" s="2" t="s">
        <v>1394</v>
      </c>
      <c r="D273" s="2" t="s">
        <v>1281</v>
      </c>
      <c r="E273" s="2" t="s">
        <v>1129</v>
      </c>
      <c r="F273" s="2" t="s">
        <v>21</v>
      </c>
      <c r="G273" s="2" t="s">
        <v>1482</v>
      </c>
      <c r="H273" s="2"/>
      <c r="I273" s="2" t="s">
        <v>1483</v>
      </c>
      <c r="J273" s="2" t="s">
        <v>161</v>
      </c>
      <c r="K273" s="2" t="s">
        <v>161</v>
      </c>
      <c r="L273" s="2" t="s">
        <v>1482</v>
      </c>
      <c r="M273" s="2" t="s">
        <v>206</v>
      </c>
      <c r="N273" s="2" t="s">
        <v>26</v>
      </c>
      <c r="O273" s="2" t="s">
        <v>1484</v>
      </c>
      <c r="P273" s="2" t="s">
        <v>1485</v>
      </c>
    </row>
    <row r="274" customFormat="false" ht="35.05" hidden="false" customHeight="false" outlineLevel="0" collapsed="false">
      <c r="A274" s="2" t="s">
        <v>1486</v>
      </c>
      <c r="B274" s="2" t="s">
        <v>1487</v>
      </c>
      <c r="C274" s="2" t="s">
        <v>1394</v>
      </c>
      <c r="D274" s="2" t="s">
        <v>1281</v>
      </c>
      <c r="E274" s="2" t="s">
        <v>1129</v>
      </c>
      <c r="F274" s="2" t="s">
        <v>21</v>
      </c>
      <c r="G274" s="2" t="s">
        <v>1482</v>
      </c>
      <c r="H274" s="2"/>
      <c r="I274" s="2" t="s">
        <v>1483</v>
      </c>
      <c r="J274" s="2" t="s">
        <v>161</v>
      </c>
      <c r="K274" s="2" t="s">
        <v>161</v>
      </c>
      <c r="L274" s="2" t="s">
        <v>1482</v>
      </c>
      <c r="M274" s="2" t="s">
        <v>206</v>
      </c>
      <c r="N274" s="2" t="s">
        <v>26</v>
      </c>
      <c r="O274" s="2" t="s">
        <v>1488</v>
      </c>
      <c r="P274" s="2" t="s">
        <v>1489</v>
      </c>
    </row>
    <row r="275" customFormat="false" ht="35.05" hidden="false" customHeight="false" outlineLevel="0" collapsed="false">
      <c r="A275" s="2" t="s">
        <v>1490</v>
      </c>
      <c r="B275" s="2" t="s">
        <v>1491</v>
      </c>
      <c r="C275" s="2" t="s">
        <v>1394</v>
      </c>
      <c r="D275" s="2" t="s">
        <v>1281</v>
      </c>
      <c r="E275" s="2" t="s">
        <v>1129</v>
      </c>
      <c r="F275" s="2" t="s">
        <v>21</v>
      </c>
      <c r="G275" s="2" t="s">
        <v>1492</v>
      </c>
      <c r="H275" s="2"/>
      <c r="I275" s="2"/>
      <c r="J275" s="2" t="s">
        <v>161</v>
      </c>
      <c r="K275" s="2" t="s">
        <v>161</v>
      </c>
      <c r="L275" s="2" t="s">
        <v>1492</v>
      </c>
      <c r="M275" s="2" t="s">
        <v>206</v>
      </c>
      <c r="N275" s="2" t="s">
        <v>26</v>
      </c>
      <c r="O275" s="2" t="s">
        <v>1493</v>
      </c>
      <c r="P275" s="2" t="s">
        <v>1494</v>
      </c>
    </row>
    <row r="276" customFormat="false" ht="23.85" hidden="false" customHeight="false" outlineLevel="0" collapsed="false">
      <c r="A276" s="2" t="s">
        <v>1495</v>
      </c>
      <c r="B276" s="2" t="s">
        <v>1496</v>
      </c>
      <c r="C276" s="2" t="s">
        <v>1497</v>
      </c>
      <c r="D276" s="2" t="s">
        <v>1281</v>
      </c>
      <c r="E276" s="2" t="s">
        <v>1129</v>
      </c>
      <c r="F276" s="2" t="s">
        <v>21</v>
      </c>
      <c r="G276" s="2" t="s">
        <v>1492</v>
      </c>
      <c r="H276" s="2"/>
      <c r="I276" s="2"/>
      <c r="J276" s="2" t="s">
        <v>161</v>
      </c>
      <c r="K276" s="2" t="s">
        <v>161</v>
      </c>
      <c r="L276" s="2" t="s">
        <v>1492</v>
      </c>
      <c r="M276" s="2" t="s">
        <v>206</v>
      </c>
      <c r="N276" s="2" t="s">
        <v>26</v>
      </c>
      <c r="O276" s="2" t="s">
        <v>1498</v>
      </c>
      <c r="P276" s="2" t="s">
        <v>1499</v>
      </c>
    </row>
    <row r="277" customFormat="false" ht="57.45" hidden="false" customHeight="false" outlineLevel="0" collapsed="false">
      <c r="A277" s="2" t="s">
        <v>1500</v>
      </c>
      <c r="B277" s="2" t="s">
        <v>1501</v>
      </c>
      <c r="C277" s="2" t="s">
        <v>704</v>
      </c>
      <c r="D277" s="2" t="s">
        <v>1281</v>
      </c>
      <c r="E277" s="2" t="s">
        <v>1129</v>
      </c>
      <c r="F277" s="2" t="s">
        <v>32</v>
      </c>
      <c r="G277" s="2" t="s">
        <v>1492</v>
      </c>
      <c r="H277" s="2" t="s">
        <v>1502</v>
      </c>
      <c r="I277" s="2"/>
      <c r="J277" s="2" t="s">
        <v>35</v>
      </c>
      <c r="K277" s="2" t="s">
        <v>35</v>
      </c>
      <c r="L277" s="2" t="s">
        <v>1492</v>
      </c>
      <c r="M277" s="2" t="s">
        <v>206</v>
      </c>
      <c r="N277" s="2" t="s">
        <v>1285</v>
      </c>
      <c r="O277" s="2" t="s">
        <v>1503</v>
      </c>
      <c r="P277" s="2" t="s">
        <v>1504</v>
      </c>
    </row>
    <row r="278" customFormat="false" ht="46.25" hidden="false" customHeight="false" outlineLevel="0" collapsed="false">
      <c r="A278" s="2" t="s">
        <v>1505</v>
      </c>
      <c r="B278" s="2" t="s">
        <v>1506</v>
      </c>
      <c r="C278" s="2" t="s">
        <v>704</v>
      </c>
      <c r="D278" s="2" t="s">
        <v>1281</v>
      </c>
      <c r="E278" s="2" t="s">
        <v>1129</v>
      </c>
      <c r="F278" s="2" t="s">
        <v>32</v>
      </c>
      <c r="G278" s="2" t="s">
        <v>1492</v>
      </c>
      <c r="H278" s="2" t="s">
        <v>1502</v>
      </c>
      <c r="I278" s="2"/>
      <c r="J278" s="2" t="s">
        <v>35</v>
      </c>
      <c r="K278" s="2" t="s">
        <v>35</v>
      </c>
      <c r="L278" s="2" t="s">
        <v>1492</v>
      </c>
      <c r="M278" s="2" t="s">
        <v>206</v>
      </c>
      <c r="N278" s="2" t="s">
        <v>1285</v>
      </c>
      <c r="O278" s="2" t="s">
        <v>1507</v>
      </c>
      <c r="P278" s="2" t="s">
        <v>1508</v>
      </c>
    </row>
    <row r="279" customFormat="false" ht="46.25" hidden="false" customHeight="false" outlineLevel="0" collapsed="false">
      <c r="A279" s="2" t="s">
        <v>1509</v>
      </c>
      <c r="B279" s="2" t="s">
        <v>1510</v>
      </c>
      <c r="C279" s="2" t="s">
        <v>704</v>
      </c>
      <c r="D279" s="2" t="s">
        <v>1281</v>
      </c>
      <c r="E279" s="2" t="s">
        <v>1129</v>
      </c>
      <c r="F279" s="2" t="s">
        <v>32</v>
      </c>
      <c r="G279" s="2" t="s">
        <v>1492</v>
      </c>
      <c r="H279" s="2" t="s">
        <v>1502</v>
      </c>
      <c r="I279" s="2"/>
      <c r="J279" s="2" t="s">
        <v>35</v>
      </c>
      <c r="K279" s="2" t="s">
        <v>35</v>
      </c>
      <c r="L279" s="2" t="s">
        <v>1492</v>
      </c>
      <c r="M279" s="2" t="s">
        <v>206</v>
      </c>
      <c r="N279" s="2" t="s">
        <v>1285</v>
      </c>
      <c r="O279" s="2" t="s">
        <v>1507</v>
      </c>
      <c r="P279" s="2" t="s">
        <v>1511</v>
      </c>
    </row>
    <row r="280" customFormat="false" ht="57.45" hidden="false" customHeight="false" outlineLevel="0" collapsed="false">
      <c r="A280" s="2" t="s">
        <v>1512</v>
      </c>
      <c r="B280" s="2" t="s">
        <v>1513</v>
      </c>
      <c r="C280" s="2" t="s">
        <v>704</v>
      </c>
      <c r="D280" s="2" t="s">
        <v>1281</v>
      </c>
      <c r="E280" s="2" t="s">
        <v>1129</v>
      </c>
      <c r="F280" s="2" t="s">
        <v>530</v>
      </c>
      <c r="G280" s="2" t="s">
        <v>1492</v>
      </c>
      <c r="H280" s="2"/>
      <c r="I280" s="2"/>
      <c r="J280" s="2" t="s">
        <v>161</v>
      </c>
      <c r="K280" s="2" t="s">
        <v>161</v>
      </c>
      <c r="L280" s="2" t="s">
        <v>1492</v>
      </c>
      <c r="M280" s="2" t="s">
        <v>206</v>
      </c>
      <c r="N280" s="2" t="s">
        <v>1297</v>
      </c>
      <c r="O280" s="2" t="s">
        <v>1514</v>
      </c>
      <c r="P280" s="2" t="s">
        <v>1515</v>
      </c>
    </row>
    <row r="281" customFormat="false" ht="91" hidden="false" customHeight="false" outlineLevel="0" collapsed="false">
      <c r="A281" s="2" t="s">
        <v>1516</v>
      </c>
      <c r="B281" s="2" t="s">
        <v>1517</v>
      </c>
      <c r="C281" s="2" t="s">
        <v>1394</v>
      </c>
      <c r="D281" s="2" t="s">
        <v>1281</v>
      </c>
      <c r="E281" s="2" t="s">
        <v>1518</v>
      </c>
      <c r="F281" s="2" t="s">
        <v>530</v>
      </c>
      <c r="G281" s="2" t="s">
        <v>1519</v>
      </c>
      <c r="H281" s="2"/>
      <c r="I281" s="2"/>
      <c r="J281" s="2" t="s">
        <v>161</v>
      </c>
      <c r="K281" s="2" t="s">
        <v>161</v>
      </c>
      <c r="L281" s="2" t="s">
        <v>1519</v>
      </c>
      <c r="M281" s="2" t="s">
        <v>206</v>
      </c>
      <c r="N281" s="2" t="s">
        <v>26</v>
      </c>
      <c r="O281" s="2" t="s">
        <v>1520</v>
      </c>
      <c r="P281" s="2" t="s">
        <v>1521</v>
      </c>
    </row>
    <row r="282" customFormat="false" ht="35.05" hidden="false" customHeight="false" outlineLevel="0" collapsed="false">
      <c r="A282" s="2" t="s">
        <v>1522</v>
      </c>
      <c r="B282" s="2" t="s">
        <v>1523</v>
      </c>
      <c r="C282" s="2" t="s">
        <v>1394</v>
      </c>
      <c r="D282" s="2" t="s">
        <v>1281</v>
      </c>
      <c r="E282" s="2" t="s">
        <v>1518</v>
      </c>
      <c r="F282" s="2" t="s">
        <v>21</v>
      </c>
      <c r="G282" s="2" t="s">
        <v>1524</v>
      </c>
      <c r="H282" s="2"/>
      <c r="I282" s="2"/>
      <c r="J282" s="2" t="s">
        <v>161</v>
      </c>
      <c r="K282" s="2" t="s">
        <v>161</v>
      </c>
      <c r="L282" s="2" t="s">
        <v>1524</v>
      </c>
      <c r="M282" s="2" t="s">
        <v>206</v>
      </c>
      <c r="N282" s="2" t="s">
        <v>26</v>
      </c>
      <c r="O282" s="2" t="s">
        <v>1525</v>
      </c>
      <c r="P282" s="2" t="s">
        <v>1526</v>
      </c>
    </row>
    <row r="283" customFormat="false" ht="35.05" hidden="false" customHeight="false" outlineLevel="0" collapsed="false">
      <c r="A283" s="2" t="s">
        <v>1527</v>
      </c>
      <c r="B283" s="2" t="s">
        <v>1528</v>
      </c>
      <c r="C283" s="2" t="s">
        <v>1394</v>
      </c>
      <c r="D283" s="2" t="s">
        <v>1281</v>
      </c>
      <c r="E283" s="2" t="s">
        <v>1518</v>
      </c>
      <c r="F283" s="2" t="s">
        <v>21</v>
      </c>
      <c r="G283" s="2" t="s">
        <v>1524</v>
      </c>
      <c r="H283" s="2"/>
      <c r="I283" s="2"/>
      <c r="J283" s="2" t="s">
        <v>161</v>
      </c>
      <c r="K283" s="2" t="s">
        <v>161</v>
      </c>
      <c r="L283" s="2" t="s">
        <v>1524</v>
      </c>
      <c r="M283" s="2" t="s">
        <v>206</v>
      </c>
      <c r="N283" s="2" t="s">
        <v>26</v>
      </c>
      <c r="O283" s="2" t="s">
        <v>1529</v>
      </c>
      <c r="P283" s="2" t="s">
        <v>1530</v>
      </c>
    </row>
    <row r="284" customFormat="false" ht="35.05" hidden="false" customHeight="false" outlineLevel="0" collapsed="false">
      <c r="A284" s="2" t="s">
        <v>1531</v>
      </c>
      <c r="B284" s="2" t="s">
        <v>1532</v>
      </c>
      <c r="C284" s="2" t="s">
        <v>1394</v>
      </c>
      <c r="D284" s="2" t="s">
        <v>1281</v>
      </c>
      <c r="E284" s="2" t="s">
        <v>1518</v>
      </c>
      <c r="F284" s="2" t="s">
        <v>21</v>
      </c>
      <c r="G284" s="2" t="s">
        <v>1524</v>
      </c>
      <c r="H284" s="2"/>
      <c r="I284" s="2"/>
      <c r="J284" s="2" t="s">
        <v>161</v>
      </c>
      <c r="K284" s="2" t="s">
        <v>161</v>
      </c>
      <c r="L284" s="2" t="s">
        <v>1524</v>
      </c>
      <c r="M284" s="2" t="s">
        <v>206</v>
      </c>
      <c r="N284" s="2" t="s">
        <v>26</v>
      </c>
      <c r="O284" s="2" t="s">
        <v>1533</v>
      </c>
      <c r="P284" s="2" t="s">
        <v>1534</v>
      </c>
    </row>
    <row r="285" customFormat="false" ht="35.05" hidden="false" customHeight="false" outlineLevel="0" collapsed="false">
      <c r="A285" s="2" t="s">
        <v>1535</v>
      </c>
      <c r="B285" s="2" t="s">
        <v>1536</v>
      </c>
      <c r="C285" s="2" t="s">
        <v>704</v>
      </c>
      <c r="D285" s="2" t="s">
        <v>1281</v>
      </c>
      <c r="E285" s="2" t="s">
        <v>1518</v>
      </c>
      <c r="F285" s="2" t="s">
        <v>32</v>
      </c>
      <c r="G285" s="2" t="s">
        <v>1537</v>
      </c>
      <c r="H285" s="2" t="s">
        <v>1418</v>
      </c>
      <c r="I285" s="2"/>
      <c r="J285" s="2" t="s">
        <v>35</v>
      </c>
      <c r="K285" s="2" t="s">
        <v>23</v>
      </c>
      <c r="L285" s="2" t="s">
        <v>1537</v>
      </c>
      <c r="M285" s="2" t="s">
        <v>206</v>
      </c>
      <c r="N285" s="2" t="s">
        <v>26</v>
      </c>
      <c r="O285" s="2" t="s">
        <v>1538</v>
      </c>
      <c r="P285" s="2" t="s">
        <v>1539</v>
      </c>
    </row>
    <row r="286" customFormat="false" ht="57.45" hidden="false" customHeight="false" outlineLevel="0" collapsed="false">
      <c r="A286" s="2" t="s">
        <v>1540</v>
      </c>
      <c r="B286" s="2" t="s">
        <v>1541</v>
      </c>
      <c r="C286" s="2" t="s">
        <v>704</v>
      </c>
      <c r="D286" s="2" t="s">
        <v>1281</v>
      </c>
      <c r="E286" s="2" t="s">
        <v>1518</v>
      </c>
      <c r="F286" s="2" t="s">
        <v>32</v>
      </c>
      <c r="G286" s="2" t="s">
        <v>1524</v>
      </c>
      <c r="H286" s="2" t="s">
        <v>1502</v>
      </c>
      <c r="I286" s="2"/>
      <c r="J286" s="2" t="s">
        <v>35</v>
      </c>
      <c r="K286" s="2" t="s">
        <v>35</v>
      </c>
      <c r="L286" s="2" t="s">
        <v>1524</v>
      </c>
      <c r="M286" s="2" t="s">
        <v>206</v>
      </c>
      <c r="N286" s="2" t="s">
        <v>1297</v>
      </c>
      <c r="O286" s="2" t="s">
        <v>1542</v>
      </c>
      <c r="P286" s="2" t="s">
        <v>1543</v>
      </c>
    </row>
    <row r="287" customFormat="false" ht="102.2" hidden="false" customHeight="false" outlineLevel="0" collapsed="false">
      <c r="A287" s="2" t="s">
        <v>1544</v>
      </c>
      <c r="B287" s="2" t="s">
        <v>1545</v>
      </c>
      <c r="C287" s="2" t="s">
        <v>1546</v>
      </c>
      <c r="D287" s="2" t="s">
        <v>1281</v>
      </c>
      <c r="E287" s="2" t="s">
        <v>1547</v>
      </c>
      <c r="F287" s="2" t="s">
        <v>530</v>
      </c>
      <c r="G287" s="2" t="s">
        <v>1548</v>
      </c>
      <c r="H287" s="2" t="s">
        <v>727</v>
      </c>
      <c r="I287" s="2"/>
      <c r="J287" s="2" t="s">
        <v>35</v>
      </c>
      <c r="K287" s="2" t="s">
        <v>35</v>
      </c>
      <c r="L287" s="2" t="s">
        <v>1548</v>
      </c>
      <c r="M287" s="2" t="s">
        <v>206</v>
      </c>
      <c r="N287" s="2" t="s">
        <v>1285</v>
      </c>
      <c r="O287" s="2" t="s">
        <v>1549</v>
      </c>
      <c r="P287" s="2" t="s">
        <v>1550</v>
      </c>
    </row>
    <row r="288" customFormat="false" ht="91" hidden="false" customHeight="false" outlineLevel="0" collapsed="false">
      <c r="A288" s="2" t="s">
        <v>1551</v>
      </c>
      <c r="B288" s="2" t="s">
        <v>1552</v>
      </c>
      <c r="C288" s="2" t="s">
        <v>1394</v>
      </c>
      <c r="D288" s="2" t="s">
        <v>1281</v>
      </c>
      <c r="E288" s="2" t="s">
        <v>725</v>
      </c>
      <c r="F288" s="2" t="s">
        <v>21</v>
      </c>
      <c r="G288" s="2" t="s">
        <v>1553</v>
      </c>
      <c r="H288" s="2"/>
      <c r="I288" s="2"/>
      <c r="J288" s="2" t="s">
        <v>161</v>
      </c>
      <c r="K288" s="2" t="s">
        <v>161</v>
      </c>
      <c r="L288" s="2" t="s">
        <v>1553</v>
      </c>
      <c r="M288" s="2" t="s">
        <v>161</v>
      </c>
      <c r="N288" s="2" t="s">
        <v>1285</v>
      </c>
      <c r="O288" s="2" t="s">
        <v>1554</v>
      </c>
      <c r="P288" s="2" t="s">
        <v>1555</v>
      </c>
    </row>
    <row r="289" customFormat="false" ht="91" hidden="false" customHeight="false" outlineLevel="0" collapsed="false">
      <c r="A289" s="2" t="s">
        <v>1556</v>
      </c>
      <c r="B289" s="2" t="s">
        <v>1557</v>
      </c>
      <c r="C289" s="2" t="s">
        <v>1394</v>
      </c>
      <c r="D289" s="2" t="s">
        <v>1281</v>
      </c>
      <c r="E289" s="2" t="s">
        <v>725</v>
      </c>
      <c r="F289" s="2" t="s">
        <v>21</v>
      </c>
      <c r="G289" s="2" t="s">
        <v>1553</v>
      </c>
      <c r="H289" s="2"/>
      <c r="I289" s="2"/>
      <c r="J289" s="2" t="s">
        <v>161</v>
      </c>
      <c r="K289" s="2" t="s">
        <v>161</v>
      </c>
      <c r="L289" s="2" t="s">
        <v>1553</v>
      </c>
      <c r="M289" s="2" t="s">
        <v>161</v>
      </c>
      <c r="N289" s="2" t="s">
        <v>1285</v>
      </c>
      <c r="O289" s="2" t="s">
        <v>1558</v>
      </c>
      <c r="P289" s="2" t="s">
        <v>1559</v>
      </c>
    </row>
    <row r="290" customFormat="false" ht="79.85" hidden="false" customHeight="false" outlineLevel="0" collapsed="false">
      <c r="A290" s="2" t="s">
        <v>1560</v>
      </c>
      <c r="B290" s="2" t="s">
        <v>1561</v>
      </c>
      <c r="C290" s="2" t="s">
        <v>1394</v>
      </c>
      <c r="D290" s="2" t="s">
        <v>1281</v>
      </c>
      <c r="E290" s="2" t="s">
        <v>725</v>
      </c>
      <c r="F290" s="2" t="s">
        <v>21</v>
      </c>
      <c r="G290" s="2" t="s">
        <v>1553</v>
      </c>
      <c r="H290" s="2"/>
      <c r="I290" s="2"/>
      <c r="J290" s="2" t="s">
        <v>161</v>
      </c>
      <c r="K290" s="2" t="s">
        <v>161</v>
      </c>
      <c r="L290" s="2" t="s">
        <v>1553</v>
      </c>
      <c r="M290" s="2" t="s">
        <v>161</v>
      </c>
      <c r="N290" s="2" t="s">
        <v>1285</v>
      </c>
      <c r="O290" s="2" t="s">
        <v>1562</v>
      </c>
      <c r="P290" s="2" t="s">
        <v>1563</v>
      </c>
    </row>
    <row r="291" customFormat="false" ht="91" hidden="false" customHeight="false" outlineLevel="0" collapsed="false">
      <c r="A291" s="2" t="s">
        <v>1564</v>
      </c>
      <c r="B291" s="2" t="s">
        <v>1565</v>
      </c>
      <c r="C291" s="2" t="s">
        <v>1394</v>
      </c>
      <c r="D291" s="2" t="s">
        <v>1281</v>
      </c>
      <c r="E291" s="2" t="s">
        <v>725</v>
      </c>
      <c r="F291" s="2" t="s">
        <v>21</v>
      </c>
      <c r="G291" s="2" t="s">
        <v>1553</v>
      </c>
      <c r="H291" s="2"/>
      <c r="I291" s="2"/>
      <c r="J291" s="2" t="s">
        <v>161</v>
      </c>
      <c r="K291" s="2" t="s">
        <v>161</v>
      </c>
      <c r="L291" s="2" t="s">
        <v>1553</v>
      </c>
      <c r="M291" s="2" t="s">
        <v>161</v>
      </c>
      <c r="N291" s="2" t="s">
        <v>1285</v>
      </c>
      <c r="O291" s="2" t="s">
        <v>1566</v>
      </c>
      <c r="P291" s="2" t="s">
        <v>1567</v>
      </c>
    </row>
    <row r="292" customFormat="false" ht="124.6" hidden="false" customHeight="false" outlineLevel="0" collapsed="false">
      <c r="A292" s="2" t="s">
        <v>1568</v>
      </c>
      <c r="B292" s="2" t="s">
        <v>1569</v>
      </c>
      <c r="C292" s="2" t="s">
        <v>704</v>
      </c>
      <c r="D292" s="2" t="s">
        <v>1281</v>
      </c>
      <c r="E292" s="2" t="s">
        <v>725</v>
      </c>
      <c r="F292" s="2" t="s">
        <v>530</v>
      </c>
      <c r="G292" s="2" t="s">
        <v>1570</v>
      </c>
      <c r="H292" s="2" t="s">
        <v>727</v>
      </c>
      <c r="I292" s="2"/>
      <c r="J292" s="2" t="s">
        <v>35</v>
      </c>
      <c r="K292" s="2" t="s">
        <v>35</v>
      </c>
      <c r="L292" s="2" t="s">
        <v>1570</v>
      </c>
      <c r="M292" s="2" t="s">
        <v>206</v>
      </c>
      <c r="N292" s="2" t="s">
        <v>26</v>
      </c>
      <c r="O292" s="2" t="s">
        <v>1571</v>
      </c>
      <c r="P292" s="2" t="s">
        <v>1572</v>
      </c>
    </row>
    <row r="293" customFormat="false" ht="124.6" hidden="false" customHeight="false" outlineLevel="0" collapsed="false">
      <c r="A293" s="2" t="s">
        <v>1573</v>
      </c>
      <c r="B293" s="2" t="s">
        <v>1574</v>
      </c>
      <c r="C293" s="2" t="s">
        <v>704</v>
      </c>
      <c r="D293" s="2" t="s">
        <v>1281</v>
      </c>
      <c r="E293" s="2" t="s">
        <v>725</v>
      </c>
      <c r="F293" s="2" t="s">
        <v>530</v>
      </c>
      <c r="G293" s="2" t="s">
        <v>1570</v>
      </c>
      <c r="H293" s="2" t="s">
        <v>727</v>
      </c>
      <c r="I293" s="2"/>
      <c r="J293" s="2" t="s">
        <v>35</v>
      </c>
      <c r="K293" s="2" t="s">
        <v>35</v>
      </c>
      <c r="L293" s="2" t="s">
        <v>1570</v>
      </c>
      <c r="M293" s="2" t="s">
        <v>206</v>
      </c>
      <c r="N293" s="2" t="s">
        <v>26</v>
      </c>
      <c r="O293" s="2" t="s">
        <v>1575</v>
      </c>
      <c r="P293" s="2" t="s">
        <v>1576</v>
      </c>
    </row>
    <row r="294" customFormat="false" ht="124.6" hidden="false" customHeight="false" outlineLevel="0" collapsed="false">
      <c r="A294" s="2" t="s">
        <v>1577</v>
      </c>
      <c r="B294" s="2" t="s">
        <v>1578</v>
      </c>
      <c r="C294" s="2" t="s">
        <v>704</v>
      </c>
      <c r="D294" s="2" t="s">
        <v>1281</v>
      </c>
      <c r="E294" s="2" t="s">
        <v>725</v>
      </c>
      <c r="F294" s="2" t="s">
        <v>530</v>
      </c>
      <c r="G294" s="2" t="s">
        <v>1570</v>
      </c>
      <c r="H294" s="2" t="s">
        <v>727</v>
      </c>
      <c r="I294" s="2"/>
      <c r="J294" s="2" t="s">
        <v>35</v>
      </c>
      <c r="K294" s="2" t="s">
        <v>35</v>
      </c>
      <c r="L294" s="2" t="s">
        <v>1570</v>
      </c>
      <c r="M294" s="2" t="s">
        <v>206</v>
      </c>
      <c r="N294" s="2" t="s">
        <v>26</v>
      </c>
      <c r="O294" s="2" t="s">
        <v>1579</v>
      </c>
      <c r="P294" s="2" t="s">
        <v>1580</v>
      </c>
    </row>
    <row r="295" customFormat="false" ht="124.6" hidden="false" customHeight="false" outlineLevel="0" collapsed="false">
      <c r="A295" s="2" t="s">
        <v>1581</v>
      </c>
      <c r="B295" s="2" t="s">
        <v>1582</v>
      </c>
      <c r="C295" s="2" t="s">
        <v>704</v>
      </c>
      <c r="D295" s="2" t="s">
        <v>1281</v>
      </c>
      <c r="E295" s="2" t="s">
        <v>725</v>
      </c>
      <c r="F295" s="2" t="s">
        <v>530</v>
      </c>
      <c r="G295" s="2" t="s">
        <v>1570</v>
      </c>
      <c r="H295" s="2" t="s">
        <v>727</v>
      </c>
      <c r="I295" s="2"/>
      <c r="J295" s="2" t="s">
        <v>35</v>
      </c>
      <c r="K295" s="2" t="s">
        <v>35</v>
      </c>
      <c r="L295" s="2" t="s">
        <v>1570</v>
      </c>
      <c r="M295" s="2" t="s">
        <v>206</v>
      </c>
      <c r="N295" s="2" t="s">
        <v>26</v>
      </c>
      <c r="O295" s="2" t="s">
        <v>1583</v>
      </c>
      <c r="P295" s="2" t="s">
        <v>1584</v>
      </c>
    </row>
    <row r="296" customFormat="false" ht="124.6" hidden="false" customHeight="false" outlineLevel="0" collapsed="false">
      <c r="A296" s="2" t="s">
        <v>1585</v>
      </c>
      <c r="B296" s="2" t="s">
        <v>1586</v>
      </c>
      <c r="C296" s="2" t="s">
        <v>704</v>
      </c>
      <c r="D296" s="2" t="s">
        <v>1281</v>
      </c>
      <c r="E296" s="2" t="s">
        <v>725</v>
      </c>
      <c r="F296" s="2" t="s">
        <v>530</v>
      </c>
      <c r="G296" s="2" t="s">
        <v>1587</v>
      </c>
      <c r="H296" s="2" t="s">
        <v>727</v>
      </c>
      <c r="I296" s="2"/>
      <c r="J296" s="2" t="s">
        <v>35</v>
      </c>
      <c r="K296" s="2" t="s">
        <v>35</v>
      </c>
      <c r="L296" s="2" t="s">
        <v>1587</v>
      </c>
      <c r="M296" s="2" t="s">
        <v>206</v>
      </c>
      <c r="N296" s="2" t="s">
        <v>36</v>
      </c>
      <c r="O296" s="2" t="s">
        <v>1588</v>
      </c>
      <c r="P296" s="2" t="s">
        <v>1589</v>
      </c>
    </row>
    <row r="297" customFormat="false" ht="225.35" hidden="false" customHeight="false" outlineLevel="0" collapsed="false">
      <c r="A297" s="2" t="s">
        <v>1590</v>
      </c>
      <c r="B297" s="2" t="s">
        <v>1591</v>
      </c>
      <c r="C297" s="2" t="s">
        <v>704</v>
      </c>
      <c r="D297" s="2" t="s">
        <v>1281</v>
      </c>
      <c r="E297" s="2" t="s">
        <v>725</v>
      </c>
      <c r="F297" s="2" t="s">
        <v>530</v>
      </c>
      <c r="G297" s="2" t="s">
        <v>1592</v>
      </c>
      <c r="H297" s="2" t="s">
        <v>727</v>
      </c>
      <c r="I297" s="2"/>
      <c r="J297" s="2" t="s">
        <v>35</v>
      </c>
      <c r="K297" s="2" t="s">
        <v>35</v>
      </c>
      <c r="L297" s="2" t="s">
        <v>1593</v>
      </c>
      <c r="M297" s="2" t="s">
        <v>206</v>
      </c>
      <c r="N297" s="2" t="s">
        <v>36</v>
      </c>
      <c r="O297" s="2" t="s">
        <v>1594</v>
      </c>
      <c r="P297" s="2" t="s">
        <v>1595</v>
      </c>
    </row>
    <row r="298" customFormat="false" ht="46.25" hidden="false" customHeight="false" outlineLevel="0" collapsed="false">
      <c r="A298" s="2" t="s">
        <v>1596</v>
      </c>
      <c r="B298" s="2" t="s">
        <v>1597</v>
      </c>
      <c r="C298" s="2" t="s">
        <v>704</v>
      </c>
      <c r="D298" s="2" t="s">
        <v>1281</v>
      </c>
      <c r="E298" s="2" t="s">
        <v>725</v>
      </c>
      <c r="F298" s="2" t="s">
        <v>32</v>
      </c>
      <c r="G298" s="2" t="s">
        <v>1598</v>
      </c>
      <c r="H298" s="2" t="s">
        <v>1317</v>
      </c>
      <c r="I298" s="2"/>
      <c r="J298" s="2" t="s">
        <v>35</v>
      </c>
      <c r="K298" s="2" t="s">
        <v>23</v>
      </c>
      <c r="L298" s="2" t="s">
        <v>1599</v>
      </c>
      <c r="M298" s="2" t="s">
        <v>206</v>
      </c>
      <c r="N298" s="2" t="s">
        <v>26</v>
      </c>
      <c r="O298" s="2" t="s">
        <v>1600</v>
      </c>
      <c r="P298" s="2" t="s">
        <v>1601</v>
      </c>
    </row>
    <row r="299" customFormat="false" ht="79.85" hidden="false" customHeight="false" outlineLevel="0" collapsed="false">
      <c r="A299" s="2" t="s">
        <v>1602</v>
      </c>
      <c r="B299" s="2" t="s">
        <v>1603</v>
      </c>
      <c r="C299" s="2" t="s">
        <v>704</v>
      </c>
      <c r="D299" s="2" t="s">
        <v>1281</v>
      </c>
      <c r="E299" s="2" t="s">
        <v>725</v>
      </c>
      <c r="F299" s="2" t="s">
        <v>32</v>
      </c>
      <c r="G299" s="2" t="s">
        <v>1604</v>
      </c>
      <c r="H299" s="2" t="s">
        <v>1311</v>
      </c>
      <c r="I299" s="2"/>
      <c r="J299" s="2" t="s">
        <v>35</v>
      </c>
      <c r="K299" s="2" t="s">
        <v>35</v>
      </c>
      <c r="L299" s="2" t="s">
        <v>1605</v>
      </c>
      <c r="M299" s="2" t="s">
        <v>206</v>
      </c>
      <c r="N299" s="2" t="s">
        <v>26</v>
      </c>
      <c r="O299" s="2" t="s">
        <v>1606</v>
      </c>
      <c r="P299" s="2" t="s">
        <v>1607</v>
      </c>
    </row>
    <row r="300" customFormat="false" ht="35.05" hidden="false" customHeight="false" outlineLevel="0" collapsed="false">
      <c r="A300" s="2" t="s">
        <v>1608</v>
      </c>
      <c r="B300" s="2" t="s">
        <v>1609</v>
      </c>
      <c r="C300" s="2" t="s">
        <v>704</v>
      </c>
      <c r="D300" s="2" t="s">
        <v>1281</v>
      </c>
      <c r="E300" s="2" t="s">
        <v>725</v>
      </c>
      <c r="F300" s="2" t="s">
        <v>32</v>
      </c>
      <c r="G300" s="2" t="s">
        <v>1610</v>
      </c>
      <c r="H300" s="2" t="s">
        <v>1418</v>
      </c>
      <c r="I300" s="2"/>
      <c r="J300" s="2" t="s">
        <v>35</v>
      </c>
      <c r="K300" s="2" t="s">
        <v>23</v>
      </c>
      <c r="L300" s="2" t="s">
        <v>1610</v>
      </c>
      <c r="M300" s="2" t="s">
        <v>206</v>
      </c>
      <c r="N300" s="2" t="s">
        <v>1285</v>
      </c>
      <c r="O300" s="2" t="s">
        <v>1611</v>
      </c>
      <c r="P300" s="2" t="s">
        <v>1612</v>
      </c>
    </row>
    <row r="301" customFormat="false" ht="91" hidden="false" customHeight="false" outlineLevel="0" collapsed="false">
      <c r="A301" s="2" t="s">
        <v>1613</v>
      </c>
      <c r="B301" s="2" t="s">
        <v>1614</v>
      </c>
      <c r="C301" s="2" t="s">
        <v>704</v>
      </c>
      <c r="D301" s="2" t="s">
        <v>1281</v>
      </c>
      <c r="E301" s="2" t="s">
        <v>725</v>
      </c>
      <c r="F301" s="2" t="s">
        <v>32</v>
      </c>
      <c r="G301" s="2" t="s">
        <v>1615</v>
      </c>
      <c r="H301" s="2" t="s">
        <v>1446</v>
      </c>
      <c r="I301" s="2"/>
      <c r="J301" s="2" t="s">
        <v>23</v>
      </c>
      <c r="K301" s="2" t="s">
        <v>23</v>
      </c>
      <c r="L301" s="2" t="s">
        <v>1616</v>
      </c>
      <c r="M301" s="2" t="s">
        <v>206</v>
      </c>
      <c r="N301" s="2" t="s">
        <v>1285</v>
      </c>
      <c r="O301" s="2" t="s">
        <v>1617</v>
      </c>
      <c r="P301" s="2" t="s">
        <v>1618</v>
      </c>
    </row>
    <row r="302" customFormat="false" ht="91" hidden="false" customHeight="false" outlineLevel="0" collapsed="false">
      <c r="A302" s="2" t="s">
        <v>1619</v>
      </c>
      <c r="B302" s="2" t="s">
        <v>1620</v>
      </c>
      <c r="C302" s="2" t="s">
        <v>704</v>
      </c>
      <c r="D302" s="2" t="s">
        <v>1281</v>
      </c>
      <c r="E302" s="2" t="s">
        <v>725</v>
      </c>
      <c r="F302" s="2" t="s">
        <v>32</v>
      </c>
      <c r="G302" s="2" t="s">
        <v>1621</v>
      </c>
      <c r="H302" s="2" t="s">
        <v>1446</v>
      </c>
      <c r="I302" s="2"/>
      <c r="J302" s="2" t="s">
        <v>23</v>
      </c>
      <c r="K302" s="2" t="s">
        <v>23</v>
      </c>
      <c r="L302" s="2" t="s">
        <v>1622</v>
      </c>
      <c r="M302" s="2" t="s">
        <v>206</v>
      </c>
      <c r="N302" s="2" t="s">
        <v>1285</v>
      </c>
      <c r="O302" s="2" t="s">
        <v>1623</v>
      </c>
      <c r="P302" s="2" t="s">
        <v>1624</v>
      </c>
    </row>
    <row r="303" customFormat="false" ht="79.85" hidden="false" customHeight="false" outlineLevel="0" collapsed="false">
      <c r="A303" s="2" t="s">
        <v>1625</v>
      </c>
      <c r="B303" s="2" t="s">
        <v>1626</v>
      </c>
      <c r="C303" s="2" t="s">
        <v>704</v>
      </c>
      <c r="D303" s="2" t="s">
        <v>1281</v>
      </c>
      <c r="E303" s="2" t="s">
        <v>1627</v>
      </c>
      <c r="F303" s="2" t="s">
        <v>32</v>
      </c>
      <c r="G303" s="2" t="s">
        <v>1628</v>
      </c>
      <c r="H303" s="2" t="s">
        <v>1446</v>
      </c>
      <c r="I303" s="2"/>
      <c r="J303" s="2" t="s">
        <v>23</v>
      </c>
      <c r="K303" s="2" t="s">
        <v>23</v>
      </c>
      <c r="L303" s="2" t="s">
        <v>1629</v>
      </c>
      <c r="M303" s="2" t="s">
        <v>206</v>
      </c>
      <c r="N303" s="2" t="s">
        <v>1297</v>
      </c>
      <c r="O303" s="2" t="s">
        <v>1630</v>
      </c>
      <c r="P303" s="2" t="s">
        <v>1631</v>
      </c>
    </row>
    <row r="304" customFormat="false" ht="91" hidden="false" customHeight="false" outlineLevel="0" collapsed="false">
      <c r="A304" s="2" t="s">
        <v>1632</v>
      </c>
      <c r="B304" s="2" t="s">
        <v>1633</v>
      </c>
      <c r="C304" s="2" t="s">
        <v>704</v>
      </c>
      <c r="D304" s="2" t="s">
        <v>1281</v>
      </c>
      <c r="E304" s="2" t="s">
        <v>1627</v>
      </c>
      <c r="F304" s="2" t="s">
        <v>32</v>
      </c>
      <c r="G304" s="2" t="s">
        <v>1634</v>
      </c>
      <c r="H304" s="2" t="s">
        <v>1446</v>
      </c>
      <c r="I304" s="2"/>
      <c r="J304" s="2" t="s">
        <v>23</v>
      </c>
      <c r="K304" s="2" t="s">
        <v>23</v>
      </c>
      <c r="L304" s="2" t="s">
        <v>1635</v>
      </c>
      <c r="M304" s="2" t="s">
        <v>206</v>
      </c>
      <c r="N304" s="2" t="s">
        <v>1297</v>
      </c>
      <c r="O304" s="2" t="s">
        <v>1636</v>
      </c>
      <c r="P304" s="2" t="s">
        <v>1637</v>
      </c>
    </row>
    <row r="305" customFormat="false" ht="102.2" hidden="false" customHeight="false" outlineLevel="0" collapsed="false">
      <c r="A305" s="2" t="s">
        <v>1638</v>
      </c>
      <c r="B305" s="2" t="s">
        <v>1639</v>
      </c>
      <c r="C305" s="2" t="s">
        <v>704</v>
      </c>
      <c r="D305" s="2" t="s">
        <v>1281</v>
      </c>
      <c r="E305" s="2" t="s">
        <v>725</v>
      </c>
      <c r="F305" s="2" t="s">
        <v>530</v>
      </c>
      <c r="G305" s="2" t="s">
        <v>1640</v>
      </c>
      <c r="H305" s="2" t="s">
        <v>727</v>
      </c>
      <c r="I305" s="2" t="s">
        <v>728</v>
      </c>
      <c r="J305" s="2" t="s">
        <v>35</v>
      </c>
      <c r="K305" s="2" t="s">
        <v>35</v>
      </c>
      <c r="L305" s="2" t="s">
        <v>1640</v>
      </c>
      <c r="M305" s="2" t="s">
        <v>206</v>
      </c>
      <c r="N305" s="2" t="s">
        <v>26</v>
      </c>
      <c r="O305" s="2" t="s">
        <v>1641</v>
      </c>
      <c r="P305" s="2" t="s">
        <v>1642</v>
      </c>
    </row>
    <row r="306" customFormat="false" ht="102.2" hidden="false" customHeight="false" outlineLevel="0" collapsed="false">
      <c r="A306" s="2" t="s">
        <v>1643</v>
      </c>
      <c r="B306" s="2" t="s">
        <v>1644</v>
      </c>
      <c r="C306" s="2" t="s">
        <v>704</v>
      </c>
      <c r="D306" s="2" t="s">
        <v>1281</v>
      </c>
      <c r="E306" s="2" t="s">
        <v>725</v>
      </c>
      <c r="F306" s="2" t="s">
        <v>530</v>
      </c>
      <c r="G306" s="2" t="s">
        <v>1640</v>
      </c>
      <c r="H306" s="2" t="s">
        <v>727</v>
      </c>
      <c r="I306" s="2" t="s">
        <v>728</v>
      </c>
      <c r="J306" s="2" t="s">
        <v>35</v>
      </c>
      <c r="K306" s="2" t="s">
        <v>35</v>
      </c>
      <c r="L306" s="2" t="s">
        <v>1640</v>
      </c>
      <c r="M306" s="2" t="s">
        <v>206</v>
      </c>
      <c r="N306" s="2" t="s">
        <v>26</v>
      </c>
      <c r="O306" s="2" t="s">
        <v>1645</v>
      </c>
      <c r="P306" s="2" t="s">
        <v>1646</v>
      </c>
    </row>
    <row r="307" customFormat="false" ht="102.2" hidden="false" customHeight="false" outlineLevel="0" collapsed="false">
      <c r="A307" s="2" t="s">
        <v>1647</v>
      </c>
      <c r="B307" s="2" t="s">
        <v>1648</v>
      </c>
      <c r="C307" s="2" t="s">
        <v>704</v>
      </c>
      <c r="D307" s="2" t="s">
        <v>1281</v>
      </c>
      <c r="E307" s="2" t="s">
        <v>725</v>
      </c>
      <c r="F307" s="2" t="s">
        <v>530</v>
      </c>
      <c r="G307" s="2" t="s">
        <v>1640</v>
      </c>
      <c r="H307" s="2" t="s">
        <v>727</v>
      </c>
      <c r="I307" s="2" t="s">
        <v>728</v>
      </c>
      <c r="J307" s="2" t="s">
        <v>35</v>
      </c>
      <c r="K307" s="2" t="s">
        <v>35</v>
      </c>
      <c r="L307" s="2" t="s">
        <v>1640</v>
      </c>
      <c r="M307" s="2" t="s">
        <v>206</v>
      </c>
      <c r="N307" s="2" t="s">
        <v>26</v>
      </c>
      <c r="O307" s="2" t="s">
        <v>1649</v>
      </c>
      <c r="P307" s="2" t="s">
        <v>1650</v>
      </c>
    </row>
    <row r="308" customFormat="false" ht="102.2" hidden="false" customHeight="false" outlineLevel="0" collapsed="false">
      <c r="A308" s="2" t="s">
        <v>1651</v>
      </c>
      <c r="B308" s="2" t="s">
        <v>1652</v>
      </c>
      <c r="C308" s="2" t="s">
        <v>704</v>
      </c>
      <c r="D308" s="2" t="s">
        <v>1281</v>
      </c>
      <c r="E308" s="2" t="s">
        <v>1627</v>
      </c>
      <c r="F308" s="2" t="s">
        <v>530</v>
      </c>
      <c r="G308" s="2" t="s">
        <v>1653</v>
      </c>
      <c r="H308" s="2" t="s">
        <v>727</v>
      </c>
      <c r="I308" s="2" t="s">
        <v>728</v>
      </c>
      <c r="J308" s="2" t="s">
        <v>35</v>
      </c>
      <c r="K308" s="2" t="s">
        <v>35</v>
      </c>
      <c r="L308" s="2" t="s">
        <v>1653</v>
      </c>
      <c r="M308" s="2" t="s">
        <v>206</v>
      </c>
      <c r="N308" s="2" t="s">
        <v>26</v>
      </c>
      <c r="O308" s="2" t="s">
        <v>1654</v>
      </c>
      <c r="P308" s="2" t="s">
        <v>1655</v>
      </c>
    </row>
    <row r="309" customFormat="false" ht="91" hidden="false" customHeight="false" outlineLevel="0" collapsed="false">
      <c r="A309" s="2" t="s">
        <v>1656</v>
      </c>
      <c r="B309" s="2" t="s">
        <v>1657</v>
      </c>
      <c r="C309" s="2" t="s">
        <v>704</v>
      </c>
      <c r="D309" s="2" t="s">
        <v>1281</v>
      </c>
      <c r="E309" s="2" t="s">
        <v>1658</v>
      </c>
      <c r="F309" s="2" t="s">
        <v>530</v>
      </c>
      <c r="G309" s="2" t="s">
        <v>1659</v>
      </c>
      <c r="H309" s="2" t="s">
        <v>727</v>
      </c>
      <c r="I309" s="2" t="s">
        <v>728</v>
      </c>
      <c r="J309" s="2" t="s">
        <v>35</v>
      </c>
      <c r="K309" s="2" t="s">
        <v>35</v>
      </c>
      <c r="L309" s="2" t="s">
        <v>1659</v>
      </c>
      <c r="M309" s="2" t="s">
        <v>206</v>
      </c>
      <c r="N309" s="2" t="s">
        <v>26</v>
      </c>
      <c r="O309" s="2" t="s">
        <v>1660</v>
      </c>
      <c r="P309" s="2" t="s">
        <v>1661</v>
      </c>
    </row>
    <row r="310" customFormat="false" ht="91" hidden="false" customHeight="false" outlineLevel="0" collapsed="false">
      <c r="A310" s="2" t="s">
        <v>1662</v>
      </c>
      <c r="B310" s="2" t="s">
        <v>1663</v>
      </c>
      <c r="C310" s="2" t="s">
        <v>704</v>
      </c>
      <c r="D310" s="2" t="s">
        <v>1281</v>
      </c>
      <c r="E310" s="2" t="s">
        <v>1658</v>
      </c>
      <c r="F310" s="2" t="s">
        <v>530</v>
      </c>
      <c r="G310" s="2" t="s">
        <v>1664</v>
      </c>
      <c r="H310" s="2" t="s">
        <v>727</v>
      </c>
      <c r="I310" s="2"/>
      <c r="J310" s="2" t="s">
        <v>35</v>
      </c>
      <c r="K310" s="2" t="s">
        <v>35</v>
      </c>
      <c r="L310" s="2" t="s">
        <v>1665</v>
      </c>
      <c r="M310" s="2" t="s">
        <v>206</v>
      </c>
      <c r="N310" s="2" t="s">
        <v>1297</v>
      </c>
      <c r="O310" s="2" t="s">
        <v>1666</v>
      </c>
      <c r="P310" s="2"/>
    </row>
    <row r="311" customFormat="false" ht="79.85" hidden="false" customHeight="false" outlineLevel="0" collapsed="false">
      <c r="A311" s="2" t="s">
        <v>1667</v>
      </c>
      <c r="B311" s="2" t="s">
        <v>1668</v>
      </c>
      <c r="C311" s="2" t="s">
        <v>704</v>
      </c>
      <c r="D311" s="2" t="s">
        <v>1281</v>
      </c>
      <c r="E311" s="2" t="s">
        <v>921</v>
      </c>
      <c r="F311" s="2" t="s">
        <v>530</v>
      </c>
      <c r="G311" s="2" t="s">
        <v>1669</v>
      </c>
      <c r="H311" s="2" t="s">
        <v>727</v>
      </c>
      <c r="I311" s="2" t="s">
        <v>728</v>
      </c>
      <c r="J311" s="2" t="s">
        <v>35</v>
      </c>
      <c r="K311" s="2" t="s">
        <v>35</v>
      </c>
      <c r="L311" s="2" t="s">
        <v>1669</v>
      </c>
      <c r="M311" s="2" t="s">
        <v>206</v>
      </c>
      <c r="N311" s="2" t="s">
        <v>26</v>
      </c>
      <c r="O311" s="2" t="s">
        <v>1670</v>
      </c>
      <c r="P311" s="2" t="s">
        <v>1671</v>
      </c>
    </row>
    <row r="312" customFormat="false" ht="68.65" hidden="false" customHeight="false" outlineLevel="0" collapsed="false">
      <c r="A312" s="2" t="s">
        <v>1672</v>
      </c>
      <c r="B312" s="2" t="s">
        <v>1673</v>
      </c>
      <c r="C312" s="2" t="s">
        <v>1674</v>
      </c>
      <c r="D312" s="2" t="s">
        <v>1281</v>
      </c>
      <c r="E312" s="2" t="s">
        <v>1675</v>
      </c>
      <c r="F312" s="2" t="s">
        <v>530</v>
      </c>
      <c r="G312" s="2" t="s">
        <v>1676</v>
      </c>
      <c r="H312" s="2"/>
      <c r="I312" s="2"/>
      <c r="J312" s="2" t="s">
        <v>161</v>
      </c>
      <c r="K312" s="2" t="s">
        <v>161</v>
      </c>
      <c r="L312" s="2" t="s">
        <v>1676</v>
      </c>
      <c r="M312" s="2" t="s">
        <v>161</v>
      </c>
      <c r="N312" s="2" t="s">
        <v>1285</v>
      </c>
      <c r="O312" s="2" t="s">
        <v>1677</v>
      </c>
      <c r="P312" s="2" t="s">
        <v>1678</v>
      </c>
    </row>
    <row r="313" customFormat="false" ht="57.45" hidden="false" customHeight="false" outlineLevel="0" collapsed="false">
      <c r="A313" s="2" t="s">
        <v>1679</v>
      </c>
      <c r="B313" s="2" t="s">
        <v>1680</v>
      </c>
      <c r="C313" s="2" t="s">
        <v>1394</v>
      </c>
      <c r="D313" s="2" t="s">
        <v>1281</v>
      </c>
      <c r="E313" s="2" t="s">
        <v>1627</v>
      </c>
      <c r="F313" s="2" t="s">
        <v>21</v>
      </c>
      <c r="G313" s="2" t="s">
        <v>1681</v>
      </c>
      <c r="H313" s="2"/>
      <c r="I313" s="2"/>
      <c r="J313" s="2" t="s">
        <v>161</v>
      </c>
      <c r="K313" s="2" t="s">
        <v>161</v>
      </c>
      <c r="L313" s="2" t="s">
        <v>1681</v>
      </c>
      <c r="M313" s="2" t="s">
        <v>206</v>
      </c>
      <c r="N313" s="2" t="s">
        <v>1285</v>
      </c>
      <c r="O313" s="2" t="s">
        <v>1682</v>
      </c>
      <c r="P313" s="2" t="s">
        <v>1683</v>
      </c>
    </row>
    <row r="314" customFormat="false" ht="68.65" hidden="false" customHeight="false" outlineLevel="0" collapsed="false">
      <c r="A314" s="2" t="s">
        <v>1684</v>
      </c>
      <c r="B314" s="2" t="s">
        <v>1685</v>
      </c>
      <c r="C314" s="2" t="s">
        <v>1394</v>
      </c>
      <c r="D314" s="2" t="s">
        <v>1281</v>
      </c>
      <c r="E314" s="2" t="s">
        <v>1627</v>
      </c>
      <c r="F314" s="2" t="s">
        <v>21</v>
      </c>
      <c r="G314" s="2" t="s">
        <v>1686</v>
      </c>
      <c r="H314" s="2"/>
      <c r="I314" s="2" t="s">
        <v>1687</v>
      </c>
      <c r="J314" s="2" t="s">
        <v>161</v>
      </c>
      <c r="K314" s="2" t="s">
        <v>161</v>
      </c>
      <c r="L314" s="2" t="s">
        <v>1686</v>
      </c>
      <c r="M314" s="2" t="s">
        <v>161</v>
      </c>
      <c r="N314" s="2" t="s">
        <v>1285</v>
      </c>
      <c r="O314" s="2" t="s">
        <v>1688</v>
      </c>
      <c r="P314" s="2" t="s">
        <v>1689</v>
      </c>
    </row>
    <row r="315" customFormat="false" ht="57.45" hidden="false" customHeight="false" outlineLevel="0" collapsed="false">
      <c r="A315" s="2" t="s">
        <v>1690</v>
      </c>
      <c r="B315" s="2" t="s">
        <v>1691</v>
      </c>
      <c r="C315" s="2" t="s">
        <v>1394</v>
      </c>
      <c r="D315" s="2" t="s">
        <v>1281</v>
      </c>
      <c r="E315" s="2" t="s">
        <v>1627</v>
      </c>
      <c r="F315" s="2" t="s">
        <v>21</v>
      </c>
      <c r="G315" s="2" t="s">
        <v>1686</v>
      </c>
      <c r="H315" s="2"/>
      <c r="I315" s="2" t="s">
        <v>1687</v>
      </c>
      <c r="J315" s="2" t="s">
        <v>161</v>
      </c>
      <c r="K315" s="2" t="s">
        <v>161</v>
      </c>
      <c r="L315" s="2" t="s">
        <v>1686</v>
      </c>
      <c r="M315" s="2" t="s">
        <v>161</v>
      </c>
      <c r="N315" s="2" t="s">
        <v>1285</v>
      </c>
      <c r="O315" s="2" t="s">
        <v>1692</v>
      </c>
      <c r="P315" s="2" t="s">
        <v>1693</v>
      </c>
    </row>
    <row r="316" customFormat="false" ht="57.45" hidden="false" customHeight="false" outlineLevel="0" collapsed="false">
      <c r="A316" s="2" t="s">
        <v>364</v>
      </c>
      <c r="B316" s="2" t="s">
        <v>1694</v>
      </c>
      <c r="C316" s="2" t="s">
        <v>1394</v>
      </c>
      <c r="D316" s="2" t="s">
        <v>1281</v>
      </c>
      <c r="E316" s="2" t="s">
        <v>1627</v>
      </c>
      <c r="F316" s="2" t="s">
        <v>21</v>
      </c>
      <c r="G316" s="2" t="s">
        <v>1686</v>
      </c>
      <c r="H316" s="2"/>
      <c r="I316" s="2" t="s">
        <v>1687</v>
      </c>
      <c r="J316" s="2" t="s">
        <v>161</v>
      </c>
      <c r="K316" s="2" t="s">
        <v>161</v>
      </c>
      <c r="L316" s="2" t="s">
        <v>1686</v>
      </c>
      <c r="M316" s="2" t="s">
        <v>161</v>
      </c>
      <c r="N316" s="2" t="s">
        <v>1285</v>
      </c>
      <c r="O316" s="2" t="s">
        <v>1695</v>
      </c>
      <c r="P316" s="2" t="s">
        <v>1696</v>
      </c>
    </row>
    <row r="317" customFormat="false" ht="46.25" hidden="false" customHeight="false" outlineLevel="0" collapsed="false">
      <c r="A317" s="2" t="s">
        <v>1697</v>
      </c>
      <c r="B317" s="2" t="s">
        <v>1698</v>
      </c>
      <c r="C317" s="2" t="s">
        <v>704</v>
      </c>
      <c r="D317" s="2" t="s">
        <v>1281</v>
      </c>
      <c r="E317" s="2" t="s">
        <v>1627</v>
      </c>
      <c r="F317" s="2" t="s">
        <v>32</v>
      </c>
      <c r="G317" s="2" t="s">
        <v>1610</v>
      </c>
      <c r="H317" s="2" t="s">
        <v>1418</v>
      </c>
      <c r="I317" s="2"/>
      <c r="J317" s="2" t="s">
        <v>35</v>
      </c>
      <c r="K317" s="2" t="s">
        <v>23</v>
      </c>
      <c r="L317" s="2" t="s">
        <v>1610</v>
      </c>
      <c r="M317" s="2" t="s">
        <v>206</v>
      </c>
      <c r="N317" s="2" t="s">
        <v>26</v>
      </c>
      <c r="O317" s="2" t="s">
        <v>1699</v>
      </c>
      <c r="P317" s="2" t="s">
        <v>1700</v>
      </c>
    </row>
    <row r="318" customFormat="false" ht="46.25" hidden="false" customHeight="false" outlineLevel="0" collapsed="false">
      <c r="A318" s="2" t="s">
        <v>1701</v>
      </c>
      <c r="B318" s="2" t="s">
        <v>1702</v>
      </c>
      <c r="C318" s="2" t="s">
        <v>1394</v>
      </c>
      <c r="D318" s="2" t="s">
        <v>1281</v>
      </c>
      <c r="E318" s="2" t="s">
        <v>1627</v>
      </c>
      <c r="F318" s="2" t="s">
        <v>21</v>
      </c>
      <c r="G318" s="2" t="s">
        <v>1703</v>
      </c>
      <c r="H318" s="2"/>
      <c r="I318" s="2"/>
      <c r="J318" s="2" t="s">
        <v>161</v>
      </c>
      <c r="K318" s="2" t="s">
        <v>161</v>
      </c>
      <c r="L318" s="2" t="s">
        <v>1703</v>
      </c>
      <c r="M318" s="2" t="s">
        <v>161</v>
      </c>
      <c r="N318" s="2" t="s">
        <v>1285</v>
      </c>
      <c r="O318" s="2" t="s">
        <v>1704</v>
      </c>
      <c r="P318" s="2" t="s">
        <v>1705</v>
      </c>
    </row>
    <row r="319" customFormat="false" ht="68.65" hidden="false" customHeight="false" outlineLevel="0" collapsed="false">
      <c r="A319" s="2" t="s">
        <v>1706</v>
      </c>
      <c r="B319" s="2" t="s">
        <v>1707</v>
      </c>
      <c r="C319" s="2" t="s">
        <v>1394</v>
      </c>
      <c r="D319" s="2" t="s">
        <v>1281</v>
      </c>
      <c r="E319" s="2" t="s">
        <v>1627</v>
      </c>
      <c r="F319" s="2" t="s">
        <v>21</v>
      </c>
      <c r="G319" s="2" t="s">
        <v>1708</v>
      </c>
      <c r="H319" s="2"/>
      <c r="I319" s="2"/>
      <c r="J319" s="2" t="s">
        <v>161</v>
      </c>
      <c r="K319" s="2" t="s">
        <v>161</v>
      </c>
      <c r="L319" s="2" t="s">
        <v>1708</v>
      </c>
      <c r="M319" s="2" t="s">
        <v>161</v>
      </c>
      <c r="N319" s="2" t="s">
        <v>1285</v>
      </c>
      <c r="O319" s="2" t="s">
        <v>1709</v>
      </c>
      <c r="P319" s="2" t="s">
        <v>1710</v>
      </c>
    </row>
    <row r="320" customFormat="false" ht="79.85" hidden="false" customHeight="false" outlineLevel="0" collapsed="false">
      <c r="A320" s="2" t="s">
        <v>1711</v>
      </c>
      <c r="B320" s="2" t="s">
        <v>1712</v>
      </c>
      <c r="C320" s="2" t="s">
        <v>1394</v>
      </c>
      <c r="D320" s="2" t="s">
        <v>1281</v>
      </c>
      <c r="E320" s="2" t="s">
        <v>1713</v>
      </c>
      <c r="F320" s="2" t="s">
        <v>21</v>
      </c>
      <c r="G320" s="2" t="s">
        <v>1714</v>
      </c>
      <c r="H320" s="2"/>
      <c r="I320" s="2"/>
      <c r="J320" s="2" t="s">
        <v>161</v>
      </c>
      <c r="K320" s="2" t="s">
        <v>161</v>
      </c>
      <c r="L320" s="2" t="s">
        <v>1714</v>
      </c>
      <c r="M320" s="2" t="s">
        <v>161</v>
      </c>
      <c r="N320" s="2" t="s">
        <v>1285</v>
      </c>
      <c r="O320" s="2" t="s">
        <v>1715</v>
      </c>
      <c r="P320" s="2" t="s">
        <v>1716</v>
      </c>
    </row>
    <row r="321" customFormat="false" ht="57.45" hidden="false" customHeight="false" outlineLevel="0" collapsed="false">
      <c r="A321" s="2" t="s">
        <v>1717</v>
      </c>
      <c r="B321" s="2" t="s">
        <v>1718</v>
      </c>
      <c r="C321" s="2" t="s">
        <v>1719</v>
      </c>
      <c r="D321" s="2" t="s">
        <v>1281</v>
      </c>
      <c r="E321" s="2" t="s">
        <v>725</v>
      </c>
      <c r="F321" s="2" t="s">
        <v>21</v>
      </c>
      <c r="G321" s="2" t="s">
        <v>1720</v>
      </c>
      <c r="H321" s="2"/>
      <c r="I321" s="2"/>
      <c r="J321" s="2" t="s">
        <v>161</v>
      </c>
      <c r="K321" s="2" t="s">
        <v>161</v>
      </c>
      <c r="L321" s="2" t="s">
        <v>1721</v>
      </c>
      <c r="M321" s="2" t="s">
        <v>161</v>
      </c>
      <c r="N321" s="2" t="s">
        <v>1285</v>
      </c>
      <c r="O321" s="2" t="s">
        <v>1722</v>
      </c>
      <c r="P321" s="2" t="s">
        <v>1723</v>
      </c>
    </row>
    <row r="322" customFormat="false" ht="57.45" hidden="false" customHeight="false" outlineLevel="0" collapsed="false">
      <c r="A322" s="2" t="s">
        <v>1724</v>
      </c>
      <c r="B322" s="2" t="s">
        <v>1725</v>
      </c>
      <c r="C322" s="2" t="s">
        <v>1719</v>
      </c>
      <c r="D322" s="2" t="s">
        <v>1281</v>
      </c>
      <c r="E322" s="2" t="s">
        <v>1713</v>
      </c>
      <c r="F322" s="2" t="s">
        <v>21</v>
      </c>
      <c r="G322" s="2" t="s">
        <v>1726</v>
      </c>
      <c r="H322" s="2"/>
      <c r="I322" s="2"/>
      <c r="J322" s="2" t="s">
        <v>161</v>
      </c>
      <c r="K322" s="2" t="s">
        <v>161</v>
      </c>
      <c r="L322" s="2" t="s">
        <v>1727</v>
      </c>
      <c r="M322" s="2" t="s">
        <v>161</v>
      </c>
      <c r="N322" s="2" t="s">
        <v>1285</v>
      </c>
      <c r="O322" s="2" t="s">
        <v>1728</v>
      </c>
      <c r="P322" s="2" t="s">
        <v>1729</v>
      </c>
    </row>
    <row r="323" customFormat="false" ht="68.65" hidden="false" customHeight="false" outlineLevel="0" collapsed="false">
      <c r="A323" s="2" t="s">
        <v>1730</v>
      </c>
      <c r="B323" s="2" t="s">
        <v>1731</v>
      </c>
      <c r="C323" s="2" t="s">
        <v>1394</v>
      </c>
      <c r="D323" s="2" t="s">
        <v>1281</v>
      </c>
      <c r="E323" s="2" t="s">
        <v>1627</v>
      </c>
      <c r="F323" s="2" t="s">
        <v>21</v>
      </c>
      <c r="G323" s="2" t="s">
        <v>1732</v>
      </c>
      <c r="H323" s="2"/>
      <c r="I323" s="2"/>
      <c r="J323" s="2" t="s">
        <v>161</v>
      </c>
      <c r="K323" s="2" t="s">
        <v>161</v>
      </c>
      <c r="L323" s="2" t="s">
        <v>1732</v>
      </c>
      <c r="M323" s="2" t="s">
        <v>206</v>
      </c>
      <c r="N323" s="2" t="s">
        <v>26</v>
      </c>
      <c r="O323" s="2" t="s">
        <v>1733</v>
      </c>
      <c r="P323" s="2" t="s">
        <v>1734</v>
      </c>
    </row>
    <row r="324" customFormat="false" ht="68.65" hidden="false" customHeight="false" outlineLevel="0" collapsed="false">
      <c r="A324" s="2" t="s">
        <v>1735</v>
      </c>
      <c r="B324" s="2" t="s">
        <v>1736</v>
      </c>
      <c r="C324" s="2" t="s">
        <v>1394</v>
      </c>
      <c r="D324" s="2" t="s">
        <v>1281</v>
      </c>
      <c r="E324" s="2" t="s">
        <v>1627</v>
      </c>
      <c r="F324" s="2" t="s">
        <v>21</v>
      </c>
      <c r="G324" s="2" t="s">
        <v>1732</v>
      </c>
      <c r="H324" s="2"/>
      <c r="I324" s="2"/>
      <c r="J324" s="2" t="s">
        <v>161</v>
      </c>
      <c r="K324" s="2" t="s">
        <v>161</v>
      </c>
      <c r="L324" s="2" t="s">
        <v>1732</v>
      </c>
      <c r="M324" s="2" t="s">
        <v>206</v>
      </c>
      <c r="N324" s="2" t="s">
        <v>26</v>
      </c>
      <c r="O324" s="2" t="s">
        <v>1737</v>
      </c>
      <c r="P324" s="2" t="s">
        <v>1738</v>
      </c>
    </row>
    <row r="325" customFormat="false" ht="68.65" hidden="false" customHeight="false" outlineLevel="0" collapsed="false">
      <c r="A325" s="2" t="s">
        <v>1739</v>
      </c>
      <c r="B325" s="2" t="s">
        <v>1740</v>
      </c>
      <c r="C325" s="2" t="s">
        <v>1394</v>
      </c>
      <c r="D325" s="2" t="s">
        <v>1281</v>
      </c>
      <c r="E325" s="2" t="s">
        <v>1627</v>
      </c>
      <c r="F325" s="2" t="s">
        <v>21</v>
      </c>
      <c r="G325" s="2" t="s">
        <v>1732</v>
      </c>
      <c r="H325" s="2"/>
      <c r="I325" s="2"/>
      <c r="J325" s="2" t="s">
        <v>161</v>
      </c>
      <c r="K325" s="2" t="s">
        <v>161</v>
      </c>
      <c r="L325" s="2" t="s">
        <v>1732</v>
      </c>
      <c r="M325" s="2" t="s">
        <v>206</v>
      </c>
      <c r="N325" s="2" t="s">
        <v>26</v>
      </c>
      <c r="O325" s="2" t="s">
        <v>1741</v>
      </c>
      <c r="P325" s="2" t="s">
        <v>1742</v>
      </c>
    </row>
    <row r="326" customFormat="false" ht="102.2" hidden="false" customHeight="false" outlineLevel="0" collapsed="false">
      <c r="A326" s="2" t="s">
        <v>1743</v>
      </c>
      <c r="B326" s="2" t="s">
        <v>1744</v>
      </c>
      <c r="C326" s="2" t="s">
        <v>704</v>
      </c>
      <c r="D326" s="2" t="s">
        <v>1281</v>
      </c>
      <c r="E326" s="2" t="s">
        <v>1627</v>
      </c>
      <c r="F326" s="2" t="s">
        <v>530</v>
      </c>
      <c r="G326" s="2" t="s">
        <v>1745</v>
      </c>
      <c r="H326" s="2" t="s">
        <v>727</v>
      </c>
      <c r="I326" s="2"/>
      <c r="J326" s="2" t="s">
        <v>35</v>
      </c>
      <c r="K326" s="2" t="s">
        <v>35</v>
      </c>
      <c r="L326" s="2" t="s">
        <v>1746</v>
      </c>
      <c r="M326" s="2" t="s">
        <v>206</v>
      </c>
      <c r="N326" s="2" t="s">
        <v>36</v>
      </c>
      <c r="O326" s="2" t="s">
        <v>1747</v>
      </c>
      <c r="P326" s="2" t="s">
        <v>1748</v>
      </c>
    </row>
    <row r="327" customFormat="false" ht="113.4" hidden="false" customHeight="false" outlineLevel="0" collapsed="false">
      <c r="A327" s="2" t="s">
        <v>1749</v>
      </c>
      <c r="B327" s="2" t="s">
        <v>1750</v>
      </c>
      <c r="C327" s="2" t="s">
        <v>704</v>
      </c>
      <c r="D327" s="2" t="s">
        <v>1281</v>
      </c>
      <c r="E327" s="2" t="s">
        <v>1627</v>
      </c>
      <c r="F327" s="2" t="s">
        <v>530</v>
      </c>
      <c r="G327" s="2" t="s">
        <v>1751</v>
      </c>
      <c r="H327" s="2" t="s">
        <v>727</v>
      </c>
      <c r="I327" s="2"/>
      <c r="J327" s="2" t="s">
        <v>35</v>
      </c>
      <c r="K327" s="2" t="s">
        <v>35</v>
      </c>
      <c r="L327" s="2" t="s">
        <v>1752</v>
      </c>
      <c r="M327" s="2" t="s">
        <v>206</v>
      </c>
      <c r="N327" s="2" t="s">
        <v>1285</v>
      </c>
      <c r="O327" s="2" t="s">
        <v>1753</v>
      </c>
      <c r="P327" s="2" t="s">
        <v>1754</v>
      </c>
    </row>
    <row r="328" customFormat="false" ht="124.6" hidden="false" customHeight="false" outlineLevel="0" collapsed="false">
      <c r="A328" s="2" t="s">
        <v>1755</v>
      </c>
      <c r="B328" s="2" t="s">
        <v>1756</v>
      </c>
      <c r="C328" s="2" t="s">
        <v>704</v>
      </c>
      <c r="D328" s="2" t="s">
        <v>1281</v>
      </c>
      <c r="E328" s="2" t="s">
        <v>1627</v>
      </c>
      <c r="F328" s="2" t="s">
        <v>530</v>
      </c>
      <c r="G328" s="2" t="s">
        <v>1751</v>
      </c>
      <c r="H328" s="2" t="s">
        <v>727</v>
      </c>
      <c r="I328" s="2"/>
      <c r="J328" s="2" t="s">
        <v>35</v>
      </c>
      <c r="K328" s="2" t="s">
        <v>35</v>
      </c>
      <c r="L328" s="2" t="s">
        <v>1752</v>
      </c>
      <c r="M328" s="2" t="s">
        <v>206</v>
      </c>
      <c r="N328" s="2" t="s">
        <v>1285</v>
      </c>
      <c r="O328" s="2" t="s">
        <v>1757</v>
      </c>
      <c r="P328" s="2" t="s">
        <v>1758</v>
      </c>
    </row>
    <row r="329" customFormat="false" ht="91" hidden="false" customHeight="false" outlineLevel="0" collapsed="false">
      <c r="A329" s="2" t="s">
        <v>1759</v>
      </c>
      <c r="B329" s="2" t="s">
        <v>1760</v>
      </c>
      <c r="C329" s="2" t="s">
        <v>704</v>
      </c>
      <c r="D329" s="2" t="s">
        <v>1281</v>
      </c>
      <c r="E329" s="2" t="s">
        <v>1627</v>
      </c>
      <c r="F329" s="2" t="s">
        <v>530</v>
      </c>
      <c r="G329" s="2" t="s">
        <v>1761</v>
      </c>
      <c r="H329" s="2" t="s">
        <v>727</v>
      </c>
      <c r="I329" s="2"/>
      <c r="J329" s="2" t="s">
        <v>35</v>
      </c>
      <c r="K329" s="2" t="s">
        <v>35</v>
      </c>
      <c r="L329" s="2" t="s">
        <v>1762</v>
      </c>
      <c r="M329" s="2" t="s">
        <v>206</v>
      </c>
      <c r="N329" s="2" t="s">
        <v>1285</v>
      </c>
      <c r="O329" s="2" t="s">
        <v>1763</v>
      </c>
      <c r="P329" s="2" t="s">
        <v>1764</v>
      </c>
    </row>
    <row r="330" customFormat="false" ht="57.45" hidden="false" customHeight="false" outlineLevel="0" collapsed="false">
      <c r="A330" s="2" t="s">
        <v>1765</v>
      </c>
      <c r="B330" s="2" t="s">
        <v>1766</v>
      </c>
      <c r="C330" s="2" t="s">
        <v>704</v>
      </c>
      <c r="D330" s="2" t="s">
        <v>1281</v>
      </c>
      <c r="E330" s="2" t="s">
        <v>1627</v>
      </c>
      <c r="F330" s="2" t="s">
        <v>32</v>
      </c>
      <c r="G330" s="2" t="s">
        <v>1767</v>
      </c>
      <c r="H330" s="2" t="s">
        <v>1502</v>
      </c>
      <c r="I330" s="2"/>
      <c r="J330" s="2" t="s">
        <v>35</v>
      </c>
      <c r="K330" s="2" t="s">
        <v>35</v>
      </c>
      <c r="L330" s="2" t="s">
        <v>1767</v>
      </c>
      <c r="M330" s="2" t="s">
        <v>206</v>
      </c>
      <c r="N330" s="2" t="s">
        <v>26</v>
      </c>
      <c r="O330" s="2" t="s">
        <v>1768</v>
      </c>
      <c r="P330" s="2" t="s">
        <v>1769</v>
      </c>
    </row>
    <row r="331" customFormat="false" ht="68.65" hidden="false" customHeight="false" outlineLevel="0" collapsed="false">
      <c r="A331" s="2" t="s">
        <v>1770</v>
      </c>
      <c r="B331" s="2" t="s">
        <v>1771</v>
      </c>
      <c r="C331" s="2" t="s">
        <v>1394</v>
      </c>
      <c r="D331" s="2" t="s">
        <v>1281</v>
      </c>
      <c r="E331" s="2" t="s">
        <v>921</v>
      </c>
      <c r="F331" s="2" t="s">
        <v>21</v>
      </c>
      <c r="G331" s="2" t="s">
        <v>1772</v>
      </c>
      <c r="H331" s="2"/>
      <c r="I331" s="2" t="s">
        <v>1773</v>
      </c>
      <c r="J331" s="2" t="s">
        <v>161</v>
      </c>
      <c r="K331" s="2" t="s">
        <v>161</v>
      </c>
      <c r="L331" s="2" t="s">
        <v>1772</v>
      </c>
      <c r="M331" s="2" t="s">
        <v>161</v>
      </c>
      <c r="N331" s="2" t="s">
        <v>36</v>
      </c>
      <c r="O331" s="2" t="s">
        <v>1774</v>
      </c>
      <c r="P331" s="2" t="s">
        <v>1775</v>
      </c>
    </row>
    <row r="332" customFormat="false" ht="68.65" hidden="false" customHeight="false" outlineLevel="0" collapsed="false">
      <c r="A332" s="2" t="s">
        <v>1776</v>
      </c>
      <c r="B332" s="2" t="s">
        <v>1777</v>
      </c>
      <c r="C332" s="2" t="s">
        <v>1394</v>
      </c>
      <c r="D332" s="2" t="s">
        <v>1281</v>
      </c>
      <c r="E332" s="2" t="s">
        <v>921</v>
      </c>
      <c r="F332" s="2" t="s">
        <v>21</v>
      </c>
      <c r="G332" s="2" t="s">
        <v>1772</v>
      </c>
      <c r="H332" s="2"/>
      <c r="I332" s="2" t="s">
        <v>1773</v>
      </c>
      <c r="J332" s="2" t="s">
        <v>161</v>
      </c>
      <c r="K332" s="2" t="s">
        <v>161</v>
      </c>
      <c r="L332" s="2" t="s">
        <v>1772</v>
      </c>
      <c r="M332" s="2" t="s">
        <v>161</v>
      </c>
      <c r="N332" s="2" t="s">
        <v>36</v>
      </c>
      <c r="O332" s="2" t="s">
        <v>1778</v>
      </c>
      <c r="P332" s="2" t="s">
        <v>1779</v>
      </c>
    </row>
    <row r="333" customFormat="false" ht="68.65" hidden="false" customHeight="false" outlineLevel="0" collapsed="false">
      <c r="A333" s="2" t="s">
        <v>1780</v>
      </c>
      <c r="B333" s="2" t="s">
        <v>1781</v>
      </c>
      <c r="C333" s="2" t="s">
        <v>704</v>
      </c>
      <c r="D333" s="2" t="s">
        <v>1281</v>
      </c>
      <c r="E333" s="2" t="s">
        <v>921</v>
      </c>
      <c r="F333" s="2" t="s">
        <v>530</v>
      </c>
      <c r="G333" s="2" t="s">
        <v>1782</v>
      </c>
      <c r="H333" s="2" t="s">
        <v>727</v>
      </c>
      <c r="I333" s="2"/>
      <c r="J333" s="2" t="s">
        <v>35</v>
      </c>
      <c r="K333" s="2" t="s">
        <v>35</v>
      </c>
      <c r="L333" s="2" t="s">
        <v>1782</v>
      </c>
      <c r="M333" s="2" t="s">
        <v>206</v>
      </c>
      <c r="N333" s="2" t="s">
        <v>1285</v>
      </c>
      <c r="O333" s="2" t="s">
        <v>1783</v>
      </c>
      <c r="P333" s="2" t="s">
        <v>1784</v>
      </c>
    </row>
    <row r="334" customFormat="false" ht="57.45" hidden="false" customHeight="false" outlineLevel="0" collapsed="false">
      <c r="A334" s="2" t="s">
        <v>1785</v>
      </c>
      <c r="B334" s="2" t="s">
        <v>1786</v>
      </c>
      <c r="C334" s="2" t="s">
        <v>704</v>
      </c>
      <c r="D334" s="2" t="s">
        <v>1281</v>
      </c>
      <c r="E334" s="2" t="s">
        <v>921</v>
      </c>
      <c r="F334" s="2" t="s">
        <v>530</v>
      </c>
      <c r="G334" s="2" t="s">
        <v>1782</v>
      </c>
      <c r="H334" s="2" t="s">
        <v>727</v>
      </c>
      <c r="I334" s="2"/>
      <c r="J334" s="2" t="s">
        <v>35</v>
      </c>
      <c r="K334" s="2" t="s">
        <v>35</v>
      </c>
      <c r="L334" s="2" t="s">
        <v>1782</v>
      </c>
      <c r="M334" s="2" t="s">
        <v>206</v>
      </c>
      <c r="N334" s="2" t="s">
        <v>1285</v>
      </c>
      <c r="O334" s="2" t="s">
        <v>1787</v>
      </c>
      <c r="P334" s="2" t="s">
        <v>1788</v>
      </c>
    </row>
    <row r="335" customFormat="false" ht="57.45" hidden="false" customHeight="false" outlineLevel="0" collapsed="false">
      <c r="A335" s="2" t="s">
        <v>1789</v>
      </c>
      <c r="B335" s="2" t="s">
        <v>1790</v>
      </c>
      <c r="C335" s="2" t="s">
        <v>704</v>
      </c>
      <c r="D335" s="2" t="s">
        <v>1281</v>
      </c>
      <c r="E335" s="2" t="s">
        <v>921</v>
      </c>
      <c r="F335" s="2" t="s">
        <v>530</v>
      </c>
      <c r="G335" s="2" t="s">
        <v>1782</v>
      </c>
      <c r="H335" s="2" t="s">
        <v>727</v>
      </c>
      <c r="I335" s="2"/>
      <c r="J335" s="2" t="s">
        <v>35</v>
      </c>
      <c r="K335" s="2" t="s">
        <v>35</v>
      </c>
      <c r="L335" s="2" t="s">
        <v>1782</v>
      </c>
      <c r="M335" s="2" t="s">
        <v>206</v>
      </c>
      <c r="N335" s="2" t="s">
        <v>1285</v>
      </c>
      <c r="O335" s="2" t="s">
        <v>1791</v>
      </c>
      <c r="P335" s="2" t="s">
        <v>1788</v>
      </c>
    </row>
    <row r="336" customFormat="false" ht="68.65" hidden="false" customHeight="false" outlineLevel="0" collapsed="false">
      <c r="A336" s="2" t="s">
        <v>1792</v>
      </c>
      <c r="B336" s="2" t="s">
        <v>1793</v>
      </c>
      <c r="C336" s="2" t="s">
        <v>704</v>
      </c>
      <c r="D336" s="2" t="s">
        <v>1281</v>
      </c>
      <c r="E336" s="2" t="s">
        <v>921</v>
      </c>
      <c r="F336" s="2" t="s">
        <v>530</v>
      </c>
      <c r="G336" s="2" t="s">
        <v>1782</v>
      </c>
      <c r="H336" s="2" t="s">
        <v>727</v>
      </c>
      <c r="I336" s="2"/>
      <c r="J336" s="2" t="s">
        <v>35</v>
      </c>
      <c r="K336" s="2" t="s">
        <v>35</v>
      </c>
      <c r="L336" s="2" t="s">
        <v>1782</v>
      </c>
      <c r="M336" s="2" t="s">
        <v>206</v>
      </c>
      <c r="N336" s="2" t="s">
        <v>1285</v>
      </c>
      <c r="O336" s="2" t="s">
        <v>1794</v>
      </c>
      <c r="P336" s="2" t="s">
        <v>1795</v>
      </c>
    </row>
    <row r="337" customFormat="false" ht="23.85" hidden="false" customHeight="false" outlineLevel="0" collapsed="false">
      <c r="A337" s="2" t="s">
        <v>1796</v>
      </c>
      <c r="B337" s="2" t="s">
        <v>1797</v>
      </c>
      <c r="C337" s="2" t="s">
        <v>704</v>
      </c>
      <c r="D337" s="2" t="s">
        <v>1281</v>
      </c>
      <c r="E337" s="2" t="s">
        <v>921</v>
      </c>
      <c r="F337" s="2" t="s">
        <v>32</v>
      </c>
      <c r="G337" s="2" t="s">
        <v>1798</v>
      </c>
      <c r="H337" s="2" t="s">
        <v>1418</v>
      </c>
      <c r="I337" s="2"/>
      <c r="J337" s="2" t="s">
        <v>35</v>
      </c>
      <c r="K337" s="2" t="s">
        <v>23</v>
      </c>
      <c r="L337" s="2" t="s">
        <v>1798</v>
      </c>
      <c r="M337" s="2" t="s">
        <v>206</v>
      </c>
      <c r="N337" s="2" t="s">
        <v>26</v>
      </c>
      <c r="O337" s="2" t="s">
        <v>1799</v>
      </c>
      <c r="P337" s="2" t="s">
        <v>1800</v>
      </c>
    </row>
    <row r="338" customFormat="false" ht="35.05" hidden="false" customHeight="false" outlineLevel="0" collapsed="false">
      <c r="A338" s="2" t="s">
        <v>1801</v>
      </c>
      <c r="B338" s="2" t="s">
        <v>1802</v>
      </c>
      <c r="C338" s="2" t="s">
        <v>1803</v>
      </c>
      <c r="D338" s="2" t="s">
        <v>1281</v>
      </c>
      <c r="E338" s="2" t="s">
        <v>921</v>
      </c>
      <c r="F338" s="2" t="s">
        <v>42</v>
      </c>
      <c r="G338" s="2" t="s">
        <v>1804</v>
      </c>
      <c r="H338" s="2"/>
      <c r="I338" s="2" t="s">
        <v>1805</v>
      </c>
      <c r="J338" s="2" t="s">
        <v>161</v>
      </c>
      <c r="K338" s="2" t="s">
        <v>161</v>
      </c>
      <c r="L338" s="2" t="s">
        <v>1804</v>
      </c>
      <c r="M338" s="2" t="s">
        <v>161</v>
      </c>
      <c r="N338" s="2" t="s">
        <v>36</v>
      </c>
      <c r="O338" s="2" t="s">
        <v>1806</v>
      </c>
      <c r="P338" s="2" t="s">
        <v>1807</v>
      </c>
    </row>
    <row r="339" customFormat="false" ht="35.05" hidden="false" customHeight="false" outlineLevel="0" collapsed="false">
      <c r="A339" s="2" t="s">
        <v>1808</v>
      </c>
      <c r="B339" s="2" t="s">
        <v>1809</v>
      </c>
      <c r="C339" s="2" t="s">
        <v>1803</v>
      </c>
      <c r="D339" s="2" t="s">
        <v>1281</v>
      </c>
      <c r="E339" s="2" t="s">
        <v>921</v>
      </c>
      <c r="F339" s="2" t="s">
        <v>42</v>
      </c>
      <c r="G339" s="2" t="s">
        <v>1804</v>
      </c>
      <c r="H339" s="2"/>
      <c r="I339" s="2" t="s">
        <v>1805</v>
      </c>
      <c r="J339" s="2" t="s">
        <v>161</v>
      </c>
      <c r="K339" s="2" t="s">
        <v>161</v>
      </c>
      <c r="L339" s="2" t="s">
        <v>1804</v>
      </c>
      <c r="M339" s="2" t="s">
        <v>161</v>
      </c>
      <c r="N339" s="2" t="s">
        <v>36</v>
      </c>
      <c r="O339" s="2" t="s">
        <v>1810</v>
      </c>
      <c r="P339" s="2" t="s">
        <v>1811</v>
      </c>
    </row>
    <row r="340" customFormat="false" ht="46.25" hidden="false" customHeight="false" outlineLevel="0" collapsed="false">
      <c r="A340" s="2" t="s">
        <v>1812</v>
      </c>
      <c r="B340" s="2" t="s">
        <v>1813</v>
      </c>
      <c r="C340" s="2" t="s">
        <v>704</v>
      </c>
      <c r="D340" s="2" t="s">
        <v>1281</v>
      </c>
      <c r="E340" s="2" t="s">
        <v>921</v>
      </c>
      <c r="F340" s="2" t="s">
        <v>32</v>
      </c>
      <c r="G340" s="2" t="s">
        <v>1804</v>
      </c>
      <c r="H340" s="2"/>
      <c r="I340" s="2"/>
      <c r="J340" s="2" t="s">
        <v>161</v>
      </c>
      <c r="K340" s="2" t="s">
        <v>161</v>
      </c>
      <c r="L340" s="2" t="s">
        <v>1804</v>
      </c>
      <c r="M340" s="2" t="s">
        <v>206</v>
      </c>
      <c r="N340" s="2" t="s">
        <v>1297</v>
      </c>
      <c r="O340" s="2" t="s">
        <v>1814</v>
      </c>
      <c r="P340" s="2" t="s">
        <v>1815</v>
      </c>
    </row>
    <row r="341" customFormat="false" ht="46.25" hidden="false" customHeight="false" outlineLevel="0" collapsed="false">
      <c r="A341" s="2" t="s">
        <v>1816</v>
      </c>
      <c r="B341" s="2" t="s">
        <v>1817</v>
      </c>
      <c r="C341" s="2" t="s">
        <v>1394</v>
      </c>
      <c r="D341" s="2" t="s">
        <v>1281</v>
      </c>
      <c r="E341" s="2" t="s">
        <v>921</v>
      </c>
      <c r="F341" s="2" t="s">
        <v>21</v>
      </c>
      <c r="G341" s="2" t="s">
        <v>1818</v>
      </c>
      <c r="H341" s="2"/>
      <c r="I341" s="2"/>
      <c r="J341" s="2" t="s">
        <v>161</v>
      </c>
      <c r="K341" s="2" t="s">
        <v>161</v>
      </c>
      <c r="L341" s="2" t="s">
        <v>1818</v>
      </c>
      <c r="M341" s="2" t="s">
        <v>161</v>
      </c>
      <c r="N341" s="2" t="s">
        <v>1285</v>
      </c>
      <c r="O341" s="2" t="s">
        <v>1819</v>
      </c>
      <c r="P341" s="2" t="s">
        <v>1820</v>
      </c>
    </row>
    <row r="342" customFormat="false" ht="68.65" hidden="false" customHeight="false" outlineLevel="0" collapsed="false">
      <c r="A342" s="2" t="s">
        <v>1821</v>
      </c>
      <c r="B342" s="2" t="s">
        <v>1822</v>
      </c>
      <c r="C342" s="2" t="s">
        <v>1394</v>
      </c>
      <c r="D342" s="2" t="s">
        <v>1281</v>
      </c>
      <c r="E342" s="2" t="s">
        <v>1658</v>
      </c>
      <c r="F342" s="2" t="s">
        <v>21</v>
      </c>
      <c r="G342" s="2" t="s">
        <v>1823</v>
      </c>
      <c r="H342" s="2"/>
      <c r="I342" s="2"/>
      <c r="J342" s="2" t="s">
        <v>161</v>
      </c>
      <c r="K342" s="2" t="s">
        <v>161</v>
      </c>
      <c r="L342" s="2" t="s">
        <v>1824</v>
      </c>
      <c r="M342" s="2" t="s">
        <v>206</v>
      </c>
      <c r="N342" s="2" t="s">
        <v>26</v>
      </c>
      <c r="O342" s="2" t="s">
        <v>1825</v>
      </c>
      <c r="P342" s="2" t="s">
        <v>1826</v>
      </c>
    </row>
    <row r="343" customFormat="false" ht="68.65" hidden="false" customHeight="false" outlineLevel="0" collapsed="false">
      <c r="A343" s="2" t="s">
        <v>1827</v>
      </c>
      <c r="B343" s="2" t="s">
        <v>1828</v>
      </c>
      <c r="C343" s="2" t="s">
        <v>1394</v>
      </c>
      <c r="D343" s="2" t="s">
        <v>1281</v>
      </c>
      <c r="E343" s="2" t="s">
        <v>1658</v>
      </c>
      <c r="F343" s="2" t="s">
        <v>21</v>
      </c>
      <c r="G343" s="2" t="s">
        <v>1823</v>
      </c>
      <c r="H343" s="2"/>
      <c r="I343" s="2"/>
      <c r="J343" s="2" t="s">
        <v>161</v>
      </c>
      <c r="K343" s="2" t="s">
        <v>161</v>
      </c>
      <c r="L343" s="2" t="s">
        <v>1824</v>
      </c>
      <c r="M343" s="2" t="s">
        <v>206</v>
      </c>
      <c r="N343" s="2" t="s">
        <v>26</v>
      </c>
      <c r="O343" s="2" t="s">
        <v>1829</v>
      </c>
      <c r="P343" s="2" t="s">
        <v>1830</v>
      </c>
    </row>
    <row r="344" customFormat="false" ht="35.05" hidden="false" customHeight="false" outlineLevel="0" collapsed="false">
      <c r="A344" s="2" t="s">
        <v>1831</v>
      </c>
      <c r="B344" s="2" t="s">
        <v>1832</v>
      </c>
      <c r="C344" s="2" t="s">
        <v>1394</v>
      </c>
      <c r="D344" s="2" t="s">
        <v>1281</v>
      </c>
      <c r="E344" s="2" t="s">
        <v>1658</v>
      </c>
      <c r="F344" s="2" t="s">
        <v>530</v>
      </c>
      <c r="G344" s="2" t="s">
        <v>1664</v>
      </c>
      <c r="H344" s="2"/>
      <c r="I344" s="2"/>
      <c r="J344" s="2" t="s">
        <v>161</v>
      </c>
      <c r="K344" s="2" t="s">
        <v>161</v>
      </c>
      <c r="L344" s="2" t="s">
        <v>1664</v>
      </c>
      <c r="M344" s="2" t="s">
        <v>206</v>
      </c>
      <c r="N344" s="2" t="s">
        <v>26</v>
      </c>
      <c r="O344" s="2" t="s">
        <v>1833</v>
      </c>
      <c r="P344" s="2" t="s">
        <v>1834</v>
      </c>
    </row>
    <row r="345" customFormat="false" ht="35.05" hidden="false" customHeight="false" outlineLevel="0" collapsed="false">
      <c r="A345" s="2" t="s">
        <v>1835</v>
      </c>
      <c r="B345" s="2" t="s">
        <v>1836</v>
      </c>
      <c r="C345" s="2" t="s">
        <v>1394</v>
      </c>
      <c r="D345" s="2" t="s">
        <v>1281</v>
      </c>
      <c r="E345" s="2" t="s">
        <v>1658</v>
      </c>
      <c r="F345" s="2" t="s">
        <v>530</v>
      </c>
      <c r="G345" s="2" t="s">
        <v>1664</v>
      </c>
      <c r="H345" s="2"/>
      <c r="I345" s="2"/>
      <c r="J345" s="2" t="s">
        <v>161</v>
      </c>
      <c r="K345" s="2" t="s">
        <v>161</v>
      </c>
      <c r="L345" s="2" t="s">
        <v>1664</v>
      </c>
      <c r="M345" s="2" t="s">
        <v>206</v>
      </c>
      <c r="N345" s="2" t="s">
        <v>26</v>
      </c>
      <c r="O345" s="2" t="s">
        <v>1837</v>
      </c>
      <c r="P345" s="2" t="s">
        <v>1834</v>
      </c>
    </row>
    <row r="346" customFormat="false" ht="57.45" hidden="false" customHeight="false" outlineLevel="0" collapsed="false">
      <c r="A346" s="2" t="s">
        <v>1838</v>
      </c>
      <c r="B346" s="2" t="s">
        <v>1839</v>
      </c>
      <c r="C346" s="2" t="s">
        <v>704</v>
      </c>
      <c r="D346" s="2" t="s">
        <v>1281</v>
      </c>
      <c r="E346" s="2" t="s">
        <v>1658</v>
      </c>
      <c r="F346" s="2" t="s">
        <v>32</v>
      </c>
      <c r="G346" s="2" t="s">
        <v>1840</v>
      </c>
      <c r="H346" s="2" t="s">
        <v>1841</v>
      </c>
      <c r="I346" s="2"/>
      <c r="J346" s="2" t="s">
        <v>23</v>
      </c>
      <c r="K346" s="2" t="s">
        <v>35</v>
      </c>
      <c r="L346" s="2" t="s">
        <v>1840</v>
      </c>
      <c r="M346" s="2" t="s">
        <v>206</v>
      </c>
      <c r="N346" s="2" t="s">
        <v>1285</v>
      </c>
      <c r="O346" s="2" t="s">
        <v>1842</v>
      </c>
      <c r="P346" s="2" t="s">
        <v>1843</v>
      </c>
    </row>
    <row r="347" customFormat="false" ht="57.45" hidden="false" customHeight="false" outlineLevel="0" collapsed="false">
      <c r="A347" s="2" t="s">
        <v>1844</v>
      </c>
      <c r="B347" s="2" t="s">
        <v>1845</v>
      </c>
      <c r="C347" s="2" t="s">
        <v>704</v>
      </c>
      <c r="D347" s="2" t="s">
        <v>1281</v>
      </c>
      <c r="E347" s="2" t="s">
        <v>1658</v>
      </c>
      <c r="F347" s="2" t="s">
        <v>32</v>
      </c>
      <c r="G347" s="2" t="s">
        <v>1840</v>
      </c>
      <c r="H347" s="2" t="s">
        <v>1841</v>
      </c>
      <c r="I347" s="2"/>
      <c r="J347" s="2" t="s">
        <v>23</v>
      </c>
      <c r="K347" s="2" t="s">
        <v>35</v>
      </c>
      <c r="L347" s="2" t="s">
        <v>1840</v>
      </c>
      <c r="M347" s="2" t="s">
        <v>206</v>
      </c>
      <c r="N347" s="2" t="s">
        <v>1285</v>
      </c>
      <c r="O347" s="2" t="s">
        <v>1846</v>
      </c>
      <c r="P347" s="2" t="s">
        <v>1843</v>
      </c>
    </row>
    <row r="348" customFormat="false" ht="91" hidden="false" customHeight="false" outlineLevel="0" collapsed="false">
      <c r="A348" s="2" t="s">
        <v>1847</v>
      </c>
      <c r="B348" s="2" t="s">
        <v>1848</v>
      </c>
      <c r="C348" s="2" t="s">
        <v>704</v>
      </c>
      <c r="D348" s="2" t="s">
        <v>1281</v>
      </c>
      <c r="E348" s="2" t="s">
        <v>1849</v>
      </c>
      <c r="F348" s="2" t="s">
        <v>530</v>
      </c>
      <c r="G348" s="2" t="s">
        <v>1850</v>
      </c>
      <c r="H348" s="2" t="s">
        <v>727</v>
      </c>
      <c r="I348" s="2"/>
      <c r="J348" s="2" t="s">
        <v>35</v>
      </c>
      <c r="K348" s="2" t="s">
        <v>35</v>
      </c>
      <c r="L348" s="2" t="s">
        <v>1850</v>
      </c>
      <c r="M348" s="2" t="s">
        <v>206</v>
      </c>
      <c r="N348" s="2" t="s">
        <v>36</v>
      </c>
      <c r="O348" s="2" t="s">
        <v>1851</v>
      </c>
      <c r="P348" s="2" t="s">
        <v>1852</v>
      </c>
    </row>
    <row r="349" customFormat="false" ht="68.65" hidden="false" customHeight="false" outlineLevel="0" collapsed="false">
      <c r="A349" s="2" t="s">
        <v>1853</v>
      </c>
      <c r="B349" s="2" t="s">
        <v>1854</v>
      </c>
      <c r="C349" s="2" t="s">
        <v>704</v>
      </c>
      <c r="D349" s="2" t="s">
        <v>1281</v>
      </c>
      <c r="E349" s="2" t="s">
        <v>1658</v>
      </c>
      <c r="F349" s="2" t="s">
        <v>32</v>
      </c>
      <c r="G349" s="2" t="s">
        <v>1664</v>
      </c>
      <c r="H349" s="2" t="s">
        <v>1502</v>
      </c>
      <c r="I349" s="2"/>
      <c r="J349" s="2" t="s">
        <v>35</v>
      </c>
      <c r="K349" s="2" t="s">
        <v>35</v>
      </c>
      <c r="L349" s="2" t="s">
        <v>1664</v>
      </c>
      <c r="M349" s="2" t="s">
        <v>206</v>
      </c>
      <c r="N349" s="2" t="s">
        <v>36</v>
      </c>
      <c r="O349" s="2" t="s">
        <v>1855</v>
      </c>
      <c r="P349" s="2" t="s">
        <v>1856</v>
      </c>
    </row>
    <row r="350" customFormat="false" ht="57.45" hidden="false" customHeight="false" outlineLevel="0" collapsed="false">
      <c r="A350" s="2" t="s">
        <v>1857</v>
      </c>
      <c r="B350" s="2" t="s">
        <v>1858</v>
      </c>
      <c r="C350" s="2" t="s">
        <v>704</v>
      </c>
      <c r="D350" s="2" t="s">
        <v>1281</v>
      </c>
      <c r="E350" s="2" t="s">
        <v>1129</v>
      </c>
      <c r="F350" s="2" t="s">
        <v>32</v>
      </c>
      <c r="G350" s="2" t="s">
        <v>1859</v>
      </c>
      <c r="H350" s="2" t="s">
        <v>1317</v>
      </c>
      <c r="I350" s="2"/>
      <c r="J350" s="2" t="s">
        <v>35</v>
      </c>
      <c r="K350" s="2" t="s">
        <v>23</v>
      </c>
      <c r="L350" s="2" t="s">
        <v>1860</v>
      </c>
      <c r="M350" s="2" t="s">
        <v>206</v>
      </c>
      <c r="N350" s="2" t="s">
        <v>26</v>
      </c>
      <c r="O350" s="2" t="s">
        <v>1861</v>
      </c>
      <c r="P350" s="2" t="s">
        <v>1862</v>
      </c>
    </row>
    <row r="351" customFormat="false" ht="113.4" hidden="false" customHeight="false" outlineLevel="0" collapsed="false">
      <c r="A351" s="2" t="s">
        <v>1863</v>
      </c>
      <c r="B351" s="2" t="s">
        <v>1864</v>
      </c>
      <c r="C351" s="2" t="s">
        <v>704</v>
      </c>
      <c r="D351" s="2" t="s">
        <v>1281</v>
      </c>
      <c r="E351" s="2" t="s">
        <v>1129</v>
      </c>
      <c r="F351" s="2" t="s">
        <v>32</v>
      </c>
      <c r="G351" s="2" t="s">
        <v>1865</v>
      </c>
      <c r="H351" s="2" t="s">
        <v>1866</v>
      </c>
      <c r="I351" s="2" t="s">
        <v>1867</v>
      </c>
      <c r="J351" s="2" t="s">
        <v>35</v>
      </c>
      <c r="K351" s="2" t="s">
        <v>35</v>
      </c>
      <c r="L351" s="2" t="s">
        <v>1868</v>
      </c>
      <c r="M351" s="2" t="s">
        <v>206</v>
      </c>
      <c r="N351" s="2" t="s">
        <v>26</v>
      </c>
      <c r="O351" s="2" t="s">
        <v>1869</v>
      </c>
      <c r="P351" s="2" t="s">
        <v>1870</v>
      </c>
    </row>
    <row r="352" customFormat="false" ht="79.85" hidden="false" customHeight="false" outlineLevel="0" collapsed="false">
      <c r="A352" s="2" t="s">
        <v>1871</v>
      </c>
      <c r="B352" s="2" t="s">
        <v>1872</v>
      </c>
      <c r="C352" s="2" t="s">
        <v>1873</v>
      </c>
      <c r="D352" s="2" t="s">
        <v>1281</v>
      </c>
      <c r="E352" s="2" t="s">
        <v>1675</v>
      </c>
      <c r="F352" s="2" t="s">
        <v>530</v>
      </c>
      <c r="G352" s="2" t="s">
        <v>1874</v>
      </c>
      <c r="H352" s="2"/>
      <c r="I352" s="2"/>
      <c r="J352" s="2" t="s">
        <v>161</v>
      </c>
      <c r="K352" s="2" t="s">
        <v>161</v>
      </c>
      <c r="L352" s="2" t="s">
        <v>1874</v>
      </c>
      <c r="M352" s="2" t="s">
        <v>161</v>
      </c>
      <c r="N352" s="2" t="s">
        <v>36</v>
      </c>
      <c r="O352" s="2" t="s">
        <v>1875</v>
      </c>
      <c r="P352" s="2" t="s">
        <v>1876</v>
      </c>
    </row>
    <row r="353" customFormat="false" ht="68.65" hidden="false" customHeight="false" outlineLevel="0" collapsed="false">
      <c r="A353" s="2" t="s">
        <v>1877</v>
      </c>
      <c r="B353" s="2" t="s">
        <v>1878</v>
      </c>
      <c r="C353" s="2" t="s">
        <v>1873</v>
      </c>
      <c r="D353" s="2" t="s">
        <v>1281</v>
      </c>
      <c r="E353" s="2" t="s">
        <v>1879</v>
      </c>
      <c r="F353" s="2" t="s">
        <v>530</v>
      </c>
      <c r="G353" s="2" t="s">
        <v>1874</v>
      </c>
      <c r="H353" s="2"/>
      <c r="I353" s="2"/>
      <c r="J353" s="2" t="s">
        <v>161</v>
      </c>
      <c r="K353" s="2" t="s">
        <v>161</v>
      </c>
      <c r="L353" s="2" t="s">
        <v>1874</v>
      </c>
      <c r="M353" s="2" t="s">
        <v>161</v>
      </c>
      <c r="N353" s="2" t="s">
        <v>36</v>
      </c>
      <c r="O353" s="2" t="s">
        <v>1880</v>
      </c>
      <c r="P353" s="2" t="s">
        <v>1881</v>
      </c>
    </row>
    <row r="354" customFormat="false" ht="68.65" hidden="false" customHeight="false" outlineLevel="0" collapsed="false">
      <c r="A354" s="2" t="s">
        <v>1882</v>
      </c>
      <c r="B354" s="2" t="s">
        <v>1883</v>
      </c>
      <c r="C354" s="2" t="s">
        <v>704</v>
      </c>
      <c r="D354" s="2" t="s">
        <v>1281</v>
      </c>
      <c r="E354" s="2" t="s">
        <v>1884</v>
      </c>
      <c r="F354" s="2" t="s">
        <v>32</v>
      </c>
      <c r="G354" s="2" t="s">
        <v>1885</v>
      </c>
      <c r="H354" s="2" t="s">
        <v>1333</v>
      </c>
      <c r="I354" s="2"/>
      <c r="J354" s="2" t="s">
        <v>23</v>
      </c>
      <c r="K354" s="2" t="s">
        <v>35</v>
      </c>
      <c r="L354" s="2" t="s">
        <v>1886</v>
      </c>
      <c r="M354" s="2" t="s">
        <v>206</v>
      </c>
      <c r="N354" s="2" t="s">
        <v>26</v>
      </c>
      <c r="O354" s="2" t="s">
        <v>1887</v>
      </c>
      <c r="P354" s="2" t="s">
        <v>1888</v>
      </c>
    </row>
    <row r="355" customFormat="false" ht="57.45" hidden="false" customHeight="false" outlineLevel="0" collapsed="false">
      <c r="A355" s="2" t="s">
        <v>1889</v>
      </c>
      <c r="B355" s="2" t="s">
        <v>1890</v>
      </c>
      <c r="C355" s="2" t="s">
        <v>1394</v>
      </c>
      <c r="D355" s="2" t="s">
        <v>1281</v>
      </c>
      <c r="E355" s="2" t="s">
        <v>1129</v>
      </c>
      <c r="F355" s="2" t="s">
        <v>530</v>
      </c>
      <c r="G355" s="2" t="s">
        <v>1891</v>
      </c>
      <c r="H355" s="2"/>
      <c r="I355" s="2"/>
      <c r="J355" s="2" t="s">
        <v>161</v>
      </c>
      <c r="K355" s="2" t="s">
        <v>161</v>
      </c>
      <c r="L355" s="2" t="s">
        <v>1891</v>
      </c>
      <c r="M355" s="2" t="s">
        <v>206</v>
      </c>
      <c r="N355" s="2" t="s">
        <v>26</v>
      </c>
      <c r="O355" s="2" t="s">
        <v>1892</v>
      </c>
      <c r="P355" s="2" t="s">
        <v>1893</v>
      </c>
    </row>
    <row r="356" customFormat="false" ht="46.25" hidden="false" customHeight="false" outlineLevel="0" collapsed="false">
      <c r="A356" s="2" t="s">
        <v>1894</v>
      </c>
      <c r="B356" s="2" t="s">
        <v>1895</v>
      </c>
      <c r="C356" s="2" t="s">
        <v>1394</v>
      </c>
      <c r="D356" s="2" t="s">
        <v>1281</v>
      </c>
      <c r="E356" s="2" t="s">
        <v>725</v>
      </c>
      <c r="F356" s="2" t="s">
        <v>530</v>
      </c>
      <c r="G356" s="2" t="s">
        <v>1896</v>
      </c>
      <c r="H356" s="2"/>
      <c r="I356" s="2"/>
      <c r="J356" s="2" t="s">
        <v>161</v>
      </c>
      <c r="K356" s="2" t="s">
        <v>161</v>
      </c>
      <c r="L356" s="2" t="s">
        <v>1896</v>
      </c>
      <c r="M356" s="2" t="s">
        <v>206</v>
      </c>
      <c r="N356" s="2" t="s">
        <v>26</v>
      </c>
      <c r="O356" s="2" t="s">
        <v>1897</v>
      </c>
      <c r="P356" s="2" t="s">
        <v>1898</v>
      </c>
    </row>
    <row r="357" customFormat="false" ht="91" hidden="false" customHeight="false" outlineLevel="0" collapsed="false">
      <c r="A357" s="2" t="s">
        <v>1899</v>
      </c>
      <c r="B357" s="2" t="s">
        <v>1900</v>
      </c>
      <c r="C357" s="2" t="s">
        <v>31</v>
      </c>
      <c r="D357" s="2" t="s">
        <v>1281</v>
      </c>
      <c r="E357" s="2" t="s">
        <v>1282</v>
      </c>
      <c r="F357" s="2" t="s">
        <v>32</v>
      </c>
      <c r="G357" s="2" t="s">
        <v>1901</v>
      </c>
      <c r="H357" s="2" t="s">
        <v>1284</v>
      </c>
      <c r="I357" s="2" t="s">
        <v>1902</v>
      </c>
      <c r="J357" s="2" t="s">
        <v>35</v>
      </c>
      <c r="K357" s="2" t="s">
        <v>35</v>
      </c>
      <c r="L357" s="2" t="s">
        <v>1903</v>
      </c>
      <c r="M357" s="2" t="s">
        <v>25</v>
      </c>
      <c r="N357" s="2" t="s">
        <v>36</v>
      </c>
      <c r="O357" s="2" t="s">
        <v>1904</v>
      </c>
      <c r="P357" s="2" t="s">
        <v>1905</v>
      </c>
    </row>
    <row r="358" customFormat="false" ht="35.05" hidden="false" customHeight="false" outlineLevel="0" collapsed="false">
      <c r="A358" s="2" t="s">
        <v>1906</v>
      </c>
      <c r="B358" s="2" t="s">
        <v>1907</v>
      </c>
      <c r="C358" s="2" t="s">
        <v>1908</v>
      </c>
      <c r="D358" s="2" t="s">
        <v>1281</v>
      </c>
      <c r="E358" s="2" t="s">
        <v>161</v>
      </c>
      <c r="F358" s="2" t="s">
        <v>32</v>
      </c>
      <c r="G358" s="2" t="s">
        <v>1909</v>
      </c>
      <c r="H358" s="2" t="s">
        <v>1284</v>
      </c>
      <c r="I358" s="2"/>
      <c r="J358" s="2" t="s">
        <v>23</v>
      </c>
      <c r="K358" s="2" t="s">
        <v>23</v>
      </c>
      <c r="L358" s="2" t="s">
        <v>1284</v>
      </c>
      <c r="M358" s="2" t="s">
        <v>25</v>
      </c>
      <c r="N358" s="2" t="s">
        <v>1297</v>
      </c>
      <c r="O358" s="2" t="s">
        <v>1910</v>
      </c>
      <c r="P358" s="2" t="s">
        <v>1911</v>
      </c>
    </row>
    <row r="359" customFormat="false" ht="68.65" hidden="false" customHeight="false" outlineLevel="0" collapsed="false">
      <c r="A359" s="2" t="s">
        <v>1912</v>
      </c>
      <c r="B359" s="2" t="s">
        <v>1913</v>
      </c>
      <c r="C359" s="2" t="s">
        <v>1914</v>
      </c>
      <c r="D359" s="2" t="s">
        <v>1281</v>
      </c>
      <c r="E359" s="2" t="s">
        <v>1915</v>
      </c>
      <c r="F359" s="2" t="s">
        <v>32</v>
      </c>
      <c r="G359" s="2" t="s">
        <v>1916</v>
      </c>
      <c r="H359" s="2" t="s">
        <v>1284</v>
      </c>
      <c r="I359" s="2"/>
      <c r="J359" s="2" t="s">
        <v>23</v>
      </c>
      <c r="K359" s="2" t="s">
        <v>23</v>
      </c>
      <c r="L359" s="2" t="s">
        <v>1917</v>
      </c>
      <c r="M359" s="2" t="s">
        <v>206</v>
      </c>
      <c r="N359" s="2" t="s">
        <v>26</v>
      </c>
      <c r="O359" s="2" t="s">
        <v>1918</v>
      </c>
      <c r="P359" s="2" t="s">
        <v>1919</v>
      </c>
    </row>
    <row r="360" customFormat="false" ht="113.4" hidden="false" customHeight="false" outlineLevel="0" collapsed="false">
      <c r="A360" s="2" t="s">
        <v>1920</v>
      </c>
      <c r="B360" s="2" t="s">
        <v>1921</v>
      </c>
      <c r="C360" s="2" t="s">
        <v>1497</v>
      </c>
      <c r="D360" s="2" t="s">
        <v>1922</v>
      </c>
      <c r="E360" s="2" t="s">
        <v>1129</v>
      </c>
      <c r="F360" s="2" t="s">
        <v>179</v>
      </c>
      <c r="G360" s="2" t="s">
        <v>1923</v>
      </c>
      <c r="H360" s="2" t="s">
        <v>1924</v>
      </c>
      <c r="I360" s="2" t="s">
        <v>1925</v>
      </c>
      <c r="J360" s="2" t="s">
        <v>35</v>
      </c>
      <c r="K360" s="2" t="s">
        <v>35</v>
      </c>
      <c r="L360" s="2" t="s">
        <v>1926</v>
      </c>
      <c r="M360" s="2" t="s">
        <v>206</v>
      </c>
      <c r="N360" s="2" t="s">
        <v>26</v>
      </c>
      <c r="O360" s="2" t="s">
        <v>1927</v>
      </c>
      <c r="P360" s="2" t="s">
        <v>1928</v>
      </c>
    </row>
    <row r="361" customFormat="false" ht="57.45" hidden="false" customHeight="false" outlineLevel="0" collapsed="false">
      <c r="A361" s="2" t="s">
        <v>1929</v>
      </c>
      <c r="B361" s="2" t="s">
        <v>1930</v>
      </c>
      <c r="C361" s="2" t="s">
        <v>1497</v>
      </c>
      <c r="D361" s="2" t="s">
        <v>1922</v>
      </c>
      <c r="E361" s="2" t="s">
        <v>1129</v>
      </c>
      <c r="F361" s="2" t="s">
        <v>179</v>
      </c>
      <c r="G361" s="2" t="s">
        <v>1931</v>
      </c>
      <c r="H361" s="2" t="s">
        <v>1924</v>
      </c>
      <c r="I361" s="2" t="s">
        <v>1932</v>
      </c>
      <c r="J361" s="2" t="s">
        <v>35</v>
      </c>
      <c r="K361" s="2" t="s">
        <v>35</v>
      </c>
      <c r="L361" s="2" t="s">
        <v>1933</v>
      </c>
      <c r="M361" s="2" t="s">
        <v>206</v>
      </c>
      <c r="N361" s="2" t="s">
        <v>26</v>
      </c>
      <c r="O361" s="2" t="s">
        <v>1934</v>
      </c>
      <c r="P361" s="2" t="s">
        <v>1935</v>
      </c>
    </row>
    <row r="362" customFormat="false" ht="23.85" hidden="false" customHeight="false" outlineLevel="0" collapsed="false">
      <c r="A362" s="2" t="s">
        <v>1936</v>
      </c>
      <c r="B362" s="2" t="s">
        <v>1937</v>
      </c>
      <c r="C362" s="2" t="s">
        <v>1497</v>
      </c>
      <c r="D362" s="2" t="s">
        <v>1922</v>
      </c>
      <c r="E362" s="2" t="s">
        <v>1129</v>
      </c>
      <c r="F362" s="2" t="s">
        <v>21</v>
      </c>
      <c r="G362" s="2" t="s">
        <v>1938</v>
      </c>
      <c r="H362" s="2"/>
      <c r="I362" s="2"/>
      <c r="J362" s="2" t="s">
        <v>161</v>
      </c>
      <c r="K362" s="2" t="s">
        <v>161</v>
      </c>
      <c r="L362" s="2" t="s">
        <v>1938</v>
      </c>
      <c r="M362" s="2" t="s">
        <v>206</v>
      </c>
      <c r="N362" s="2" t="s">
        <v>26</v>
      </c>
      <c r="O362" s="2" t="s">
        <v>1939</v>
      </c>
      <c r="P362" s="2" t="s">
        <v>1940</v>
      </c>
    </row>
    <row r="363" customFormat="false" ht="35.05" hidden="false" customHeight="false" outlineLevel="0" collapsed="false">
      <c r="A363" s="2" t="s">
        <v>1941</v>
      </c>
      <c r="B363" s="2" t="s">
        <v>1942</v>
      </c>
      <c r="C363" s="2" t="s">
        <v>1497</v>
      </c>
      <c r="D363" s="2" t="s">
        <v>1922</v>
      </c>
      <c r="E363" s="2" t="s">
        <v>1129</v>
      </c>
      <c r="F363" s="2" t="s">
        <v>21</v>
      </c>
      <c r="G363" s="2" t="s">
        <v>1943</v>
      </c>
      <c r="H363" s="2"/>
      <c r="I363" s="2" t="s">
        <v>1944</v>
      </c>
      <c r="J363" s="2" t="s">
        <v>161</v>
      </c>
      <c r="K363" s="2" t="s">
        <v>161</v>
      </c>
      <c r="L363" s="2" t="s">
        <v>1943</v>
      </c>
      <c r="M363" s="2" t="s">
        <v>206</v>
      </c>
      <c r="N363" s="2" t="s">
        <v>26</v>
      </c>
      <c r="O363" s="2" t="s">
        <v>1945</v>
      </c>
      <c r="P363" s="2" t="s">
        <v>1946</v>
      </c>
    </row>
    <row r="364" customFormat="false" ht="23.85" hidden="false" customHeight="false" outlineLevel="0" collapsed="false">
      <c r="A364" s="2" t="s">
        <v>1947</v>
      </c>
      <c r="B364" s="2" t="s">
        <v>1948</v>
      </c>
      <c r="C364" s="2" t="s">
        <v>1497</v>
      </c>
      <c r="D364" s="2" t="s">
        <v>1922</v>
      </c>
      <c r="E364" s="2" t="s">
        <v>1129</v>
      </c>
      <c r="F364" s="2" t="s">
        <v>21</v>
      </c>
      <c r="G364" s="2" t="s">
        <v>1949</v>
      </c>
      <c r="H364" s="2"/>
      <c r="I364" s="2"/>
      <c r="J364" s="2" t="s">
        <v>161</v>
      </c>
      <c r="K364" s="2" t="s">
        <v>161</v>
      </c>
      <c r="L364" s="2" t="s">
        <v>1949</v>
      </c>
      <c r="M364" s="2" t="s">
        <v>206</v>
      </c>
      <c r="N364" s="2" t="s">
        <v>26</v>
      </c>
      <c r="O364" s="2" t="s">
        <v>1950</v>
      </c>
      <c r="P364" s="2" t="s">
        <v>1951</v>
      </c>
    </row>
    <row r="365" customFormat="false" ht="23.85" hidden="false" customHeight="false" outlineLevel="0" collapsed="false">
      <c r="A365" s="2" t="s">
        <v>1952</v>
      </c>
      <c r="B365" s="2" t="s">
        <v>1953</v>
      </c>
      <c r="C365" s="2" t="s">
        <v>1497</v>
      </c>
      <c r="D365" s="2" t="s">
        <v>1922</v>
      </c>
      <c r="E365" s="2" t="s">
        <v>1129</v>
      </c>
      <c r="F365" s="2" t="s">
        <v>21</v>
      </c>
      <c r="G365" s="2" t="s">
        <v>1949</v>
      </c>
      <c r="H365" s="2"/>
      <c r="I365" s="2"/>
      <c r="J365" s="2" t="s">
        <v>161</v>
      </c>
      <c r="K365" s="2" t="s">
        <v>161</v>
      </c>
      <c r="L365" s="2" t="s">
        <v>1949</v>
      </c>
      <c r="M365" s="2" t="s">
        <v>206</v>
      </c>
      <c r="N365" s="2" t="s">
        <v>26</v>
      </c>
      <c r="O365" s="2" t="s">
        <v>1950</v>
      </c>
      <c r="P365" s="2" t="s">
        <v>1954</v>
      </c>
    </row>
    <row r="366" customFormat="false" ht="46.25" hidden="false" customHeight="false" outlineLevel="0" collapsed="false">
      <c r="A366" s="2" t="s">
        <v>1955</v>
      </c>
      <c r="B366" s="2" t="s">
        <v>1956</v>
      </c>
      <c r="C366" s="2" t="s">
        <v>1497</v>
      </c>
      <c r="D366" s="2" t="s">
        <v>1922</v>
      </c>
      <c r="E366" s="2" t="s">
        <v>1129</v>
      </c>
      <c r="F366" s="2" t="s">
        <v>21</v>
      </c>
      <c r="G366" s="2" t="s">
        <v>1949</v>
      </c>
      <c r="H366" s="2"/>
      <c r="I366" s="2" t="s">
        <v>1957</v>
      </c>
      <c r="J366" s="2" t="s">
        <v>161</v>
      </c>
      <c r="K366" s="2" t="s">
        <v>161</v>
      </c>
      <c r="L366" s="2" t="s">
        <v>1949</v>
      </c>
      <c r="M366" s="2" t="s">
        <v>206</v>
      </c>
      <c r="N366" s="2" t="s">
        <v>26</v>
      </c>
      <c r="O366" s="2" t="s">
        <v>1958</v>
      </c>
      <c r="P366" s="2" t="s">
        <v>1959</v>
      </c>
    </row>
    <row r="367" customFormat="false" ht="46.25" hidden="false" customHeight="false" outlineLevel="0" collapsed="false">
      <c r="A367" s="2" t="s">
        <v>1960</v>
      </c>
      <c r="B367" s="2" t="s">
        <v>1961</v>
      </c>
      <c r="C367" s="2" t="s">
        <v>1497</v>
      </c>
      <c r="D367" s="2" t="s">
        <v>1922</v>
      </c>
      <c r="E367" s="2" t="s">
        <v>1129</v>
      </c>
      <c r="F367" s="2" t="s">
        <v>1168</v>
      </c>
      <c r="G367" s="2" t="s">
        <v>1943</v>
      </c>
      <c r="H367" s="2" t="s">
        <v>1962</v>
      </c>
      <c r="I367" s="2" t="s">
        <v>1963</v>
      </c>
      <c r="J367" s="2" t="s">
        <v>35</v>
      </c>
      <c r="K367" s="2" t="s">
        <v>35</v>
      </c>
      <c r="L367" s="2" t="s">
        <v>1964</v>
      </c>
      <c r="M367" s="2" t="s">
        <v>206</v>
      </c>
      <c r="N367" s="2" t="s">
        <v>26</v>
      </c>
      <c r="O367" s="2" t="s">
        <v>1965</v>
      </c>
      <c r="P367" s="2" t="s">
        <v>1966</v>
      </c>
    </row>
    <row r="368" customFormat="false" ht="57.45" hidden="false" customHeight="false" outlineLevel="0" collapsed="false">
      <c r="A368" s="2" t="s">
        <v>1967</v>
      </c>
      <c r="B368" s="2" t="s">
        <v>1968</v>
      </c>
      <c r="C368" s="2" t="s">
        <v>1497</v>
      </c>
      <c r="D368" s="2" t="s">
        <v>1922</v>
      </c>
      <c r="E368" s="2" t="s">
        <v>1129</v>
      </c>
      <c r="F368" s="2" t="s">
        <v>1168</v>
      </c>
      <c r="G368" s="2" t="s">
        <v>1949</v>
      </c>
      <c r="H368" s="2" t="s">
        <v>1969</v>
      </c>
      <c r="I368" s="2" t="s">
        <v>1970</v>
      </c>
      <c r="J368" s="2" t="s">
        <v>35</v>
      </c>
      <c r="K368" s="2" t="s">
        <v>35</v>
      </c>
      <c r="L368" s="2" t="s">
        <v>1971</v>
      </c>
      <c r="M368" s="2" t="s">
        <v>206</v>
      </c>
      <c r="N368" s="2" t="s">
        <v>36</v>
      </c>
      <c r="O368" s="2" t="s">
        <v>1972</v>
      </c>
      <c r="P368" s="2" t="s">
        <v>1973</v>
      </c>
    </row>
    <row r="369" customFormat="false" ht="79.85" hidden="false" customHeight="false" outlineLevel="0" collapsed="false">
      <c r="A369" s="2" t="s">
        <v>1974</v>
      </c>
      <c r="B369" s="2" t="s">
        <v>1975</v>
      </c>
      <c r="C369" s="2" t="s">
        <v>1497</v>
      </c>
      <c r="D369" s="2" t="s">
        <v>1922</v>
      </c>
      <c r="E369" s="2" t="s">
        <v>1129</v>
      </c>
      <c r="F369" s="2" t="s">
        <v>1168</v>
      </c>
      <c r="G369" s="2" t="s">
        <v>1949</v>
      </c>
      <c r="H369" s="2" t="s">
        <v>1969</v>
      </c>
      <c r="I369" s="2" t="s">
        <v>1976</v>
      </c>
      <c r="J369" s="2" t="s">
        <v>35</v>
      </c>
      <c r="K369" s="2" t="s">
        <v>35</v>
      </c>
      <c r="L369" s="2" t="s">
        <v>1971</v>
      </c>
      <c r="M369" s="2" t="s">
        <v>206</v>
      </c>
      <c r="N369" s="2" t="s">
        <v>36</v>
      </c>
      <c r="O369" s="2" t="s">
        <v>1972</v>
      </c>
      <c r="P369" s="2" t="s">
        <v>1977</v>
      </c>
    </row>
    <row r="370" customFormat="false" ht="57.45" hidden="false" customHeight="false" outlineLevel="0" collapsed="false">
      <c r="A370" s="2" t="s">
        <v>1978</v>
      </c>
      <c r="B370" s="2" t="s">
        <v>1979</v>
      </c>
      <c r="C370" s="2" t="s">
        <v>1497</v>
      </c>
      <c r="D370" s="2" t="s">
        <v>1922</v>
      </c>
      <c r="E370" s="2" t="s">
        <v>1129</v>
      </c>
      <c r="F370" s="2" t="s">
        <v>1168</v>
      </c>
      <c r="G370" s="2" t="s">
        <v>1949</v>
      </c>
      <c r="H370" s="2" t="s">
        <v>1969</v>
      </c>
      <c r="I370" s="2" t="s">
        <v>1976</v>
      </c>
      <c r="J370" s="2" t="s">
        <v>35</v>
      </c>
      <c r="K370" s="2" t="s">
        <v>35</v>
      </c>
      <c r="L370" s="2" t="s">
        <v>1971</v>
      </c>
      <c r="M370" s="2" t="s">
        <v>206</v>
      </c>
      <c r="N370" s="2" t="s">
        <v>36</v>
      </c>
      <c r="O370" s="2" t="s">
        <v>1972</v>
      </c>
      <c r="P370" s="2" t="s">
        <v>1980</v>
      </c>
    </row>
    <row r="371" customFormat="false" ht="35.05" hidden="false" customHeight="false" outlineLevel="0" collapsed="false">
      <c r="A371" s="2" t="s">
        <v>1981</v>
      </c>
      <c r="B371" s="2" t="s">
        <v>1982</v>
      </c>
      <c r="C371" s="2" t="s">
        <v>1497</v>
      </c>
      <c r="D371" s="2" t="s">
        <v>1922</v>
      </c>
      <c r="E371" s="2" t="s">
        <v>1385</v>
      </c>
      <c r="F371" s="2" t="s">
        <v>1168</v>
      </c>
      <c r="G371" s="2" t="s">
        <v>1983</v>
      </c>
      <c r="H371" s="2" t="s">
        <v>1984</v>
      </c>
      <c r="I371" s="2"/>
      <c r="J371" s="2" t="s">
        <v>23</v>
      </c>
      <c r="K371" s="2" t="s">
        <v>23</v>
      </c>
      <c r="L371" s="2" t="s">
        <v>1985</v>
      </c>
      <c r="M371" s="2" t="s">
        <v>75</v>
      </c>
      <c r="N371" s="2" t="s">
        <v>26</v>
      </c>
      <c r="O371" s="2" t="s">
        <v>1986</v>
      </c>
      <c r="P371" s="2" t="s">
        <v>1987</v>
      </c>
    </row>
    <row r="372" customFormat="false" ht="35.05" hidden="false" customHeight="false" outlineLevel="0" collapsed="false">
      <c r="A372" s="2" t="s">
        <v>1988</v>
      </c>
      <c r="B372" s="2" t="s">
        <v>1989</v>
      </c>
      <c r="C372" s="2" t="s">
        <v>1497</v>
      </c>
      <c r="D372" s="2" t="s">
        <v>1922</v>
      </c>
      <c r="E372" s="2" t="s">
        <v>1385</v>
      </c>
      <c r="F372" s="2" t="s">
        <v>1168</v>
      </c>
      <c r="G372" s="2" t="s">
        <v>1983</v>
      </c>
      <c r="H372" s="2" t="s">
        <v>1984</v>
      </c>
      <c r="I372" s="2"/>
      <c r="J372" s="2" t="s">
        <v>23</v>
      </c>
      <c r="K372" s="2" t="s">
        <v>23</v>
      </c>
      <c r="L372" s="2" t="s">
        <v>1985</v>
      </c>
      <c r="M372" s="2" t="s">
        <v>75</v>
      </c>
      <c r="N372" s="2" t="s">
        <v>26</v>
      </c>
      <c r="O372" s="2" t="s">
        <v>1986</v>
      </c>
      <c r="P372" s="2" t="s">
        <v>1987</v>
      </c>
    </row>
    <row r="373" customFormat="false" ht="46.25" hidden="false" customHeight="false" outlineLevel="0" collapsed="false">
      <c r="A373" s="2" t="s">
        <v>1990</v>
      </c>
      <c r="B373" s="2" t="s">
        <v>1991</v>
      </c>
      <c r="C373" s="2" t="s">
        <v>1497</v>
      </c>
      <c r="D373" s="2" t="s">
        <v>1922</v>
      </c>
      <c r="E373" s="2" t="s">
        <v>1385</v>
      </c>
      <c r="F373" s="2" t="s">
        <v>32</v>
      </c>
      <c r="G373" s="2" t="s">
        <v>1983</v>
      </c>
      <c r="H373" s="2" t="s">
        <v>1984</v>
      </c>
      <c r="I373" s="2"/>
      <c r="J373" s="2" t="s">
        <v>161</v>
      </c>
      <c r="K373" s="2" t="s">
        <v>161</v>
      </c>
      <c r="L373" s="2" t="s">
        <v>1985</v>
      </c>
      <c r="M373" s="2" t="s">
        <v>75</v>
      </c>
      <c r="N373" s="2" t="s">
        <v>26</v>
      </c>
      <c r="O373" s="2" t="s">
        <v>1986</v>
      </c>
      <c r="P373" s="2" t="s">
        <v>1992</v>
      </c>
    </row>
    <row r="374" customFormat="false" ht="46.25" hidden="false" customHeight="false" outlineLevel="0" collapsed="false">
      <c r="A374" s="2" t="s">
        <v>1993</v>
      </c>
      <c r="B374" s="2" t="s">
        <v>1994</v>
      </c>
      <c r="C374" s="2" t="s">
        <v>1497</v>
      </c>
      <c r="D374" s="2" t="s">
        <v>1922</v>
      </c>
      <c r="E374" s="2" t="s">
        <v>1995</v>
      </c>
      <c r="F374" s="2" t="s">
        <v>21</v>
      </c>
      <c r="G374" s="2" t="s">
        <v>1983</v>
      </c>
      <c r="H374" s="2" t="s">
        <v>1984</v>
      </c>
      <c r="I374" s="2"/>
      <c r="J374" s="2" t="s">
        <v>161</v>
      </c>
      <c r="K374" s="2" t="s">
        <v>161</v>
      </c>
      <c r="L374" s="2" t="s">
        <v>1985</v>
      </c>
      <c r="M374" s="2" t="s">
        <v>206</v>
      </c>
      <c r="N374" s="2" t="s">
        <v>26</v>
      </c>
      <c r="O374" s="2" t="s">
        <v>1986</v>
      </c>
      <c r="P374" s="2" t="s">
        <v>1996</v>
      </c>
    </row>
    <row r="375" customFormat="false" ht="46.25" hidden="false" customHeight="false" outlineLevel="0" collapsed="false">
      <c r="A375" s="2" t="s">
        <v>1997</v>
      </c>
      <c r="B375" s="2" t="s">
        <v>1998</v>
      </c>
      <c r="C375" s="2" t="s">
        <v>1497</v>
      </c>
      <c r="D375" s="2" t="s">
        <v>1922</v>
      </c>
      <c r="E375" s="2" t="s">
        <v>1995</v>
      </c>
      <c r="F375" s="2" t="s">
        <v>21</v>
      </c>
      <c r="G375" s="2" t="s">
        <v>1983</v>
      </c>
      <c r="H375" s="2" t="s">
        <v>1984</v>
      </c>
      <c r="I375" s="2"/>
      <c r="J375" s="2" t="s">
        <v>161</v>
      </c>
      <c r="K375" s="2" t="s">
        <v>161</v>
      </c>
      <c r="L375" s="2" t="s">
        <v>1985</v>
      </c>
      <c r="M375" s="2" t="s">
        <v>206</v>
      </c>
      <c r="N375" s="2" t="s">
        <v>26</v>
      </c>
      <c r="O375" s="2" t="s">
        <v>1986</v>
      </c>
      <c r="P375" s="2" t="s">
        <v>1999</v>
      </c>
    </row>
    <row r="376" customFormat="false" ht="91" hidden="false" customHeight="false" outlineLevel="0" collapsed="false">
      <c r="A376" s="2" t="s">
        <v>2000</v>
      </c>
      <c r="B376" s="2" t="s">
        <v>2001</v>
      </c>
      <c r="C376" s="2" t="s">
        <v>1497</v>
      </c>
      <c r="D376" s="2" t="s">
        <v>1922</v>
      </c>
      <c r="E376" s="2" t="s">
        <v>549</v>
      </c>
      <c r="F376" s="2" t="s">
        <v>179</v>
      </c>
      <c r="G376" s="2" t="s">
        <v>2002</v>
      </c>
      <c r="H376" s="2" t="s">
        <v>1924</v>
      </c>
      <c r="I376" s="2"/>
      <c r="J376" s="2" t="s">
        <v>35</v>
      </c>
      <c r="K376" s="2" t="s">
        <v>35</v>
      </c>
      <c r="L376" s="2" t="s">
        <v>2003</v>
      </c>
      <c r="M376" s="2" t="s">
        <v>206</v>
      </c>
      <c r="N376" s="2" t="s">
        <v>36</v>
      </c>
      <c r="O376" s="2" t="s">
        <v>2004</v>
      </c>
      <c r="P376" s="2" t="s">
        <v>2005</v>
      </c>
    </row>
    <row r="377" customFormat="false" ht="68.65" hidden="false" customHeight="false" outlineLevel="0" collapsed="false">
      <c r="A377" s="2" t="s">
        <v>2006</v>
      </c>
      <c r="B377" s="2" t="s">
        <v>2007</v>
      </c>
      <c r="C377" s="2" t="s">
        <v>31</v>
      </c>
      <c r="D377" s="2" t="s">
        <v>1922</v>
      </c>
      <c r="E377" s="2" t="s">
        <v>549</v>
      </c>
      <c r="F377" s="2" t="s">
        <v>179</v>
      </c>
      <c r="G377" s="2" t="s">
        <v>2008</v>
      </c>
      <c r="H377" s="2" t="s">
        <v>2009</v>
      </c>
      <c r="I377" s="2"/>
      <c r="J377" s="2" t="s">
        <v>35</v>
      </c>
      <c r="K377" s="2" t="s">
        <v>23</v>
      </c>
      <c r="L377" s="2" t="s">
        <v>2010</v>
      </c>
      <c r="M377" s="2" t="s">
        <v>206</v>
      </c>
      <c r="N377" s="2" t="s">
        <v>36</v>
      </c>
      <c r="O377" s="2" t="s">
        <v>2011</v>
      </c>
      <c r="P377" s="2" t="s">
        <v>2012</v>
      </c>
    </row>
    <row r="378" customFormat="false" ht="35.05" hidden="false" customHeight="false" outlineLevel="0" collapsed="false">
      <c r="A378" s="2" t="s">
        <v>2013</v>
      </c>
      <c r="B378" s="2" t="s">
        <v>2014</v>
      </c>
      <c r="C378" s="2" t="s">
        <v>1497</v>
      </c>
      <c r="D378" s="2" t="s">
        <v>1922</v>
      </c>
      <c r="E378" s="2" t="s">
        <v>1129</v>
      </c>
      <c r="F378" s="2" t="s">
        <v>42</v>
      </c>
      <c r="G378" s="2" t="s">
        <v>2015</v>
      </c>
      <c r="H378" s="2"/>
      <c r="I378" s="2" t="s">
        <v>2016</v>
      </c>
      <c r="J378" s="2" t="s">
        <v>35</v>
      </c>
      <c r="K378" s="2" t="s">
        <v>23</v>
      </c>
      <c r="L378" s="2" t="s">
        <v>2015</v>
      </c>
      <c r="M378" s="2" t="s">
        <v>206</v>
      </c>
      <c r="N378" s="2" t="s">
        <v>26</v>
      </c>
      <c r="O378" s="2" t="s">
        <v>2017</v>
      </c>
      <c r="P378" s="2" t="s">
        <v>2018</v>
      </c>
    </row>
    <row r="379" customFormat="false" ht="91" hidden="false" customHeight="false" outlineLevel="0" collapsed="false">
      <c r="A379" s="2" t="s">
        <v>2019</v>
      </c>
      <c r="B379" s="2" t="s">
        <v>2020</v>
      </c>
      <c r="C379" s="2" t="s">
        <v>1497</v>
      </c>
      <c r="D379" s="2" t="s">
        <v>1922</v>
      </c>
      <c r="E379" s="2" t="s">
        <v>798</v>
      </c>
      <c r="F379" s="2" t="s">
        <v>179</v>
      </c>
      <c r="G379" s="2" t="s">
        <v>2021</v>
      </c>
      <c r="H379" s="2" t="s">
        <v>1924</v>
      </c>
      <c r="I379" s="2"/>
      <c r="J379" s="2" t="s">
        <v>35</v>
      </c>
      <c r="K379" s="2" t="s">
        <v>35</v>
      </c>
      <c r="L379" s="2" t="s">
        <v>2022</v>
      </c>
      <c r="M379" s="2" t="s">
        <v>206</v>
      </c>
      <c r="N379" s="2" t="s">
        <v>36</v>
      </c>
      <c r="O379" s="2" t="s">
        <v>2023</v>
      </c>
      <c r="P379" s="2" t="s">
        <v>2024</v>
      </c>
    </row>
    <row r="380" customFormat="false" ht="57.45" hidden="false" customHeight="false" outlineLevel="0" collapsed="false">
      <c r="A380" s="2" t="s">
        <v>2025</v>
      </c>
      <c r="B380" s="2" t="s">
        <v>2026</v>
      </c>
      <c r="C380" s="2" t="s">
        <v>1497</v>
      </c>
      <c r="D380" s="2" t="s">
        <v>1922</v>
      </c>
      <c r="E380" s="2" t="s">
        <v>798</v>
      </c>
      <c r="F380" s="2" t="s">
        <v>179</v>
      </c>
      <c r="G380" s="2" t="s">
        <v>2021</v>
      </c>
      <c r="H380" s="2" t="s">
        <v>1924</v>
      </c>
      <c r="I380" s="2"/>
      <c r="J380" s="2" t="s">
        <v>35</v>
      </c>
      <c r="K380" s="2" t="s">
        <v>35</v>
      </c>
      <c r="L380" s="2" t="s">
        <v>2022</v>
      </c>
      <c r="M380" s="2" t="s">
        <v>206</v>
      </c>
      <c r="N380" s="2" t="s">
        <v>36</v>
      </c>
      <c r="O380" s="2" t="s">
        <v>2027</v>
      </c>
      <c r="P380" s="2" t="s">
        <v>2028</v>
      </c>
    </row>
    <row r="381" customFormat="false" ht="57.45" hidden="false" customHeight="false" outlineLevel="0" collapsed="false">
      <c r="A381" s="2" t="s">
        <v>2029</v>
      </c>
      <c r="B381" s="2" t="s">
        <v>2030</v>
      </c>
      <c r="C381" s="2" t="s">
        <v>1497</v>
      </c>
      <c r="D381" s="2" t="s">
        <v>1922</v>
      </c>
      <c r="E381" s="2" t="s">
        <v>798</v>
      </c>
      <c r="F381" s="2" t="s">
        <v>179</v>
      </c>
      <c r="G381" s="2" t="s">
        <v>2031</v>
      </c>
      <c r="H381" s="2" t="s">
        <v>2032</v>
      </c>
      <c r="I381" s="2"/>
      <c r="J381" s="2" t="s">
        <v>35</v>
      </c>
      <c r="K381" s="2" t="s">
        <v>35</v>
      </c>
      <c r="L381" s="2" t="s">
        <v>2033</v>
      </c>
      <c r="M381" s="2" t="s">
        <v>206</v>
      </c>
      <c r="N381" s="2" t="s">
        <v>26</v>
      </c>
      <c r="O381" s="2" t="s">
        <v>2034</v>
      </c>
      <c r="P381" s="2" t="s">
        <v>2035</v>
      </c>
    </row>
    <row r="382" customFormat="false" ht="57.45" hidden="false" customHeight="false" outlineLevel="0" collapsed="false">
      <c r="A382" s="2" t="s">
        <v>2036</v>
      </c>
      <c r="B382" s="2" t="s">
        <v>2037</v>
      </c>
      <c r="C382" s="2" t="s">
        <v>1497</v>
      </c>
      <c r="D382" s="2" t="s">
        <v>1922</v>
      </c>
      <c r="E382" s="2" t="s">
        <v>798</v>
      </c>
      <c r="F382" s="2" t="s">
        <v>179</v>
      </c>
      <c r="G382" s="2" t="s">
        <v>2038</v>
      </c>
      <c r="H382" s="2" t="s">
        <v>2039</v>
      </c>
      <c r="I382" s="2"/>
      <c r="J382" s="2" t="s">
        <v>35</v>
      </c>
      <c r="K382" s="2" t="s">
        <v>23</v>
      </c>
      <c r="L382" s="2" t="s">
        <v>2040</v>
      </c>
      <c r="M382" s="2" t="s">
        <v>206</v>
      </c>
      <c r="N382" s="2" t="s">
        <v>36</v>
      </c>
      <c r="O382" s="2" t="s">
        <v>2041</v>
      </c>
      <c r="P382" s="2" t="s">
        <v>2042</v>
      </c>
    </row>
    <row r="383" customFormat="false" ht="57.45" hidden="false" customHeight="false" outlineLevel="0" collapsed="false">
      <c r="A383" s="2" t="s">
        <v>2043</v>
      </c>
      <c r="B383" s="2" t="s">
        <v>2044</v>
      </c>
      <c r="C383" s="2" t="s">
        <v>1497</v>
      </c>
      <c r="D383" s="2" t="s">
        <v>1922</v>
      </c>
      <c r="E383" s="2" t="s">
        <v>798</v>
      </c>
      <c r="F383" s="2" t="s">
        <v>179</v>
      </c>
      <c r="G383" s="2" t="s">
        <v>2038</v>
      </c>
      <c r="H383" s="2" t="s">
        <v>2009</v>
      </c>
      <c r="I383" s="2"/>
      <c r="J383" s="2" t="s">
        <v>35</v>
      </c>
      <c r="K383" s="2" t="s">
        <v>23</v>
      </c>
      <c r="L383" s="2" t="s">
        <v>2045</v>
      </c>
      <c r="M383" s="2" t="s">
        <v>206</v>
      </c>
      <c r="N383" s="2" t="s">
        <v>36</v>
      </c>
      <c r="O383" s="2" t="s">
        <v>2046</v>
      </c>
      <c r="P383" s="2" t="s">
        <v>2047</v>
      </c>
    </row>
    <row r="384" customFormat="false" ht="57.45" hidden="false" customHeight="false" outlineLevel="0" collapsed="false">
      <c r="A384" s="2" t="s">
        <v>2048</v>
      </c>
      <c r="B384" s="2" t="s">
        <v>2049</v>
      </c>
      <c r="C384" s="2" t="s">
        <v>1497</v>
      </c>
      <c r="D384" s="2" t="s">
        <v>1922</v>
      </c>
      <c r="E384" s="2" t="s">
        <v>2050</v>
      </c>
      <c r="F384" s="2" t="s">
        <v>179</v>
      </c>
      <c r="G384" s="2" t="s">
        <v>2051</v>
      </c>
      <c r="H384" s="2" t="s">
        <v>1924</v>
      </c>
      <c r="I384" s="2"/>
      <c r="J384" s="2" t="s">
        <v>35</v>
      </c>
      <c r="K384" s="2" t="s">
        <v>35</v>
      </c>
      <c r="L384" s="2" t="s">
        <v>2052</v>
      </c>
      <c r="M384" s="2" t="s">
        <v>206</v>
      </c>
      <c r="N384" s="2" t="s">
        <v>36</v>
      </c>
      <c r="O384" s="2" t="s">
        <v>2053</v>
      </c>
      <c r="P384" s="2" t="s">
        <v>2054</v>
      </c>
    </row>
    <row r="385" customFormat="false" ht="57.45" hidden="false" customHeight="false" outlineLevel="0" collapsed="false">
      <c r="A385" s="2" t="s">
        <v>2055</v>
      </c>
      <c r="B385" s="2" t="s">
        <v>2056</v>
      </c>
      <c r="C385" s="2" t="s">
        <v>1497</v>
      </c>
      <c r="D385" s="2" t="s">
        <v>1922</v>
      </c>
      <c r="E385" s="2" t="s">
        <v>2050</v>
      </c>
      <c r="F385" s="2" t="s">
        <v>179</v>
      </c>
      <c r="G385" s="2" t="s">
        <v>2057</v>
      </c>
      <c r="H385" s="2" t="s">
        <v>2058</v>
      </c>
      <c r="I385" s="2" t="s">
        <v>2059</v>
      </c>
      <c r="J385" s="2" t="s">
        <v>35</v>
      </c>
      <c r="K385" s="2" t="s">
        <v>23</v>
      </c>
      <c r="L385" s="2" t="s">
        <v>2060</v>
      </c>
      <c r="M385" s="2" t="s">
        <v>206</v>
      </c>
      <c r="N385" s="2" t="s">
        <v>36</v>
      </c>
      <c r="O385" s="2" t="s">
        <v>2061</v>
      </c>
      <c r="P385" s="2" t="s">
        <v>2062</v>
      </c>
    </row>
    <row r="386" customFormat="false" ht="23.85" hidden="false" customHeight="false" outlineLevel="0" collapsed="false">
      <c r="A386" s="2" t="s">
        <v>2063</v>
      </c>
      <c r="B386" s="2" t="s">
        <v>2064</v>
      </c>
      <c r="C386" s="2" t="s">
        <v>1497</v>
      </c>
      <c r="D386" s="2" t="s">
        <v>1922</v>
      </c>
      <c r="E386" s="2" t="s">
        <v>2050</v>
      </c>
      <c r="F386" s="2" t="s">
        <v>179</v>
      </c>
      <c r="G386" s="2" t="s">
        <v>2057</v>
      </c>
      <c r="H386" s="2"/>
      <c r="I386" s="2"/>
      <c r="J386" s="2" t="s">
        <v>161</v>
      </c>
      <c r="K386" s="2" t="s">
        <v>161</v>
      </c>
      <c r="L386" s="2" t="s">
        <v>2057</v>
      </c>
      <c r="M386" s="2" t="s">
        <v>206</v>
      </c>
      <c r="N386" s="2" t="s">
        <v>26</v>
      </c>
      <c r="O386" s="2" t="s">
        <v>2065</v>
      </c>
      <c r="P386" s="2" t="s">
        <v>2066</v>
      </c>
    </row>
    <row r="387" customFormat="false" ht="57.45" hidden="false" customHeight="false" outlineLevel="0" collapsed="false">
      <c r="A387" s="2" t="s">
        <v>2067</v>
      </c>
      <c r="B387" s="2" t="s">
        <v>2068</v>
      </c>
      <c r="C387" s="2" t="s">
        <v>1497</v>
      </c>
      <c r="D387" s="2" t="s">
        <v>1922</v>
      </c>
      <c r="E387" s="2" t="s">
        <v>2069</v>
      </c>
      <c r="F387" s="2" t="s">
        <v>179</v>
      </c>
      <c r="G387" s="2" t="s">
        <v>2057</v>
      </c>
      <c r="H387" s="2" t="s">
        <v>1924</v>
      </c>
      <c r="I387" s="2"/>
      <c r="J387" s="2" t="s">
        <v>35</v>
      </c>
      <c r="K387" s="2" t="s">
        <v>35</v>
      </c>
      <c r="L387" s="2" t="s">
        <v>2070</v>
      </c>
      <c r="M387" s="2" t="s">
        <v>206</v>
      </c>
      <c r="N387" s="2" t="s">
        <v>36</v>
      </c>
      <c r="O387" s="2" t="s">
        <v>2071</v>
      </c>
      <c r="P387" s="2" t="s">
        <v>2072</v>
      </c>
    </row>
    <row r="388" customFormat="false" ht="46.25" hidden="false" customHeight="false" outlineLevel="0" collapsed="false">
      <c r="A388" s="2" t="s">
        <v>2073</v>
      </c>
      <c r="B388" s="2" t="s">
        <v>2074</v>
      </c>
      <c r="C388" s="2" t="s">
        <v>2075</v>
      </c>
      <c r="D388" s="2" t="s">
        <v>1922</v>
      </c>
      <c r="E388" s="2" t="s">
        <v>2069</v>
      </c>
      <c r="F388" s="2" t="s">
        <v>32</v>
      </c>
      <c r="G388" s="2" t="s">
        <v>2057</v>
      </c>
      <c r="H388" s="2"/>
      <c r="I388" s="2"/>
      <c r="J388" s="2" t="s">
        <v>161</v>
      </c>
      <c r="K388" s="2" t="s">
        <v>161</v>
      </c>
      <c r="L388" s="2" t="s">
        <v>2057</v>
      </c>
      <c r="M388" s="2" t="s">
        <v>161</v>
      </c>
      <c r="N388" s="2" t="s">
        <v>36</v>
      </c>
      <c r="O388" s="2" t="s">
        <v>2071</v>
      </c>
      <c r="P388" s="2" t="s">
        <v>2076</v>
      </c>
    </row>
    <row r="389" customFormat="false" ht="57.45" hidden="false" customHeight="false" outlineLevel="0" collapsed="false">
      <c r="A389" s="2" t="s">
        <v>2077</v>
      </c>
      <c r="B389" s="2" t="s">
        <v>2078</v>
      </c>
      <c r="C389" s="2" t="s">
        <v>1497</v>
      </c>
      <c r="D389" s="2" t="s">
        <v>1922</v>
      </c>
      <c r="E389" s="2" t="s">
        <v>2079</v>
      </c>
      <c r="F389" s="2" t="s">
        <v>179</v>
      </c>
      <c r="G389" s="2" t="s">
        <v>2057</v>
      </c>
      <c r="H389" s="2" t="s">
        <v>1924</v>
      </c>
      <c r="I389" s="2"/>
      <c r="J389" s="2" t="s">
        <v>35</v>
      </c>
      <c r="K389" s="2" t="s">
        <v>35</v>
      </c>
      <c r="L389" s="2" t="s">
        <v>2070</v>
      </c>
      <c r="M389" s="2" t="s">
        <v>206</v>
      </c>
      <c r="N389" s="2" t="s">
        <v>26</v>
      </c>
      <c r="O389" s="2" t="s">
        <v>2080</v>
      </c>
      <c r="P389" s="2" t="s">
        <v>2081</v>
      </c>
    </row>
    <row r="390" customFormat="false" ht="23.85" hidden="false" customHeight="false" outlineLevel="0" collapsed="false">
      <c r="A390" s="2" t="s">
        <v>2082</v>
      </c>
      <c r="B390" s="2" t="s">
        <v>2083</v>
      </c>
      <c r="C390" s="2" t="s">
        <v>1497</v>
      </c>
      <c r="D390" s="2" t="s">
        <v>1922</v>
      </c>
      <c r="E390" s="2" t="s">
        <v>2079</v>
      </c>
      <c r="F390" s="2" t="s">
        <v>21</v>
      </c>
      <c r="G390" s="2" t="s">
        <v>2057</v>
      </c>
      <c r="H390" s="2"/>
      <c r="I390" s="2"/>
      <c r="J390" s="2" t="s">
        <v>161</v>
      </c>
      <c r="K390" s="2" t="s">
        <v>161</v>
      </c>
      <c r="L390" s="2" t="s">
        <v>2057</v>
      </c>
      <c r="M390" s="2" t="s">
        <v>161</v>
      </c>
      <c r="N390" s="2" t="s">
        <v>26</v>
      </c>
      <c r="O390" s="2" t="s">
        <v>2080</v>
      </c>
      <c r="P390" s="2" t="s">
        <v>2084</v>
      </c>
    </row>
    <row r="391" customFormat="false" ht="57.45" hidden="false" customHeight="false" outlineLevel="0" collapsed="false">
      <c r="A391" s="2" t="s">
        <v>2085</v>
      </c>
      <c r="B391" s="2" t="s">
        <v>2086</v>
      </c>
      <c r="C391" s="2" t="s">
        <v>1497</v>
      </c>
      <c r="D391" s="2" t="s">
        <v>1922</v>
      </c>
      <c r="E391" s="2" t="s">
        <v>2087</v>
      </c>
      <c r="F391" s="2" t="s">
        <v>179</v>
      </c>
      <c r="G391" s="2" t="s">
        <v>2088</v>
      </c>
      <c r="H391" s="2" t="s">
        <v>1924</v>
      </c>
      <c r="I391" s="2" t="s">
        <v>2089</v>
      </c>
      <c r="J391" s="2" t="s">
        <v>35</v>
      </c>
      <c r="K391" s="2" t="s">
        <v>35</v>
      </c>
      <c r="L391" s="2" t="s">
        <v>2090</v>
      </c>
      <c r="M391" s="2" t="s">
        <v>206</v>
      </c>
      <c r="N391" s="2" t="s">
        <v>26</v>
      </c>
      <c r="O391" s="2" t="s">
        <v>2091</v>
      </c>
      <c r="P391" s="2" t="s">
        <v>2092</v>
      </c>
    </row>
    <row r="392" customFormat="false" ht="57.45" hidden="false" customHeight="false" outlineLevel="0" collapsed="false">
      <c r="A392" s="2" t="s">
        <v>2093</v>
      </c>
      <c r="B392" s="2" t="s">
        <v>2094</v>
      </c>
      <c r="C392" s="2" t="s">
        <v>1497</v>
      </c>
      <c r="D392" s="2" t="s">
        <v>1922</v>
      </c>
      <c r="E392" s="2" t="s">
        <v>921</v>
      </c>
      <c r="F392" s="2" t="s">
        <v>179</v>
      </c>
      <c r="G392" s="2"/>
      <c r="H392" s="2" t="s">
        <v>2058</v>
      </c>
      <c r="I392" s="2" t="s">
        <v>2095</v>
      </c>
      <c r="J392" s="2" t="s">
        <v>35</v>
      </c>
      <c r="K392" s="2" t="s">
        <v>23</v>
      </c>
      <c r="L392" s="2" t="s">
        <v>2058</v>
      </c>
      <c r="M392" s="2" t="s">
        <v>206</v>
      </c>
      <c r="N392" s="2" t="s">
        <v>26</v>
      </c>
      <c r="O392" s="2" t="s">
        <v>2096</v>
      </c>
      <c r="P392" s="2" t="s">
        <v>2097</v>
      </c>
    </row>
    <row r="393" customFormat="false" ht="57.45" hidden="false" customHeight="false" outlineLevel="0" collapsed="false">
      <c r="A393" s="2" t="s">
        <v>2098</v>
      </c>
      <c r="B393" s="2" t="s">
        <v>2099</v>
      </c>
      <c r="C393" s="2" t="s">
        <v>1497</v>
      </c>
      <c r="D393" s="2" t="s">
        <v>1922</v>
      </c>
      <c r="E393" s="2" t="s">
        <v>725</v>
      </c>
      <c r="F393" s="2" t="s">
        <v>179</v>
      </c>
      <c r="G393" s="2"/>
      <c r="H393" s="2" t="s">
        <v>2058</v>
      </c>
      <c r="I393" s="2" t="s">
        <v>2095</v>
      </c>
      <c r="J393" s="2" t="s">
        <v>35</v>
      </c>
      <c r="K393" s="2" t="s">
        <v>23</v>
      </c>
      <c r="L393" s="2" t="s">
        <v>2058</v>
      </c>
      <c r="M393" s="2" t="s">
        <v>206</v>
      </c>
      <c r="N393" s="2" t="s">
        <v>36</v>
      </c>
      <c r="O393" s="2" t="s">
        <v>2100</v>
      </c>
      <c r="P393" s="2" t="s">
        <v>2101</v>
      </c>
    </row>
    <row r="394" customFormat="false" ht="57.45" hidden="false" customHeight="false" outlineLevel="0" collapsed="false">
      <c r="A394" s="2" t="s">
        <v>2102</v>
      </c>
      <c r="B394" s="2" t="s">
        <v>2103</v>
      </c>
      <c r="C394" s="2" t="s">
        <v>1497</v>
      </c>
      <c r="D394" s="2" t="s">
        <v>1922</v>
      </c>
      <c r="E394" s="2" t="s">
        <v>725</v>
      </c>
      <c r="F394" s="2" t="s">
        <v>179</v>
      </c>
      <c r="G394" s="2"/>
      <c r="H394" s="2" t="s">
        <v>2058</v>
      </c>
      <c r="I394" s="2" t="s">
        <v>2095</v>
      </c>
      <c r="J394" s="2" t="s">
        <v>35</v>
      </c>
      <c r="K394" s="2" t="s">
        <v>23</v>
      </c>
      <c r="L394" s="2" t="s">
        <v>2058</v>
      </c>
      <c r="M394" s="2" t="s">
        <v>206</v>
      </c>
      <c r="N394" s="2" t="s">
        <v>36</v>
      </c>
      <c r="O394" s="2" t="s">
        <v>2104</v>
      </c>
      <c r="P394" s="2" t="s">
        <v>2105</v>
      </c>
    </row>
    <row r="395" customFormat="false" ht="57.45" hidden="false" customHeight="false" outlineLevel="0" collapsed="false">
      <c r="A395" s="2" t="s">
        <v>2106</v>
      </c>
      <c r="B395" s="2" t="s">
        <v>2107</v>
      </c>
      <c r="C395" s="2" t="s">
        <v>1497</v>
      </c>
      <c r="D395" s="2" t="s">
        <v>1922</v>
      </c>
      <c r="E395" s="2" t="s">
        <v>20</v>
      </c>
      <c r="F395" s="2" t="s">
        <v>179</v>
      </c>
      <c r="G395" s="2"/>
      <c r="H395" s="2" t="s">
        <v>2058</v>
      </c>
      <c r="I395" s="2" t="s">
        <v>2095</v>
      </c>
      <c r="J395" s="2" t="s">
        <v>35</v>
      </c>
      <c r="K395" s="2" t="s">
        <v>23</v>
      </c>
      <c r="L395" s="2" t="s">
        <v>2058</v>
      </c>
      <c r="M395" s="2" t="s">
        <v>206</v>
      </c>
      <c r="N395" s="2" t="s">
        <v>26</v>
      </c>
      <c r="O395" s="2" t="s">
        <v>2108</v>
      </c>
      <c r="P395" s="2" t="s">
        <v>2109</v>
      </c>
    </row>
    <row r="396" customFormat="false" ht="57.45" hidden="false" customHeight="false" outlineLevel="0" collapsed="false">
      <c r="A396" s="2" t="s">
        <v>2110</v>
      </c>
      <c r="B396" s="2" t="s">
        <v>2111</v>
      </c>
      <c r="C396" s="2" t="s">
        <v>1497</v>
      </c>
      <c r="D396" s="2" t="s">
        <v>1922</v>
      </c>
      <c r="E396" s="2" t="s">
        <v>20</v>
      </c>
      <c r="F396" s="2" t="s">
        <v>179</v>
      </c>
      <c r="G396" s="2"/>
      <c r="H396" s="2" t="s">
        <v>2058</v>
      </c>
      <c r="I396" s="2" t="s">
        <v>2095</v>
      </c>
      <c r="J396" s="2" t="s">
        <v>35</v>
      </c>
      <c r="K396" s="2" t="s">
        <v>23</v>
      </c>
      <c r="L396" s="2" t="s">
        <v>2058</v>
      </c>
      <c r="M396" s="2" t="s">
        <v>206</v>
      </c>
      <c r="N396" s="2" t="s">
        <v>26</v>
      </c>
      <c r="O396" s="2" t="s">
        <v>2108</v>
      </c>
      <c r="P396" s="2" t="s">
        <v>2112</v>
      </c>
    </row>
    <row r="397" customFormat="false" ht="57.45" hidden="false" customHeight="false" outlineLevel="0" collapsed="false">
      <c r="A397" s="2" t="s">
        <v>2113</v>
      </c>
      <c r="B397" s="2" t="s">
        <v>2114</v>
      </c>
      <c r="C397" s="2" t="s">
        <v>1497</v>
      </c>
      <c r="D397" s="2" t="s">
        <v>1922</v>
      </c>
      <c r="E397" s="2" t="s">
        <v>20</v>
      </c>
      <c r="F397" s="2" t="s">
        <v>179</v>
      </c>
      <c r="G397" s="2"/>
      <c r="H397" s="2" t="s">
        <v>2058</v>
      </c>
      <c r="I397" s="2" t="s">
        <v>2095</v>
      </c>
      <c r="J397" s="2" t="s">
        <v>35</v>
      </c>
      <c r="K397" s="2" t="s">
        <v>23</v>
      </c>
      <c r="L397" s="2" t="s">
        <v>2058</v>
      </c>
      <c r="M397" s="2" t="s">
        <v>206</v>
      </c>
      <c r="N397" s="2" t="s">
        <v>26</v>
      </c>
      <c r="O397" s="2" t="s">
        <v>2108</v>
      </c>
      <c r="P397" s="2" t="s">
        <v>2115</v>
      </c>
    </row>
    <row r="398" customFormat="false" ht="57.45" hidden="false" customHeight="false" outlineLevel="0" collapsed="false">
      <c r="A398" s="2" t="s">
        <v>2116</v>
      </c>
      <c r="B398" s="2" t="s">
        <v>2117</v>
      </c>
      <c r="C398" s="2" t="s">
        <v>1497</v>
      </c>
      <c r="D398" s="2" t="s">
        <v>1922</v>
      </c>
      <c r="E398" s="2" t="s">
        <v>725</v>
      </c>
      <c r="F398" s="2" t="s">
        <v>179</v>
      </c>
      <c r="G398" s="2"/>
      <c r="H398" s="2" t="s">
        <v>2058</v>
      </c>
      <c r="I398" s="2" t="s">
        <v>2095</v>
      </c>
      <c r="J398" s="2" t="s">
        <v>35</v>
      </c>
      <c r="K398" s="2" t="s">
        <v>23</v>
      </c>
      <c r="L398" s="2" t="s">
        <v>2058</v>
      </c>
      <c r="M398" s="2" t="s">
        <v>206</v>
      </c>
      <c r="N398" s="2" t="s">
        <v>26</v>
      </c>
      <c r="O398" s="2" t="s">
        <v>2108</v>
      </c>
      <c r="P398" s="2" t="s">
        <v>2118</v>
      </c>
    </row>
    <row r="399" customFormat="false" ht="57.45" hidden="false" customHeight="false" outlineLevel="0" collapsed="false">
      <c r="A399" s="2" t="s">
        <v>2119</v>
      </c>
      <c r="B399" s="2" t="s">
        <v>2120</v>
      </c>
      <c r="C399" s="2" t="s">
        <v>2121</v>
      </c>
      <c r="D399" s="2" t="s">
        <v>1922</v>
      </c>
      <c r="E399" s="2" t="s">
        <v>2122</v>
      </c>
      <c r="F399" s="2" t="s">
        <v>179</v>
      </c>
      <c r="G399" s="2" t="s">
        <v>2123</v>
      </c>
      <c r="H399" s="2" t="s">
        <v>2124</v>
      </c>
      <c r="I399" s="2"/>
      <c r="J399" s="2" t="s">
        <v>35</v>
      </c>
      <c r="K399" s="2" t="s">
        <v>23</v>
      </c>
      <c r="L399" s="2" t="s">
        <v>2125</v>
      </c>
      <c r="M399" s="2" t="s">
        <v>206</v>
      </c>
      <c r="N399" s="2" t="s">
        <v>36</v>
      </c>
      <c r="O399" s="2" t="s">
        <v>2126</v>
      </c>
      <c r="P399" s="2" t="s">
        <v>2127</v>
      </c>
    </row>
    <row r="400" customFormat="false" ht="35.05" hidden="false" customHeight="false" outlineLevel="0" collapsed="false">
      <c r="A400" s="2" t="s">
        <v>2128</v>
      </c>
      <c r="B400" s="2" t="s">
        <v>2129</v>
      </c>
      <c r="C400" s="2" t="s">
        <v>1497</v>
      </c>
      <c r="D400" s="2" t="s">
        <v>1922</v>
      </c>
      <c r="E400" s="2" t="s">
        <v>1129</v>
      </c>
      <c r="F400" s="2" t="s">
        <v>1168</v>
      </c>
      <c r="G400" s="2"/>
      <c r="H400" s="2" t="s">
        <v>2130</v>
      </c>
      <c r="I400" s="2"/>
      <c r="J400" s="2" t="s">
        <v>35</v>
      </c>
      <c r="K400" s="2" t="s">
        <v>23</v>
      </c>
      <c r="L400" s="2" t="s">
        <v>2130</v>
      </c>
      <c r="M400" s="2" t="s">
        <v>206</v>
      </c>
      <c r="N400" s="2" t="s">
        <v>26</v>
      </c>
      <c r="O400" s="2" t="s">
        <v>2131</v>
      </c>
      <c r="P400" s="2" t="s">
        <v>2132</v>
      </c>
    </row>
    <row r="401" customFormat="false" ht="46.25" hidden="false" customHeight="false" outlineLevel="0" collapsed="false">
      <c r="A401" s="2" t="s">
        <v>2133</v>
      </c>
      <c r="B401" s="2" t="s">
        <v>2134</v>
      </c>
      <c r="C401" s="2" t="s">
        <v>1497</v>
      </c>
      <c r="D401" s="2" t="s">
        <v>1922</v>
      </c>
      <c r="E401" s="2" t="s">
        <v>725</v>
      </c>
      <c r="F401" s="2" t="s">
        <v>1168</v>
      </c>
      <c r="G401" s="2"/>
      <c r="H401" s="2" t="s">
        <v>2135</v>
      </c>
      <c r="I401" s="2"/>
      <c r="J401" s="2" t="s">
        <v>35</v>
      </c>
      <c r="K401" s="2" t="s">
        <v>35</v>
      </c>
      <c r="L401" s="2" t="s">
        <v>2135</v>
      </c>
      <c r="M401" s="2" t="s">
        <v>206</v>
      </c>
      <c r="N401" s="2" t="s">
        <v>26</v>
      </c>
      <c r="O401" s="2" t="s">
        <v>2136</v>
      </c>
      <c r="P401" s="2" t="s">
        <v>2137</v>
      </c>
    </row>
    <row r="402" customFormat="false" ht="35.05" hidden="false" customHeight="false" outlineLevel="0" collapsed="false">
      <c r="A402" s="2" t="s">
        <v>2138</v>
      </c>
      <c r="B402" s="2" t="s">
        <v>2139</v>
      </c>
      <c r="C402" s="2" t="s">
        <v>2140</v>
      </c>
      <c r="D402" s="2" t="s">
        <v>2141</v>
      </c>
      <c r="E402" s="2" t="s">
        <v>20</v>
      </c>
      <c r="F402" s="2" t="s">
        <v>42</v>
      </c>
      <c r="G402" s="2"/>
      <c r="H402" s="2" t="s">
        <v>2142</v>
      </c>
      <c r="I402" s="2"/>
      <c r="J402" s="2" t="s">
        <v>23</v>
      </c>
      <c r="K402" s="2" t="s">
        <v>23</v>
      </c>
      <c r="L402" s="2" t="s">
        <v>2142</v>
      </c>
      <c r="M402" s="2" t="s">
        <v>206</v>
      </c>
      <c r="N402" s="2" t="s">
        <v>26</v>
      </c>
      <c r="O402" s="2" t="s">
        <v>2143</v>
      </c>
      <c r="P402" s="2" t="s">
        <v>2144</v>
      </c>
    </row>
    <row r="403" customFormat="false" ht="57.45" hidden="false" customHeight="false" outlineLevel="0" collapsed="false">
      <c r="A403" s="2" t="s">
        <v>2145</v>
      </c>
      <c r="B403" s="2" t="s">
        <v>2146</v>
      </c>
      <c r="C403" s="2" t="s">
        <v>594</v>
      </c>
      <c r="D403" s="2" t="s">
        <v>2141</v>
      </c>
      <c r="E403" s="2" t="s">
        <v>20</v>
      </c>
      <c r="F403" s="2" t="s">
        <v>42</v>
      </c>
      <c r="G403" s="2"/>
      <c r="H403" s="2" t="s">
        <v>2142</v>
      </c>
      <c r="I403" s="2"/>
      <c r="J403" s="2" t="s">
        <v>23</v>
      </c>
      <c r="K403" s="2" t="s">
        <v>23</v>
      </c>
      <c r="L403" s="2" t="s">
        <v>2142</v>
      </c>
      <c r="M403" s="2" t="s">
        <v>25</v>
      </c>
      <c r="N403" s="2" t="s">
        <v>36</v>
      </c>
      <c r="O403" s="2" t="s">
        <v>2147</v>
      </c>
      <c r="P403" s="2" t="s">
        <v>2148</v>
      </c>
    </row>
    <row r="404" customFormat="false" ht="68.65" hidden="false" customHeight="false" outlineLevel="0" collapsed="false">
      <c r="A404" s="2" t="s">
        <v>2149</v>
      </c>
      <c r="B404" s="2" t="s">
        <v>2150</v>
      </c>
      <c r="C404" s="2" t="s">
        <v>2151</v>
      </c>
      <c r="D404" s="2" t="s">
        <v>2141</v>
      </c>
      <c r="E404" s="2" t="s">
        <v>20</v>
      </c>
      <c r="F404" s="2" t="s">
        <v>42</v>
      </c>
      <c r="G404" s="2" t="s">
        <v>2152</v>
      </c>
      <c r="H404" s="2" t="s">
        <v>2153</v>
      </c>
      <c r="I404" s="2"/>
      <c r="J404" s="2" t="s">
        <v>23</v>
      </c>
      <c r="K404" s="2" t="s">
        <v>23</v>
      </c>
      <c r="L404" s="2" t="s">
        <v>2153</v>
      </c>
      <c r="M404" s="2" t="s">
        <v>25</v>
      </c>
      <c r="N404" s="2" t="s">
        <v>26</v>
      </c>
      <c r="O404" s="2" t="s">
        <v>2154</v>
      </c>
      <c r="P404" s="2" t="s">
        <v>2155</v>
      </c>
    </row>
    <row r="405" customFormat="false" ht="57.45" hidden="false" customHeight="false" outlineLevel="0" collapsed="false">
      <c r="A405" s="2" t="s">
        <v>2156</v>
      </c>
      <c r="B405" s="2" t="s">
        <v>2157</v>
      </c>
      <c r="C405" s="2" t="s">
        <v>18</v>
      </c>
      <c r="D405" s="2" t="s">
        <v>2141</v>
      </c>
      <c r="E405" s="2" t="s">
        <v>20</v>
      </c>
      <c r="F405" s="2" t="s">
        <v>42</v>
      </c>
      <c r="G405" s="2"/>
      <c r="H405" s="2" t="s">
        <v>2158</v>
      </c>
      <c r="I405" s="2"/>
      <c r="J405" s="2" t="s">
        <v>23</v>
      </c>
      <c r="K405" s="2" t="s">
        <v>23</v>
      </c>
      <c r="L405" s="2" t="s">
        <v>2158</v>
      </c>
      <c r="M405" s="2" t="s">
        <v>25</v>
      </c>
      <c r="N405" s="2" t="s">
        <v>26</v>
      </c>
      <c r="O405" s="2" t="s">
        <v>2159</v>
      </c>
      <c r="P405" s="2" t="s">
        <v>2160</v>
      </c>
    </row>
    <row r="406" customFormat="false" ht="35.05" hidden="false" customHeight="false" outlineLevel="0" collapsed="false">
      <c r="A406" s="2" t="s">
        <v>2161</v>
      </c>
      <c r="B406" s="2" t="s">
        <v>2162</v>
      </c>
      <c r="C406" s="2" t="s">
        <v>18</v>
      </c>
      <c r="D406" s="2" t="s">
        <v>2141</v>
      </c>
      <c r="E406" s="2" t="s">
        <v>20</v>
      </c>
      <c r="F406" s="2" t="s">
        <v>42</v>
      </c>
      <c r="G406" s="2"/>
      <c r="H406" s="2" t="s">
        <v>2158</v>
      </c>
      <c r="I406" s="2"/>
      <c r="J406" s="2" t="s">
        <v>23</v>
      </c>
      <c r="K406" s="2" t="s">
        <v>23</v>
      </c>
      <c r="L406" s="2" t="s">
        <v>2158</v>
      </c>
      <c r="M406" s="2" t="s">
        <v>25</v>
      </c>
      <c r="N406" s="2" t="s">
        <v>26</v>
      </c>
      <c r="O406" s="2" t="s">
        <v>2163</v>
      </c>
      <c r="P406" s="2" t="s">
        <v>2164</v>
      </c>
    </row>
    <row r="407" customFormat="false" ht="46.25" hidden="false" customHeight="false" outlineLevel="0" collapsed="false">
      <c r="A407" s="2" t="s">
        <v>2165</v>
      </c>
      <c r="B407" s="2" t="s">
        <v>2166</v>
      </c>
      <c r="C407" s="2" t="s">
        <v>18</v>
      </c>
      <c r="D407" s="2" t="s">
        <v>2141</v>
      </c>
      <c r="E407" s="2" t="s">
        <v>20</v>
      </c>
      <c r="F407" s="2" t="s">
        <v>42</v>
      </c>
      <c r="G407" s="2"/>
      <c r="H407" s="2" t="s">
        <v>2167</v>
      </c>
      <c r="I407" s="2"/>
      <c r="J407" s="2" t="s">
        <v>23</v>
      </c>
      <c r="K407" s="2" t="s">
        <v>35</v>
      </c>
      <c r="L407" s="2" t="s">
        <v>2167</v>
      </c>
      <c r="M407" s="2" t="s">
        <v>206</v>
      </c>
      <c r="N407" s="2" t="s">
        <v>26</v>
      </c>
      <c r="O407" s="2" t="s">
        <v>2168</v>
      </c>
      <c r="P407" s="2" t="s">
        <v>2169</v>
      </c>
    </row>
    <row r="408" customFormat="false" ht="113.4" hidden="false" customHeight="false" outlineLevel="0" collapsed="false">
      <c r="A408" s="2" t="s">
        <v>2170</v>
      </c>
      <c r="B408" s="2" t="s">
        <v>2171</v>
      </c>
      <c r="C408" s="2" t="s">
        <v>161</v>
      </c>
      <c r="D408" s="2" t="s">
        <v>2141</v>
      </c>
      <c r="E408" s="2" t="s">
        <v>161</v>
      </c>
      <c r="F408" s="2" t="s">
        <v>530</v>
      </c>
      <c r="G408" s="2"/>
      <c r="H408" s="2" t="s">
        <v>2172</v>
      </c>
      <c r="I408" s="2"/>
      <c r="J408" s="2" t="s">
        <v>35</v>
      </c>
      <c r="K408" s="2" t="s">
        <v>35</v>
      </c>
      <c r="L408" s="2" t="s">
        <v>2172</v>
      </c>
      <c r="M408" s="2" t="s">
        <v>206</v>
      </c>
      <c r="N408" s="2" t="s">
        <v>26</v>
      </c>
      <c r="O408" s="2" t="s">
        <v>2173</v>
      </c>
      <c r="P408" s="2" t="s">
        <v>2174</v>
      </c>
    </row>
    <row r="409" customFormat="false" ht="102.2" hidden="false" customHeight="false" outlineLevel="0" collapsed="false">
      <c r="A409" s="2" t="s">
        <v>2175</v>
      </c>
      <c r="B409" s="2" t="s">
        <v>2176</v>
      </c>
      <c r="C409" s="2" t="s">
        <v>18</v>
      </c>
      <c r="D409" s="2" t="s">
        <v>2141</v>
      </c>
      <c r="E409" s="2" t="s">
        <v>798</v>
      </c>
      <c r="F409" s="2" t="s">
        <v>21</v>
      </c>
      <c r="G409" s="2"/>
      <c r="H409" s="2" t="s">
        <v>2177</v>
      </c>
      <c r="I409" s="2"/>
      <c r="J409" s="2" t="s">
        <v>23</v>
      </c>
      <c r="K409" s="2" t="s">
        <v>35</v>
      </c>
      <c r="L409" s="2" t="s">
        <v>2178</v>
      </c>
      <c r="M409" s="2" t="s">
        <v>206</v>
      </c>
      <c r="N409" s="2" t="s">
        <v>26</v>
      </c>
      <c r="O409" s="2" t="s">
        <v>2179</v>
      </c>
      <c r="P409" s="2" t="s">
        <v>2180</v>
      </c>
    </row>
    <row r="410" customFormat="false" ht="68.65" hidden="false" customHeight="false" outlineLevel="0" collapsed="false">
      <c r="A410" s="2" t="s">
        <v>2181</v>
      </c>
      <c r="B410" s="2" t="s">
        <v>2182</v>
      </c>
      <c r="C410" s="2" t="s">
        <v>18</v>
      </c>
      <c r="D410" s="2" t="s">
        <v>2141</v>
      </c>
      <c r="E410" s="2" t="s">
        <v>798</v>
      </c>
      <c r="F410" s="2" t="s">
        <v>179</v>
      </c>
      <c r="G410" s="2"/>
      <c r="H410" s="2" t="s">
        <v>2183</v>
      </c>
      <c r="I410" s="2"/>
      <c r="J410" s="2" t="s">
        <v>23</v>
      </c>
      <c r="K410" s="2" t="s">
        <v>35</v>
      </c>
      <c r="L410" s="2" t="s">
        <v>2183</v>
      </c>
      <c r="M410" s="2" t="s">
        <v>206</v>
      </c>
      <c r="N410" s="2" t="s">
        <v>26</v>
      </c>
      <c r="O410" s="2" t="s">
        <v>2184</v>
      </c>
      <c r="P410" s="2" t="s">
        <v>2185</v>
      </c>
    </row>
    <row r="411" customFormat="false" ht="135.8" hidden="false" customHeight="false" outlineLevel="0" collapsed="false">
      <c r="A411" s="2" t="s">
        <v>2186</v>
      </c>
      <c r="B411" s="2" t="s">
        <v>2187</v>
      </c>
      <c r="C411" s="2" t="s">
        <v>974</v>
      </c>
      <c r="D411" s="2" t="s">
        <v>2141</v>
      </c>
      <c r="E411" s="2" t="s">
        <v>798</v>
      </c>
      <c r="F411" s="2" t="s">
        <v>21</v>
      </c>
      <c r="G411" s="2"/>
      <c r="H411" s="2" t="s">
        <v>2188</v>
      </c>
      <c r="I411" s="2"/>
      <c r="J411" s="2" t="s">
        <v>35</v>
      </c>
      <c r="K411" s="2" t="s">
        <v>35</v>
      </c>
      <c r="L411" s="2" t="s">
        <v>2189</v>
      </c>
      <c r="M411" s="2" t="s">
        <v>206</v>
      </c>
      <c r="N411" s="2" t="s">
        <v>26</v>
      </c>
      <c r="O411" s="2" t="s">
        <v>2190</v>
      </c>
      <c r="P411" s="2" t="s">
        <v>2191</v>
      </c>
    </row>
    <row r="412" customFormat="false" ht="124.6" hidden="false" customHeight="false" outlineLevel="0" collapsed="false">
      <c r="A412" s="2" t="s">
        <v>2192</v>
      </c>
      <c r="B412" s="2" t="s">
        <v>2193</v>
      </c>
      <c r="C412" s="2" t="s">
        <v>18</v>
      </c>
      <c r="D412" s="2" t="s">
        <v>2141</v>
      </c>
      <c r="E412" s="2" t="s">
        <v>1091</v>
      </c>
      <c r="F412" s="2" t="s">
        <v>21</v>
      </c>
      <c r="G412" s="2"/>
      <c r="H412" s="2" t="s">
        <v>2194</v>
      </c>
      <c r="I412" s="2"/>
      <c r="J412" s="2" t="s">
        <v>35</v>
      </c>
      <c r="K412" s="2" t="s">
        <v>35</v>
      </c>
      <c r="L412" s="2" t="s">
        <v>2195</v>
      </c>
      <c r="M412" s="2" t="s">
        <v>206</v>
      </c>
      <c r="N412" s="2" t="s">
        <v>26</v>
      </c>
      <c r="O412" s="2" t="s">
        <v>2196</v>
      </c>
      <c r="P412" s="2" t="s">
        <v>2197</v>
      </c>
    </row>
    <row r="413" customFormat="false" ht="57.45" hidden="false" customHeight="false" outlineLevel="0" collapsed="false">
      <c r="A413" s="2" t="s">
        <v>2198</v>
      </c>
      <c r="B413" s="2" t="s">
        <v>2199</v>
      </c>
      <c r="C413" s="2" t="s">
        <v>18</v>
      </c>
      <c r="D413" s="2" t="s">
        <v>2141</v>
      </c>
      <c r="E413" s="2" t="s">
        <v>20</v>
      </c>
      <c r="F413" s="2" t="s">
        <v>42</v>
      </c>
      <c r="G413" s="2"/>
      <c r="H413" s="2" t="s">
        <v>2200</v>
      </c>
      <c r="I413" s="2"/>
      <c r="J413" s="2" t="s">
        <v>23</v>
      </c>
      <c r="K413" s="2" t="s">
        <v>35</v>
      </c>
      <c r="L413" s="2" t="s">
        <v>2200</v>
      </c>
      <c r="M413" s="2" t="s">
        <v>206</v>
      </c>
      <c r="N413" s="2" t="s">
        <v>26</v>
      </c>
      <c r="O413" s="2" t="s">
        <v>2201</v>
      </c>
      <c r="P413" s="2" t="s">
        <v>2202</v>
      </c>
    </row>
    <row r="414" customFormat="false" ht="23.85" hidden="false" customHeight="false" outlineLevel="0" collapsed="false">
      <c r="A414" s="2" t="s">
        <v>2203</v>
      </c>
      <c r="B414" s="2" t="s">
        <v>2204</v>
      </c>
      <c r="C414" s="2" t="s">
        <v>18</v>
      </c>
      <c r="D414" s="2" t="s">
        <v>2141</v>
      </c>
      <c r="E414" s="2" t="s">
        <v>20</v>
      </c>
      <c r="F414" s="2" t="s">
        <v>42</v>
      </c>
      <c r="G414" s="2"/>
      <c r="H414" s="2" t="s">
        <v>2158</v>
      </c>
      <c r="I414" s="2"/>
      <c r="J414" s="2" t="s">
        <v>23</v>
      </c>
      <c r="K414" s="2" t="s">
        <v>23</v>
      </c>
      <c r="L414" s="2" t="s">
        <v>2158</v>
      </c>
      <c r="M414" s="2" t="s">
        <v>206</v>
      </c>
      <c r="N414" s="2" t="s">
        <v>26</v>
      </c>
      <c r="O414" s="2" t="s">
        <v>2205</v>
      </c>
      <c r="P414" s="2" t="s">
        <v>2206</v>
      </c>
    </row>
    <row r="415" customFormat="false" ht="135.8" hidden="false" customHeight="false" outlineLevel="0" collapsed="false">
      <c r="A415" s="2" t="s">
        <v>2207</v>
      </c>
      <c r="B415" s="2" t="s">
        <v>2208</v>
      </c>
      <c r="C415" s="2" t="s">
        <v>18</v>
      </c>
      <c r="D415" s="2" t="s">
        <v>2141</v>
      </c>
      <c r="E415" s="2" t="s">
        <v>921</v>
      </c>
      <c r="F415" s="2" t="s">
        <v>21</v>
      </c>
      <c r="G415" s="2"/>
      <c r="H415" s="2" t="s">
        <v>2209</v>
      </c>
      <c r="I415" s="2"/>
      <c r="J415" s="2" t="s">
        <v>35</v>
      </c>
      <c r="K415" s="2" t="s">
        <v>35</v>
      </c>
      <c r="L415" s="2" t="s">
        <v>2210</v>
      </c>
      <c r="M415" s="2" t="s">
        <v>206</v>
      </c>
      <c r="N415" s="2" t="s">
        <v>26</v>
      </c>
      <c r="O415" s="2" t="s">
        <v>2211</v>
      </c>
      <c r="P415" s="2" t="s">
        <v>2212</v>
      </c>
    </row>
    <row r="416" customFormat="false" ht="79.85" hidden="false" customHeight="false" outlineLevel="0" collapsed="false">
      <c r="A416" s="2" t="s">
        <v>2213</v>
      </c>
      <c r="B416" s="2" t="s">
        <v>2214</v>
      </c>
      <c r="C416" s="2" t="s">
        <v>18</v>
      </c>
      <c r="D416" s="2" t="s">
        <v>2141</v>
      </c>
      <c r="E416" s="2" t="s">
        <v>725</v>
      </c>
      <c r="F416" s="2" t="s">
        <v>21</v>
      </c>
      <c r="G416" s="2"/>
      <c r="H416" s="2" t="s">
        <v>2215</v>
      </c>
      <c r="I416" s="2"/>
      <c r="J416" s="2" t="s">
        <v>23</v>
      </c>
      <c r="K416" s="2" t="s">
        <v>35</v>
      </c>
      <c r="L416" s="2" t="s">
        <v>2216</v>
      </c>
      <c r="M416" s="2" t="s">
        <v>206</v>
      </c>
      <c r="N416" s="2" t="s">
        <v>26</v>
      </c>
      <c r="O416" s="2" t="s">
        <v>2217</v>
      </c>
      <c r="P416" s="2" t="s">
        <v>2218</v>
      </c>
    </row>
    <row r="417" customFormat="false" ht="124.6" hidden="false" customHeight="false" outlineLevel="0" collapsed="false">
      <c r="A417" s="2" t="s">
        <v>2219</v>
      </c>
      <c r="B417" s="2" t="s">
        <v>2220</v>
      </c>
      <c r="C417" s="2" t="s">
        <v>880</v>
      </c>
      <c r="D417" s="2" t="s">
        <v>2141</v>
      </c>
      <c r="E417" s="2" t="s">
        <v>725</v>
      </c>
      <c r="F417" s="2" t="s">
        <v>21</v>
      </c>
      <c r="G417" s="2"/>
      <c r="H417" s="2" t="s">
        <v>2221</v>
      </c>
      <c r="I417" s="2"/>
      <c r="J417" s="2" t="s">
        <v>35</v>
      </c>
      <c r="K417" s="2" t="s">
        <v>35</v>
      </c>
      <c r="L417" s="2" t="s">
        <v>2221</v>
      </c>
      <c r="M417" s="2" t="s">
        <v>206</v>
      </c>
      <c r="N417" s="2" t="s">
        <v>26</v>
      </c>
      <c r="O417" s="2" t="s">
        <v>2222</v>
      </c>
      <c r="P417" s="2" t="s">
        <v>2223</v>
      </c>
    </row>
    <row r="418" customFormat="false" ht="102.2" hidden="false" customHeight="false" outlineLevel="0" collapsed="false">
      <c r="A418" s="2" t="s">
        <v>2224</v>
      </c>
      <c r="B418" s="2" t="s">
        <v>2225</v>
      </c>
      <c r="C418" s="2" t="s">
        <v>18</v>
      </c>
      <c r="D418" s="2" t="s">
        <v>2141</v>
      </c>
      <c r="E418" s="2" t="s">
        <v>646</v>
      </c>
      <c r="F418" s="2" t="s">
        <v>21</v>
      </c>
      <c r="G418" s="2"/>
      <c r="H418" s="2" t="s">
        <v>2215</v>
      </c>
      <c r="I418" s="2"/>
      <c r="J418" s="2" t="s">
        <v>23</v>
      </c>
      <c r="K418" s="2" t="s">
        <v>35</v>
      </c>
      <c r="L418" s="2" t="s">
        <v>2216</v>
      </c>
      <c r="M418" s="2" t="s">
        <v>206</v>
      </c>
      <c r="N418" s="2" t="s">
        <v>26</v>
      </c>
      <c r="O418" s="2" t="s">
        <v>2226</v>
      </c>
      <c r="P418" s="2" t="s">
        <v>2227</v>
      </c>
    </row>
    <row r="419" customFormat="false" ht="91" hidden="false" customHeight="false" outlineLevel="0" collapsed="false">
      <c r="A419" s="2" t="s">
        <v>1717</v>
      </c>
      <c r="B419" s="2" t="s">
        <v>2228</v>
      </c>
      <c r="C419" s="2" t="s">
        <v>161</v>
      </c>
      <c r="D419" s="2" t="s">
        <v>2141</v>
      </c>
      <c r="E419" s="2" t="s">
        <v>161</v>
      </c>
      <c r="F419" s="2" t="s">
        <v>21</v>
      </c>
      <c r="G419" s="2"/>
      <c r="H419" s="2" t="s">
        <v>2172</v>
      </c>
      <c r="I419" s="2"/>
      <c r="J419" s="2" t="s">
        <v>35</v>
      </c>
      <c r="K419" s="2" t="s">
        <v>35</v>
      </c>
      <c r="L419" s="2" t="s">
        <v>2172</v>
      </c>
      <c r="M419" s="2" t="s">
        <v>206</v>
      </c>
      <c r="N419" s="2" t="s">
        <v>26</v>
      </c>
      <c r="O419" s="2" t="s">
        <v>2229</v>
      </c>
      <c r="P419" s="2" t="s">
        <v>2230</v>
      </c>
    </row>
    <row r="420" customFormat="false" ht="102.2" hidden="false" customHeight="false" outlineLevel="0" collapsed="false">
      <c r="A420" s="2" t="s">
        <v>2231</v>
      </c>
      <c r="B420" s="2" t="s">
        <v>2232</v>
      </c>
      <c r="C420" s="2" t="s">
        <v>18</v>
      </c>
      <c r="D420" s="2" t="s">
        <v>2141</v>
      </c>
      <c r="E420" s="2" t="s">
        <v>549</v>
      </c>
      <c r="F420" s="2" t="s">
        <v>21</v>
      </c>
      <c r="G420" s="2"/>
      <c r="H420" s="2" t="s">
        <v>2233</v>
      </c>
      <c r="I420" s="2"/>
      <c r="J420" s="2" t="s">
        <v>23</v>
      </c>
      <c r="K420" s="2" t="s">
        <v>35</v>
      </c>
      <c r="L420" s="2" t="s">
        <v>2234</v>
      </c>
      <c r="M420" s="2" t="s">
        <v>206</v>
      </c>
      <c r="N420" s="2" t="s">
        <v>26</v>
      </c>
      <c r="O420" s="2" t="s">
        <v>2235</v>
      </c>
      <c r="P420" s="2" t="s">
        <v>2236</v>
      </c>
    </row>
    <row r="421" customFormat="false" ht="169.4" hidden="false" customHeight="false" outlineLevel="0" collapsed="false">
      <c r="A421" s="2" t="s">
        <v>2237</v>
      </c>
      <c r="B421" s="2" t="s">
        <v>2238</v>
      </c>
      <c r="C421" s="2" t="s">
        <v>2239</v>
      </c>
      <c r="D421" s="2" t="s">
        <v>2141</v>
      </c>
      <c r="E421" s="2" t="s">
        <v>549</v>
      </c>
      <c r="F421" s="2" t="s">
        <v>21</v>
      </c>
      <c r="G421" s="2"/>
      <c r="H421" s="2" t="s">
        <v>2240</v>
      </c>
      <c r="I421" s="2"/>
      <c r="J421" s="2" t="s">
        <v>35</v>
      </c>
      <c r="K421" s="2" t="s">
        <v>35</v>
      </c>
      <c r="L421" s="2" t="s">
        <v>2240</v>
      </c>
      <c r="M421" s="2" t="s">
        <v>206</v>
      </c>
      <c r="N421" s="2" t="s">
        <v>36</v>
      </c>
      <c r="O421" s="2" t="s">
        <v>2241</v>
      </c>
      <c r="P421" s="2" t="s">
        <v>2242</v>
      </c>
    </row>
    <row r="422" customFormat="false" ht="102.2" hidden="false" customHeight="false" outlineLevel="0" collapsed="false">
      <c r="A422" s="2" t="s">
        <v>2243</v>
      </c>
      <c r="B422" s="2" t="s">
        <v>2244</v>
      </c>
      <c r="C422" s="2" t="s">
        <v>31</v>
      </c>
      <c r="D422" s="2" t="s">
        <v>2141</v>
      </c>
      <c r="E422" s="2" t="s">
        <v>161</v>
      </c>
      <c r="F422" s="2" t="s">
        <v>32</v>
      </c>
      <c r="G422" s="2"/>
      <c r="H422" s="2" t="s">
        <v>2158</v>
      </c>
      <c r="I422" s="2" t="s">
        <v>34</v>
      </c>
      <c r="J422" s="2" t="s">
        <v>23</v>
      </c>
      <c r="K422" s="2" t="s">
        <v>35</v>
      </c>
      <c r="L422" s="2" t="s">
        <v>2245</v>
      </c>
      <c r="M422" s="2" t="s">
        <v>25</v>
      </c>
      <c r="N422" s="2" t="s">
        <v>36</v>
      </c>
      <c r="O422" s="2" t="s">
        <v>2246</v>
      </c>
      <c r="P422" s="2" t="s">
        <v>2247</v>
      </c>
    </row>
    <row r="423" customFormat="false" ht="113.4" hidden="false" customHeight="false" outlineLevel="0" collapsed="false">
      <c r="A423" s="2" t="s">
        <v>2248</v>
      </c>
      <c r="B423" s="2" t="s">
        <v>2249</v>
      </c>
      <c r="C423" s="2" t="s">
        <v>31</v>
      </c>
      <c r="D423" s="2" t="s">
        <v>2141</v>
      </c>
      <c r="E423" s="2" t="s">
        <v>161</v>
      </c>
      <c r="F423" s="2" t="s">
        <v>32</v>
      </c>
      <c r="G423" s="2"/>
      <c r="H423" s="2" t="s">
        <v>2250</v>
      </c>
      <c r="I423" s="2" t="s">
        <v>34</v>
      </c>
      <c r="J423" s="2" t="s">
        <v>35</v>
      </c>
      <c r="K423" s="2" t="s">
        <v>35</v>
      </c>
      <c r="L423" s="2" t="s">
        <v>2251</v>
      </c>
      <c r="M423" s="2" t="s">
        <v>206</v>
      </c>
      <c r="N423" s="2" t="s">
        <v>36</v>
      </c>
      <c r="O423" s="2" t="s">
        <v>2252</v>
      </c>
      <c r="P423" s="2" t="s">
        <v>2253</v>
      </c>
    </row>
    <row r="424" customFormat="false" ht="169.4" hidden="false" customHeight="false" outlineLevel="0" collapsed="false">
      <c r="A424" s="2" t="s">
        <v>2254</v>
      </c>
      <c r="B424" s="2" t="s">
        <v>2255</v>
      </c>
      <c r="C424" s="2" t="s">
        <v>2256</v>
      </c>
      <c r="D424" s="2" t="s">
        <v>2141</v>
      </c>
      <c r="E424" s="2" t="s">
        <v>161</v>
      </c>
      <c r="F424" s="2" t="s">
        <v>32</v>
      </c>
      <c r="G424" s="2"/>
      <c r="H424" s="2" t="s">
        <v>2257</v>
      </c>
      <c r="I424" s="2"/>
      <c r="J424" s="2" t="s">
        <v>35</v>
      </c>
      <c r="K424" s="2" t="s">
        <v>35</v>
      </c>
      <c r="L424" s="2" t="s">
        <v>2258</v>
      </c>
      <c r="M424" s="2" t="s">
        <v>206</v>
      </c>
      <c r="N424" s="2" t="s">
        <v>36</v>
      </c>
      <c r="O424" s="2" t="s">
        <v>2259</v>
      </c>
      <c r="P424" s="2" t="s">
        <v>2260</v>
      </c>
    </row>
    <row r="425" customFormat="false" ht="79.85" hidden="false" customHeight="false" outlineLevel="0" collapsed="false">
      <c r="A425" s="2" t="s">
        <v>2261</v>
      </c>
      <c r="B425" s="2" t="s">
        <v>2262</v>
      </c>
      <c r="C425" s="2" t="s">
        <v>704</v>
      </c>
      <c r="D425" s="2" t="s">
        <v>2141</v>
      </c>
      <c r="E425" s="2" t="s">
        <v>161</v>
      </c>
      <c r="F425" s="2" t="s">
        <v>32</v>
      </c>
      <c r="G425" s="2"/>
      <c r="H425" s="2" t="s">
        <v>2172</v>
      </c>
      <c r="I425" s="2"/>
      <c r="J425" s="2" t="s">
        <v>35</v>
      </c>
      <c r="K425" s="2" t="s">
        <v>35</v>
      </c>
      <c r="L425" s="2" t="s">
        <v>2172</v>
      </c>
      <c r="M425" s="2" t="s">
        <v>206</v>
      </c>
      <c r="N425" s="2" t="s">
        <v>26</v>
      </c>
      <c r="O425" s="2" t="s">
        <v>2263</v>
      </c>
      <c r="P425" s="2" t="s">
        <v>2264</v>
      </c>
    </row>
    <row r="426" customFormat="false" ht="102.2" hidden="false" customHeight="false" outlineLevel="0" collapsed="false">
      <c r="A426" s="2" t="s">
        <v>2265</v>
      </c>
      <c r="B426" s="2" t="s">
        <v>2266</v>
      </c>
      <c r="C426" s="2" t="s">
        <v>704</v>
      </c>
      <c r="D426" s="2" t="s">
        <v>2141</v>
      </c>
      <c r="E426" s="2" t="s">
        <v>1129</v>
      </c>
      <c r="F426" s="2" t="s">
        <v>32</v>
      </c>
      <c r="G426" s="2"/>
      <c r="H426" s="2" t="s">
        <v>2172</v>
      </c>
      <c r="I426" s="2"/>
      <c r="J426" s="2" t="s">
        <v>35</v>
      </c>
      <c r="K426" s="2" t="s">
        <v>35</v>
      </c>
      <c r="L426" s="2" t="s">
        <v>2172</v>
      </c>
      <c r="M426" s="2" t="s">
        <v>206</v>
      </c>
      <c r="N426" s="2" t="s">
        <v>26</v>
      </c>
      <c r="O426" s="2" t="s">
        <v>2263</v>
      </c>
      <c r="P426" s="2" t="s">
        <v>2267</v>
      </c>
    </row>
    <row r="427" customFormat="false" ht="113.4" hidden="false" customHeight="false" outlineLevel="0" collapsed="false">
      <c r="A427" s="2" t="s">
        <v>2268</v>
      </c>
      <c r="B427" s="2" t="s">
        <v>2269</v>
      </c>
      <c r="C427" s="2" t="s">
        <v>704</v>
      </c>
      <c r="D427" s="2" t="s">
        <v>2141</v>
      </c>
      <c r="E427" s="2" t="s">
        <v>161</v>
      </c>
      <c r="F427" s="2" t="s">
        <v>530</v>
      </c>
      <c r="G427" s="2"/>
      <c r="H427" s="2" t="s">
        <v>2270</v>
      </c>
      <c r="I427" s="2"/>
      <c r="J427" s="2" t="s">
        <v>35</v>
      </c>
      <c r="K427" s="2" t="s">
        <v>35</v>
      </c>
      <c r="L427" s="2" t="s">
        <v>2270</v>
      </c>
      <c r="M427" s="2" t="s">
        <v>206</v>
      </c>
      <c r="N427" s="2" t="s">
        <v>26</v>
      </c>
      <c r="O427" s="2" t="s">
        <v>2271</v>
      </c>
      <c r="P427" s="2" t="s">
        <v>2272</v>
      </c>
    </row>
    <row r="428" customFormat="false" ht="147" hidden="false" customHeight="false" outlineLevel="0" collapsed="false">
      <c r="A428" s="2" t="s">
        <v>2273</v>
      </c>
      <c r="B428" s="2" t="s">
        <v>2274</v>
      </c>
      <c r="C428" s="2" t="s">
        <v>741</v>
      </c>
      <c r="D428" s="2" t="s">
        <v>2141</v>
      </c>
      <c r="E428" s="2" t="s">
        <v>742</v>
      </c>
      <c r="F428" s="2" t="s">
        <v>21</v>
      </c>
      <c r="G428" s="2"/>
      <c r="H428" s="2" t="s">
        <v>2188</v>
      </c>
      <c r="I428" s="2"/>
      <c r="J428" s="2" t="s">
        <v>35</v>
      </c>
      <c r="K428" s="2" t="s">
        <v>35</v>
      </c>
      <c r="L428" s="2" t="s">
        <v>2189</v>
      </c>
      <c r="M428" s="2" t="s">
        <v>206</v>
      </c>
      <c r="N428" s="2" t="s">
        <v>36</v>
      </c>
      <c r="O428" s="2" t="s">
        <v>2275</v>
      </c>
      <c r="P428" s="2" t="s">
        <v>2276</v>
      </c>
    </row>
    <row r="429" customFormat="false" ht="68.65" hidden="false" customHeight="false" outlineLevel="0" collapsed="false">
      <c r="A429" s="2" t="s">
        <v>2277</v>
      </c>
      <c r="B429" s="2" t="s">
        <v>2278</v>
      </c>
      <c r="C429" s="2" t="s">
        <v>2279</v>
      </c>
      <c r="D429" s="2" t="s">
        <v>2141</v>
      </c>
      <c r="E429" s="2" t="s">
        <v>20</v>
      </c>
      <c r="F429" s="2" t="s">
        <v>42</v>
      </c>
      <c r="G429" s="2"/>
      <c r="H429" s="2" t="s">
        <v>2280</v>
      </c>
      <c r="I429" s="2"/>
      <c r="J429" s="2" t="s">
        <v>23</v>
      </c>
      <c r="K429" s="2" t="s">
        <v>35</v>
      </c>
      <c r="L429" s="2" t="s">
        <v>2280</v>
      </c>
      <c r="M429" s="2" t="s">
        <v>206</v>
      </c>
      <c r="N429" s="2" t="s">
        <v>26</v>
      </c>
      <c r="O429" s="2" t="s">
        <v>2281</v>
      </c>
      <c r="P429" s="2" t="s">
        <v>2282</v>
      </c>
    </row>
    <row r="430" customFormat="false" ht="57.45" hidden="false" customHeight="false" outlineLevel="0" collapsed="false">
      <c r="A430" s="2" t="s">
        <v>2283</v>
      </c>
      <c r="B430" s="2" t="s">
        <v>2284</v>
      </c>
      <c r="C430" s="2" t="s">
        <v>18</v>
      </c>
      <c r="D430" s="2" t="s">
        <v>2141</v>
      </c>
      <c r="E430" s="2" t="s">
        <v>20</v>
      </c>
      <c r="F430" s="2" t="s">
        <v>487</v>
      </c>
      <c r="G430" s="2"/>
      <c r="H430" s="2" t="s">
        <v>2285</v>
      </c>
      <c r="I430" s="2"/>
      <c r="J430" s="2" t="s">
        <v>23</v>
      </c>
      <c r="K430" s="2" t="s">
        <v>23</v>
      </c>
      <c r="L430" s="2" t="s">
        <v>2285</v>
      </c>
      <c r="M430" s="2" t="s">
        <v>25</v>
      </c>
      <c r="N430" s="2" t="s">
        <v>26</v>
      </c>
      <c r="O430" s="2" t="s">
        <v>2286</v>
      </c>
      <c r="P430" s="2" t="s">
        <v>2287</v>
      </c>
    </row>
    <row r="431" customFormat="false" ht="91" hidden="false" customHeight="false" outlineLevel="0" collapsed="false">
      <c r="A431" s="2" t="s">
        <v>2288</v>
      </c>
      <c r="B431" s="2" t="s">
        <v>2289</v>
      </c>
      <c r="C431" s="2" t="s">
        <v>18</v>
      </c>
      <c r="D431" s="2" t="s">
        <v>2141</v>
      </c>
      <c r="E431" s="2" t="s">
        <v>20</v>
      </c>
      <c r="F431" s="2" t="s">
        <v>487</v>
      </c>
      <c r="G431" s="2"/>
      <c r="H431" s="2" t="s">
        <v>2290</v>
      </c>
      <c r="I431" s="2"/>
      <c r="J431" s="2" t="s">
        <v>23</v>
      </c>
      <c r="K431" s="2" t="s">
        <v>23</v>
      </c>
      <c r="L431" s="2" t="s">
        <v>2290</v>
      </c>
      <c r="M431" s="2" t="s">
        <v>25</v>
      </c>
      <c r="N431" s="2" t="s">
        <v>26</v>
      </c>
      <c r="O431" s="2" t="s">
        <v>2291</v>
      </c>
      <c r="P431" s="2" t="s">
        <v>2292</v>
      </c>
    </row>
    <row r="432" customFormat="false" ht="91" hidden="false" customHeight="false" outlineLevel="0" collapsed="false">
      <c r="A432" s="2" t="s">
        <v>2293</v>
      </c>
      <c r="B432" s="2" t="s">
        <v>2294</v>
      </c>
      <c r="C432" s="2" t="s">
        <v>18</v>
      </c>
      <c r="D432" s="2" t="s">
        <v>2141</v>
      </c>
      <c r="E432" s="2" t="s">
        <v>161</v>
      </c>
      <c r="F432" s="2" t="s">
        <v>21</v>
      </c>
      <c r="G432" s="2"/>
      <c r="H432" s="2" t="s">
        <v>2295</v>
      </c>
      <c r="I432" s="2"/>
      <c r="J432" s="2" t="s">
        <v>23</v>
      </c>
      <c r="K432" s="2" t="s">
        <v>23</v>
      </c>
      <c r="L432" s="2" t="s">
        <v>2295</v>
      </c>
      <c r="M432" s="2" t="s">
        <v>25</v>
      </c>
      <c r="N432" s="2" t="s">
        <v>26</v>
      </c>
      <c r="O432" s="2" t="s">
        <v>2296</v>
      </c>
      <c r="P432" s="2" t="s">
        <v>2297</v>
      </c>
    </row>
    <row r="433" customFormat="false" ht="113.4" hidden="false" customHeight="false" outlineLevel="0" collapsed="false">
      <c r="A433" s="2" t="s">
        <v>2298</v>
      </c>
      <c r="B433" s="2" t="s">
        <v>2299</v>
      </c>
      <c r="C433" s="2" t="s">
        <v>18</v>
      </c>
      <c r="D433" s="2" t="s">
        <v>2141</v>
      </c>
      <c r="E433" s="2" t="s">
        <v>20</v>
      </c>
      <c r="F433" s="2" t="s">
        <v>21</v>
      </c>
      <c r="G433" s="2"/>
      <c r="H433" s="2" t="s">
        <v>2300</v>
      </c>
      <c r="I433" s="2"/>
      <c r="J433" s="2" t="s">
        <v>35</v>
      </c>
      <c r="K433" s="2" t="s">
        <v>23</v>
      </c>
      <c r="L433" s="2" t="s">
        <v>2300</v>
      </c>
      <c r="M433" s="2" t="s">
        <v>25</v>
      </c>
      <c r="N433" s="2" t="s">
        <v>26</v>
      </c>
      <c r="O433" s="2" t="s">
        <v>2301</v>
      </c>
      <c r="P433" s="2" t="s">
        <v>2302</v>
      </c>
    </row>
    <row r="434" customFormat="false" ht="57.45" hidden="false" customHeight="false" outlineLevel="0" collapsed="false">
      <c r="A434" s="2" t="s">
        <v>2303</v>
      </c>
      <c r="B434" s="2" t="s">
        <v>2304</v>
      </c>
      <c r="C434" s="2" t="s">
        <v>18</v>
      </c>
      <c r="D434" s="2" t="s">
        <v>2141</v>
      </c>
      <c r="E434" s="2" t="s">
        <v>20</v>
      </c>
      <c r="F434" s="2" t="s">
        <v>42</v>
      </c>
      <c r="G434" s="2"/>
      <c r="H434" s="2" t="s">
        <v>2305</v>
      </c>
      <c r="I434" s="2"/>
      <c r="J434" s="2" t="s">
        <v>23</v>
      </c>
      <c r="K434" s="2" t="s">
        <v>23</v>
      </c>
      <c r="L434" s="2" t="s">
        <v>2305</v>
      </c>
      <c r="M434" s="2" t="s">
        <v>25</v>
      </c>
      <c r="N434" s="2" t="s">
        <v>26</v>
      </c>
      <c r="O434" s="2" t="s">
        <v>2306</v>
      </c>
      <c r="P434" s="2" t="s">
        <v>2307</v>
      </c>
    </row>
    <row r="435" customFormat="false" ht="68.65" hidden="false" customHeight="false" outlineLevel="0" collapsed="false">
      <c r="A435" s="2" t="s">
        <v>2308</v>
      </c>
      <c r="B435" s="2" t="s">
        <v>2309</v>
      </c>
      <c r="C435" s="2" t="s">
        <v>2310</v>
      </c>
      <c r="D435" s="2" t="s">
        <v>2141</v>
      </c>
      <c r="E435" s="2" t="s">
        <v>20</v>
      </c>
      <c r="F435" s="2" t="s">
        <v>42</v>
      </c>
      <c r="G435" s="2"/>
      <c r="H435" s="2" t="s">
        <v>2311</v>
      </c>
      <c r="I435" s="2"/>
      <c r="J435" s="2" t="s">
        <v>23</v>
      </c>
      <c r="K435" s="2" t="s">
        <v>23</v>
      </c>
      <c r="L435" s="2" t="s">
        <v>2311</v>
      </c>
      <c r="M435" s="2" t="s">
        <v>25</v>
      </c>
      <c r="N435" s="2" t="s">
        <v>26</v>
      </c>
      <c r="O435" s="2" t="s">
        <v>2312</v>
      </c>
      <c r="P435" s="2" t="s">
        <v>2313</v>
      </c>
    </row>
    <row r="436" customFormat="false" ht="79.85" hidden="false" customHeight="false" outlineLevel="0" collapsed="false">
      <c r="A436" s="2" t="s">
        <v>2314</v>
      </c>
      <c r="B436" s="2" t="s">
        <v>2315</v>
      </c>
      <c r="C436" s="2" t="s">
        <v>18</v>
      </c>
      <c r="D436" s="2" t="s">
        <v>2141</v>
      </c>
      <c r="E436" s="2" t="s">
        <v>20</v>
      </c>
      <c r="F436" s="2" t="s">
        <v>487</v>
      </c>
      <c r="G436" s="2"/>
      <c r="H436" s="2" t="s">
        <v>2316</v>
      </c>
      <c r="I436" s="2"/>
      <c r="J436" s="2" t="s">
        <v>23</v>
      </c>
      <c r="K436" s="2" t="s">
        <v>23</v>
      </c>
      <c r="L436" s="2" t="s">
        <v>2317</v>
      </c>
      <c r="M436" s="2" t="s">
        <v>25</v>
      </c>
      <c r="N436" s="2" t="s">
        <v>36</v>
      </c>
      <c r="O436" s="2" t="s">
        <v>2318</v>
      </c>
      <c r="P436" s="2" t="s">
        <v>2319</v>
      </c>
    </row>
    <row r="437" customFormat="false" ht="68.65" hidden="false" customHeight="false" outlineLevel="0" collapsed="false">
      <c r="A437" s="2" t="s">
        <v>2320</v>
      </c>
      <c r="B437" s="2" t="s">
        <v>2321</v>
      </c>
      <c r="C437" s="2" t="s">
        <v>18</v>
      </c>
      <c r="D437" s="2" t="s">
        <v>2141</v>
      </c>
      <c r="E437" s="2" t="s">
        <v>20</v>
      </c>
      <c r="F437" s="2" t="s">
        <v>32</v>
      </c>
      <c r="G437" s="2"/>
      <c r="H437" s="2" t="s">
        <v>2322</v>
      </c>
      <c r="I437" s="2"/>
      <c r="J437" s="2" t="s">
        <v>23</v>
      </c>
      <c r="K437" s="2" t="s">
        <v>23</v>
      </c>
      <c r="L437" s="2" t="s">
        <v>2322</v>
      </c>
      <c r="M437" s="2" t="s">
        <v>25</v>
      </c>
      <c r="N437" s="2" t="s">
        <v>36</v>
      </c>
      <c r="O437" s="2" t="s">
        <v>2323</v>
      </c>
      <c r="P437" s="2" t="s">
        <v>2324</v>
      </c>
    </row>
    <row r="438" customFormat="false" ht="46.25" hidden="false" customHeight="false" outlineLevel="0" collapsed="false">
      <c r="A438" s="2" t="s">
        <v>2325</v>
      </c>
      <c r="B438" s="2" t="s">
        <v>2326</v>
      </c>
      <c r="C438" s="2" t="s">
        <v>18</v>
      </c>
      <c r="D438" s="2" t="s">
        <v>2141</v>
      </c>
      <c r="E438" s="2" t="s">
        <v>20</v>
      </c>
      <c r="F438" s="2" t="s">
        <v>42</v>
      </c>
      <c r="G438" s="2"/>
      <c r="H438" s="2" t="s">
        <v>2322</v>
      </c>
      <c r="I438" s="2"/>
      <c r="J438" s="2" t="s">
        <v>23</v>
      </c>
      <c r="K438" s="2" t="s">
        <v>23</v>
      </c>
      <c r="L438" s="2" t="s">
        <v>2322</v>
      </c>
      <c r="M438" s="2" t="s">
        <v>25</v>
      </c>
      <c r="N438" s="2" t="s">
        <v>36</v>
      </c>
      <c r="O438" s="2" t="s">
        <v>2327</v>
      </c>
      <c r="P438" s="2" t="s">
        <v>2328</v>
      </c>
    </row>
    <row r="439" customFormat="false" ht="35.05" hidden="false" customHeight="false" outlineLevel="0" collapsed="false">
      <c r="A439" s="2" t="s">
        <v>2329</v>
      </c>
      <c r="B439" s="2" t="s">
        <v>2330</v>
      </c>
      <c r="C439" s="2" t="s">
        <v>18</v>
      </c>
      <c r="D439" s="2" t="s">
        <v>2141</v>
      </c>
      <c r="E439" s="2" t="s">
        <v>20</v>
      </c>
      <c r="F439" s="2" t="s">
        <v>487</v>
      </c>
      <c r="G439" s="2"/>
      <c r="H439" s="2" t="s">
        <v>2322</v>
      </c>
      <c r="I439" s="2"/>
      <c r="J439" s="2" t="s">
        <v>23</v>
      </c>
      <c r="K439" s="2" t="s">
        <v>23</v>
      </c>
      <c r="L439" s="2" t="s">
        <v>2322</v>
      </c>
      <c r="M439" s="2" t="s">
        <v>25</v>
      </c>
      <c r="N439" s="2" t="s">
        <v>36</v>
      </c>
      <c r="O439" s="2" t="s">
        <v>2331</v>
      </c>
      <c r="P439" s="2" t="s">
        <v>2332</v>
      </c>
    </row>
    <row r="440" customFormat="false" ht="68.65" hidden="false" customHeight="false" outlineLevel="0" collapsed="false">
      <c r="A440" s="2" t="s">
        <v>2333</v>
      </c>
      <c r="B440" s="2" t="s">
        <v>2334</v>
      </c>
      <c r="C440" s="2" t="s">
        <v>18</v>
      </c>
      <c r="D440" s="2" t="s">
        <v>2141</v>
      </c>
      <c r="E440" s="2" t="s">
        <v>161</v>
      </c>
      <c r="F440" s="2" t="s">
        <v>530</v>
      </c>
      <c r="G440" s="2"/>
      <c r="H440" s="2" t="s">
        <v>2322</v>
      </c>
      <c r="I440" s="2"/>
      <c r="J440" s="2" t="s">
        <v>23</v>
      </c>
      <c r="K440" s="2" t="s">
        <v>23</v>
      </c>
      <c r="L440" s="2" t="s">
        <v>2322</v>
      </c>
      <c r="M440" s="2" t="s">
        <v>25</v>
      </c>
      <c r="N440" s="2" t="s">
        <v>26</v>
      </c>
      <c r="O440" s="2" t="s">
        <v>2335</v>
      </c>
      <c r="P440" s="2" t="s">
        <v>2336</v>
      </c>
    </row>
    <row r="441" customFormat="false" ht="68.65" hidden="false" customHeight="false" outlineLevel="0" collapsed="false">
      <c r="A441" s="2" t="s">
        <v>2337</v>
      </c>
      <c r="B441" s="2" t="s">
        <v>2338</v>
      </c>
      <c r="C441" s="2" t="s">
        <v>18</v>
      </c>
      <c r="D441" s="2" t="s">
        <v>2141</v>
      </c>
      <c r="E441" s="2" t="s">
        <v>549</v>
      </c>
      <c r="F441" s="2" t="s">
        <v>179</v>
      </c>
      <c r="G441" s="2"/>
      <c r="H441" s="2" t="s">
        <v>2339</v>
      </c>
      <c r="I441" s="2"/>
      <c r="J441" s="2" t="s">
        <v>23</v>
      </c>
      <c r="K441" s="2" t="s">
        <v>35</v>
      </c>
      <c r="L441" s="2" t="s">
        <v>2339</v>
      </c>
      <c r="M441" s="2" t="s">
        <v>206</v>
      </c>
      <c r="N441" s="2" t="s">
        <v>26</v>
      </c>
      <c r="O441" s="2" t="s">
        <v>2340</v>
      </c>
      <c r="P441" s="2" t="s">
        <v>2341</v>
      </c>
    </row>
    <row r="442" customFormat="false" ht="68.65" hidden="false" customHeight="false" outlineLevel="0" collapsed="false">
      <c r="A442" s="2" t="s">
        <v>2342</v>
      </c>
      <c r="B442" s="2" t="s">
        <v>2343</v>
      </c>
      <c r="C442" s="2" t="s">
        <v>18</v>
      </c>
      <c r="D442" s="2" t="s">
        <v>2141</v>
      </c>
      <c r="E442" s="2" t="s">
        <v>549</v>
      </c>
      <c r="F442" s="2" t="s">
        <v>179</v>
      </c>
      <c r="G442" s="2"/>
      <c r="H442" s="2" t="s">
        <v>2339</v>
      </c>
      <c r="I442" s="2"/>
      <c r="J442" s="2" t="s">
        <v>23</v>
      </c>
      <c r="K442" s="2" t="s">
        <v>35</v>
      </c>
      <c r="L442" s="2" t="s">
        <v>2339</v>
      </c>
      <c r="M442" s="2" t="s">
        <v>206</v>
      </c>
      <c r="N442" s="2" t="s">
        <v>26</v>
      </c>
      <c r="O442" s="2" t="s">
        <v>2340</v>
      </c>
      <c r="P442" s="2" t="s">
        <v>2341</v>
      </c>
    </row>
    <row r="443" customFormat="false" ht="68.65" hidden="false" customHeight="false" outlineLevel="0" collapsed="false">
      <c r="A443" s="2" t="s">
        <v>2344</v>
      </c>
      <c r="B443" s="2" t="s">
        <v>2345</v>
      </c>
      <c r="C443" s="2" t="s">
        <v>18</v>
      </c>
      <c r="D443" s="2" t="s">
        <v>2141</v>
      </c>
      <c r="E443" s="2" t="s">
        <v>549</v>
      </c>
      <c r="F443" s="2" t="s">
        <v>179</v>
      </c>
      <c r="G443" s="2"/>
      <c r="H443" s="2" t="s">
        <v>2346</v>
      </c>
      <c r="I443" s="2"/>
      <c r="J443" s="2" t="s">
        <v>23</v>
      </c>
      <c r="K443" s="2" t="s">
        <v>35</v>
      </c>
      <c r="L443" s="2" t="s">
        <v>2346</v>
      </c>
      <c r="M443" s="2" t="s">
        <v>206</v>
      </c>
      <c r="N443" s="2" t="s">
        <v>26</v>
      </c>
      <c r="O443" s="2" t="s">
        <v>2347</v>
      </c>
      <c r="P443" s="2" t="s">
        <v>2348</v>
      </c>
    </row>
    <row r="444" customFormat="false" ht="113.4" hidden="false" customHeight="false" outlineLevel="0" collapsed="false">
      <c r="A444" s="2" t="s">
        <v>2349</v>
      </c>
      <c r="B444" s="2" t="s">
        <v>2350</v>
      </c>
      <c r="C444" s="2" t="s">
        <v>18</v>
      </c>
      <c r="D444" s="2" t="s">
        <v>2141</v>
      </c>
      <c r="E444" s="2" t="s">
        <v>1129</v>
      </c>
      <c r="F444" s="2" t="s">
        <v>21</v>
      </c>
      <c r="G444" s="2"/>
      <c r="H444" s="2" t="s">
        <v>2351</v>
      </c>
      <c r="I444" s="2"/>
      <c r="J444" s="2" t="s">
        <v>35</v>
      </c>
      <c r="K444" s="2" t="s">
        <v>35</v>
      </c>
      <c r="L444" s="2" t="s">
        <v>2352</v>
      </c>
      <c r="M444" s="2" t="s">
        <v>206</v>
      </c>
      <c r="N444" s="2" t="s">
        <v>26</v>
      </c>
      <c r="O444" s="2" t="s">
        <v>2353</v>
      </c>
      <c r="P444" s="2" t="s">
        <v>2354</v>
      </c>
    </row>
    <row r="445" customFormat="false" ht="113.4" hidden="false" customHeight="false" outlineLevel="0" collapsed="false">
      <c r="A445" s="2" t="s">
        <v>2355</v>
      </c>
      <c r="B445" s="2" t="s">
        <v>2356</v>
      </c>
      <c r="C445" s="2" t="s">
        <v>2357</v>
      </c>
      <c r="D445" s="2" t="s">
        <v>2141</v>
      </c>
      <c r="E445" s="2" t="s">
        <v>549</v>
      </c>
      <c r="F445" s="2" t="s">
        <v>530</v>
      </c>
      <c r="G445" s="2"/>
      <c r="H445" s="2" t="s">
        <v>2351</v>
      </c>
      <c r="I445" s="2"/>
      <c r="J445" s="2" t="s">
        <v>35</v>
      </c>
      <c r="K445" s="2" t="s">
        <v>35</v>
      </c>
      <c r="L445" s="2" t="s">
        <v>2351</v>
      </c>
      <c r="M445" s="2" t="s">
        <v>206</v>
      </c>
      <c r="N445" s="2" t="s">
        <v>26</v>
      </c>
      <c r="O445" s="2" t="s">
        <v>2358</v>
      </c>
      <c r="P445" s="2" t="s">
        <v>2359</v>
      </c>
    </row>
    <row r="446" customFormat="false" ht="113.4" hidden="false" customHeight="false" outlineLevel="0" collapsed="false">
      <c r="A446" s="2" t="s">
        <v>2360</v>
      </c>
      <c r="B446" s="2" t="s">
        <v>2361</v>
      </c>
      <c r="C446" s="2" t="s">
        <v>2357</v>
      </c>
      <c r="D446" s="2" t="s">
        <v>2141</v>
      </c>
      <c r="E446" s="2" t="s">
        <v>549</v>
      </c>
      <c r="F446" s="2" t="s">
        <v>530</v>
      </c>
      <c r="G446" s="2"/>
      <c r="H446" s="2" t="s">
        <v>2351</v>
      </c>
      <c r="I446" s="2"/>
      <c r="J446" s="2" t="s">
        <v>35</v>
      </c>
      <c r="K446" s="2" t="s">
        <v>35</v>
      </c>
      <c r="L446" s="2" t="s">
        <v>2351</v>
      </c>
      <c r="M446" s="2" t="s">
        <v>206</v>
      </c>
      <c r="N446" s="2" t="s">
        <v>26</v>
      </c>
      <c r="O446" s="2" t="s">
        <v>2358</v>
      </c>
      <c r="P446" s="2" t="s">
        <v>2359</v>
      </c>
    </row>
    <row r="447" customFormat="false" ht="113.4" hidden="false" customHeight="false" outlineLevel="0" collapsed="false">
      <c r="A447" s="2" t="s">
        <v>2362</v>
      </c>
      <c r="B447" s="2" t="s">
        <v>2363</v>
      </c>
      <c r="C447" s="2" t="s">
        <v>161</v>
      </c>
      <c r="D447" s="2" t="s">
        <v>2141</v>
      </c>
      <c r="E447" s="2" t="s">
        <v>161</v>
      </c>
      <c r="F447" s="2" t="s">
        <v>530</v>
      </c>
      <c r="G447" s="2"/>
      <c r="H447" s="2" t="s">
        <v>2351</v>
      </c>
      <c r="I447" s="2"/>
      <c r="J447" s="2" t="s">
        <v>35</v>
      </c>
      <c r="K447" s="2" t="s">
        <v>35</v>
      </c>
      <c r="L447" s="2" t="s">
        <v>2351</v>
      </c>
      <c r="M447" s="2" t="s">
        <v>206</v>
      </c>
      <c r="N447" s="2" t="s">
        <v>26</v>
      </c>
      <c r="O447" s="2" t="s">
        <v>2364</v>
      </c>
      <c r="P447" s="2" t="s">
        <v>2365</v>
      </c>
    </row>
    <row r="448" customFormat="false" ht="35.05" hidden="false" customHeight="false" outlineLevel="0" collapsed="false">
      <c r="A448" s="2" t="s">
        <v>2366</v>
      </c>
      <c r="B448" s="2" t="s">
        <v>2367</v>
      </c>
      <c r="C448" s="2" t="s">
        <v>18</v>
      </c>
      <c r="D448" s="2" t="s">
        <v>2141</v>
      </c>
      <c r="E448" s="2" t="s">
        <v>161</v>
      </c>
      <c r="F448" s="2" t="s">
        <v>179</v>
      </c>
      <c r="G448" s="2"/>
      <c r="H448" s="2" t="s">
        <v>2368</v>
      </c>
      <c r="I448" s="2"/>
      <c r="J448" s="2" t="s">
        <v>23</v>
      </c>
      <c r="K448" s="2" t="s">
        <v>23</v>
      </c>
      <c r="L448" s="2" t="s">
        <v>2368</v>
      </c>
      <c r="M448" s="2" t="s">
        <v>206</v>
      </c>
      <c r="N448" s="2" t="s">
        <v>26</v>
      </c>
      <c r="O448" s="2" t="s">
        <v>2369</v>
      </c>
      <c r="P448" s="2" t="s">
        <v>2370</v>
      </c>
    </row>
  </sheetData>
  <autoFilter ref="A1:P4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4" min="2" style="0" width="34"/>
  </cols>
  <sheetData>
    <row r="1" customFormat="false" ht="23.85" hidden="false" customHeight="false" outlineLevel="0" collapsed="false">
      <c r="A1" s="1" t="s">
        <v>3</v>
      </c>
      <c r="B1" s="1" t="s">
        <v>2371</v>
      </c>
      <c r="C1" s="1" t="s">
        <v>2372</v>
      </c>
      <c r="D1" s="1" t="s">
        <v>2373</v>
      </c>
    </row>
    <row r="2" customFormat="false" ht="15" hidden="false" customHeight="false" outlineLevel="0" collapsed="false">
      <c r="A2" s="2" t="s">
        <v>19</v>
      </c>
      <c r="B2" s="2" t="n">
        <v>121</v>
      </c>
      <c r="C2" s="2" t="n">
        <f aca="false">COUNTIF('Project Ledger'!D:D,"*Civil &amp; Site*")</f>
        <v>121</v>
      </c>
      <c r="D2" s="2" t="s">
        <v>2374</v>
      </c>
    </row>
    <row r="3" customFormat="false" ht="23.85" hidden="false" customHeight="false" outlineLevel="0" collapsed="false">
      <c r="A3" s="2" t="s">
        <v>645</v>
      </c>
      <c r="B3" s="2" t="n">
        <v>114</v>
      </c>
      <c r="C3" s="2" t="n">
        <f aca="false">COUNTIF('Project Ledger'!D:D,"*Process &amp; Mechanical*")</f>
        <v>114</v>
      </c>
      <c r="D3" s="2" t="s">
        <v>2375</v>
      </c>
    </row>
    <row r="4" customFormat="false" ht="23.85" hidden="false" customHeight="false" outlineLevel="0" collapsed="false">
      <c r="A4" s="2" t="s">
        <v>1281</v>
      </c>
      <c r="B4" s="2" t="n">
        <v>126</v>
      </c>
      <c r="C4" s="2" t="n">
        <f aca="false">COUNTIF('Project Ledger'!D:D,"*Electrical &amp; Controls*")</f>
        <v>126</v>
      </c>
      <c r="D4" s="2" t="s">
        <v>2376</v>
      </c>
    </row>
    <row r="5" customFormat="false" ht="23.85" hidden="false" customHeight="false" outlineLevel="0" collapsed="false">
      <c r="A5" s="2" t="s">
        <v>1922</v>
      </c>
      <c r="B5" s="2" t="n">
        <v>45</v>
      </c>
      <c r="C5" s="2" t="n">
        <f aca="false">COUNTIF('Project Ledger'!D:D,"*Structural &amp; Building*")</f>
        <v>45</v>
      </c>
      <c r="D5" s="2" t="s">
        <v>2377</v>
      </c>
    </row>
    <row r="6" customFormat="false" ht="23.85" hidden="false" customHeight="false" outlineLevel="0" collapsed="false">
      <c r="A6" s="2" t="s">
        <v>2141</v>
      </c>
      <c r="B6" s="2" t="n">
        <v>49</v>
      </c>
      <c r="C6" s="2" t="n">
        <f aca="false">COUNTIF('Project Ledger'!D:D,"*Contract &amp; General*")</f>
        <v>49</v>
      </c>
      <c r="D6" s="2" t="s">
        <v>2378</v>
      </c>
    </row>
    <row r="7" customFormat="false" ht="23.85" hidden="false" customHeight="false" outlineLevel="0" collapsed="false">
      <c r="A7" s="2" t="s">
        <v>2379</v>
      </c>
      <c r="B7" s="2" t="n">
        <f aca="false">SUM(B2:B6)</f>
        <v>455</v>
      </c>
      <c r="C7" s="2" t="n">
        <f aca="false">COUNTA('Project Ledger'!A:A)-1</f>
        <v>447</v>
      </c>
      <c r="D7" s="2" t="s">
        <v>2380</v>
      </c>
    </row>
    <row r="8" customFormat="false" ht="15" hidden="false" customHeight="false" outlineLevel="0" collapsed="false">
      <c r="A8" s="2"/>
      <c r="B8" s="2"/>
      <c r="C8" s="2"/>
      <c r="D8" s="2"/>
    </row>
    <row r="9" customFormat="false" ht="15" hidden="false" customHeight="false" outlineLevel="0" collapsed="false">
      <c r="A9" s="2" t="s">
        <v>2381</v>
      </c>
      <c r="B9" s="2" t="n">
        <f aca="false">B7-C7</f>
        <v>8</v>
      </c>
      <c r="C9" s="2"/>
      <c r="D9" s="2"/>
    </row>
    <row r="10" customFormat="false" ht="15" hidden="false" customHeight="false" outlineLevel="0" collapsed="false">
      <c r="A10" s="2"/>
      <c r="B10" s="2"/>
      <c r="C10" s="2"/>
      <c r="D10" s="2"/>
    </row>
    <row r="11" customFormat="false" ht="46.25" hidden="false" customHeight="false" outlineLevel="0" collapsed="false">
      <c r="A11" s="2" t="s">
        <v>2382</v>
      </c>
      <c r="B11" s="2"/>
      <c r="C11" s="2"/>
      <c r="D11" s="2"/>
    </row>
    <row r="12" customFormat="false" ht="23.85" hidden="false" customHeight="false" outlineLevel="0" collapsed="false">
      <c r="A12" s="2" t="s">
        <v>2383</v>
      </c>
      <c r="B12" s="2"/>
      <c r="C12" s="2"/>
      <c r="D12" s="2"/>
    </row>
    <row r="13" customFormat="false" ht="46.25" hidden="false" customHeight="false" outlineLevel="0" collapsed="false">
      <c r="A13" s="2" t="s">
        <v>2384</v>
      </c>
      <c r="B13" s="2"/>
      <c r="C13" s="2"/>
      <c r="D13" s="2"/>
    </row>
    <row r="14" customFormat="false" ht="23.85" hidden="false" customHeight="false" outlineLevel="0" collapsed="false">
      <c r="A14" s="2" t="s">
        <v>2385</v>
      </c>
      <c r="B14" s="2"/>
      <c r="C14" s="2"/>
      <c r="D14" s="2"/>
    </row>
    <row r="15" customFormat="false" ht="46.25" hidden="false" customHeight="false" outlineLevel="0" collapsed="false">
      <c r="A15" s="2" t="s">
        <v>2386</v>
      </c>
      <c r="B15" s="2"/>
      <c r="C15" s="2"/>
      <c r="D15" s="2"/>
    </row>
    <row r="16" customFormat="false" ht="35.05" hidden="false" customHeight="false" outlineLevel="0" collapsed="false">
      <c r="A16" s="2" t="s">
        <v>2387</v>
      </c>
      <c r="B16" s="2"/>
      <c r="C16" s="2"/>
      <c r="D16" s="2"/>
    </row>
    <row r="17" customFormat="false" ht="23.85" hidden="false" customHeight="false" outlineLevel="0" collapsed="false">
      <c r="A17" s="2" t="s">
        <v>2388</v>
      </c>
      <c r="B17" s="2"/>
      <c r="C17" s="2"/>
      <c r="D1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2026-09-30T14:53:49Z</dcterms:created>
  <dc:creator>openpyxl</dc:creator>
  <dc:description/>
  <dc:language>en-US</dc:language>
  <cp:lastModifiedBy/>
  <dcterms:modified xsi:type="dcterms:W3CDTF">2026-09-30T14:53:49Z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