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 Summary" sheetId="1" state="visible" r:id="rId3"/>
    <sheet name="Tracker" sheetId="2" state="visible" r:id="rId4"/>
    <sheet name="Rules of Credit" sheetId="3" state="visible" r:id="rId5"/>
    <sheet name="Schedule" sheetId="4" state="visible" r:id="rId6"/>
    <sheet name="Legend" sheetId="5" state="visible" r:id="rId7"/>
  </sheets>
  <definedNames>
    <definedName function="false" hidden="true" localSheetId="1" name="_xlnm._FilterDatabase" vbProcedure="false">Tracker!$A$4:$AH$467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<sst xmlns="http://schemas.openxmlformats.org/spreadsheetml/2006/main" count="7819" uniqueCount="2320">
  <si>
    <t xml:space="preserve">Installation Tracker — Summary by CWP</t>
  </si>
  <si>
    <t xml:space="preserve">Status date</t>
  </si>
  <si>
    <t xml:space="preserve">Input — set to the reporting date. Default = Notice to Proceed (Mar 15, 2023); no actual progress is entered in this sample.</t>
  </si>
  <si>
    <t xml:space="preserve">CWP</t>
  </si>
  <si>
    <t xml:space="preserve">Name</t>
  </si>
  <si>
    <t xml:space="preserve">Items</t>
  </si>
  <si>
    <t xml:space="preserve">Weight</t>
  </si>
  <si>
    <t xml:space="preserve">Planned %</t>
  </si>
  <si>
    <t xml:space="preserve">Earned %</t>
  </si>
  <si>
    <t xml:space="preserve">Variance</t>
  </si>
  <si>
    <t xml:space="preserve">Not started</t>
  </si>
  <si>
    <t xml:space="preserve">On track</t>
  </si>
  <si>
    <t xml:space="preserve">Behind</t>
  </si>
  <si>
    <t xml:space="preserve">Overdue</t>
  </si>
  <si>
    <t xml:space="preserve">Complete</t>
  </si>
  <si>
    <t xml:space="preserve">Planned start</t>
  </si>
  <si>
    <t xml:space="preserve">Planned finish</t>
  </si>
  <si>
    <t xml:space="preserve">CWP 01</t>
  </si>
  <si>
    <t xml:space="preserve">General Requirements &amp; Temporary Works</t>
  </si>
  <si>
    <t xml:space="preserve">CWP 02</t>
  </si>
  <si>
    <t xml:space="preserve">Demolition &amp; Existing Conditions</t>
  </si>
  <si>
    <t xml:space="preserve">CWP 03</t>
  </si>
  <si>
    <t xml:space="preserve">Concrete (Cast-in-Place &amp; Precast)</t>
  </si>
  <si>
    <t xml:space="preserve">CWP 05</t>
  </si>
  <si>
    <t xml:space="preserve">Metals (Grating, Railings, Ladders, Stairs)</t>
  </si>
  <si>
    <t xml:space="preserve">CWP 08</t>
  </si>
  <si>
    <t xml:space="preserve">Doors, Frames &amp; Hardware</t>
  </si>
  <si>
    <t xml:space="preserve">CWP 09</t>
  </si>
  <si>
    <t xml:space="preserve">Painting &amp; Coatings</t>
  </si>
  <si>
    <t xml:space="preserve">CWP 10</t>
  </si>
  <si>
    <t xml:space="preserve">Specialties</t>
  </si>
  <si>
    <t xml:space="preserve">CWP 13</t>
  </si>
  <si>
    <t xml:space="preserve">Pre-Engineered Metal Building</t>
  </si>
  <si>
    <t xml:space="preserve">CWP 22</t>
  </si>
  <si>
    <t xml:space="preserve">Plumbing &amp; Process Pumps</t>
  </si>
  <si>
    <t xml:space="preserve">CWP 23</t>
  </si>
  <si>
    <t xml:space="preserve">HVAC &amp; Ventilation</t>
  </si>
  <si>
    <t xml:space="preserve">CWP 26</t>
  </si>
  <si>
    <t xml:space="preserve">Electrical, Instrumentation &amp; Controls</t>
  </si>
  <si>
    <t xml:space="preserve">CWP 31</t>
  </si>
  <si>
    <t xml:space="preserve">Earthwork, Dewatering &amp; Erosion Control</t>
  </si>
  <si>
    <t xml:space="preserve">CWP 32</t>
  </si>
  <si>
    <t xml:space="preserve">Paving, Fencing, Walls &amp; Landscaping</t>
  </si>
  <si>
    <t xml:space="preserve">CWP 33</t>
  </si>
  <si>
    <t xml:space="preserve">Yard Piping &amp; Utilities</t>
  </si>
  <si>
    <t xml:space="preserve">CWP 40</t>
  </si>
  <si>
    <t xml:space="preserve">Process Interconnections</t>
  </si>
  <si>
    <t xml:space="preserve">CWP 41</t>
  </si>
  <si>
    <t xml:space="preserve">Material Handling (Screw Conveyors)</t>
  </si>
  <si>
    <t xml:space="preserve">CWP 43</t>
  </si>
  <si>
    <t xml:space="preserve">Blowers &amp; 2W Plant Water System</t>
  </si>
  <si>
    <t xml:space="preserve">CWP 45</t>
  </si>
  <si>
    <t xml:space="preserve">Process Valves</t>
  </si>
  <si>
    <t xml:space="preserve">CWP 46</t>
  </si>
  <si>
    <t xml:space="preserve">Treatment Equipment</t>
  </si>
  <si>
    <t xml:space="preserve">Total</t>
  </si>
  <si>
    <t xml:space="preserve">Eastsound WWTP Upgrade Phase I — Installation Tracker by CWP (proof of concept)</t>
  </si>
  <si>
    <t xml:space="preserve">Blue cells are inputs (dates or N/A). Planned dates come from the Schedule tab; progress uses the Rules of Credit tab; status date is on Tracker Summary. Rows sharing an item with another row are listed in 'Also tracked as' — update one of them.</t>
  </si>
  <si>
    <t xml:space="preserve">Row</t>
  </si>
  <si>
    <t xml:space="preserve">Tag</t>
  </si>
  <si>
    <t xml:space="preserve">Item</t>
  </si>
  <si>
    <t xml:space="preserve">Area/Building</t>
  </si>
  <si>
    <t xml:space="preserve">Work type</t>
  </si>
  <si>
    <t xml:space="preserve">Schedule activity ID</t>
  </si>
  <si>
    <t xml:space="preserve">Submittal approved</t>
  </si>
  <si>
    <t xml:space="preserve">On site / ready</t>
  </si>
  <si>
    <t xml:space="preserve">Installed / removed</t>
  </si>
  <si>
    <t xml:space="preserve">Tested / inspected</t>
  </si>
  <si>
    <t xml:space="preserve">Turned over / closed</t>
  </si>
  <si>
    <t xml:space="preserve">Flag</t>
  </si>
  <si>
    <t xml:space="preserve">Remarks</t>
  </si>
  <si>
    <t xml:space="preserve">Schedule activity</t>
  </si>
  <si>
    <t xml:space="preserve">Submittal approve-by</t>
  </si>
  <si>
    <t xml:space="preserve">Submittal req</t>
  </si>
  <si>
    <t xml:space="preserve">Testing req</t>
  </si>
  <si>
    <t xml:space="preserve">Submittal lines</t>
  </si>
  <si>
    <t xml:space="preserve">ITP lines</t>
  </si>
  <si>
    <t xml:space="preserve">Also tracked as (same item)</t>
  </si>
  <si>
    <t xml:space="preserve">Open exceptions</t>
  </si>
  <si>
    <t xml:space="preserve">Ledger tag level</t>
  </si>
  <si>
    <t xml:space="preserve">Bid item</t>
  </si>
  <si>
    <t xml:space="preserve">Drawing sheets</t>
  </si>
  <si>
    <t xml:space="preserve">Spec sections</t>
  </si>
  <si>
    <t xml:space="preserve">Wiki note(s)</t>
  </si>
  <si>
    <t xml:space="preserve">Lane</t>
  </si>
  <si>
    <t xml:space="preserve">Section</t>
  </si>
  <si>
    <t xml:space="preserve">PROPOSED-Off-site staging area</t>
  </si>
  <si>
    <t xml:space="preserve">Contractor staging area off Mt Baker Road, with vehicle path to the project site</t>
  </si>
  <si>
    <t xml:space="preserve">Site (off-site staging)</t>
  </si>
  <si>
    <t xml:space="preserve">Temporary</t>
  </si>
  <si>
    <t xml:space="preserve">01-C02</t>
  </si>
  <si>
    <t xml:space="preserve">N</t>
  </si>
  <si>
    <t xml:space="preserve">Inferred</t>
  </si>
  <si>
    <t xml:space="preserve">1</t>
  </si>
  <si>
    <t xml:space="preserve">C0.6</t>
  </si>
  <si>
    <t xml:space="preserve">Civil &amp; Site</t>
  </si>
  <si>
    <t xml:space="preserve">PROPOSED-Temporary construction sign</t>
  </si>
  <si>
    <t xml:space="preserve">Temporary construction sign, 4 x 8 ft plywood, Ecology and CDBG Commerce requirements</t>
  </si>
  <si>
    <t xml:space="preserve">Site</t>
  </si>
  <si>
    <t xml:space="preserve">Y</t>
  </si>
  <si>
    <t xml:space="preserve">PROPOSED-Funding-Recognition-Sign (Contract &amp; General)</t>
  </si>
  <si>
    <t xml:space="preserve">#72</t>
  </si>
  <si>
    <t xml:space="preserve">—</t>
  </si>
  <si>
    <t xml:space="preserve">15 08 13</t>
  </si>
  <si>
    <t xml:space="preserve">PROPOSED-Funding-Recognition-Sign</t>
  </si>
  <si>
    <t xml:space="preserve">Funding recognition sign (Ecology financial assistance)</t>
  </si>
  <si>
    <t xml:space="preserve">PROPOSED-Temporary construction sign (Civil &amp; Site)</t>
  </si>
  <si>
    <t xml:space="preserve">#72, #250</t>
  </si>
  <si>
    <t xml:space="preserve">00 53 00</t>
  </si>
  <si>
    <t xml:space="preserve">Contract &amp; General</t>
  </si>
  <si>
    <t xml:space="preserve">PROPOSED-Temporary-Barriers</t>
  </si>
  <si>
    <t xml:space="preserve">Temporary barriers at openings and hazards (fencing, railing, barricades, steel plates, with warning signs or lights)</t>
  </si>
  <si>
    <t xml:space="preserve">00 73 00; 01 50 00</t>
  </si>
  <si>
    <t xml:space="preserve">PROPOSED-Temporary-Pump-and-Process-Equipment</t>
  </si>
  <si>
    <t xml:space="preserve">Temporary pump and process equipment (removed at Final Completion)</t>
  </si>
  <si>
    <t xml:space="preserve">Not stated</t>
  </si>
  <si>
    <t xml:space="preserve">#251</t>
  </si>
  <si>
    <t xml:space="preserve">00 73 00; 01 50 00; 01 70 00</t>
  </si>
  <si>
    <t xml:space="preserve">PROPOSED-Contractor-Field-Office</t>
  </si>
  <si>
    <t xml:space="preserve">Contractor's field office (optional)</t>
  </si>
  <si>
    <t xml:space="preserve">Unresolved</t>
  </si>
  <si>
    <t xml:space="preserve">01 50 00; 01 31 00</t>
  </si>
  <si>
    <t xml:space="preserve">01 50 00; 01 31 00; CQA Plan</t>
  </si>
  <si>
    <t xml:space="preserve">PROPOSED-Temporary-Construction-Water-Connection</t>
  </si>
  <si>
    <t xml:space="preserve">Temporary metered construction water connection with backflow preventer (if agreed)</t>
  </si>
  <si>
    <t xml:space="preserve">01 50 00</t>
  </si>
  <si>
    <t xml:space="preserve">PROPOSED-Temporary-Sanitary-Facilities</t>
  </si>
  <si>
    <t xml:space="preserve">Temporary restrooms (contract service allowed)</t>
  </si>
  <si>
    <t xml:space="preserve">PROPOSED-Temporary bypass pumping system</t>
  </si>
  <si>
    <t xml:space="preserve">Temporary bypass pumping, piping, holding tanks and storage</t>
  </si>
  <si>
    <t xml:space="preserve">01-C01</t>
  </si>
  <si>
    <t xml:space="preserve">PROPOSED-Temporary-Bypass-Pipe (Contract &amp; General); PROPOSED-Temporary-Bypass-Alarm-Monitoring (Contract &amp; General); PROPOSED-Bypass-Pumping-System (Contract &amp; General)</t>
  </si>
  <si>
    <t xml:space="preserve">#68</t>
  </si>
  <si>
    <t xml:space="preserve">G0.3; C0.5</t>
  </si>
  <si>
    <t xml:space="preserve">G0.3; C0.5; Appendix F</t>
  </si>
  <si>
    <t xml:space="preserve">PROPOSED-Temporary-Bypass-Pipe</t>
  </si>
  <si>
    <t xml:space="preserve">Temporary bypass pipe (chlorine contact tank outlet to 8-inch plant outlet)</t>
  </si>
  <si>
    <t xml:space="preserve">PROPOSED-Temporary bypass pumping system (Civil &amp; Site)</t>
  </si>
  <si>
    <t xml:space="preserve">#68, #250</t>
  </si>
  <si>
    <t xml:space="preserve">00 31 13</t>
  </si>
  <si>
    <t xml:space="preserve">PROPOSED-Bypass-Pumping-System</t>
  </si>
  <si>
    <t xml:space="preserve">Bypass pumping systems (influent and effluent) for WWTP shutdowns</t>
  </si>
  <si>
    <t xml:space="preserve">#68, #250, #251</t>
  </si>
  <si>
    <t xml:space="preserve">01 33 00; 01 50 00</t>
  </si>
  <si>
    <t xml:space="preserve">PROPOSED-Temporary-Bypass-Alarm-Monitoring</t>
  </si>
  <si>
    <t xml:space="preserve">Temporary bypass alarm and status monitoring (cellular notification; wired to the existing WWTP control system)</t>
  </si>
  <si>
    <t xml:space="preserve">#68, #253</t>
  </si>
  <si>
    <t xml:space="preserve">PROPOSED-Existing 8in effluent outfall pipe</t>
  </si>
  <si>
    <t xml:space="preserve">Existing 8-inch effluent (outfall) pipe, 40 LF — abandon and remove</t>
  </si>
  <si>
    <t xml:space="preserve">Remove</t>
  </si>
  <si>
    <t xml:space="preserve">02-C02</t>
  </si>
  <si>
    <t xml:space="preserve">C0.5 (KN 1); C0.7 (cited)</t>
  </si>
  <si>
    <t xml:space="preserve">02 41 00</t>
  </si>
  <si>
    <t xml:space="preserve">C0.5; 02 41 00</t>
  </si>
  <si>
    <t xml:space="preserve">PROPOSED-Existing 4in roof drain pipe</t>
  </si>
  <si>
    <t xml:space="preserve">Existing 4-inch roof drain pipe, 40 LF — abandon and remove</t>
  </si>
  <si>
    <t xml:space="preserve">C0.5 (KN 2)</t>
  </si>
  <si>
    <t xml:space="preserve">SSMH 1286</t>
  </si>
  <si>
    <t xml:space="preserve">Existing sump pump station (sewage pump) — remove</t>
  </si>
  <si>
    <t xml:space="preserve">C0.5 (KN 3, 5); C0.1</t>
  </si>
  <si>
    <t xml:space="preserve">C0.5; C0.1; 02 41 00</t>
  </si>
  <si>
    <t xml:space="preserve">SSMH 1285</t>
  </si>
  <si>
    <t xml:space="preserve">Existing septic tank — remove</t>
  </si>
  <si>
    <t xml:space="preserve">C0.5 (KN 4); C0.1</t>
  </si>
  <si>
    <t xml:space="preserve">PROPOSED-Existing 10in effluent outfall pipe</t>
  </si>
  <si>
    <t xml:space="preserve">Existing 10-inch effluent (outfall) pipe, 60 LF — abandon and remove</t>
  </si>
  <si>
    <t xml:space="preserve">C0.5 (KN 8)</t>
  </si>
  <si>
    <t xml:space="preserve">PROPOSED-Existing storm drain and catch basin 87 LF</t>
  </si>
  <si>
    <t xml:space="preserve">Existing storm drain, 87 LF, and catch basin — remove</t>
  </si>
  <si>
    <t xml:space="preserve">C0.5 (KN 9)</t>
  </si>
  <si>
    <t xml:space="preserve">PROPOSED-Existing 6in drain pipe to sump station</t>
  </si>
  <si>
    <t xml:space="preserve">Existing 6-inch drain pipe to sump pump station, 20 LF — abandon and remove</t>
  </si>
  <si>
    <t xml:space="preserve">C0.5 (KN 11)</t>
  </si>
  <si>
    <t xml:space="preserve">PROPOSED-Existing 1.5in sump force main</t>
  </si>
  <si>
    <t xml:space="preserve">Existing 1-1/2-inch sump pump force main, 60 LF — abandon and remove</t>
  </si>
  <si>
    <t xml:space="preserve">C0.5 (KN 12)</t>
  </si>
  <si>
    <t xml:space="preserve">PROPOSED-Existing chain link fence 149 LF</t>
  </si>
  <si>
    <t xml:space="preserve">Existing chain link fence, 149 LF — remove</t>
  </si>
  <si>
    <t xml:space="preserve">C0.5 (KN 16)</t>
  </si>
  <si>
    <t xml:space="preserve">PROPOSED-Existing storm drain at roof drain 7 ft</t>
  </si>
  <si>
    <t xml:space="preserve">Existing storm drain connected to roof drain, 7 ft — remove</t>
  </si>
  <si>
    <t xml:space="preserve">C0.5 (KN 17)</t>
  </si>
  <si>
    <t xml:space="preserve">PROPOSED-Existing retaining wall 61 LF</t>
  </si>
  <si>
    <t xml:space="preserve">Existing retaining wall, 61 LF — remove</t>
  </si>
  <si>
    <t xml:space="preserve">C0.5 (KN 18)</t>
  </si>
  <si>
    <t xml:space="preserve">PROPOSED-Existing chain link fence 119 LF</t>
  </si>
  <si>
    <t xml:space="preserve">Existing chain link fence, 119 LF — remove</t>
  </si>
  <si>
    <t xml:space="preserve">C0.5 (KN 20)</t>
  </si>
  <si>
    <t xml:space="preserve">PROPOSED-Existing 4in storm drain 8 LF</t>
  </si>
  <si>
    <t xml:space="preserve">Existing 4-inch storm drain, 8 LF — remove</t>
  </si>
  <si>
    <t xml:space="preserve">C0.5 (KN 21)</t>
  </si>
  <si>
    <t xml:space="preserve">PROPOSED-Existing 8in influent pipe</t>
  </si>
  <si>
    <t xml:space="preserve">Existing 8-inch influent pipe — abandon and remove</t>
  </si>
  <si>
    <t xml:space="preserve">PROPOSED-EXISTING-INFLUENT-PIPING-REMOVAL (Process &amp; Mechanical)</t>
  </si>
  <si>
    <t xml:space="preserve">#77, #163</t>
  </si>
  <si>
    <t xml:space="preserve">C0.5 (KN 24); C3.1 (cited)</t>
  </si>
  <si>
    <t xml:space="preserve">PROPOSED-Asphalt pavement sawcut and removal</t>
  </si>
  <si>
    <t xml:space="preserve">Existing asphalt pavement — sawcut and remove (new surfacing on C2.6)</t>
  </si>
  <si>
    <t xml:space="preserve">C0.5 (KN 25); C2.6 (cited by Add. 4); C2.1; C2.6</t>
  </si>
  <si>
    <t xml:space="preserve">02 41 00; 32 12 16</t>
  </si>
  <si>
    <t xml:space="preserve">C0.5; 02 41 00; 32 12 16</t>
  </si>
  <si>
    <t xml:space="preserve">PROPOSED-Existing 8in slab over pre-aeration basin</t>
  </si>
  <si>
    <t xml:space="preserve">Existing 8-inch slab over original pre-aeration basin — saw cut, remove and dispose</t>
  </si>
  <si>
    <t xml:space="preserve">C0.5 (Demo Schedule 1)</t>
  </si>
  <si>
    <t xml:space="preserve">PROPOSED-Existing basin internal piping</t>
  </si>
  <si>
    <t xml:space="preserve">Existing internal piping in existing basin — support during fill removal, then remove</t>
  </si>
  <si>
    <t xml:space="preserve">C0.5 (Demo Schedule 2–3)</t>
  </si>
  <si>
    <t xml:space="preserve">PROPOSED-EXISTING-INFLUENT-PIPING-REMOVAL</t>
  </si>
  <si>
    <t xml:space="preserve">Existing influent piping conflicts at the splitter: dewater, abandon, remove</t>
  </si>
  <si>
    <t xml:space="preserve">Influent Flow Splitter</t>
  </si>
  <si>
    <t xml:space="preserve">PROPOSED-Existing 8in influent pipe (Civil &amp; Site)</t>
  </si>
  <si>
    <t xml:space="preserve">#77, #143, #163</t>
  </si>
  <si>
    <t xml:space="preserve">C3.1</t>
  </si>
  <si>
    <t xml:space="preserve">Process &amp; Mechanical</t>
  </si>
  <si>
    <t xml:space="preserve">PROPOSED-Existing holding tanks</t>
  </si>
  <si>
    <t xml:space="preserve">Existing holding tanks — remove and relocate on site per Owner</t>
  </si>
  <si>
    <t xml:space="preserve">Modify / connect</t>
  </si>
  <si>
    <t xml:space="preserve">02-C03</t>
  </si>
  <si>
    <t xml:space="preserve">C0.5 (KN 15)</t>
  </si>
  <si>
    <t xml:space="preserve">C0.5</t>
  </si>
  <si>
    <t xml:space="preserve">PROPOSED-Existing Train 1 influent pipe</t>
  </si>
  <si>
    <t xml:space="preserve">Existing Train 1 influent pipe — abandon and plug</t>
  </si>
  <si>
    <t xml:space="preserve">C1.3 (Add. 4 p.7) KN 2</t>
  </si>
  <si>
    <t xml:space="preserve">C1.3; 02 41 00</t>
  </si>
  <si>
    <t xml:space="preserve">PROPOSED-Existing generator fuel tank and spill basin</t>
  </si>
  <si>
    <t xml:space="preserve">Existing generator fuel tank and concrete fuel spill basin — remove, restore as asphalt pavement</t>
  </si>
  <si>
    <t xml:space="preserve">02-C01</t>
  </si>
  <si>
    <t xml:space="preserve">PROPOSED-Existing-Office-Louver-4x4 (Structural &amp; Building); PROPOSED-Existing-Office-Louver-2x3 (Structural &amp; Building); PROPOSED-Existing-Generator-Exhaust-Assembly (Structural &amp; Building); PROPOSED-Existing-Generator-Fuel-Tank-Exhaust-Louvers (Electrical &amp; Controls)</t>
  </si>
  <si>
    <t xml:space="preserve">#28</t>
  </si>
  <si>
    <t xml:space="preserve">C0.5 (KN 19); C0.1</t>
  </si>
  <si>
    <t xml:space="preserve">C0.5; C0.1; 02 41 00; Appendix F</t>
  </si>
  <si>
    <t xml:space="preserve">PROPOSED-Blower-Building-Slab-and-Grade-Beams</t>
  </si>
  <si>
    <t xml:space="preserve">Blower Building concrete slab-on-grade and grade beams</t>
  </si>
  <si>
    <t xml:space="preserve">Blower Building</t>
  </si>
  <si>
    <t xml:space="preserve">Install</t>
  </si>
  <si>
    <t xml:space="preserve">03-C02</t>
  </si>
  <si>
    <t xml:space="preserve">1 (Inferred per 04)</t>
  </si>
  <si>
    <t xml:space="preserve">A1.1; A1.2; S1.1; S2.3; S4.1</t>
  </si>
  <si>
    <t xml:space="preserve">03 30 00</t>
  </si>
  <si>
    <t xml:space="preserve">A1.1; A1.2; S1.1; S2.3; 03 30 00</t>
  </si>
  <si>
    <t xml:space="preserve">Structural &amp; Building</t>
  </si>
  <si>
    <t xml:space="preserve">PROPOSED-Blower-Pad</t>
  </si>
  <si>
    <t xml:space="preserve">Concrete blower equipment pad carrying 4 blowers</t>
  </si>
  <si>
    <t xml:space="preserve">#233</t>
  </si>
  <si>
    <t xml:space="preserve">A1.1; A1.3; S1.1; S2.3</t>
  </si>
  <si>
    <t xml:space="preserve">A1.1; S1.1; S2.3; 03 30 00</t>
  </si>
  <si>
    <t xml:space="preserve">PROPOSED-Existing-Slab-Trench-Infill</t>
  </si>
  <si>
    <t xml:space="preserve">Trench cut and concrete infill in existing slab for sub-floor sludge piping (Detail 8)</t>
  </si>
  <si>
    <t xml:space="preserve">Not stated (existing building per C1.6A)</t>
  </si>
  <si>
    <t xml:space="preserve">03-C05</t>
  </si>
  <si>
    <t xml:space="preserve">PROPOSED-Existing slab coring and repair (Civil &amp; Site)</t>
  </si>
  <si>
    <t xml:space="preserve">#78, #238</t>
  </si>
  <si>
    <t xml:space="preserve">S4.1</t>
  </si>
  <si>
    <t xml:space="preserve">S4.1; 03 30 00</t>
  </si>
  <si>
    <t xml:space="preserve">PROPOSED-EFFLUENT-SAMPLE-SUMP</t>
  </si>
  <si>
    <t xml:space="preserve">Effluent sample sump (effluent sample chamber)</t>
  </si>
  <si>
    <t xml:space="preserve">UV Disinfection Chamber &amp; Digester</t>
  </si>
  <si>
    <t xml:space="preserve">03-C07</t>
  </si>
  <si>
    <t xml:space="preserve">#104</t>
  </si>
  <si>
    <t xml:space="preserve">G0.6; C5.1; C5.2; C5.3</t>
  </si>
  <si>
    <t xml:space="preserve">PROPOSED-UV-DIGESTER-STRUCTURE</t>
  </si>
  <si>
    <t xml:space="preserve">UV Disinfection Chamber &amp; Digester structure, concrete, about 45 x 13 ft: UV chamber, effluent sample chamber, aerobic digester</t>
  </si>
  <si>
    <t xml:space="preserve">PROPOSED-Aerobic-Digester (Contract &amp; General); PROPOSED-UV-Disinfection-Chamber (Contract &amp; General); PROPOSED-UV-Disinfection-Chamber-Basin (Structural &amp; Building); PROPOSED-Digester-Concrete-Tank (Structural &amp; Building)</t>
  </si>
  <si>
    <t xml:space="preserve">#56</t>
  </si>
  <si>
    <t xml:space="preserve">G0.5; G0.6; C5.1; C5.2; C5.3</t>
  </si>
  <si>
    <t xml:space="preserve">C5.1; G0.6; C5.2; C5.3</t>
  </si>
  <si>
    <t xml:space="preserve">PROPOSED-UV-Disinfection-Chamber-Basin</t>
  </si>
  <si>
    <t xml:space="preserve">UV Disinfection Chamber basin — 8 in CIP concrete walls on 12 in mat slab, with 8 in equipment support walls (4)</t>
  </si>
  <si>
    <t xml:space="preserve">PROPOSED-UV-DIGESTER-STRUCTURE (Process &amp; Mechanical); PROPOSED-Aerobic-Digester (Contract &amp; General)</t>
  </si>
  <si>
    <t xml:space="preserve">#56, #234</t>
  </si>
  <si>
    <t xml:space="preserve">S2.2; S1.1; S4.1</t>
  </si>
  <si>
    <t xml:space="preserve">S2.2; S1.1; S4.1; 03 30 00</t>
  </si>
  <si>
    <t xml:space="preserve">PROPOSED-Digester-Concrete-Tank</t>
  </si>
  <si>
    <t xml:space="preserve">Digester — 12 in CIP concrete walls on 12 in mat slab with sloped unreinforced topping</t>
  </si>
  <si>
    <t xml:space="preserve">PROPOSED-UV-DIGESTER-STRUCTURE (Process &amp; Mechanical); PROPOSED-Aerobic-Digester (Contract &amp; General); PROPOSED-UV-Disinfection-Chamber (Contract &amp; General)</t>
  </si>
  <si>
    <t xml:space="preserve">PROPOSED-Aerobic-Digester</t>
  </si>
  <si>
    <t xml:space="preserve">Aerobic digester</t>
  </si>
  <si>
    <t xml:space="preserve">PROPOSED-UV-DIGESTER-STRUCTURE (Process &amp; Mechanical); PROPOSED-UV-Disinfection-Chamber-Basin (Structural &amp; Building); PROPOSED-Digester-Concrete-Tank (Structural &amp; Building)</t>
  </si>
  <si>
    <t xml:space="preserve">#56, #251, #252</t>
  </si>
  <si>
    <t xml:space="preserve">00 24 13; 00 31 13; 00 73 00; 01 45 00; 01 50 00</t>
  </si>
  <si>
    <t xml:space="preserve">00 24 13; 00 31 13; 00 73 00; 01 45 00; 01 50 00; CQA Plan</t>
  </si>
  <si>
    <t xml:space="preserve">PROPOSED-UV-Disinfection-Chamber</t>
  </si>
  <si>
    <t xml:space="preserve">UV disinfection chamber (UV channels #1 and #2)</t>
  </si>
  <si>
    <t xml:space="preserve">#56, #252</t>
  </si>
  <si>
    <t xml:space="preserve">00 31 13; 01 45 00; 01 50 00</t>
  </si>
  <si>
    <t xml:space="preserve">PROPOSED-Existing slab coring and repair</t>
  </si>
  <si>
    <t xml:space="preserve">Existing building slab — core or saw cut for under-slab piping, then repair</t>
  </si>
  <si>
    <t xml:space="preserve">Existing building (C1.6A)</t>
  </si>
  <si>
    <t xml:space="preserve">03-C08</t>
  </si>
  <si>
    <t xml:space="preserve">PROPOSED-Existing-Slab-Trench-Infill (Structural &amp; Building)</t>
  </si>
  <si>
    <t xml:space="preserve">#78</t>
  </si>
  <si>
    <t xml:space="preserve">C1.6A (Add. 4 p.8)</t>
  </si>
  <si>
    <t xml:space="preserve">C1.6A</t>
  </si>
  <si>
    <t xml:space="preserve">PROPOSED-Influent-Flow-Meter-Valve-Vault</t>
  </si>
  <si>
    <t xml:space="preserve">Precast vault, 4 ft x 4 ft (Oldcastle Infrastructure 4686-LA), with 36 in x 36 in H-20 single-leaf hatch (Halliday H1R3636) — Influent Flow Meter Valve Vault</t>
  </si>
  <si>
    <t xml:space="preserve">PROPOSED-INFLUENT-FLOW-METER-VAULT (Process &amp; Mechanical)</t>
  </si>
  <si>
    <t xml:space="preserve">#44, #240</t>
  </si>
  <si>
    <t xml:space="preserve">03 40 00</t>
  </si>
  <si>
    <t xml:space="preserve">PROPOSED-Effluent-Flow-Meter-Valve-Vault</t>
  </si>
  <si>
    <t xml:space="preserve">Precast vault, 4 ft x 4 ft (Oldcastle Infrastructure 4686-LA), with 36 in x 36 in H-20 single-leaf hatch (Halliday H1R3636) — Effluent Flow Meter Valve Vault</t>
  </si>
  <si>
    <t xml:space="preserve">#240</t>
  </si>
  <si>
    <t xml:space="preserve">PROPOSED-Plants-2-and-3-Flow-Meter-Vault</t>
  </si>
  <si>
    <t xml:space="preserve">Precast vault, 4 ft x 4 ft (Oldcastle Infrastructure 4686-LA), with 36 in x 36 in H-20 single-leaf hatch (Halliday H1R3636) — Plants 2 &amp; 3 Flow Meter Vault</t>
  </si>
  <si>
    <t xml:space="preserve">PROPOSED-TRAIN-2-FLOW-METER-VAULT (Process &amp; Mechanical); PROPOSED-Train 2 flow meter vault (Civil &amp; Site); PROPOSED-Train 3 flow meter vault (Civil &amp; Site); PROPOSED-TRAIN-3-FLOW-METER-VAULT (Process &amp; Mechanical)</t>
  </si>
  <si>
    <t xml:space="preserve">#5, #6, #240</t>
  </si>
  <si>
    <t xml:space="preserve">PROPOSED-Yard-Piping-Vaults</t>
  </si>
  <si>
    <t xml:space="preserve">Vaults associated with yard piping</t>
  </si>
  <si>
    <t xml:space="preserve">#250</t>
  </si>
  <si>
    <t xml:space="preserve">PROPOSED-2W-Pump-Station-Precast-Wet-Well</t>
  </si>
  <si>
    <t xml:space="preserve">Precast wet well, 8 ft ID (Oldcastle Infrastructure 96 in diameter), with 48 in x 30 in H-20 aluminum hatch and safety grate (LW Products HD-3C) — 2W Plant Water Pump Station</t>
  </si>
  <si>
    <t xml:space="preserve">2W Pump Station</t>
  </si>
  <si>
    <t xml:space="preserve">03-C01</t>
  </si>
  <si>
    <t xml:space="preserve">PROPOSED-2W-PUMP-STATION-WET-WELL (Process &amp; Mechanical); PROPOSED-2W-Pump-Station-Wet-Well (Process &amp; Mechanical)</t>
  </si>
  <si>
    <t xml:space="preserve">#47, #240</t>
  </si>
  <si>
    <t xml:space="preserve">PROPOSED-FLOW-SPLITTER-SUPPORT</t>
  </si>
  <si>
    <t xml:space="preserve">Concrete support pad for flow splitter box, about 6.5 x 4.0 x 1.3 ft tall, top elev 26.00</t>
  </si>
  <si>
    <t xml:space="preserve">03-C04</t>
  </si>
  <si>
    <t xml:space="preserve">PROPOSED-Flow-Splitter-Pad (Structural &amp; Building)</t>
  </si>
  <si>
    <t xml:space="preserve">#76, #157</t>
  </si>
  <si>
    <t xml:space="preserve">C3.1; C3.2</t>
  </si>
  <si>
    <t xml:space="preserve">PROPOSED-INFLUENT-FLOW-METER-VAULT</t>
  </si>
  <si>
    <t xml:space="preserve">Flow meter vault on the splitter inlet line (north)</t>
  </si>
  <si>
    <t xml:space="preserve">PROPOSED-Influent-Flow-Meter-Valve-Vault (Structural &amp; Building)</t>
  </si>
  <si>
    <t xml:space="preserve">#44</t>
  </si>
  <si>
    <t xml:space="preserve">PROPOSED-TRAIN-2-FLOW-METER-VAULT</t>
  </si>
  <si>
    <t xml:space="preserve">Train 2 flow meter vault</t>
  </si>
  <si>
    <t xml:space="preserve">PROPOSED-Plants-2-and-3-Flow-Meter-Vault (Structural &amp; Building); PROPOSED-Train 2 flow meter vault (Civil &amp; Site)</t>
  </si>
  <si>
    <t xml:space="preserve">#5</t>
  </si>
  <si>
    <t xml:space="preserve">PROPOSED-TRAIN-3-FLOW-METER-VAULT</t>
  </si>
  <si>
    <t xml:space="preserve">Train 3 flow meter vault</t>
  </si>
  <si>
    <t xml:space="preserve">PROPOSED-Train 3 flow meter vault (Civil &amp; Site); PROPOSED-Plants-2-and-3-Flow-Meter-Vault (Structural &amp; Building)</t>
  </si>
  <si>
    <t xml:space="preserve">#6</t>
  </si>
  <si>
    <t xml:space="preserve">PROPOSED-IPS-HATCHES</t>
  </si>
  <si>
    <t xml:space="preserve">Influent Pump Station access hatches: 36x36-in. single leaf H-20 (Halliday H1R3636) and 30x48-in. single leaf H-20 over pumps (Halliday H1R3048)</t>
  </si>
  <si>
    <t xml:space="preserve">Influent Pump Station</t>
  </si>
  <si>
    <t xml:space="preserve">PROPOSED-Influent-Pump-Station-Precast-Wet-Well (Structural &amp; Building); PROPOSED-Drain-Pump-Station-Hatches (Structural &amp; Building); PROPOSED-Influent-Pump-Station-Top-Slab (Structural &amp; Building)</t>
  </si>
  <si>
    <t xml:space="preserve">#38</t>
  </si>
  <si>
    <t xml:space="preserve">C4.1</t>
  </si>
  <si>
    <t xml:space="preserve">PROPOSED-Drain-Pump-Station-Lid</t>
  </si>
  <si>
    <t xml:space="preserve">Drain pump station lid — 16 in CIP concrete, H-20 loading, two hatch openings and center beam</t>
  </si>
  <si>
    <t xml:space="preserve">Drain Pump Station</t>
  </si>
  <si>
    <t xml:space="preserve">S2.4; S1.1</t>
  </si>
  <si>
    <t xml:space="preserve">S2.4; S1.1; 03 30 00</t>
  </si>
  <si>
    <t xml:space="preserve">PROPOSED-Drain-Pump-Station-Precast-Wet-Well</t>
  </si>
  <si>
    <t xml:space="preserve">Precast concrete wet well, 8 ft min., 96 in I.D. — per civil</t>
  </si>
  <si>
    <t xml:space="preserve">#235</t>
  </si>
  <si>
    <t xml:space="preserve">S2.4</t>
  </si>
  <si>
    <t xml:space="preserve">S2.4; 03 40 00</t>
  </si>
  <si>
    <t xml:space="preserve">PROPOSED-Drain-Pump-Station-Hatches</t>
  </si>
  <si>
    <t xml:space="preserve">Access hatches (2), 2 ft-6 in x 4 ft-0 in rough openings, in the drain pump station lid — per civil</t>
  </si>
  <si>
    <t xml:space="preserve">PROPOSED-IPS-HATCHES (Process &amp; Mechanical)</t>
  </si>
  <si>
    <t xml:space="preserve">#38, #235</t>
  </si>
  <si>
    <t xml:space="preserve">PROPOSED-Flow-Splitter-Pad</t>
  </si>
  <si>
    <t xml:space="preserve">Concrete equipment pad for the flow splitter, on the existing equipment slab-on-grade</t>
  </si>
  <si>
    <t xml:space="preserve">Flow Splitter</t>
  </si>
  <si>
    <t xml:space="preserve">PROPOSED-FLOW-SPLITTER-SUPPORT (Process &amp; Mechanical)</t>
  </si>
  <si>
    <t xml:space="preserve">S2.4; 03 30 00</t>
  </si>
  <si>
    <t xml:space="preserve">PROPOSED-Influent-Pump-Station-Precast-Wet-Well</t>
  </si>
  <si>
    <t xml:space="preserve">Precast wet well, 8 ft ID (Oldcastle Infrastructure 96 in diameter), with 48 in x 30 in H-20 aluminum hatch and safety grate (LW Products HD-3C) — Influent Pump Station</t>
  </si>
  <si>
    <t xml:space="preserve">PROPOSED-INFLUENT-PUMP-STATION-WET-WELL (Process &amp; Mechanical); PROPOSED-IPS-HATCHES (Process &amp; Mechanical)</t>
  </si>
  <si>
    <t xml:space="preserve">#37, #38, #240</t>
  </si>
  <si>
    <t xml:space="preserve">PROPOSED-Influent-Pump-Station-Top-Slab</t>
  </si>
  <si>
    <t xml:space="preserve">Influent Pump Station top slab per Contract Plan details, with new aluminum access hatch and safety grates</t>
  </si>
  <si>
    <t xml:space="preserve">#38, #240</t>
  </si>
  <si>
    <t xml:space="preserve">PROPOSED-Influent-Pump-Station-Meter-Vaults</t>
  </si>
  <si>
    <t xml:space="preserve">Precast vaults, 4 ft x 4 ft (Oldcastle Infrastructure 4686-LA), with 36 in x 36 in H-20 single-leaf hatches (Halliday H1R3636) — Influent Pump Station Meter Vaults, quantity not stated</t>
  </si>
  <si>
    <t xml:space="preserve">PROPOSED-IPS-VALVE-VAULTS (Process &amp; Mechanical)</t>
  </si>
  <si>
    <t xml:space="preserve">#41, #240</t>
  </si>
  <si>
    <t xml:space="preserve">PROPOSED-Influent-Pump-Station</t>
  </si>
  <si>
    <t xml:space="preserve">Influent pump station</t>
  </si>
  <si>
    <t xml:space="preserve">PROPOSED-INFLUENT-PUMP-STATION-WET-WELL (Process &amp; Mechanical); PROPOSED-Influent-Pump-Station-Precast-Wet-Well (Structural &amp; Building)</t>
  </si>
  <si>
    <t xml:space="preserve">#37, #251</t>
  </si>
  <si>
    <t xml:space="preserve">00 31 13; 00 73 00; 01 45 00; 01 50 00</t>
  </si>
  <si>
    <t xml:space="preserve">00 31 13; 00 73 00; 01 45 00; 01 50 00; CQA Plan</t>
  </si>
  <si>
    <t xml:space="preserve">PROPOSED-Train-3-Concrete-Tank</t>
  </si>
  <si>
    <t xml:space="preserve">Train 3 cast-in-place concrete tank — 12 in circular wall on 12 in mat slab with raised center pedestal</t>
  </si>
  <si>
    <t xml:space="preserve">Train 3</t>
  </si>
  <si>
    <t xml:space="preserve">03-C06</t>
  </si>
  <si>
    <t xml:space="preserve">PROPOSED-TRAIN-3-TANK (Process &amp; Mechanical)</t>
  </si>
  <si>
    <t xml:space="preserve">#29, #158</t>
  </si>
  <si>
    <t xml:space="preserve">S2.1; S1.1; S4.1</t>
  </si>
  <si>
    <t xml:space="preserve">S2.1; S1.1; 03 30 00</t>
  </si>
  <si>
    <t xml:space="preserve">PROPOSED-Generator-Slab</t>
  </si>
  <si>
    <t xml:space="preserve">Generator slab-on-grade, 6 in with thickened edge (about 1 ft-6 in min. deep)</t>
  </si>
  <si>
    <t xml:space="preserve">Generator Pad</t>
  </si>
  <si>
    <t xml:space="preserve">03-C03</t>
  </si>
  <si>
    <t xml:space="preserve">#201</t>
  </si>
  <si>
    <t xml:space="preserve">PROPOSED-UV-DIGESTER-GRATING-GUARDRAIL</t>
  </si>
  <si>
    <t xml:space="preserve">UV/digester guardrail with removable guard chains, removable grating over digester, aluminum access ladders (nominal 2 ft wide)</t>
  </si>
  <si>
    <t xml:space="preserve">05-C02</t>
  </si>
  <si>
    <t xml:space="preserve">PROPOSED-UV-Digester-Grating (Structural &amp; Building); PROPOSED-UV-Digester-Guardrail-and-Ladders (Structural &amp; Building)</t>
  </si>
  <si>
    <t xml:space="preserve">#57</t>
  </si>
  <si>
    <t xml:space="preserve">C5.1; C5.2; C5.3</t>
  </si>
  <si>
    <t xml:space="preserve">PROPOSED-Digester-Grating-Beam</t>
  </si>
  <si>
    <t xml:space="preserve">Steel beam, HDG W8x18, spanning the digester for grating support</t>
  </si>
  <si>
    <t xml:space="preserve">S2.2; S1.1</t>
  </si>
  <si>
    <t xml:space="preserve">05 50 00</t>
  </si>
  <si>
    <t xml:space="preserve">S2.2; S1.1; 05 50 00</t>
  </si>
  <si>
    <t xml:space="preserve">PROPOSED-UV-Digester-Grating</t>
  </si>
  <si>
    <t xml:space="preserve">Aluminum solid plank grating with continuous HDG edge angles — UV basin and digester</t>
  </si>
  <si>
    <t xml:space="preserve">PROPOSED-UV-DIGESTER-GRATING-GUARDRAIL (Process &amp; Mechanical)</t>
  </si>
  <si>
    <t xml:space="preserve">S2.2</t>
  </si>
  <si>
    <t xml:space="preserve">05 53 00</t>
  </si>
  <si>
    <t xml:space="preserve">S2.2; 05 53 00</t>
  </si>
  <si>
    <t xml:space="preserve">PROPOSED-UV-Digester-Guardrail-and-Ladders</t>
  </si>
  <si>
    <t xml:space="preserve">Guardrail and ladders at the UV basin and digester — shown "per civil"</t>
  </si>
  <si>
    <t xml:space="preserve">#57, #234</t>
  </si>
  <si>
    <t xml:space="preserve">05 52 00; 05 51 10</t>
  </si>
  <si>
    <t xml:space="preserve">S2.2; 05 52 00; 05 51 10</t>
  </si>
  <si>
    <t xml:space="preserve">PROPOSED-Train-3-Guardrail-and-Ladders</t>
  </si>
  <si>
    <t xml:space="preserve">Train 3 guardrail and ladders — shown "per civil"</t>
  </si>
  <si>
    <t xml:space="preserve">05-C01</t>
  </si>
  <si>
    <t xml:space="preserve">PROPOSED-TRAIN-3-WALKWAYS-AND-LADDER (Process &amp; Mechanical); PROPOSED-Handrails (Contract &amp; General)</t>
  </si>
  <si>
    <t xml:space="preserve">#34, #232, #255</t>
  </si>
  <si>
    <t xml:space="preserve">18 — Unresolved (see 04)</t>
  </si>
  <si>
    <t xml:space="preserve">S2.1</t>
  </si>
  <si>
    <t xml:space="preserve">S2.1; 05 52 00; 05 51 10</t>
  </si>
  <si>
    <t xml:space="preserve">PROPOSED-Steel-Stairs-Ladders-Platforms</t>
  </si>
  <si>
    <t xml:space="preserve">Steel stairs, ladders and grating platforms — galvanized, Contractor-designed, where shown on the plans</t>
  </si>
  <si>
    <t xml:space="preserve">Not stated (locations per civil drawings)</t>
  </si>
  <si>
    <t xml:space="preserve">#241, #255</t>
  </si>
  <si>
    <t xml:space="preserve">1 (Inferred per 04); any Train 3 portion: 18 — Unresolved (see 04)</t>
  </si>
  <si>
    <t xml:space="preserve">S1.1</t>
  </si>
  <si>
    <t xml:space="preserve">05 51 10; 05 53 00; 05 52 00</t>
  </si>
  <si>
    <t xml:space="preserve">S1.1; 05 51 10</t>
  </si>
  <si>
    <t xml:space="preserve">101A</t>
  </si>
  <si>
    <t xml:space="preserve">Door pair, 10 ft-0 in x 8 ft-0 in x 1-3/4 in, insulated hollow metal, painted, Type B — 2 openings tagged 101A</t>
  </si>
  <si>
    <t xml:space="preserve">08-C01</t>
  </si>
  <si>
    <t xml:space="preserve">A1.1; A1.2</t>
  </si>
  <si>
    <t xml:space="preserve">08 10 00; 08 70 00; 09 90 00</t>
  </si>
  <si>
    <t xml:space="preserve">A1.1; A1.2; 08 10 00; 08 70 00; 09 90 00</t>
  </si>
  <si>
    <t xml:space="preserve">101B</t>
  </si>
  <si>
    <t xml:space="preserve">Door, 3 ft-0 in wide, insulated hollow metal, painted, Type A</t>
  </si>
  <si>
    <t xml:space="preserve">101C</t>
  </si>
  <si>
    <t xml:space="preserve">Door, 5 ft-0 in x 8 ft-0 in x 1-3/4 in, insulated hollow metal, painted, Type A</t>
  </si>
  <si>
    <t xml:space="preserve">PROPOSED-Boot-Brush-and-Pad</t>
  </si>
  <si>
    <t xml:space="preserve">Boot and shoe brush with scraper (Gempler's #2900) on a concrete pad next to the Blower Building exterior door</t>
  </si>
  <si>
    <t xml:space="preserve">#129</t>
  </si>
  <si>
    <t xml:space="preserve">08 70 00</t>
  </si>
  <si>
    <t xml:space="preserve">PROPOSED-Influent-Pump-Station-Interior-Coating</t>
  </si>
  <si>
    <t xml:space="preserve">Epoxy protective lining, spray-applied 100% solids (Raven 405 or Tnemec G436), on all interior concrete surfaces — Influent Pump Station</t>
  </si>
  <si>
    <t xml:space="preserve">09-C01</t>
  </si>
  <si>
    <t xml:space="preserve">#130, #243</t>
  </si>
  <si>
    <t xml:space="preserve">09 97 23</t>
  </si>
  <si>
    <t xml:space="preserve">PROPOSED-Fire-Extinguishers-Blower-Building</t>
  </si>
  <si>
    <t xml:space="preserve">Fire extinguisher assemblies (2), wall-mounted — Blower Building</t>
  </si>
  <si>
    <t xml:space="preserve">10-C01</t>
  </si>
  <si>
    <t xml:space="preserve">A1.1</t>
  </si>
  <si>
    <t xml:space="preserve">10 52 00</t>
  </si>
  <si>
    <t xml:space="preserve">A1.1; 10 52 00</t>
  </si>
  <si>
    <t xml:space="preserve">PROPOSED-WWTP tank and building signs</t>
  </si>
  <si>
    <t xml:space="preserve">WWTP tank and building signs, 9 (UV Disinfection Chamber, Blower Building, Dewatering Facility, Influent Pump Station, Aerobic Digester, Train 1–3, 2W Water System Pump Station)</t>
  </si>
  <si>
    <t xml:space="preserve">10-C03</t>
  </si>
  <si>
    <t xml:space="preserve">#98</t>
  </si>
  <si>
    <t xml:space="preserve">C7.3 (Det. 1)</t>
  </si>
  <si>
    <t xml:space="preserve">C7.3</t>
  </si>
  <si>
    <t xml:space="preserve">PROPOSED-TRAIN-3-FRP-LAUNDER-COVER</t>
  </si>
  <si>
    <t xml:space="preserve">FRP launder cover, Train 3 clarifier effluent trough</t>
  </si>
  <si>
    <t xml:space="preserve">10-C02</t>
  </si>
  <si>
    <t xml:space="preserve">#255</t>
  </si>
  <si>
    <t xml:space="preserve">1; 18 — Unresolved (see 04); 19; Equipment Alternate B</t>
  </si>
  <si>
    <t xml:space="preserve">C3.4; C3.5</t>
  </si>
  <si>
    <t xml:space="preserve">10 73 05</t>
  </si>
  <si>
    <t xml:space="preserve">C3.4; C3.5; 10 73 05</t>
  </si>
  <si>
    <t xml:space="preserve">PROPOSED-BLOWER-BUILDING | PROPOSED-Blower-Building</t>
  </si>
  <si>
    <t xml:space="preserve">Blower Building, prefabricated metal building housing the biological treatment blowers | Blower Building — pre-engineered metal building, one room (Blower Room 101) | Blower Building</t>
  </si>
  <si>
    <t xml:space="preserve">13-C01</t>
  </si>
  <si>
    <t xml:space="preserve">#170, #252</t>
  </si>
  <si>
    <t xml:space="preserve">1 | 1 (Inferred per 04)</t>
  </si>
  <si>
    <t xml:space="preserve">C6.4; C6.5; A1.1; A1.2; A1.3; S1.1; S2.3</t>
  </si>
  <si>
    <t xml:space="preserve">13 12 20; 07 20 00; 09 25 00; 09 90 00; 00 31 13; 00 73 00; 01 45 00; 01 70 00</t>
  </si>
  <si>
    <t xml:space="preserve">C6.4; C6.5; A1.1; A1.2; A1.3; S1.1; S2.3; 13 12 20; 07 20 00; 09 25 00; 09 90 00; 00 31 13; 00 73 00; 01 45 00; 01 70 00; CQA Plan</t>
  </si>
  <si>
    <t xml:space="preserve">Process &amp; Mechanical; Structural &amp; Building; Contract &amp; General</t>
  </si>
  <si>
    <t xml:space="preserve">PROPOSED-Existing-Office-Louver-4x4</t>
  </si>
  <si>
    <t xml:space="preserve">Existing louvered vent, 4 ft x 4 ft — existing office building south wall; remove, re-side floor to eave</t>
  </si>
  <si>
    <t xml:space="preserve">Existing Office Building</t>
  </si>
  <si>
    <t xml:space="preserve">13-C03</t>
  </si>
  <si>
    <t xml:space="preserve">PROPOSED-Existing generator fuel tank and spill basin (Civil &amp; Site); PROPOSED-Existing-Generator-Fuel-Tank-Exhaust-Louvers (Electrical &amp; Controls)</t>
  </si>
  <si>
    <t xml:space="preserve">A1.3</t>
  </si>
  <si>
    <t xml:space="preserve">13 12 20</t>
  </si>
  <si>
    <t xml:space="preserve">A1.3; 13 12 20</t>
  </si>
  <si>
    <t xml:space="preserve">PROPOSED-Existing-Office-Louver-2x3</t>
  </si>
  <si>
    <t xml:space="preserve">Existing louvered vent, 2 ft x 3 ft — existing office building east wall; remove, re-side floor to eave</t>
  </si>
  <si>
    <t xml:space="preserve">PROPOSED-WWTP-Building-Louver-3x7</t>
  </si>
  <si>
    <t xml:space="preserve">Louvered vent, 3 ft x 7 ft — existing WWTP building, 3 locations</t>
  </si>
  <si>
    <t xml:space="preserve">Existing WWTP Building</t>
  </si>
  <si>
    <t xml:space="preserve">13-C04</t>
  </si>
  <si>
    <t xml:space="preserve">PROPOSED-EXISTING-BLDG-LOUVERS (Process &amp; Mechanical)</t>
  </si>
  <si>
    <t xml:space="preserve">#27, #229</t>
  </si>
  <si>
    <t xml:space="preserve">PROPOSED-WWTP-Building-Exhaust-Fan-24x24</t>
  </si>
  <si>
    <t xml:space="preserve">Exhaust fan, 24 in x 24 in — existing WWTP building, 3 locations, 6 ft above slab</t>
  </si>
  <si>
    <t xml:space="preserve">EF-3 (Electrical &amp; Controls); EF-4 (Electrical &amp; Controls); EF-5 (Electrical &amp; Controls); PROPOSED-EXISTING-BLDG-WALL-FANS (Process &amp; Mechanical)</t>
  </si>
  <si>
    <t xml:space="preserve">#26, #229</t>
  </si>
  <si>
    <t xml:space="preserve">PROPOSED-Existing-Generator-Fuel-Tank-Exhaust-Louvers</t>
  </si>
  <si>
    <t xml:space="preserve">Existing diesel fuel tank, generator exhaust system and louvers</t>
  </si>
  <si>
    <t xml:space="preserve">Electric Service Area</t>
  </si>
  <si>
    <t xml:space="preserve">13-C02</t>
  </si>
  <si>
    <t xml:space="preserve">PROPOSED-Existing-Office-Louver-4x4 (Structural &amp; Building); PROPOSED-Existing-Office-Louver-2x3 (Structural &amp; Building); PROPOSED-Existing-Generator-Exhaust-Assembly (Structural &amp; Building); PROPOSED-Existing generator fuel tank and spill basin (Civil &amp; Site)</t>
  </si>
  <si>
    <t xml:space="preserve">Verified</t>
  </si>
  <si>
    <t xml:space="preserve">6</t>
  </si>
  <si>
    <t xml:space="preserve">E0.2</t>
  </si>
  <si>
    <t xml:space="preserve">Electrical &amp; Controls</t>
  </si>
  <si>
    <t xml:space="preserve">PROPOSED-Existing-Generator-Exhaust-Assembly</t>
  </si>
  <si>
    <t xml:space="preserve">Existing generator exhaust assembly — existing office building east wall; remove</t>
  </si>
  <si>
    <t xml:space="preserve">#28, #230</t>
  </si>
  <si>
    <t xml:space="preserve">PROPOSED-WAS-PUMP</t>
  </si>
  <si>
    <t xml:space="preserve">WAS pump, packaged sludge pump, 3 HP</t>
  </si>
  <si>
    <t xml:space="preserve">Sludge Pump and Valving Area</t>
  </si>
  <si>
    <t xml:space="preserve">22-C02</t>
  </si>
  <si>
    <t xml:space="preserve">WP-1 (Electrical &amp; Controls); PROPOSED-Sludge-Pumps (Contract &amp; General)</t>
  </si>
  <si>
    <t xml:space="preserve">#59</t>
  </si>
  <si>
    <t xml:space="preserve">1; 6</t>
  </si>
  <si>
    <t xml:space="preserve">G0.5; G0.6; G0.7; C6.2</t>
  </si>
  <si>
    <t xml:space="preserve">22 13 36</t>
  </si>
  <si>
    <t xml:space="preserve">C6.2; G0.7; 22 13 36</t>
  </si>
  <si>
    <t xml:space="preserve">PROPOSED-SWING-SLUDGE-PUMP</t>
  </si>
  <si>
    <t xml:space="preserve">Swing pump, packaged sludge pump, 3 HP, standby for either the WAS or digested sludge pump</t>
  </si>
  <si>
    <t xml:space="preserve">WP-2 (Electrical &amp; Controls)</t>
  </si>
  <si>
    <t xml:space="preserve">#60</t>
  </si>
  <si>
    <t xml:space="preserve">PROPOSED-DIGESTED-SLUDGE-PUMP</t>
  </si>
  <si>
    <t xml:space="preserve">Digested sludge pump, packaged sludge pump, 3 HP</t>
  </si>
  <si>
    <t xml:space="preserve">SD-1 (Electrical &amp; Controls)</t>
  </si>
  <si>
    <t xml:space="preserve">#61</t>
  </si>
  <si>
    <t xml:space="preserve">22 13 36; 46 76 26</t>
  </si>
  <si>
    <t xml:space="preserve">C6.2; G0.7; 22 13 36; 46 76 26</t>
  </si>
  <si>
    <t xml:space="preserve">PROPOSED-SLUDGE-PUMP-LOCAL-PANELS</t>
  </si>
  <si>
    <t xml:space="preserve">Sludge pump local electrical control panels (3), by pump manufacturer</t>
  </si>
  <si>
    <t xml:space="preserve">PROPOSED-WAS-and-Sludge-Pump-Local-Disconnects (Electrical &amp; Controls)</t>
  </si>
  <si>
    <t xml:space="preserve">#62</t>
  </si>
  <si>
    <t xml:space="preserve">PROPOSED-Sludge-Pumps</t>
  </si>
  <si>
    <t xml:space="preserve">Sludge pumps (peristaltic; WAS and digested sludge)</t>
  </si>
  <si>
    <t xml:space="preserve">PROPOSED-WAS-PUMP (Process &amp; Mechanical); WP-1 (Electrical &amp; Controls)</t>
  </si>
  <si>
    <t xml:space="preserve">#59, #251</t>
  </si>
  <si>
    <t xml:space="preserve">00 31 13; 01 33 00; 01 70 00; 01 91 00; 01 45 00</t>
  </si>
  <si>
    <t xml:space="preserve">00 31 13; 01 33 00; 01 70 00; 01 91 00; 01 45 00; CQA Plan</t>
  </si>
  <si>
    <t xml:space="preserve">WP-1</t>
  </si>
  <si>
    <t xml:space="preserve">WAS Pump No.1, 3 HP, VFD in MCC</t>
  </si>
  <si>
    <t xml:space="preserve">Treatment Building (existing; E4.1 key note 3 calls it "Dewatering Building" — see Issues)</t>
  </si>
  <si>
    <t xml:space="preserve">22-C03</t>
  </si>
  <si>
    <t xml:space="preserve">PROPOSED-WAS-PUMP (Process &amp; Mechanical); PROPOSED-Sludge-Pumps (Contract &amp; General)</t>
  </si>
  <si>
    <t xml:space="preserve">#59, #207</t>
  </si>
  <si>
    <t xml:space="preserve">Verified-Visual</t>
  </si>
  <si>
    <t xml:space="preserve">1 (equipment, Inferred per 04); 6 (power and control)</t>
  </si>
  <si>
    <t xml:space="preserve">E4.1; E6.1; E6.3; E7.3; E7.4; E9.1</t>
  </si>
  <si>
    <t xml:space="preserve">WP-2</t>
  </si>
  <si>
    <t xml:space="preserve">WAS Pump No.2 / swing pump, 3 HP, VFD in MCC</t>
  </si>
  <si>
    <t xml:space="preserve">PROPOSED-SWING-SLUDGE-PUMP (Process &amp; Mechanical)</t>
  </si>
  <si>
    <t xml:space="preserve">#60, #207</t>
  </si>
  <si>
    <t xml:space="preserve">SD-1</t>
  </si>
  <si>
    <t xml:space="preserve">Sludge pump, 3 HP, VFD in MCC</t>
  </si>
  <si>
    <t xml:space="preserve">PROPOSED-DIGESTED-SLUDGE-PUMP (Process &amp; Mechanical)</t>
  </si>
  <si>
    <t xml:space="preserve">#3, #61, #207</t>
  </si>
  <si>
    <t xml:space="preserve">PROPOSED-YARD-HYDRANTS</t>
  </si>
  <si>
    <t xml:space="preserve">1-inch frost-proof yard hydrants with vacuum breakers (quantity not stated)</t>
  </si>
  <si>
    <t xml:space="preserve">22-C04</t>
  </si>
  <si>
    <t xml:space="preserve">Pipe ID 22 (Civil &amp; Site)</t>
  </si>
  <si>
    <t xml:space="preserve">#52</t>
  </si>
  <si>
    <t xml:space="preserve">15 40 00; 43 22 10</t>
  </si>
  <si>
    <t xml:space="preserve">PROPOSED-POST-HYDRANTS</t>
  </si>
  <si>
    <t xml:space="preserve">2-inch post hydrants with 2-inch atmospheric vacuum breakers (quantity not stated)</t>
  </si>
  <si>
    <t xml:space="preserve">PROPOSED-Post hydrant (Civil &amp; Site)</t>
  </si>
  <si>
    <t xml:space="preserve">#53</t>
  </si>
  <si>
    <t xml:space="preserve">15 40 00</t>
  </si>
  <si>
    <t xml:space="preserve">PROPOSED-EXTERIOR-SANITARY-DRAINS</t>
  </si>
  <si>
    <t xml:space="preserve">Exterior sanitary drain piping, ABS DWV, with unions and cleanouts</t>
  </si>
  <si>
    <t xml:space="preserve">#110</t>
  </si>
  <si>
    <t xml:space="preserve">PROPOSED-IPS-DISCHARGE-TO-SPLITTER</t>
  </si>
  <si>
    <t xml:space="preserve">Influent Pump Station discharge to flow splitter, 6-inch DI restrained rising to 12-inch DI at the box</t>
  </si>
  <si>
    <t xml:space="preserve">22-C01</t>
  </si>
  <si>
    <t xml:space="preserve">Pipe ID 18 (Civil &amp; Site)</t>
  </si>
  <si>
    <t xml:space="preserve">#86</t>
  </si>
  <si>
    <t xml:space="preserve">G0.5; C3.1; C3.2; C4.1</t>
  </si>
  <si>
    <t xml:space="preserve">22 13 29</t>
  </si>
  <si>
    <t xml:space="preserve">G0.5; C3.1; C3.2; C4.1; 22 13 29</t>
  </si>
  <si>
    <t xml:space="preserve">PROPOSED-INFLUENT-PUMP-STATION-WET-WELL</t>
  </si>
  <si>
    <t xml:space="preserve">Influent Pump Station wet well, 96-inch precast on 12-inch precast base, bottom elev 9.0, top 23.30, with vent and clean outs</t>
  </si>
  <si>
    <t xml:space="preserve">PROPOSED-Influent-Pump-Station (Contract &amp; General); PROPOSED-Influent-Pump-Station-Precast-Wet-Well (Structural &amp; Building)</t>
  </si>
  <si>
    <t xml:space="preserve">#37</t>
  </si>
  <si>
    <t xml:space="preserve">G0.5; G0.6; C4.1</t>
  </si>
  <si>
    <t xml:space="preserve">C4.1; G0.6; 22 13 29</t>
  </si>
  <si>
    <t xml:space="preserve">PROPOSED-INFLUENT-PUMPS-SMALL</t>
  </si>
  <si>
    <t xml:space="preserve">Influent pumps, small, submersible, duplex (2), 120-220 gpm each</t>
  </si>
  <si>
    <t xml:space="preserve">IP-3 (Electrical &amp; Controls); IP-4 (Electrical &amp; Controls); IP-2 (Electrical &amp; Controls); IP-1 (Electrical &amp; Controls); PROPOSED-Submersible-Pump-Equipment (Contract &amp; General)</t>
  </si>
  <si>
    <t xml:space="preserve">#36</t>
  </si>
  <si>
    <t xml:space="preserve">1; Equipment Alternate A</t>
  </si>
  <si>
    <t xml:space="preserve">G0.7; C4.1</t>
  </si>
  <si>
    <t xml:space="preserve">G0.7; C4.1; 22 13 29</t>
  </si>
  <si>
    <t xml:space="preserve">PROPOSED-INFLUENT-PUMPS-LARGE</t>
  </si>
  <si>
    <t xml:space="preserve">Influent pumps, large, submersible, duplex (2), 320-500 gpm each</t>
  </si>
  <si>
    <t xml:space="preserve">PROPOSED-IPS-LEVEL-TRANSDUCER</t>
  </si>
  <si>
    <t xml:space="preserve">Influent Pump Station wet well level transducer, set 6 in. above floor (set points T1-T7)</t>
  </si>
  <si>
    <t xml:space="preserve">LT (Influent Pump Station) (Electrical &amp; Controls)</t>
  </si>
  <si>
    <t xml:space="preserve">#39</t>
  </si>
  <si>
    <t xml:space="preserve">C4.1; 22 13 29</t>
  </si>
  <si>
    <t xml:space="preserve">F1–F4 [Influent Pump Station]</t>
  </si>
  <si>
    <t xml:space="preserve">Influent Pump Station backup float switches F1-F4, timer control</t>
  </si>
  <si>
    <t xml:space="preserve">F1 (Influent Pump Station) (Electrical &amp; Controls); F2 (Influent Pump Station) (Electrical &amp; Controls); F3 (Influent Pump Station) (Electrical &amp; Controls); F4 (Influent Pump Station) (Electrical &amp; Controls)</t>
  </si>
  <si>
    <t xml:space="preserve">#40</t>
  </si>
  <si>
    <t xml:space="preserve">PROPOSED-IPS-VALVE-VAULTS</t>
  </si>
  <si>
    <t xml:space="preserve">Influent Pump Station valve vaults (2), precast 4 ft 2 in x 4 ft 2 in x 5 ft 6 in min. inside, Utility Vault Co. 506-LA or equal</t>
  </si>
  <si>
    <t xml:space="preserve">PROPOSED-Influent-Pump-Station-Meter-Vaults (Structural &amp; Building)</t>
  </si>
  <si>
    <t xml:space="preserve">#41</t>
  </si>
  <si>
    <t xml:space="preserve">PROPOSED-IPS-MOTOR-SAVER-RELAYS</t>
  </si>
  <si>
    <t xml:space="preserve">Flygt MiniCAS-120 motor saver relays for the influent pumps, supplied by Contractor to the Control Systems Integrator</t>
  </si>
  <si>
    <t xml:space="preserve">PROPOSED-Influent-Pump-Seal-Fail-Overtemp-Relays (Electrical &amp; Controls)</t>
  </si>
  <si>
    <t xml:space="preserve">#42</t>
  </si>
  <si>
    <t xml:space="preserve">IP-1</t>
  </si>
  <si>
    <t xml:space="preserve">Influent Pump No.1, 3 HP, explosion-proof (XP), 4.8 FLA</t>
  </si>
  <si>
    <t xml:space="preserve">PROPOSED-INFLUENT-PUMPS-SMALL (Process &amp; Mechanical); PROPOSED-INFLUENT-PUMPS-LARGE (Process &amp; Mechanical); PROPOSED-Submersible-Pump-Equipment (Contract &amp; General)</t>
  </si>
  <si>
    <t xml:space="preserve">#36, #167, #207</t>
  </si>
  <si>
    <t xml:space="preserve">E4.1; E4.2; E6.1; E6.3; E8.1; E8.2; E8.3; E8.4</t>
  </si>
  <si>
    <t xml:space="preserve">IP-2</t>
  </si>
  <si>
    <t xml:space="preserve">Influent Pump No.2, 3 HP, explosion-proof (XP), 4.8 FLA</t>
  </si>
  <si>
    <t xml:space="preserve">IP-3</t>
  </si>
  <si>
    <t xml:space="preserve">Influent Pump No.3, 5 HP, explosion-proof (XP), 7.6 FLA</t>
  </si>
  <si>
    <t xml:space="preserve">IP-4</t>
  </si>
  <si>
    <t xml:space="preserve">Influent Pump No.4, 5 HP, explosion-proof (XP), 7.6 FLA</t>
  </si>
  <si>
    <t xml:space="preserve">PROPOSED-Influent-Pump-Seal-Fail-Overtemp-Relays</t>
  </si>
  <si>
    <t xml:space="preserve">Influent pump seal-fail and overtemperature relays (4), Mini-CAS or equal, furnished by the pump manufacturer, installed in the IPS panel</t>
  </si>
  <si>
    <t xml:space="preserve">PROPOSED-IPS-MOTOR-SAVER-RELAYS (Process &amp; Mechanical)</t>
  </si>
  <si>
    <t xml:space="preserve">#42, #214</t>
  </si>
  <si>
    <t xml:space="preserve">E8.1</t>
  </si>
  <si>
    <t xml:space="preserve">PROPOSED-Submersible-Pump-Equipment</t>
  </si>
  <si>
    <t xml:space="preserve">Submersible pump equipment</t>
  </si>
  <si>
    <t xml:space="preserve">IP-3 (Electrical &amp; Controls); IP-4 (Electrical &amp; Controls); PROPOSED-INFLUENT-PUMPS-SMALL (Process &amp; Mechanical); PROPOSED-INFLUENT-PUMPS-LARGE (Process &amp; Mechanical); IP-2 (Electrical &amp; Controls); IP-1 (Electrical &amp; Controls)</t>
  </si>
  <si>
    <t xml:space="preserve">#36, #251</t>
  </si>
  <si>
    <t xml:space="preserve">00 41 00; 01 33 00; 01 70 00; 01 91 00; 01 45 00</t>
  </si>
  <si>
    <t xml:space="preserve">PROPOSED-BLOWER-BLDG-WALL-FANS</t>
  </si>
  <si>
    <t xml:space="preserve">Blower Building wall fans (2), Acme FQ18G6, 3,300 CFM, 1/2 HP, 120 V, each on its own Schaffer TH109 thermostat, with EBE445 gravity combination louver</t>
  </si>
  <si>
    <t xml:space="preserve">23-C01</t>
  </si>
  <si>
    <t xml:space="preserve">EF-2 (Electrical &amp; Controls); PROPOSED-Exhaust-Fans-Blower-Building (Structural &amp; Building); EF-1 (Electrical &amp; Controls)</t>
  </si>
  <si>
    <t xml:space="preserve">#20</t>
  </si>
  <si>
    <t xml:space="preserve">23 34 00</t>
  </si>
  <si>
    <t xml:space="preserve">PROPOSED-BLOWER-BLDG-MOTORIZED-LOUVER</t>
  </si>
  <si>
    <t xml:space="preserve">Blower Building motorized louvered vent, 36 x 84 in., Pottoroff EXD-645 with AF120 120 V spring-return actuator</t>
  </si>
  <si>
    <t xml:space="preserve">ML-1 (Electrical &amp; Controls); PROPOSED-Louver-36x84-Motorized (Structural &amp; Building)</t>
  </si>
  <si>
    <t xml:space="preserve">#21</t>
  </si>
  <si>
    <t xml:space="preserve">PROPOSED-BLOWER-BLDG-MANUAL-LOUVER</t>
  </si>
  <si>
    <t xml:space="preserve">Blower Building manual louvered vent, 24 x 24 in., Pottoroff EXD-645</t>
  </si>
  <si>
    <t xml:space="preserve">PROPOSED-Blower-Building-Manual-Louver (Electrical &amp; Controls); PROPOSED-Louver-24x24-Manual (Structural &amp; Building)</t>
  </si>
  <si>
    <t xml:space="preserve">#22</t>
  </si>
  <si>
    <t xml:space="preserve">EF-1</t>
  </si>
  <si>
    <t xml:space="preserve">Exhaust Fan 1, Blower Building (motor marked 1/2), circuit LP1-5</t>
  </si>
  <si>
    <t xml:space="preserve">PROPOSED-BLOWER-BLDG-WALL-FANS (Process &amp; Mechanical); PROPOSED-Exhaust-Fans-Blower-Building (Structural &amp; Building)</t>
  </si>
  <si>
    <t xml:space="preserve">#20, #203</t>
  </si>
  <si>
    <t xml:space="preserve">E2.2; E6.2</t>
  </si>
  <si>
    <t xml:space="preserve">EF-2</t>
  </si>
  <si>
    <t xml:space="preserve">Exhaust Fan 2, Blower Building (motor marked 1/2), circuit LP1-7</t>
  </si>
  <si>
    <t xml:space="preserve">ML-1</t>
  </si>
  <si>
    <t xml:space="preserve">Motorized louver ML-1, Blower Building (motor marked 1/6), louver and HVAC control circuit LP1-3</t>
  </si>
  <si>
    <t xml:space="preserve">PROPOSED-Louver-36x84-Motorized (Structural &amp; Building); PROPOSED-BLOWER-BLDG-MOTORIZED-LOUVER (Process &amp; Mechanical)</t>
  </si>
  <si>
    <t xml:space="preserve">#21, #203</t>
  </si>
  <si>
    <t xml:space="preserve">E2.2</t>
  </si>
  <si>
    <t xml:space="preserve">PROPOSED-Blower-Building-Manual-Louver</t>
  </si>
  <si>
    <t xml:space="preserve">Manual louver, Blower Building</t>
  </si>
  <si>
    <t xml:space="preserve">PROPOSED-Louver-24x24-Manual (Structural &amp; Building); PROPOSED-BLOWER-BLDG-MANUAL-LOUVER (Process &amp; Mechanical)</t>
  </si>
  <si>
    <t xml:space="preserve">PROPOSED-Louver-36x84-Motorized</t>
  </si>
  <si>
    <t xml:space="preserve">Louver, 36 in x 84 in, motorized — Blower Building west wall</t>
  </si>
  <si>
    <t xml:space="preserve">ML-1 (Electrical &amp; Controls); PROPOSED-BLOWER-BLDG-MOTORIZED-LOUVER (Process &amp; Mechanical)</t>
  </si>
  <si>
    <t xml:space="preserve">#21, #228</t>
  </si>
  <si>
    <t xml:space="preserve">PROPOSED-Louver-24x24-Manual</t>
  </si>
  <si>
    <t xml:space="preserve">Louver, 24 in x 24 in, manual — Blower Building west wall</t>
  </si>
  <si>
    <t xml:space="preserve">PROPOSED-Blower-Building-Manual-Louver (Electrical &amp; Controls); PROPOSED-BLOWER-BLDG-MANUAL-LOUVER (Process &amp; Mechanical)</t>
  </si>
  <si>
    <t xml:space="preserve">#22, #228</t>
  </si>
  <si>
    <t xml:space="preserve">PROPOSED-Exhaust-Fans-Blower-Building</t>
  </si>
  <si>
    <t xml:space="preserve">Exhaust fans (2) with 24 in x 24 in wall vents — Blower Building east wall</t>
  </si>
  <si>
    <t xml:space="preserve">EF-2 (Electrical &amp; Controls); PROPOSED-BLOWER-BLDG-WALL-FANS (Process &amp; Mechanical); EF-1 (Electrical &amp; Controls)</t>
  </si>
  <si>
    <t xml:space="preserve">#20, #228</t>
  </si>
  <si>
    <t xml:space="preserve">PROPOSED-EXISTING-BLDG-WALL-FANS</t>
  </si>
  <si>
    <t xml:space="preserve">Existing Dewatering/Train 1&amp;2 Building wall fans (3), Acme FQ18G6, 3,300 CFM, each on a manual on/off switch, with gravity combination louvers</t>
  </si>
  <si>
    <t xml:space="preserve">Existing Dewatering/Train 1&amp;2 Building Area</t>
  </si>
  <si>
    <t xml:space="preserve">23-C02</t>
  </si>
  <si>
    <t xml:space="preserve">EF-3 (Electrical &amp; Controls); EF-4 (Electrical &amp; Controls); EF-5 (Electrical &amp; Controls); PROPOSED-WWTP-Building-Exhaust-Fan-24x24 (Structural &amp; Building)</t>
  </si>
  <si>
    <t xml:space="preserve">#26</t>
  </si>
  <si>
    <t xml:space="preserve">PROPOSED-EXISTING-BLDG-LOUVERS</t>
  </si>
  <si>
    <t xml:space="preserve">Existing Dewatering/Train 1&amp;2 Building manual louvered vents (2), 36 x 84 in., Pottoroff EXD-645</t>
  </si>
  <si>
    <t xml:space="preserve">PROPOSED-WWTP-Building-Louver-3x7 (Structural &amp; Building)</t>
  </si>
  <si>
    <t xml:space="preserve">#27</t>
  </si>
  <si>
    <t xml:space="preserve">EF-3</t>
  </si>
  <si>
    <t xml:space="preserve">Exhaust Fan EF-3, Treatment Building, motor marked 1/2, circuit LP2-7 (1,127 VA)</t>
  </si>
  <si>
    <t xml:space="preserve">PROPOSED-WWTP-Building-Exhaust-Fan-24x24 (Structural &amp; Building); PROPOSED-EXISTING-BLDG-WALL-FANS (Process &amp; Mechanical)</t>
  </si>
  <si>
    <t xml:space="preserve">#26, #194, #205, #210</t>
  </si>
  <si>
    <t xml:space="preserve">E4.1; E6.2; E8.3; E9.3</t>
  </si>
  <si>
    <t xml:space="preserve">EF-4</t>
  </si>
  <si>
    <t xml:space="preserve">Exhaust Fan EF-4, Treatment Building, motor marked 1/2, circuit LP2-9 (1,127 VA)</t>
  </si>
  <si>
    <t xml:space="preserve">#26, #194, #210</t>
  </si>
  <si>
    <t xml:space="preserve">EF-5</t>
  </si>
  <si>
    <t xml:space="preserve">Exhaust Fan EF-5, Treatment Building, motor marked 1/2, circuit LP2-11 (1,127 VA)</t>
  </si>
  <si>
    <t xml:space="preserve">#26, #194, #205</t>
  </si>
  <si>
    <t xml:space="preserve">PROPOSED-Construction-Power-Service</t>
  </si>
  <si>
    <t xml:space="preserve">Dedicated construction power service (contractor-provided, contractor-paid energy)</t>
  </si>
  <si>
    <t xml:space="preserve">26-C12</t>
  </si>
  <si>
    <t xml:space="preserve">PROPOSED-Temporary-Construction-Power (Contract &amp; General)</t>
  </si>
  <si>
    <t xml:space="preserve">#67</t>
  </si>
  <si>
    <t xml:space="preserve">6 (Division 26 per 04)</t>
  </si>
  <si>
    <t xml:space="preserve">Not shown</t>
  </si>
  <si>
    <t xml:space="preserve">26 05 00</t>
  </si>
  <si>
    <t xml:space="preserve">PROPOSED-Temporary-Construction-Power</t>
  </si>
  <si>
    <t xml:space="preserve">Temporary construction power and lighting (poles, transformer if required, cords, outlets, lamps)</t>
  </si>
  <si>
    <t xml:space="preserve">PROPOSED-Construction-Power-Service (Electrical &amp; Controls)</t>
  </si>
  <si>
    <t xml:space="preserve">MCC</t>
  </si>
  <si>
    <t xml:space="preserve">Motor control center, 480 V 3-ph 4-W, Blower Building, Allen-Bradley Centerline 2100 IntelliCENTER | Blower Building motor control center — 8 sections at 20 in, 160 in total per Add. 4</t>
  </si>
  <si>
    <t xml:space="preserve">26-C02</t>
  </si>
  <si>
    <t xml:space="preserve">PROPOSED-Motor-Control-Center (Contract &amp; General)</t>
  </si>
  <si>
    <t xml:space="preserve">#23, #225</t>
  </si>
  <si>
    <t xml:space="preserve">6 | 6 (Inferred per 04)</t>
  </si>
  <si>
    <t xml:space="preserve">E1.1; E2.1; E2.2; E6.1; E6.2; E6.3; E7.0; E9.1; E9.2; A1.1</t>
  </si>
  <si>
    <t xml:space="preserve">26 24 19</t>
  </si>
  <si>
    <t xml:space="preserve">E1.1; E2.1; E2.2; E6.1; E6.2; E6.3; E7.0; E9.1; E9.2; 26 24 19; A1.1</t>
  </si>
  <si>
    <t xml:space="preserve">Electrical &amp; Controls; Structural &amp; Building</t>
  </si>
  <si>
    <t xml:space="preserve">MCP</t>
  </si>
  <si>
    <t xml:space="preserve">Main Control Panel (PLC), Blower Building | Main control panel (MCP) — relocated per Add. 4</t>
  </si>
  <si>
    <t xml:space="preserve">PROPOSED-PLC-Control-Panel (Contract &amp; General)</t>
  </si>
  <si>
    <t xml:space="preserve">#24, #226</t>
  </si>
  <si>
    <t xml:space="preserve">E2.1; E2.2; E6.2; E6.3; E7.0; E7.1; E7.2; E7.3; E7.4; E7.5; E7.6; E7.7; A1.1</t>
  </si>
  <si>
    <t xml:space="preserve">26 80 00</t>
  </si>
  <si>
    <t xml:space="preserve">E2.1; E2.2; E6.2; E6.3; E7.0; E7.1; E7.2; E7.3; E7.4; E7.5; E7.6; E7.7; 26 80 00; A1.1</t>
  </si>
  <si>
    <t xml:space="preserve">LP-1</t>
  </si>
  <si>
    <t xml:space="preserve">Lighting panel LP1, 120/240 V 1-ph 3-W, 100 A bus, 100 A main breaker, 10,000 AIC, surface mounted</t>
  </si>
  <si>
    <t xml:space="preserve">E2.1; E2.2; E6.1; E6.2; E9.1; E9.3</t>
  </si>
  <si>
    <t xml:space="preserve">26 24 16</t>
  </si>
  <si>
    <t xml:space="preserve">E2.1; E2.2; E6.1; E6.2; E9.1; E9.3; 26 24 16</t>
  </si>
  <si>
    <t xml:space="preserve">PROPOSED-Blower-Building-Power-Handholes</t>
  </si>
  <si>
    <t xml:space="preserve">Electric power handholes at the Blower Building (2 shown)</t>
  </si>
  <si>
    <t xml:space="preserve">E2.1; E10.1</t>
  </si>
  <si>
    <t xml:space="preserve">26 05 33</t>
  </si>
  <si>
    <t xml:space="preserve">E2.1; E10.1; 26 05 33</t>
  </si>
  <si>
    <t xml:space="preserve">PROPOSED-Blower-Building-Control-Signal-Handholes</t>
  </si>
  <si>
    <t xml:space="preserve">Electric control and signal handholes at the Blower Building (2 shown)</t>
  </si>
  <si>
    <t xml:space="preserve">PROPOSED-Blower-Building-Smoke-Heat-Detector</t>
  </si>
  <si>
    <t xml:space="preserve">Ceiling smoke/heat detector, System Sensor 4WTAR-B, Form C relay, sounder, 4-wire</t>
  </si>
  <si>
    <t xml:space="preserve">E2.1; E6.3; E7.3</t>
  </si>
  <si>
    <t xml:space="preserve">E2.1; E6.3; E7.3; 26 80 00</t>
  </si>
  <si>
    <t xml:space="preserve">PROPOSED-Blower-Building-Door-Intrusion-Switch</t>
  </si>
  <si>
    <t xml:space="preserve">Door intrusion switch, magnetic reed SPDT, Interlogix Sentrol 2807T or equal</t>
  </si>
  <si>
    <t xml:space="preserve">PROPOSED-2W-Pressure-Transducer</t>
  </si>
  <si>
    <t xml:space="preserve">2W system pressure transducer, 0–150 psi, 4–20 mA, Blower Building</t>
  </si>
  <si>
    <t xml:space="preserve">PIT-620 (Process &amp; Mechanical)</t>
  </si>
  <si>
    <t xml:space="preserve">#48</t>
  </si>
  <si>
    <t xml:space="preserve">E2.1; E6.3; E7.5</t>
  </si>
  <si>
    <t xml:space="preserve">26 80 00; 26 80 00</t>
  </si>
  <si>
    <t xml:space="preserve">E2.1; E6.3; E7.5; 26 80 00</t>
  </si>
  <si>
    <t xml:space="preserve">PROPOSED-Blower-High-Temperature-Switches</t>
  </si>
  <si>
    <t xml:space="preserve">High-temperature switches at the aeration blowers (typ.)</t>
  </si>
  <si>
    <t xml:space="preserve">#118</t>
  </si>
  <si>
    <t xml:space="preserve">E2.1; E7.3</t>
  </si>
  <si>
    <t xml:space="preserve">PROPOSED-Blower-Building-Grounding-Electrode-System</t>
  </si>
  <si>
    <t xml:space="preserve">Blower Building grounding electrode system (ground rods, concrete-encased electrode, structural steel, metal water pipe)</t>
  </si>
  <si>
    <t xml:space="preserve">26 05 26</t>
  </si>
  <si>
    <t xml:space="preserve">E2.1; E10.1; 26 05 26</t>
  </si>
  <si>
    <t xml:space="preserve">L1 (Blower Building)</t>
  </si>
  <si>
    <t xml:space="preserve">Light fixture type L1: narrow LED 4-ft, vapor tight, 120 V, 42 VA (Acuity CSVT-L48…)</t>
  </si>
  <si>
    <t xml:space="preserve">26 51 19</t>
  </si>
  <si>
    <t xml:space="preserve">L2 (Blower Building)</t>
  </si>
  <si>
    <t xml:space="preserve">Light fixture type L2: LED wall pack, wet location, photocell, 120 V, 17 VA (Acuity ARC1 LED…)</t>
  </si>
  <si>
    <t xml:space="preserve">X1 (Blower Building)</t>
  </si>
  <si>
    <t xml:space="preserve">Light fixture type X1: LED emergency combo with battery pack, 120 V, 6 VA (Lithonia ECC)</t>
  </si>
  <si>
    <t xml:space="preserve">PROPOSED-Blower-Building-Ventilation-Control-Panel</t>
  </si>
  <si>
    <t xml:space="preserve">Ventilation control panel: relay controls, one thermostat per exhaust fan, louver interlock</t>
  </si>
  <si>
    <t xml:space="preserve">#119</t>
  </si>
  <si>
    <t xml:space="preserve">T2</t>
  </si>
  <si>
    <t xml:space="preserve">Transformer T2, 20 kVA, 480–120/240V (MCC; feeds load center LP1)</t>
  </si>
  <si>
    <t xml:space="preserve">E6.1; E9.1</t>
  </si>
  <si>
    <t xml:space="preserve">26 22 13</t>
  </si>
  <si>
    <t xml:space="preserve">E6.1; E9.1; 26 22 13</t>
  </si>
  <si>
    <t xml:space="preserve">PROPOSED-VFDs-in-MCC</t>
  </si>
  <si>
    <t xml:space="preserve">Variable frequency drives in the MCC (10), Allen-Bradley PowerFlex 753 with Ethernet module, each with a 3% line-side reactor; dV/dt filters on motor runs over 50 ft</t>
  </si>
  <si>
    <t xml:space="preserve">#176</t>
  </si>
  <si>
    <t xml:space="preserve">E6.1; E7.0; E7.3; E7.4; E7.7; E9.1; E9.2</t>
  </si>
  <si>
    <t xml:space="preserve">26 29 23</t>
  </si>
  <si>
    <t xml:space="preserve">E6.1; E7.0; E7.3; E7.4; E7.7; E9.1; E9.2; 26 29 23</t>
  </si>
  <si>
    <t xml:space="preserve">PROPOSED-Blower-PTC-Relay-Modules</t>
  </si>
  <si>
    <t xml:space="preserve">Blower motor PTC relay modules (5), furnished by the blower supplier, installed in the main PLC control panel</t>
  </si>
  <si>
    <t xml:space="preserve">#127, #214</t>
  </si>
  <si>
    <t xml:space="preserve">E7.1; E7.2; E7.3</t>
  </si>
  <si>
    <t xml:space="preserve">PROPOSED-Electrical-Equipment-Housekeeping-Pads</t>
  </si>
  <si>
    <t xml:space="preserve">Concrete housekeeping pads under floor-mounted electrical equipment (MCC, main PLC panel, IPS panel)</t>
  </si>
  <si>
    <t xml:space="preserve">Blower Building (MCC, main PLC panel); Influent Pump Station (IPS panel)</t>
  </si>
  <si>
    <t xml:space="preserve">#213</t>
  </si>
  <si>
    <t xml:space="preserve">6 (Division 26 per 04); concrete per civil specifications</t>
  </si>
  <si>
    <t xml:space="preserve">E7.1; E8.1; E9.1</t>
  </si>
  <si>
    <t xml:space="preserve">E7.1; E8.1; E9.1; 26 05 00</t>
  </si>
  <si>
    <t xml:space="preserve">PROPOSED-Motor-Control-Center</t>
  </si>
  <si>
    <t xml:space="preserve">Motor control center (MCC)</t>
  </si>
  <si>
    <t xml:space="preserve">MCC (Electrical &amp; Controls)</t>
  </si>
  <si>
    <t xml:space="preserve">#23, #253</t>
  </si>
  <si>
    <t xml:space="preserve">00 31 13; 01 33 00; 01 70 00</t>
  </si>
  <si>
    <t xml:space="preserve">PROPOSED-DB-Local-Disconnect</t>
  </si>
  <si>
    <t xml:space="preserve">Local disconnect for digester blower DB, NEMA 4X stainless steel</t>
  </si>
  <si>
    <t xml:space="preserve">Not stated — at DB (see DB row)</t>
  </si>
  <si>
    <t xml:space="preserve">26-C05</t>
  </si>
  <si>
    <t xml:space="preserve">E2.1</t>
  </si>
  <si>
    <t xml:space="preserve">26 28 16</t>
  </si>
  <si>
    <t xml:space="preserve">PROPOSED-Digester-Level-Transducer</t>
  </si>
  <si>
    <t xml:space="preserve">Digester level transducer: WIKA submersible, 316 SS, 0–15 psi, LevelGuard, 4–20 mA, vented, desiccant, NEMA 4X; J-box with terminals and desiccant on the handrail</t>
  </si>
  <si>
    <t xml:space="preserve">Digester</t>
  </si>
  <si>
    <t xml:space="preserve">S1–S2 [Aerobic Digester] (Process &amp; Mechanical)</t>
  </si>
  <si>
    <t xml:space="preserve">#58</t>
  </si>
  <si>
    <t xml:space="preserve">E5.1; E6.3; E7.1; E7.5</t>
  </si>
  <si>
    <t xml:space="preserve">PROPOSED-Hot Box #1 flow meter</t>
  </si>
  <si>
    <t xml:space="preserve">1-inch flow meter in Hot Box #1, 'per electrical design requirements'</t>
  </si>
  <si>
    <t xml:space="preserve">26-C10</t>
  </si>
  <si>
    <t xml:space="preserve">PROPOSED-2W-FLOW-METER (Process &amp; Mechanical); PROPOSED-2W-Flow-Meter (Electrical &amp; Controls)</t>
  </si>
  <si>
    <t xml:space="preserve">#11</t>
  </si>
  <si>
    <t xml:space="preserve">C7.6 (Det. 1)</t>
  </si>
  <si>
    <t xml:space="preserve">C7.6</t>
  </si>
  <si>
    <t xml:space="preserve">PROPOSED-EFFLUENT-FLOW-METER</t>
  </si>
  <si>
    <t xml:space="preserve">Plant effluent flow meter, 8-inch electromagnetic, 0-940 gpm</t>
  </si>
  <si>
    <t xml:space="preserve">Site (upstream of UV per G0.5)</t>
  </si>
  <si>
    <t xml:space="preserve">PROPOSED-Effluent-Flow-Meter (Electrical &amp; Controls); PROPOSED-8in-Effluent-Flow-Meter (Contract &amp; General)</t>
  </si>
  <si>
    <t xml:space="preserve">#10</t>
  </si>
  <si>
    <t xml:space="preserve">G0.5; G0.6; G0.7</t>
  </si>
  <si>
    <t xml:space="preserve">PROPOSED-Utility-Transformer-480V</t>
  </si>
  <si>
    <t xml:space="preserve">Utility transformer, 480Y/277V, 225 kVA (new; furnished and installed by OPALCO)</t>
  </si>
  <si>
    <t xml:space="preserve">6 (contractor scope only: pad modification, secondary conduit and wire)</t>
  </si>
  <si>
    <t xml:space="preserve">E0.2; E1.1; E6.1</t>
  </si>
  <si>
    <t xml:space="preserve">P-SEC</t>
  </si>
  <si>
    <t xml:space="preserve">Utility secondary conduit and conductors, new utility transformer to service equipment (by contractor)</t>
  </si>
  <si>
    <t xml:space="preserve">E1.1; E6.1; E6.3</t>
  </si>
  <si>
    <t xml:space="preserve">26 05 19; 26 05 33; 26 05 00</t>
  </si>
  <si>
    <t xml:space="preserve">PROPOSED-CT-Enclosure-and-Meter-Base</t>
  </si>
  <si>
    <t xml:space="preserve">CT enclosure, landing pads and meter base (new; meter and CTs by utility)</t>
  </si>
  <si>
    <t xml:space="preserve">E0.2; E1.1; E6.1; E6.3</t>
  </si>
  <si>
    <t xml:space="preserve">ATS</t>
  </si>
  <si>
    <t xml:space="preserve">Automatic transfer switch, service-entrance rated, 480Y/277V, 400 A (permanent)</t>
  </si>
  <si>
    <t xml:space="preserve">PROPOSED-Automatic-Transfer-Switch (Contract &amp; General)</t>
  </si>
  <si>
    <t xml:space="preserve">#66, #255</t>
  </si>
  <si>
    <t xml:space="preserve">6; 18 — Unresolved (see 04) for the temporary-generator connection</t>
  </si>
  <si>
    <t xml:space="preserve">E1.1; E6.1; E6.3; E7.3</t>
  </si>
  <si>
    <t xml:space="preserve">26 36 00</t>
  </si>
  <si>
    <t xml:space="preserve">E1.1; Add. 4 Generator Exhibit; E6.1; E6.3; E7.3; 26 36 00</t>
  </si>
  <si>
    <t xml:space="preserve">MDP</t>
  </si>
  <si>
    <t xml:space="preserve">Main distribution panel MDP, 480Y/277V 3-ph 4-W, 400 A bus, main lugs only, 42,000 AIC, surface mounted, with SPD</t>
  </si>
  <si>
    <t xml:space="preserve">E1.1; E6.1; E6.2; E6.3</t>
  </si>
  <si>
    <t xml:space="preserve">E1.1; E6.1; E6.2; E6.3; 26 24 16</t>
  </si>
  <si>
    <t xml:space="preserve">TS</t>
  </si>
  <si>
    <t xml:space="preserve">Transformer TS, 75 kVA, 480–208Y/120V</t>
  </si>
  <si>
    <t xml:space="preserve">E1.1; E6.1; E6.3; 26 22 13</t>
  </si>
  <si>
    <t xml:space="preserve">PROPOSED-Existing-Grounding-Electrode-System</t>
  </si>
  <si>
    <t xml:space="preserve">Existing grounding electrode system (kept; new equipment and electrodes bonded to it)</t>
  </si>
  <si>
    <t xml:space="preserve">Electric Service Area / existing buildings</t>
  </si>
  <si>
    <t xml:space="preserve">E0.2; E1.1</t>
  </si>
  <si>
    <t xml:space="preserve">PROPOSED-Conduit-and-Conductor-Runs</t>
  </si>
  <si>
    <t xml:space="preserve">Conduit and conductor runs per the E6.3 schedules: 40 named power runs (+2 unnamed UV controller circuits, AC spare) and 38 named 24 VDC control/signal runs (+DC spare)</t>
  </si>
  <si>
    <t xml:space="preserve">Site-wide</t>
  </si>
  <si>
    <t xml:space="preserve">E6.3; E10.1; E10.2</t>
  </si>
  <si>
    <t xml:space="preserve">26 05 19; 26 05 33</t>
  </si>
  <si>
    <t xml:space="preserve">E6.3; E10.1; E10.2; 26 05 19; 26 05 33</t>
  </si>
  <si>
    <t xml:space="preserve">PROPOSED-8in-Effluent-Flow-Meter</t>
  </si>
  <si>
    <t xml:space="preserve">8-inch effluent flow meter</t>
  </si>
  <si>
    <t xml:space="preserve">PROPOSED-Effluent-Flow-Meter (Electrical &amp; Controls); PROPOSED-EFFLUENT-FLOW-METER (Process &amp; Mechanical)</t>
  </si>
  <si>
    <t xml:space="preserve">#10, #253</t>
  </si>
  <si>
    <t xml:space="preserve">PROPOSED-Automatic-Transfer-Switch</t>
  </si>
  <si>
    <t xml:space="preserve">Automatic transfer switch (permanent)</t>
  </si>
  <si>
    <t xml:space="preserve">ATS (Electrical &amp; Controls)</t>
  </si>
  <si>
    <t xml:space="preserve">#66, #253, #255</t>
  </si>
  <si>
    <t xml:space="preserve">01 33 00; 01 70 00</t>
  </si>
  <si>
    <t xml:space="preserve">00 41 00; 01 33 00; 01 70 00</t>
  </si>
  <si>
    <t xml:space="preserve">PROPOSED-480V-Electrical-Service</t>
  </si>
  <si>
    <t xml:space="preserve">480V electrical service (new)</t>
  </si>
  <si>
    <t xml:space="preserve">#253</t>
  </si>
  <si>
    <t xml:space="preserve">PROPOSED-PLC-Control-Panel</t>
  </si>
  <si>
    <t xml:space="preserve">PLC control panel (new)</t>
  </si>
  <si>
    <t xml:space="preserve">MCP (Electrical &amp; Controls)</t>
  </si>
  <si>
    <t xml:space="preserve">#24, #253</t>
  </si>
  <si>
    <t xml:space="preserve">00 31 13; 00 73 00; 01 33 00; 01 70 00</t>
  </si>
  <si>
    <t xml:space="preserve">PROPOSED-Magnetic-Flow-Meters</t>
  </si>
  <si>
    <t xml:space="preserve">Magnetic flow meters (all units; count and locations not stated)</t>
  </si>
  <si>
    <t xml:space="preserve">#251, #253</t>
  </si>
  <si>
    <t xml:space="preserve">01 91 00; 01 33 00; 01 70 00</t>
  </si>
  <si>
    <t xml:space="preserve">PROPOSED-WAS-FLOW-METER</t>
  </si>
  <si>
    <t xml:space="preserve">WAS flow meter, 2-inch, on the WAS line to the digester, per electrical design requirements</t>
  </si>
  <si>
    <t xml:space="preserve">26-C11</t>
  </si>
  <si>
    <t xml:space="preserve">PROPOSED-WAS-Dewatering-Flow-Meter (Electrical &amp; Controls)</t>
  </si>
  <si>
    <t xml:space="preserve">#43</t>
  </si>
  <si>
    <t xml:space="preserve">C6.2</t>
  </si>
  <si>
    <t xml:space="preserve">P-TPS</t>
  </si>
  <si>
    <t xml:space="preserve">Replacement 200 A 208Y/120V feeder, existing switchgear to Panel TPS</t>
  </si>
  <si>
    <t xml:space="preserve">Site — Electric Service Area to existing Treatment Building</t>
  </si>
  <si>
    <t xml:space="preserve">26-C15</t>
  </si>
  <si>
    <t xml:space="preserve">E0.2; E1.1; E4.1; E6.1; E6.3</t>
  </si>
  <si>
    <t xml:space="preserve">TPS</t>
  </si>
  <si>
    <t xml:space="preserve">Panel TPS, 208Y/120V 3-ph 4-W, 200 A (kept; re-fed)</t>
  </si>
  <si>
    <t xml:space="preserve">Existing Treatment Building</t>
  </si>
  <si>
    <t xml:space="preserve">E0.2; E1.1; E4.1; E6.1</t>
  </si>
  <si>
    <t xml:space="preserve">PROPOSED-Existing-208V-400A-Distribution-Panel</t>
  </si>
  <si>
    <t xml:space="preserve">Existing 208Y/120V 400 A distribution panel (Square-D I-Line), Office Building, re-fed from transformer TS</t>
  </si>
  <si>
    <t xml:space="preserve">PROPOSED-Treatment-Building-Power-Handhole</t>
  </si>
  <si>
    <t xml:space="preserve">Electric power handhole at the Treatment Building / IPS panel location</t>
  </si>
  <si>
    <t xml:space="preserve">E4.1; E10.1</t>
  </si>
  <si>
    <t xml:space="preserve">E4.1; E10.1; 26 05 33</t>
  </si>
  <si>
    <t xml:space="preserve">PROPOSED-Treatment-Building-Control-Signal-Handhole</t>
  </si>
  <si>
    <t xml:space="preserve">Electric control and signal handhole at the Treatment Building / IPS panel location</t>
  </si>
  <si>
    <t xml:space="preserve">E4.1; E7.0; E10.1</t>
  </si>
  <si>
    <t xml:space="preserve">E4.1; E7.0; E10.1; 26 05 33</t>
  </si>
  <si>
    <t xml:space="preserve">PROPOSED-WAS-Dewatering-Flow-Meter</t>
  </si>
  <si>
    <t xml:space="preserve">Dewatering flow meter ("WAS flow meter" on E7.0), Promag W400 with local display, Cat 6 to the IPS panel</t>
  </si>
  <si>
    <t xml:space="preserve">PROPOSED-WAS-FLOW-METER (Process &amp; Mechanical)</t>
  </si>
  <si>
    <t xml:space="preserve">#43, #184</t>
  </si>
  <si>
    <t xml:space="preserve">E4.1; E6.3; E7.0; E10.2</t>
  </si>
  <si>
    <t xml:space="preserve">PROPOSED-WAS-and-Sludge-Pump-Local-Disconnects</t>
  </si>
  <si>
    <t xml:space="preserve">Local motor disconnects for WP-1, WP-2 and SD-1 (3)</t>
  </si>
  <si>
    <t xml:space="preserve">PROPOSED-SLUDGE-PUMP-LOCAL-PANELS (Process &amp; Mechanical)</t>
  </si>
  <si>
    <t xml:space="preserve">E4.1; E6.1</t>
  </si>
  <si>
    <t xml:space="preserve">PROPOSED-Treatment-Building-Ventilation-Control-Panel</t>
  </si>
  <si>
    <t xml:space="preserve">Ventilation control panel, Treatment Building, NEMA 4X stainless steel</t>
  </si>
  <si>
    <t xml:space="preserve">E4.1; E6.2; E8.3; E8.4; E9.3</t>
  </si>
  <si>
    <t xml:space="preserve">E4.1; E6.2; E8.3; E8.4; E9.3; 26 80 00</t>
  </si>
  <si>
    <t xml:space="preserve">PROPOSED-Methane-Sensor</t>
  </si>
  <si>
    <t xml:space="preserve">Methane gas sensor, Treatment Building, circuit LP2-4 (500 VA)</t>
  </si>
  <si>
    <t xml:space="preserve">E4.1; E6.2; E8.4; E8.5; E9.3</t>
  </si>
  <si>
    <t xml:space="preserve">E4.1; E6.2; E8.4; E8.5; E9.3; 26 80 00</t>
  </si>
  <si>
    <t xml:space="preserve">PROPOSED-H2S-Sensor</t>
  </si>
  <si>
    <t xml:space="preserve">Hydrogen sulfide (H2S) sensor, Treatment Building, circuit LP2-2 (500 VA)</t>
  </si>
  <si>
    <t xml:space="preserve">PROPOSED-Gas-Alarm-Light-and-Horn</t>
  </si>
  <si>
    <t xml:space="preserve">Local alarm light and horn for ventilation and gas monitoring, Treatment Building</t>
  </si>
  <si>
    <t xml:space="preserve">E4.1; E8.4</t>
  </si>
  <si>
    <t xml:space="preserve">E4.1; E8.4; 26 80 00</t>
  </si>
  <si>
    <t xml:space="preserve">L2 (Treatment Building)</t>
  </si>
  <si>
    <t xml:space="preserve">Light fixture type L2 wall packs on circuit LP2-3 ("wall pack lighting", 500 VA)</t>
  </si>
  <si>
    <t xml:space="preserve">E4.1; E6.2; E8.1</t>
  </si>
  <si>
    <t xml:space="preserve">PROPOSED-Effluent-Flow-Meter</t>
  </si>
  <si>
    <t xml:space="preserve">Effluent magnetic flow meter in vault, Promag W400, remote housing, IP68 Type 6 potted submersible sensor, two 316L grounding rings</t>
  </si>
  <si>
    <t xml:space="preserve">UV Disinfection Chamber</t>
  </si>
  <si>
    <t xml:space="preserve">26-C16</t>
  </si>
  <si>
    <t xml:space="preserve">PROPOSED-8in-Effluent-Flow-Meter (Contract &amp; General); PROPOSED-EFFLUENT-FLOW-METER (Process &amp; Mechanical)</t>
  </si>
  <si>
    <t xml:space="preserve">E5.1; E6.3; E7.0; E10.2</t>
  </si>
  <si>
    <t xml:space="preserve">PROPOSED-Effluent-Flow-Meter-Transmitter-Panel</t>
  </si>
  <si>
    <t xml:space="preserve">Effluent flow meter transmitter panel: stainless local control panel with the transmitter and instrument terminals, on handrail or rack with SS hardware</t>
  </si>
  <si>
    <t xml:space="preserve">E5.1; E6.3</t>
  </si>
  <si>
    <t xml:space="preserve">E5.1; E6.3; 26 80 00</t>
  </si>
  <si>
    <t xml:space="preserve">PROPOSED-UV-Control-Panel-1</t>
  </si>
  <si>
    <t xml:space="preserve">UV control panel 1 (UV system controller), furnished with the UV system, installed by the contractor</t>
  </si>
  <si>
    <t xml:space="preserve">PROPOSED-UV-CONTROL-PANELS (Process &amp; Mechanical)</t>
  </si>
  <si>
    <t xml:space="preserve">#55</t>
  </si>
  <si>
    <t xml:space="preserve">PROPOSED-UV-Control-Panel-2</t>
  </si>
  <si>
    <t xml:space="preserve">UV control panel 2 (UV system controller), furnished with the UV system, installed by the contractor</t>
  </si>
  <si>
    <t xml:space="preserve">PROPOSED-UV-Power-Distribution-1</t>
  </si>
  <si>
    <t xml:space="preserve">UV power distribution 1: stainless splitter panel within 10 ft of the module power end, wiring gutter, J-boxes and (3) duplex GFCI power distribution receptacles (PDRs) with in-use wet-location covers on SS Unistrut; SS conduit and fittings</t>
  </si>
  <si>
    <t xml:space="preserve">E5.1; E6.2; E6.3</t>
  </si>
  <si>
    <t xml:space="preserve">26 27 26</t>
  </si>
  <si>
    <t xml:space="preserve">PROPOSED-UV-Power-Distribution-2</t>
  </si>
  <si>
    <t xml:space="preserve">UV power distribution 2: stainless splitter panel within 10 ft of the module power end, wiring gutter, J-boxes and (3) duplex GFCI power distribution receptacles (PDRs) with in-use wet-location covers on SS Unistrut; SS conduit and fittings</t>
  </si>
  <si>
    <t xml:space="preserve">PROPOSED-UV-Area-Pole-Light</t>
  </si>
  <si>
    <t xml:space="preserve">UV-area pole light: 4-in square aluminum pole 12 ft on a concrete base secured to the basin side, photocell, local on/off switch, WP/GFCI receptacle; Lithonia "#DXS0-LED-P3-30K-T3M-MVOLT-SPA-DNAXD" (as printed) or equal</t>
  </si>
  <si>
    <t xml:space="preserve">S1–S2 [Aerobic Digester]</t>
  </si>
  <si>
    <t xml:space="preserve">Aerobic digester transducer level sensor(s): S1 high alarm 25.55, S2 low alarm 15.30</t>
  </si>
  <si>
    <t xml:space="preserve">26-C17</t>
  </si>
  <si>
    <t xml:space="preserve">PROPOSED-Digester-Level-Transducer (Electrical &amp; Controls)</t>
  </si>
  <si>
    <t xml:space="preserve">C5.3</t>
  </si>
  <si>
    <t xml:space="preserve">PROPOSED-2W-Flow-Meter</t>
  </si>
  <si>
    <t xml:space="preserve">2W flow meter, 1-in Promag W400, 24 VAC/DC, EtherNet/IP, local display, NEMA 4X, in Hot Box #1</t>
  </si>
  <si>
    <t xml:space="preserve">26-C01</t>
  </si>
  <si>
    <t xml:space="preserve">PROPOSED-2W-FLOW-METER (Process &amp; Mechanical); PROPOSED-Hot Box #1 flow meter (Civil &amp; Site)</t>
  </si>
  <si>
    <t xml:space="preserve">E4.3; E6.3; E7.0; E10.2</t>
  </si>
  <si>
    <t xml:space="preserve">LSH-111</t>
  </si>
  <si>
    <t xml:space="preserve">2W float F1: high level alarm and redundant valve close at 22.00 (factory float tree)</t>
  </si>
  <si>
    <t xml:space="preserve">F1–F4 [2W Pump Station] (Process &amp; Mechanical)</t>
  </si>
  <si>
    <t xml:space="preserve">#46</t>
  </si>
  <si>
    <t xml:space="preserve">E4.3; E7.3</t>
  </si>
  <si>
    <t xml:space="preserve">F2 (2W Pump Station)</t>
  </si>
  <si>
    <t xml:space="preserve">2W float F2: valve close at 20.00 (factory float tree)</t>
  </si>
  <si>
    <t xml:space="preserve">F3 (2W Pump Station)</t>
  </si>
  <si>
    <t xml:space="preserve">2W float F3: valve open at 19.00 (factory float tree)</t>
  </si>
  <si>
    <t xml:space="preserve">LSL-111</t>
  </si>
  <si>
    <t xml:space="preserve">2W float F4: low level alarm and pumps off at 15.00 (factory float tree)</t>
  </si>
  <si>
    <t xml:space="preserve">PROPOSED-2W-Pump-Local-Disconnects</t>
  </si>
  <si>
    <t xml:space="preserve">Local motor disconnects for the two 2W pumps (2)</t>
  </si>
  <si>
    <t xml:space="preserve">E6.1</t>
  </si>
  <si>
    <t xml:space="preserve">PROPOSED-Hot-Box-Heat-Trace</t>
  </si>
  <si>
    <t xml:space="preserve">Heat trace on all exposed 2W piping in Hot Boxes #1 and #2: Raychem BTV self-regulating or equal, dedicated 120 V 20 A GFEP circuits (LP1-10, LP1-12), NEMA 4X thermostat, end-of-line kit with indicator light</t>
  </si>
  <si>
    <t xml:space="preserve">#124</t>
  </si>
  <si>
    <t xml:space="preserve">E4.3; E6.2; E6.3</t>
  </si>
  <si>
    <t xml:space="preserve">PROPOSED-Train 2 flow meter</t>
  </si>
  <si>
    <t xml:space="preserve">Train 2 flow meter, 8-inch, in Train 2 flow meter vault</t>
  </si>
  <si>
    <t xml:space="preserve">Train 2</t>
  </si>
  <si>
    <t xml:space="preserve">26-C08</t>
  </si>
  <si>
    <t xml:space="preserve">PROPOSED-Plant-2-Flow-Meter (Electrical &amp; Controls); PROPOSED-TRAIN-2-FLOW-METER (Process &amp; Mechanical)</t>
  </si>
  <si>
    <t xml:space="preserve">#7</t>
  </si>
  <si>
    <t xml:space="preserve">C7.10 (Det. 1)</t>
  </si>
  <si>
    <t xml:space="preserve">C7.10</t>
  </si>
  <si>
    <t xml:space="preserve">PROPOSED-INFLUENT-FLOW-METER</t>
  </si>
  <si>
    <t xml:space="preserve">Influent flow meter, 6-inch electromagnetic, 0-880 gpm</t>
  </si>
  <si>
    <t xml:space="preserve">PROPOSED-Influent-Flow-Meter (Electrical &amp; Controls)</t>
  </si>
  <si>
    <t xml:space="preserve">#9</t>
  </si>
  <si>
    <t xml:space="preserve">G0.5; G0.6; G0.7; C3.1</t>
  </si>
  <si>
    <t xml:space="preserve">PROPOSED-TRAIN-2-FLOW-METER</t>
  </si>
  <si>
    <t xml:space="preserve">Train 2 influent flow meter, 8-inch electromagnetic, 0-470 gpm</t>
  </si>
  <si>
    <t xml:space="preserve">PROPOSED-Plant-2-Flow-Meter (Electrical &amp; Controls); PROPOSED-Train 2 flow meter (Civil &amp; Site)</t>
  </si>
  <si>
    <t xml:space="preserve">PROPOSED-TRAIN-3-FLOW-METER</t>
  </si>
  <si>
    <t xml:space="preserve">Train 3 influent flow meter, 8-inch electromagnetic, 0-470 gpm</t>
  </si>
  <si>
    <t xml:space="preserve">PROPOSED-Plant-3-Flow-Meter (Electrical &amp; Controls); PROPOSED-Train 3 flow meter (Civil &amp; Site)</t>
  </si>
  <si>
    <t xml:space="preserve">#8</t>
  </si>
  <si>
    <t xml:space="preserve">PROPOSED-PLANT-DRAIN-FLOW-METER | PROPOSED-Plant-Drain-Flow-Meter</t>
  </si>
  <si>
    <t xml:space="preserve">Plant drain flow meter, 4-inch electromagnetic, 0-200 gpm | Plant drain magnetic flow meter, Promag W400, remote transmitter at the IPS panel</t>
  </si>
  <si>
    <t xml:space="preserve">G0.5; G0.7; E4.1; E6.3; E7.0; E8.1; E10.2</t>
  </si>
  <si>
    <t xml:space="preserve">Process &amp; Mechanical; Electrical &amp; Controls</t>
  </si>
  <si>
    <t xml:space="preserve">F1 (Influent Pump Station)</t>
  </si>
  <si>
    <t xml:space="preserve">Float switch F1, Eco-Float GP60NONC, non-mercury NO/NC — redundant large lag on at 19.00 (with timer)</t>
  </si>
  <si>
    <t xml:space="preserve">F1–F4 [Influent Pump Station] (Process &amp; Mechanical)</t>
  </si>
  <si>
    <t xml:space="preserve">E4.1; E4.2; E6.3; E8.1; E8.3; E10.1</t>
  </si>
  <si>
    <t xml:space="preserve">F2 (Influent Pump Station)</t>
  </si>
  <si>
    <t xml:space="preserve">Float switch F2, Eco-Float GP60NONC, non-mercury NO/NC — redundant large lead on at 18.50</t>
  </si>
  <si>
    <t xml:space="preserve">F3 (Influent Pump Station)</t>
  </si>
  <si>
    <t xml:space="preserve">Float switch F3, Eco-Float GP60NONC, non-mercury NO/NC — redundant small lag on at 18.00</t>
  </si>
  <si>
    <t xml:space="preserve">F4 (Influent Pump Station)</t>
  </si>
  <si>
    <t xml:space="preserve">Float switch F4, Eco-Float GP60NONC, non-mercury NO/NC — redundant small lead on at 17.50</t>
  </si>
  <si>
    <t xml:space="preserve">LT (Influent Pump Station)</t>
  </si>
  <si>
    <t xml:space="preserve">Submersible level transducer: WIKA pressure transmitter, 316 SS, 0–15 psi, LevelGuard, 4–20 mA loop powered, vented, NEMA 4X termination enclosure</t>
  </si>
  <si>
    <t xml:space="preserve">PROPOSED-IPS-LEVEL-TRANSDUCER (Process &amp; Mechanical)</t>
  </si>
  <si>
    <t xml:space="preserve">E4.1; E4.2; E6.3; E8.1; E8.5; E10.1</t>
  </si>
  <si>
    <t xml:space="preserve">IPS</t>
  </si>
  <si>
    <t xml:space="preserve">Influent Pump Station control panel, 480 V 3-ph 3-W, NEMA 4X SS: 60 A main, starters for IP-1 to IP-4, T3 and LP2, Allen-Bradley CompactLogix PLC (1768-ENBT), network switch, flow-meter transmitters</t>
  </si>
  <si>
    <t xml:space="preserve">E4.1; E6.1; E6.3; E7.0; E7.2; E8.1; E8.2; E8.3; E8.4; E8.5; E8.6; E9.1</t>
  </si>
  <si>
    <t xml:space="preserve">E4.1; E6.1; E6.3; E7.0; E7.2; E8.1; E8.2; E8.3; E8.4; E8.5; E8.6; E9.1; 26 80 00</t>
  </si>
  <si>
    <t xml:space="preserve">T3</t>
  </si>
  <si>
    <t xml:space="preserve">Transformer T3, 10 kVA, 480–120/240V (inside IPS panel; feeds LP2)</t>
  </si>
  <si>
    <t xml:space="preserve">E6.1; E8.1</t>
  </si>
  <si>
    <t xml:space="preserve">E6.1; E8.1; 26 22 13</t>
  </si>
  <si>
    <t xml:space="preserve">LP2</t>
  </si>
  <si>
    <t xml:space="preserve">Panel LP2 (Influent Pump Station panel), 120/240 V 1-ph 3-W, 100 A bus, 60 A main breaker, 10,000 AIC, surface mounted</t>
  </si>
  <si>
    <t xml:space="preserve">E4.1; E6.1; E6.2; E8.1</t>
  </si>
  <si>
    <t xml:space="preserve">E4.1; E6.1; E6.2; E8.1; 26 24 16</t>
  </si>
  <si>
    <t xml:space="preserve">PROPOSED-Influent-Pump-Local-Disconnects</t>
  </si>
  <si>
    <t xml:space="preserve">Influent pump motor local disconnects (4) on the building wall within sight of the wet well; outdoor enclosures lockable Type 316 SS with drip shields</t>
  </si>
  <si>
    <t xml:space="preserve">PROPOSED-Influent-Wet-Well-Power-Handhole</t>
  </si>
  <si>
    <t xml:space="preserve">Influent wet well pump power handhole, precast, traffic rated, solid bottom with sump and drain</t>
  </si>
  <si>
    <t xml:space="preserve">E4.1; E4.2; E10.1</t>
  </si>
  <si>
    <t xml:space="preserve">E4.1; E4.2; E10.1; 26 05 33</t>
  </si>
  <si>
    <t xml:space="preserve">PROPOSED-Influent-Wet-Well-Instrument-Handhole</t>
  </si>
  <si>
    <t xml:space="preserve">Influent wet well instrumentation handhole, precast, traffic rated, solid bottom with sump and drain</t>
  </si>
  <si>
    <t xml:space="preserve">E4.1; E4.2; E6.3; E10.1</t>
  </si>
  <si>
    <t xml:space="preserve">E4.1; E4.2; E6.3; E10.1; 26 05 33</t>
  </si>
  <si>
    <t xml:space="preserve">PROPOSED-Influent-Flow-Meter</t>
  </si>
  <si>
    <t xml:space="preserve">Influent magnetic flow meter, Endress+Hauser Promag W400, Class I Div 2, EtherNet/IP, remote transmitter at the IPS panel, two 316L grounding rings</t>
  </si>
  <si>
    <t xml:space="preserve">PROPOSED-INFLUENT-FLOW-METER (Process &amp; Mechanical)</t>
  </si>
  <si>
    <t xml:space="preserve">E4.1; E6.3; E7.0; E8.1; E10.2</t>
  </si>
  <si>
    <t xml:space="preserve">PROPOSED-Plant-2-Flow-Meter</t>
  </si>
  <si>
    <t xml:space="preserve">Plant 2 magnetic flow meter ("Train #2 flow meter" on E7.0), Promag W400, remote transmitter at the IPS panel</t>
  </si>
  <si>
    <t xml:space="preserve">PROPOSED-Train 2 flow meter (Civil &amp; Site); PROPOSED-TRAIN-2-FLOW-METER (Process &amp; Mechanical)</t>
  </si>
  <si>
    <t xml:space="preserve">PROPOSED-Plant-3-Flow-Meter</t>
  </si>
  <si>
    <t xml:space="preserve">Plant 3 magnetic flow meter ("Train #3 flow meter" on E7.0), Promag W400, remote transmitter at the IPS panel</t>
  </si>
  <si>
    <t xml:space="preserve">PROPOSED-Train 3 flow meter (Civil &amp; Site); PROPOSED-TRAIN-3-FLOW-METER (Process &amp; Mechanical)</t>
  </si>
  <si>
    <t xml:space="preserve">PROPOSED-Train 3 flow meter</t>
  </si>
  <si>
    <t xml:space="preserve">Train 3 flow meter, 8-inch, in Train 3 flow meter vault</t>
  </si>
  <si>
    <t xml:space="preserve">26-C14</t>
  </si>
  <si>
    <t xml:space="preserve">PROPOSED-Plant-3-Flow-Meter (Electrical &amp; Controls); PROPOSED-TRAIN-3-FLOW-METER (Process &amp; Mechanical)</t>
  </si>
  <si>
    <t xml:space="preserve">C7.10 (Det. 2)</t>
  </si>
  <si>
    <t xml:space="preserve">PROPOSED-Train-3-Local-Disconnects</t>
  </si>
  <si>
    <t xml:space="preserve">Local motor disconnects, NEMA 4X Type 316 SS, for the clarifier drive and two mixers (3)</t>
  </si>
  <si>
    <t xml:space="preserve">Train No.3</t>
  </si>
  <si>
    <t xml:space="preserve">E3.1</t>
  </si>
  <si>
    <t xml:space="preserve">PROPOSED-Train-3-Pole-Light</t>
  </si>
  <si>
    <t xml:space="preserve">Platform pole light: 4-in square aluminum pole, 12 ft, receptacle, photocell, local switch; Lithonia "#DXS0-LED-P3-30K-T3M-MVOLT-SPA-DNAXD" (as printed) or equal</t>
  </si>
  <si>
    <t xml:space="preserve">E3.1; E6.3</t>
  </si>
  <si>
    <t xml:space="preserve">PROPOSED-Temporary power generator</t>
  </si>
  <si>
    <t xml:space="preserve">Temporary back-up power generator</t>
  </si>
  <si>
    <t xml:space="preserve">26-C13</t>
  </si>
  <si>
    <t xml:space="preserve">PROPOSED-Temporary-Backup-Generator (Electrical &amp; Controls); PROPOSED-Temporary-Back-Up-Generator (Contract &amp; General)</t>
  </si>
  <si>
    <t xml:space="preserve">#14, #255</t>
  </si>
  <si>
    <t xml:space="preserve">G0.3</t>
  </si>
  <si>
    <t xml:space="preserve">PROPOSED-Temporary-Backup-Generator</t>
  </si>
  <si>
    <t xml:space="preserve">Temporary back-up generator (rental), connected to the permanent ATS until the permanent generator arrives; example cut sheet MQ Power 120 kW prime diesel</t>
  </si>
  <si>
    <t xml:space="preserve">PROPOSED-Temporary power generator (Civil &amp; Site); PROPOSED-Temporary-Back-Up-Generator (Contract &amp; General)</t>
  </si>
  <si>
    <t xml:space="preserve">#14, #142, #255</t>
  </si>
  <si>
    <t xml:space="preserve">None (Add. 4 and 26 05 00 only)</t>
  </si>
  <si>
    <t xml:space="preserve">Add. 4 Generator Exhibit; 26 05 00</t>
  </si>
  <si>
    <t xml:space="preserve">PROPOSED-Temporary-Back-Up-Generator</t>
  </si>
  <si>
    <t xml:space="preserve">Temporary back-up generator (rental, 480V)</t>
  </si>
  <si>
    <t xml:space="preserve">PROPOSED-Temporary power generator (Civil &amp; Site); PROPOSED-Temporary-Backup-Generator (Electrical &amp; Controls)</t>
  </si>
  <si>
    <t xml:space="preserve">#14, #253, #255</t>
  </si>
  <si>
    <t xml:space="preserve">00 31 13; 00 41 00</t>
  </si>
  <si>
    <t xml:space="preserve">PROPOSED-SCADA-Computer-System</t>
  </si>
  <si>
    <t xml:space="preserve">SCADA computer system with Cat 6 network junction box, combo network/telephone outlet and SCADA alarm dialer connection</t>
  </si>
  <si>
    <t xml:space="preserve">Lab — existing Office/Lab/Shop Building</t>
  </si>
  <si>
    <t xml:space="preserve">26-C09</t>
  </si>
  <si>
    <t xml:space="preserve">6 (extra SCADA/PLC programming, if ordered, is Item 17 — force account; 04)</t>
  </si>
  <si>
    <t xml:space="preserve">E0.3; E6.3; E7.0</t>
  </si>
  <si>
    <t xml:space="preserve">PROPOSED-Existing-Utility-Transformer-208V</t>
  </si>
  <si>
    <t xml:space="preserve">Existing OPALCO pad-mount utility transformer, 208Y/120V 3-ph, 45 kVA</t>
  </si>
  <si>
    <t xml:space="preserve">26-C04</t>
  </si>
  <si>
    <t xml:space="preserve">6 (coordination only)</t>
  </si>
  <si>
    <t xml:space="preserve">PROPOSED-Existing-CT-Enclosure-and-Meter</t>
  </si>
  <si>
    <t xml:space="preserve">Existing current transformer enclosure and OPALCO utility meter</t>
  </si>
  <si>
    <t xml:space="preserve">E0.2; 26 05 00</t>
  </si>
  <si>
    <t xml:space="preserve">PROPOSED-Existing-Meter-Base-and-Wall-Raceway</t>
  </si>
  <si>
    <t xml:space="preserve">Existing obsolete meter base and raceway on building wall</t>
  </si>
  <si>
    <t xml:space="preserve">PROPOSED-Existing-200A-Feeder-to-Panel-TPS</t>
  </si>
  <si>
    <t xml:space="preserve">Existing 200 A 208Y/120V power feeder to Panel TPS</t>
  </si>
  <si>
    <t xml:space="preserve">GEN</t>
  </si>
  <si>
    <t xml:space="preserve">Standby diesel generator, 480Y/277V, 125 kW / 156 kVA, sound-attenuated outdoor enclosure with sub-base diesel fuel tank (permanent)</t>
  </si>
  <si>
    <t xml:space="preserve">26-C07</t>
  </si>
  <si>
    <t xml:space="preserve">PROPOSED-Generator-on-S2.4 (Structural &amp; Building); PROPOSED-Permanent-Standby-Generator (Contract &amp; General)</t>
  </si>
  <si>
    <t xml:space="preserve">#65, #257</t>
  </si>
  <si>
    <t xml:space="preserve">Unresolved — 1 or 6 (see 04, Other bid-item conflicts #1); Equipment Alternate E</t>
  </si>
  <si>
    <t xml:space="preserve">E1.1; E6.1; E6.3; E7.3; E10.3</t>
  </si>
  <si>
    <t xml:space="preserve">26 32 13</t>
  </si>
  <si>
    <t xml:space="preserve">E1.1; E6.1; E6.3; E7.3; E10.3; 26 32 13</t>
  </si>
  <si>
    <t xml:space="preserve">PROPOSED-Service-Area-Grounding-Electrode-System</t>
  </si>
  <si>
    <t xml:space="preserve">Grounding electrode systems at the new service: utility transformer grounding, generator pad rebar bond, separately derived system grounding</t>
  </si>
  <si>
    <t xml:space="preserve">E1.1; E6.1; E10.1</t>
  </si>
  <si>
    <t xml:space="preserve">E1.1; E6.1; E10.1; 26 05 26</t>
  </si>
  <si>
    <t xml:space="preserve">PROPOSED-Generator-on-S2.4</t>
  </si>
  <si>
    <t xml:space="preserve">Generator shown on the generator slab — "per civil, attachment by others"</t>
  </si>
  <si>
    <t xml:space="preserve">GEN (Electrical &amp; Controls); PROPOSED-Permanent-Standby-Generator (Contract &amp; General)</t>
  </si>
  <si>
    <t xml:space="preserve">#65, #236, #257</t>
  </si>
  <si>
    <t xml:space="preserve">1 or 6 — Unresolved (see 04)</t>
  </si>
  <si>
    <t xml:space="preserve">PROPOSED-Permanent-Standby-Generator</t>
  </si>
  <si>
    <t xml:space="preserve">Permanent 480V standby generator</t>
  </si>
  <si>
    <t xml:space="preserve">GEN (Electrical &amp; Controls); PROPOSED-Generator-on-S2.4 (Structural &amp; Building)</t>
  </si>
  <si>
    <t xml:space="preserve">#65, #253, #257</t>
  </si>
  <si>
    <t xml:space="preserve">1 or 6 — Unresolved (see 04); Equipment Alternate E</t>
  </si>
  <si>
    <t xml:space="preserve">00 31 13; 00 41 00; 00 73 00; 01 33 00; 01 70 00</t>
  </si>
  <si>
    <t xml:space="preserve">00 31 13; 00 41 00; 00 73 00; 01 33 00; 01 70 00; CQA Plan</t>
  </si>
  <si>
    <t xml:space="preserve">GEN (E)</t>
  </si>
  <si>
    <t xml:space="preserve">Existing standby diesel generator, 208Y/120V 3-ph, 30 kW / 37.5 kVA</t>
  </si>
  <si>
    <t xml:space="preserve">26-C03</t>
  </si>
  <si>
    <t xml:space="preserve">#150</t>
  </si>
  <si>
    <t xml:space="preserve">SES (E)</t>
  </si>
  <si>
    <t xml:space="preserve">Existing 300 A service entrance breaker, SUSE rated, NEMA 3R</t>
  </si>
  <si>
    <t xml:space="preserve">ATS (E)</t>
  </si>
  <si>
    <t xml:space="preserve">Existing automatic transfer switch, 4-wire, 3-pole</t>
  </si>
  <si>
    <t xml:space="preserve">PROPOSED-Plastic covering for slopes and stockpiles</t>
  </si>
  <si>
    <t xml:space="preserve">Plastic covering for slopes and stockpiles (TESC)</t>
  </si>
  <si>
    <t xml:space="preserve">31-C02</t>
  </si>
  <si>
    <t xml:space="preserve">PROPOSED-Erosion-and-Sediment-Control-Measures (Contract &amp; General)</t>
  </si>
  <si>
    <t xml:space="preserve">#71</t>
  </si>
  <si>
    <t xml:space="preserve">4</t>
  </si>
  <si>
    <t xml:space="preserve">C0.4 (Det. 1); C0.3</t>
  </si>
  <si>
    <t xml:space="preserve">31 32 11</t>
  </si>
  <si>
    <t xml:space="preserve">C0.4; 31 32 11</t>
  </si>
  <si>
    <t xml:space="preserve">PROPOSED-Catch basin inserts</t>
  </si>
  <si>
    <t xml:space="preserve">Catch basin inserts (inlet protection, TESC)</t>
  </si>
  <si>
    <t xml:space="preserve">C0.4 (Det. 2); C0.2; C0.3</t>
  </si>
  <si>
    <t xml:space="preserve">C0.4; C0.2; 31 32 11</t>
  </si>
  <si>
    <t xml:space="preserve">PROPOSED-Filter fabric fence</t>
  </si>
  <si>
    <t xml:space="preserve">Filter fabric (silt) fence (TESC)</t>
  </si>
  <si>
    <t xml:space="preserve">C0.4 (Det. 3); C0.2; C0.6; C0.3</t>
  </si>
  <si>
    <t xml:space="preserve">C0.4; C0.2; C0.6; 31 32 11</t>
  </si>
  <si>
    <t xml:space="preserve">PROPOSED-Stabilized construction entrance</t>
  </si>
  <si>
    <t xml:space="preserve">Stabilized construction entrance (quarry spalls on geotextile)</t>
  </si>
  <si>
    <t xml:space="preserve">C0.4 (Det. 4); C0.2; C0.3</t>
  </si>
  <si>
    <t xml:space="preserve">PROPOSED-Geotextile encased check dams</t>
  </si>
  <si>
    <t xml:space="preserve">Geotextile encased check dams (BMP C208)</t>
  </si>
  <si>
    <t xml:space="preserve">C0.4 (Det. 5); C0.3</t>
  </si>
  <si>
    <t xml:space="preserve">PROPOSED-Dewatering system</t>
  </si>
  <si>
    <t xml:space="preserve">Contractor dewatering system: pumps, backup pumps, standby generator, wells or well points, discharge treatment</t>
  </si>
  <si>
    <t xml:space="preserve">PROPOSED-Temporary-Construction-Dewatering (Contract &amp; General)</t>
  </si>
  <si>
    <t xml:space="preserve">#15, #69</t>
  </si>
  <si>
    <t xml:space="preserve">C0.2 (Element 10)</t>
  </si>
  <si>
    <t xml:space="preserve">31 23 19; 31 20 00</t>
  </si>
  <si>
    <t xml:space="preserve">31 23 19; 31 20 00; C0.2</t>
  </si>
  <si>
    <t xml:space="preserve">PROPOSED-Compost berm</t>
  </si>
  <si>
    <t xml:space="preserve">Compost berm (TESC)</t>
  </si>
  <si>
    <t xml:space="preserve">PROPOSED-Orange barrier fence</t>
  </si>
  <si>
    <t xml:space="preserve">Orange high-visibility barrier fence (TESC / clearing limits)</t>
  </si>
  <si>
    <t xml:space="preserve">C0.4 (Det. 3 note)</t>
  </si>
  <si>
    <t xml:space="preserve">31 32 11; C0.4</t>
  </si>
  <si>
    <t xml:space="preserve">PROPOSED-Temporary shoring and trench safety systems</t>
  </si>
  <si>
    <t xml:space="preserve">Temporary shoring, bracing and trench excavation safety systems (PE-designed where required)</t>
  </si>
  <si>
    <t xml:space="preserve">PROPOSED-Trench-Safety-System (Contract &amp; General); PROPOSED-Temporary-Excavation-Support (Contract &amp; General)</t>
  </si>
  <si>
    <t xml:space="preserve">#70</t>
  </si>
  <si>
    <t xml:space="preserve">2</t>
  </si>
  <si>
    <t xml:space="preserve">G0.3 (Note 7)</t>
  </si>
  <si>
    <t xml:space="preserve">31 40 00; 31 23 33</t>
  </si>
  <si>
    <t xml:space="preserve">31 40 00; 31 23 33; G0.3</t>
  </si>
  <si>
    <t xml:space="preserve">PROPOSED-Emergency access areas</t>
  </si>
  <si>
    <t xml:space="preserve">Emergency access areas (west side) — no parking, blocking, stockpiling or staging; vehicle turnaround allowed</t>
  </si>
  <si>
    <t xml:space="preserve">C0.3 (KN 1)</t>
  </si>
  <si>
    <t xml:space="preserve">C0.3</t>
  </si>
  <si>
    <t xml:space="preserve">PROPOSED-Trench-Safety-System</t>
  </si>
  <si>
    <t xml:space="preserve">Trench safety system</t>
  </si>
  <si>
    <t xml:space="preserve">PROPOSED-Temporary shoring and trench safety systems (Civil &amp; Site)</t>
  </si>
  <si>
    <t xml:space="preserve">#70, #250</t>
  </si>
  <si>
    <t xml:space="preserve">00 24 13; 00 41 00</t>
  </si>
  <si>
    <t xml:space="preserve">PROPOSED-Erosion-and-Sediment-Control-Measures</t>
  </si>
  <si>
    <t xml:space="preserve">Erosion and sediment control measures (SWPPP)</t>
  </si>
  <si>
    <t xml:space="preserve">PROPOSED-Plastic covering for slopes and stockpiles (Civil &amp; Site); PROPOSED-Catch basin inserts (Civil &amp; Site); PROPOSED-Filter fabric fence (Civil &amp; Site); PROPOSED-Stabilized construction entrance (Civil &amp; Site); PROPOSED-Geotextile encased check dams (Civil &amp; Site); PROPOSED-Compost berm (Civil &amp; Site) (+1 more)</t>
  </si>
  <si>
    <t xml:space="preserve">#71, #250</t>
  </si>
  <si>
    <t xml:space="preserve">5</t>
  </si>
  <si>
    <t xml:space="preserve">TESC plans (civil sheets, not numbered in source)</t>
  </si>
  <si>
    <t xml:space="preserve">00 24 13; 00 41 00; 01 50 00</t>
  </si>
  <si>
    <t xml:space="preserve">PROPOSED-Temporary-Construction-Dewatering</t>
  </si>
  <si>
    <t xml:space="preserve">Temporary construction dewatering (excavations)</t>
  </si>
  <si>
    <t xml:space="preserve">PROPOSED-Dewatering system (Civil &amp; Site)</t>
  </si>
  <si>
    <t xml:space="preserve">#69, #250</t>
  </si>
  <si>
    <t xml:space="preserve">01 11 10; 00 31 13</t>
  </si>
  <si>
    <t xml:space="preserve">PROPOSED-Temporary-Excavation-Support</t>
  </si>
  <si>
    <t xml:space="preserve">Temporary excavation support (shoring, bracing, sheeting, cribbing)</t>
  </si>
  <si>
    <t xml:space="preserve">1; 2 (trench safety only)</t>
  </si>
  <si>
    <t xml:space="preserve">01 11 10</t>
  </si>
  <si>
    <t xml:space="preserve">PROPOSED-Tracer wire and locater boxes</t>
  </si>
  <si>
    <t xml:space="preserve">Tracer wire (#10 AWG insulated), locater boxes, and detectable warning tape on new utilities</t>
  </si>
  <si>
    <t xml:space="preserve">31-C04</t>
  </si>
  <si>
    <t xml:space="preserve">C7.1 (Det. 6); C7.4 (Det. 2, Note I)</t>
  </si>
  <si>
    <t xml:space="preserve">31 23 33; 33 30 00</t>
  </si>
  <si>
    <t xml:space="preserve">C7.1; C7.4; 31 23 33; 33 30 00</t>
  </si>
  <si>
    <t xml:space="preserve">PROPOSED-Influent sample sump</t>
  </si>
  <si>
    <t xml:space="preserve">Influent sample sump, 24-in x 6-ft precast well curb (H2 Precast WC-24 or equal) with traffic-rated riser and lid</t>
  </si>
  <si>
    <t xml:space="preserve">PROPOSED-INFLUENT-SAMPLE-SUMP (Process &amp; Mechanical)</t>
  </si>
  <si>
    <t xml:space="preserve">#4</t>
  </si>
  <si>
    <t xml:space="preserve">C7.5 (Det. 4); C7.1 (Det. 3); C1.3; C1.4</t>
  </si>
  <si>
    <t xml:space="preserve">31 20 00; 33 30 00</t>
  </si>
  <si>
    <t xml:space="preserve">C7.5; C7.1; C1.3; C1.4; 31 20 00; 33 30 00</t>
  </si>
  <si>
    <t xml:space="preserve">PROPOSED-Train 2 flow meter vault</t>
  </si>
  <si>
    <t xml:space="preserve">Train 2 flow meter vault, precast 4'-2" x 4'-2" x 5'-0" (Utility Vault 506-LA or equal), H-20 hatch Halliday H1R3636, Bilco LadderUp</t>
  </si>
  <si>
    <t xml:space="preserve">31-C01</t>
  </si>
  <si>
    <t xml:space="preserve">PROPOSED-TRAIN-2-FLOW-METER-VAULT (Process &amp; Mechanical); PROPOSED-Plants-2-and-3-Flow-Meter-Vault (Structural &amp; Building)</t>
  </si>
  <si>
    <t xml:space="preserve">C7.10; 31 20 00; 33 30 00</t>
  </si>
  <si>
    <t xml:space="preserve">PROPOSED-INFLUENT-SAMPLE-SUMP</t>
  </si>
  <si>
    <t xml:space="preserve">Influent sampling sump</t>
  </si>
  <si>
    <t xml:space="preserve">PROPOSED-Influent sample sump (Civil &amp; Site)</t>
  </si>
  <si>
    <t xml:space="preserve">#4, #164</t>
  </si>
  <si>
    <t xml:space="preserve">PROPOSED-Train 3 flow meter vault</t>
  </si>
  <si>
    <t xml:space="preserve">Train 3 flow meter vault, precast 4'-2" x 4'-2" x 5'-0" (Utility Vault 506-LA or equal), H-20 hatch Halliday H1R3636, Bilco LadderUp</t>
  </si>
  <si>
    <t xml:space="preserve">31-C03</t>
  </si>
  <si>
    <t xml:space="preserve">PROPOSED-TRAIN-3-FLOW-METER-VAULT (Process &amp; Mechanical); PROPOSED-Plants-2-and-3-Flow-Meter-Vault (Structural &amp; Building)</t>
  </si>
  <si>
    <t xml:space="preserve">PROPOSED-Temporary cold-mix patches</t>
  </si>
  <si>
    <t xml:space="preserve">Temporary cold-mix (MC-2) asphalt patches at trench crossings, 2 in minimum</t>
  </si>
  <si>
    <t xml:space="preserve">32-C03</t>
  </si>
  <si>
    <t xml:space="preserve">32 12 16</t>
  </si>
  <si>
    <t xml:space="preserve">PROPOSED-Parking stall striping</t>
  </si>
  <si>
    <t xml:space="preserve">Parking stall striping, including van-accessible stall and signs</t>
  </si>
  <si>
    <t xml:space="preserve">32-C01</t>
  </si>
  <si>
    <t xml:space="preserve">#96</t>
  </si>
  <si>
    <t xml:space="preserve">C7.1 (Det. 4); C2.6</t>
  </si>
  <si>
    <t xml:space="preserve">C7.1</t>
  </si>
  <si>
    <t xml:space="preserve">PROPOSED-Concrete walkway</t>
  </si>
  <si>
    <t xml:space="preserve">Concrete walkway / pavement, 6-inch minimum, #3 at 12 in each way</t>
  </si>
  <si>
    <t xml:space="preserve">#97</t>
  </si>
  <si>
    <t xml:space="preserve">C7.2 (Det. 1); C7.4 (Det. 4); C2.6</t>
  </si>
  <si>
    <t xml:space="preserve">C7.2; C7.4</t>
  </si>
  <si>
    <t xml:space="preserve">PROPOSED-HMA pavement</t>
  </si>
  <si>
    <t xml:space="preserve">Asphalt concrete pavement, 4-in HMA Class 1/2-in PG 58H-22 over 4-in CSBC and 12-in gravel base, thickened edge</t>
  </si>
  <si>
    <t xml:space="preserve">PROPOSED-Site-Final-Surfacing-and-Pavement (Contract &amp; General)</t>
  </si>
  <si>
    <t xml:space="preserve">#73</t>
  </si>
  <si>
    <t xml:space="preserve">C7.3 (Det. 3); C7.4 (Det. 2); C2.6</t>
  </si>
  <si>
    <t xml:space="preserve">C7.3; C7.4; 32 12 16</t>
  </si>
  <si>
    <t xml:space="preserve">PROPOSED-Gravel surfacing</t>
  </si>
  <si>
    <t xml:space="preserve">Gravel surfacing, 4-in compacted base course over subgrade at 95%</t>
  </si>
  <si>
    <t xml:space="preserve">C7.3 (Det. 5); C2.6</t>
  </si>
  <si>
    <t xml:space="preserve">PROPOSED-Asphalt wedge curb</t>
  </si>
  <si>
    <t xml:space="preserve">Asphalt wedge curb per 4/C7.7</t>
  </si>
  <si>
    <t xml:space="preserve">C2.1 (KN 5)</t>
  </si>
  <si>
    <t xml:space="preserve">32 12 16 (Inferred)</t>
  </si>
  <si>
    <t xml:space="preserve">C2.1</t>
  </si>
  <si>
    <t xml:space="preserve">PROPOSED-Site-Final-Surfacing-and-Pavement</t>
  </si>
  <si>
    <t xml:space="preserve">Final surfacing and pavement (entire site)</t>
  </si>
  <si>
    <t xml:space="preserve">PROPOSED-HMA pavement (Civil &amp; Site); PROPOSED-Gravel surfacing (Civil &amp; Site)</t>
  </si>
  <si>
    <t xml:space="preserve">#73, #250</t>
  </si>
  <si>
    <t xml:space="preserve">1; 8 (extra HMA only)</t>
  </si>
  <si>
    <t xml:space="preserve">00 31 13; 00 24 13; 00 41 00; 00 73 00; 01 45 00</t>
  </si>
  <si>
    <t xml:space="preserve">PROPOSED-Block retaining wall</t>
  </si>
  <si>
    <t xml:space="preserve">Block (gravity) retaining wall, STA 0+05.00 to 1+31.00</t>
  </si>
  <si>
    <t xml:space="preserve">32-C02</t>
  </si>
  <si>
    <t xml:space="preserve">C2.5; C0.2; C0.5; C2.1</t>
  </si>
  <si>
    <t xml:space="preserve">32 32 23</t>
  </si>
  <si>
    <t xml:space="preserve">C2.5; C0.5; C0.2; 32 32 23</t>
  </si>
  <si>
    <t xml:space="preserve">PROPOSED-Chain link fence 126 LF</t>
  </si>
  <si>
    <t xml:space="preserve">Chain link fence along retaining wall, 126 LF, 6-ft fabric with 3-strand barbed wire (7 ft total), connected to existing fence</t>
  </si>
  <si>
    <t xml:space="preserve">C2.5; C2.1</t>
  </si>
  <si>
    <t xml:space="preserve">02 83 00</t>
  </si>
  <si>
    <t xml:space="preserve">C2.5; 02 83 00</t>
  </si>
  <si>
    <t xml:space="preserve">PROPOSED-Hydroseeded restoration areas</t>
  </si>
  <si>
    <t xml:space="preserve">Hydroseeded grass restoration of disturbed areas (topsoil, seed, fertilizer, mulch)</t>
  </si>
  <si>
    <t xml:space="preserve">C7.4 (Det. 2, Notes A, C); C0.2 (Item 22)</t>
  </si>
  <si>
    <t xml:space="preserve">02 92 00</t>
  </si>
  <si>
    <t xml:space="preserve">C7.4; C0.2; 02 92 00</t>
  </si>
  <si>
    <t xml:space="preserve">PROPOSED-Retaining wall footing drain</t>
  </si>
  <si>
    <t xml:space="preserve">Retaining wall footing drain with drain rock and drainage geotextile</t>
  </si>
  <si>
    <t xml:space="preserve">32 32 23; 33 31 00; 31 23 33; 33 41 00; Appendix C</t>
  </si>
  <si>
    <t xml:space="preserve">PROPOSED-Bollards</t>
  </si>
  <si>
    <t xml:space="preserve">Bollards</t>
  </si>
  <si>
    <t xml:space="preserve">#131, #250</t>
  </si>
  <si>
    <t xml:space="preserve">3</t>
  </si>
  <si>
    <t xml:space="preserve">PROPOSED-AERATION-AIR-HEADER</t>
  </si>
  <si>
    <t xml:space="preserve">Blower Building aeration air piping: 3-inch SS header (IE 24.26) with 3-inch butterfly valves; 6-inch SS outlets with 6-inch butterfly valves</t>
  </si>
  <si>
    <t xml:space="preserve">33-C01</t>
  </si>
  <si>
    <t xml:space="preserve">#231</t>
  </si>
  <si>
    <t xml:space="preserve">C6.4; C6.5</t>
  </si>
  <si>
    <t xml:space="preserve">33 31 00 (cited on C6.4)</t>
  </si>
  <si>
    <t xml:space="preserve">PROPOSED-AIR-TO-TRAIN-3</t>
  </si>
  <si>
    <t xml:space="preserve">6-inch SS aeration air line, Blower Building to Train 3 (buried, IE 15.90 at drop)</t>
  </si>
  <si>
    <t xml:space="preserve">Blower Building; Train 3</t>
  </si>
  <si>
    <t xml:space="preserve">Pipe ID 20 (Civil &amp; Site)</t>
  </si>
  <si>
    <t xml:space="preserve">#93</t>
  </si>
  <si>
    <t xml:space="preserve">C6.4; C6.5; C3.3; C3.5</t>
  </si>
  <si>
    <t xml:space="preserve">33 31 00 (cited on C6.4); 46 53 00</t>
  </si>
  <si>
    <t xml:space="preserve">C6.5; C6.4; C3.3; C3.5</t>
  </si>
  <si>
    <t xml:space="preserve">PROPOSED-AIR-TO-TRAIN-1-STUB</t>
  </si>
  <si>
    <t xml:space="preserve">6-inch air piping to Train #1, terminated with blind flange inside existing metal building</t>
  </si>
  <si>
    <t xml:space="preserve">#108</t>
  </si>
  <si>
    <t xml:space="preserve">C6.5</t>
  </si>
  <si>
    <t xml:space="preserve">PROPOSED-AIR-TO-TRAIN-2-STUB</t>
  </si>
  <si>
    <t xml:space="preserve">6-inch air piping to Train #2, terminated with blind flange inside existing metal building</t>
  </si>
  <si>
    <t xml:space="preserve">#109</t>
  </si>
  <si>
    <t xml:space="preserve">PROPOSED-Blower-Building-Foundation-Drains</t>
  </si>
  <si>
    <t xml:space="preserve">Perimeter foundation drains, 4 in rigid ABS perforated pipe or drain tile in drain rock — Blower Building slab edge</t>
  </si>
  <si>
    <t xml:space="preserve">#128, #239</t>
  </si>
  <si>
    <t xml:space="preserve">S2.3</t>
  </si>
  <si>
    <t xml:space="preserve">PROPOSED-Interim 8in HDPE effluent pipe</t>
  </si>
  <si>
    <t xml:space="preserve">Interim 8-inch HDPE effluent pipe</t>
  </si>
  <si>
    <t xml:space="preserve">33-C02</t>
  </si>
  <si>
    <t xml:space="preserve">PROPOSED-Temporary-8in-Effluent-Piping (Contract &amp; General)</t>
  </si>
  <si>
    <t xml:space="preserve">#74</t>
  </si>
  <si>
    <t xml:space="preserve">C0.5 (KN 1, 8); C0.7 (cited)</t>
  </si>
  <si>
    <t xml:space="preserve">33 33 00</t>
  </si>
  <si>
    <t xml:space="preserve">C0.5; 33 33 00; Appendix F</t>
  </si>
  <si>
    <t xml:space="preserve">PROPOSED-Temporary-8in-Effluent-Piping</t>
  </si>
  <si>
    <t xml:space="preserve">Temporary 8-inch effluent piping</t>
  </si>
  <si>
    <t xml:space="preserve">PROPOSED-Interim 8in HDPE effluent pipe (Civil &amp; Site)</t>
  </si>
  <si>
    <t xml:space="preserve">#74, #250</t>
  </si>
  <si>
    <t xml:space="preserve">PROPOSED-EFFLUENT-HEADER-TO-UV</t>
  </si>
  <si>
    <t xml:space="preserve">Secondary effluent header through 8-inch effluent flow meter to UV Channels #1 and #2, 8-inch, with 8-inch gate valves (hand wheel) at channel inlets</t>
  </si>
  <si>
    <t xml:space="preserve">33-C05</t>
  </si>
  <si>
    <t xml:space="preserve">#105</t>
  </si>
  <si>
    <t xml:space="preserve">G0.5; C5.1; C5.2; C5.3</t>
  </si>
  <si>
    <t xml:space="preserve">PROPOSED-UV-CHAMBER-DRAIN</t>
  </si>
  <si>
    <t xml:space="preserve">UV chamber drain, 4-inch, with 4-inch gate valves</t>
  </si>
  <si>
    <t xml:space="preserve">Pipe ID 2 (Civil &amp; Site)</t>
  </si>
  <si>
    <t xml:space="preserve">#88</t>
  </si>
  <si>
    <t xml:space="preserve">PROPOSED-DIGESTER-AIR-LINES</t>
  </si>
  <si>
    <t xml:space="preserve">Aerobic digester air supply lines, 3-inch and 4-inch</t>
  </si>
  <si>
    <t xml:space="preserve">Pipe ID 21 (Civil &amp; Site)</t>
  </si>
  <si>
    <t xml:space="preserve">#94</t>
  </si>
  <si>
    <t xml:space="preserve">C5.1; C5.2; C5.3; C6.3</t>
  </si>
  <si>
    <t xml:space="preserve">PROPOSED-DIGESTED-SLUDGE-LINE</t>
  </si>
  <si>
    <t xml:space="preserve">Digested sludge line, 2-inch SCH 80 PVC, digester to digested sludge pumps</t>
  </si>
  <si>
    <t xml:space="preserve">Pipe ID 7 (Civil &amp; Site)</t>
  </si>
  <si>
    <t xml:space="preserve">#90</t>
  </si>
  <si>
    <t xml:space="preserve">G0.5; C5.1; C5.3; C6.2</t>
  </si>
  <si>
    <t xml:space="preserve">PROPOSED-WAS-PUMP-DISCHARGE-TO-DIGESTER</t>
  </si>
  <si>
    <t xml:space="preserve">WAS pump discharge to aerobic digester, 3-inch</t>
  </si>
  <si>
    <t xml:space="preserve">Pipe ID 19 (Civil &amp; Site)</t>
  </si>
  <si>
    <t xml:space="preserve">#91</t>
  </si>
  <si>
    <t xml:space="preserve">PROPOSED-Water line relocation at storm drain</t>
  </si>
  <si>
    <t xml:space="preserve">Existing water line — relocate 1 ft clear below bottom of storm drain</t>
  </si>
  <si>
    <t xml:space="preserve">33-C06</t>
  </si>
  <si>
    <t xml:space="preserve">C0.5 (KN 22)</t>
  </si>
  <si>
    <t xml:space="preserve">33 32 00; 33 30 00</t>
  </si>
  <si>
    <t xml:space="preserve">C0.5; 33 32 00; 33 30 00</t>
  </si>
  <si>
    <t xml:space="preserve">Pipe ID 1</t>
  </si>
  <si>
    <t xml:space="preserve">8-inch existing effluent (DI gravity)</t>
  </si>
  <si>
    <t xml:space="preserve">C1.3 (Add. 4 p.7)</t>
  </si>
  <si>
    <t xml:space="preserve">33 30 00</t>
  </si>
  <si>
    <t xml:space="preserve">C1.3; 33 30 00</t>
  </si>
  <si>
    <t xml:space="preserve">Pipe ID 2</t>
  </si>
  <si>
    <t xml:space="preserve">4-inch UV disinfection drain and digester supernatant (DI gravity), 2% min</t>
  </si>
  <si>
    <t xml:space="preserve">PROPOSED-UV-CHAMBER-DRAIN (Process &amp; Mechanical)</t>
  </si>
  <si>
    <t xml:space="preserve">33 31 00; 33 30 00; 33 05 00</t>
  </si>
  <si>
    <t xml:space="preserve">C1.3; 33 31 00; 33 30 00; 33 05 00</t>
  </si>
  <si>
    <t xml:space="preserve">Pipe ID 3</t>
  </si>
  <si>
    <t xml:space="preserve">8-inch influent (DI gravity), 0.4% min</t>
  </si>
  <si>
    <t xml:space="preserve">PROPOSED-STEP-INFLUENT-CONNECTION (Process &amp; Mechanical)</t>
  </si>
  <si>
    <t xml:space="preserve">#87</t>
  </si>
  <si>
    <t xml:space="preserve">Pipe ID 4</t>
  </si>
  <si>
    <t xml:space="preserve">3-inch influent pump station air vent (SS), outlet 8 ft above finish grade, gooseneck down, fastened to exterior building wall</t>
  </si>
  <si>
    <t xml:space="preserve">33 30 00; 33 05 00</t>
  </si>
  <si>
    <t xml:space="preserve">C1.3; 33 30 00; 33 05 00</t>
  </si>
  <si>
    <t xml:space="preserve">Pipe ID 5</t>
  </si>
  <si>
    <t xml:space="preserve">10-inch UV disinfection effluent (DI gravity), 0.28% min</t>
  </si>
  <si>
    <t xml:space="preserve">PROPOSED-FINAL-EFFLUENT-LINE (Process &amp; Mechanical)</t>
  </si>
  <si>
    <t xml:space="preserve">#92</t>
  </si>
  <si>
    <t xml:space="preserve">Pipe ID 6</t>
  </si>
  <si>
    <t xml:space="preserve">4-inch building septic (Sch. 80 PVC gravity), 2% min</t>
  </si>
  <si>
    <t xml:space="preserve">Pipe ID 7</t>
  </si>
  <si>
    <t xml:space="preserve">2-inch digested sludge (Sch. 80 PVC force main), positive slope throughout</t>
  </si>
  <si>
    <t xml:space="preserve">Site; Existing building (C1.6A)</t>
  </si>
  <si>
    <t xml:space="preserve">PROPOSED-DIGESTED-SLUDGE-LINE (Process &amp; Mechanical)</t>
  </si>
  <si>
    <t xml:space="preserve">C1.3 (Add. 4 p.7); C1.6A (Add. 4 p.8)</t>
  </si>
  <si>
    <t xml:space="preserve">C1.3; C1.6A; 33 31 00; 33 30 00; 33 05 00</t>
  </si>
  <si>
    <t xml:space="preserve">Pipe ID 8</t>
  </si>
  <si>
    <t xml:space="preserve">4-inch vault drain (Sch. 80 PVC gravity), 2.0%</t>
  </si>
  <si>
    <t xml:space="preserve">C1.3 (Add. 4 p.7); C7.10</t>
  </si>
  <si>
    <t xml:space="preserve">C1.3; C7.10; 33 31 00; 33 30 00; 33 05 00</t>
  </si>
  <si>
    <t xml:space="preserve">Pipe ID 9</t>
  </si>
  <si>
    <t xml:space="preserve">1-inch 2W water system air vent (SS), outlet 3 ft above grade, gooseneck down</t>
  </si>
  <si>
    <t xml:space="preserve">Pipe ID 10</t>
  </si>
  <si>
    <t xml:space="preserve">3-inch 2W water line, HDPE (Add. 4; base: 2-inch Sch. 80 PVC force main)</t>
  </si>
  <si>
    <t xml:space="preserve">PROPOSED-2W-DISCHARGE-LINE (Process &amp; Mechanical)</t>
  </si>
  <si>
    <t xml:space="preserve">#50</t>
  </si>
  <si>
    <t xml:space="preserve">33 31 00; 33 30 00; 33 05 00; 33 33 00</t>
  </si>
  <si>
    <t xml:space="preserve">C1.3; C1.6A; 33 31 00; 33 30 00; 33 05 00; 33 33 00</t>
  </si>
  <si>
    <t xml:space="preserve">Pipe ID 11</t>
  </si>
  <si>
    <t xml:space="preserve">8-inch Train 3 influent (DI gravity), 0.4% min</t>
  </si>
  <si>
    <t xml:space="preserve">INF3 (Process &amp; Mechanical)</t>
  </si>
  <si>
    <t xml:space="preserve">#81</t>
  </si>
  <si>
    <t xml:space="preserve">Pipe ID 12</t>
  </si>
  <si>
    <t xml:space="preserve">2-inch water pipe (Sch. 80 PVC force main)</t>
  </si>
  <si>
    <t xml:space="preserve">#191</t>
  </si>
  <si>
    <t xml:space="preserve">33 32 00; 33 30 00; 33 05 00</t>
  </si>
  <si>
    <t xml:space="preserve">C1.3; 33 32 00; 33 30 00</t>
  </si>
  <si>
    <t xml:space="preserve">Pipe ID 13</t>
  </si>
  <si>
    <t xml:space="preserve">8-inch Train 2 influent (DI gravity), 0.4% min</t>
  </si>
  <si>
    <t xml:space="preserve">INF2 (Process &amp; Mechanical)</t>
  </si>
  <si>
    <t xml:space="preserve">#80</t>
  </si>
  <si>
    <t xml:space="preserve">Pipe ID 14</t>
  </si>
  <si>
    <t xml:space="preserve">8-inch Train 1 influent (DI gravity), 0.4% min</t>
  </si>
  <si>
    <t xml:space="preserve">INF1 (Process &amp; Mechanical)</t>
  </si>
  <si>
    <t xml:space="preserve">#79</t>
  </si>
  <si>
    <t xml:space="preserve">Pipe ID 15</t>
  </si>
  <si>
    <t xml:space="preserve">2-inch Train 3 WAS (Sch. 80 PVC gravity), positive drainage throughout</t>
  </si>
  <si>
    <t xml:space="preserve">WAS3 (Process &amp; Mechanical)</t>
  </si>
  <si>
    <t xml:space="preserve">#85</t>
  </si>
  <si>
    <t xml:space="preserve">Pipe ID 16</t>
  </si>
  <si>
    <t xml:space="preserve">8-inch Train 2 effluent (DI gravity), 0.4% min</t>
  </si>
  <si>
    <t xml:space="preserve">SE2 (Process &amp; Mechanical)</t>
  </si>
  <si>
    <t xml:space="preserve">#83</t>
  </si>
  <si>
    <t xml:space="preserve">Pipe ID 17</t>
  </si>
  <si>
    <t xml:space="preserve">8-inch Train 3 effluent (DI gravity), 0.4% min</t>
  </si>
  <si>
    <t xml:space="preserve">SE3 (Process &amp; Mechanical)</t>
  </si>
  <si>
    <t xml:space="preserve">#84</t>
  </si>
  <si>
    <t xml:space="preserve">Pipe ID 18</t>
  </si>
  <si>
    <t xml:space="preserve">6-inch influent to flow splitter (DI force main), positive slope throughout</t>
  </si>
  <si>
    <t xml:space="preserve">PROPOSED-IPS-DISCHARGE-TO-SPLITTER (Process &amp; Mechanical)</t>
  </si>
  <si>
    <t xml:space="preserve">Pipe ID 19</t>
  </si>
  <si>
    <t xml:space="preserve">2-inch digester WAS influent (Sch. 80 PVC gravity)</t>
  </si>
  <si>
    <t xml:space="preserve">PROPOSED-WAS-PUMP-DISCHARGE-TO-DIGESTER (Process &amp; Mechanical)</t>
  </si>
  <si>
    <t xml:space="preserve">Pipe ID 20</t>
  </si>
  <si>
    <t xml:space="preserve">6-inch Cell 3 air (SS)</t>
  </si>
  <si>
    <t xml:space="preserve">PROPOSED-AIR-TO-TRAIN-3 (Process &amp; Mechanical)</t>
  </si>
  <si>
    <t xml:space="preserve">#93, #159</t>
  </si>
  <si>
    <t xml:space="preserve">Pipe ID 21</t>
  </si>
  <si>
    <t xml:space="preserve">4-inch digester air (SS)</t>
  </si>
  <si>
    <t xml:space="preserve">PROPOSED-DIGESTER-AIR-LINES (Process &amp; Mechanical)</t>
  </si>
  <si>
    <t xml:space="preserve">Pipe ID 22</t>
  </si>
  <si>
    <t xml:space="preserve">1-inch yard hydrants, 3 locations (Add. 4)</t>
  </si>
  <si>
    <t xml:space="preserve">PROPOSED-YARD-HYDRANTS (Process &amp; Mechanical)</t>
  </si>
  <si>
    <t xml:space="preserve">#52, #180</t>
  </si>
  <si>
    <t xml:space="preserve">C1.3 (Add. 4 p.7); C7.1 (Det. 1); C7.5 (Det. 1)</t>
  </si>
  <si>
    <t xml:space="preserve">C1.3; C7.1; C7.5; 33 31 00; 33 30 00; 33 05 00</t>
  </si>
  <si>
    <t xml:space="preserve">Pipe ID 23</t>
  </si>
  <si>
    <t xml:space="preserve">1-inch 2W water line, HDPE (Add. 4)</t>
  </si>
  <si>
    <t xml:space="preserve">PROPOSED-2W-BLADDER-TANK-SUPPLY (Process &amp; Mechanical)</t>
  </si>
  <si>
    <t xml:space="preserve">#51, #146</t>
  </si>
  <si>
    <t xml:space="preserve">Pipe ID 24</t>
  </si>
  <si>
    <t xml:space="preserve">8-inch Train 1 effluent (DI gravity), 0.4% min (Add. 4)</t>
  </si>
  <si>
    <t xml:space="preserve">SE1 (Process &amp; Mechanical)</t>
  </si>
  <si>
    <t xml:space="preserve">#82</t>
  </si>
  <si>
    <t xml:space="preserve">Pipe ID 25</t>
  </si>
  <si>
    <t xml:space="preserve">4-inch pressate drain (DI gravity), 2% min (Add. 4)</t>
  </si>
  <si>
    <t xml:space="preserve">PROPOSED-PLANT-DRAIN-LINE (Process &amp; Mechanical)</t>
  </si>
  <si>
    <t xml:space="preserve">#89</t>
  </si>
  <si>
    <t xml:space="preserve">Pipe ID 26</t>
  </si>
  <si>
    <t xml:space="preserve">4-inch building floor drain (DI gravity), 2% min (Add. 4)</t>
  </si>
  <si>
    <t xml:space="preserve">Buried Valve ID 1</t>
  </si>
  <si>
    <t xml:space="preserve">6-inch gate valve — influent flow meter isolation</t>
  </si>
  <si>
    <t xml:space="preserve">#177</t>
  </si>
  <si>
    <t xml:space="preserve">C1.4; C7.3 (Det. 2)</t>
  </si>
  <si>
    <t xml:space="preserve">C1.4; C7.3; 33 30 00; 33 05 00</t>
  </si>
  <si>
    <t xml:space="preserve">Buried Valve ID 2</t>
  </si>
  <si>
    <t xml:space="preserve">8-inch gate valve — Train 2 flow meter isolation</t>
  </si>
  <si>
    <t xml:space="preserve">C1.4; C7.3 (Det. 2); C7.10</t>
  </si>
  <si>
    <t xml:space="preserve">C1.4; C7.3; C7.10; 33 30 00; 33 05 00</t>
  </si>
  <si>
    <t xml:space="preserve">Buried Valve ID 3</t>
  </si>
  <si>
    <t xml:space="preserve">8-inch gate valve — Train 3 flow meter isolation</t>
  </si>
  <si>
    <t xml:space="preserve">Buried Valve ID 4</t>
  </si>
  <si>
    <t xml:space="preserve">4-inch gate valve — drain flow meter isolation</t>
  </si>
  <si>
    <t xml:space="preserve">Buried Valve ID 5</t>
  </si>
  <si>
    <t xml:space="preserve">Buried Valve ID 6</t>
  </si>
  <si>
    <t xml:space="preserve">4-inch gate valve — treated effluent outlet box drain</t>
  </si>
  <si>
    <t xml:space="preserve">Buried Valve ID 7</t>
  </si>
  <si>
    <t xml:space="preserve">Buried Valve ID 8</t>
  </si>
  <si>
    <t xml:space="preserve">4-inch gate valve — UV disinfection drain</t>
  </si>
  <si>
    <t xml:space="preserve">Buried Valve ID 9</t>
  </si>
  <si>
    <t xml:space="preserve">4-inch gate valve — sample sump drain</t>
  </si>
  <si>
    <t xml:space="preserve">Buried Valve ID 10</t>
  </si>
  <si>
    <t xml:space="preserve">4-inch gate valve — pump station clean-out drain</t>
  </si>
  <si>
    <t xml:space="preserve">Buried Valve ID 11</t>
  </si>
  <si>
    <t xml:space="preserve">Buried Valve ID 12</t>
  </si>
  <si>
    <t xml:space="preserve">8-inch plug valve — effluent flow meter isolation</t>
  </si>
  <si>
    <t xml:space="preserve">Buried Valve ID 13</t>
  </si>
  <si>
    <t xml:space="preserve">Storm drain alignment SD-1, 12-inch, 42 + 19 + 42 LF at 0.5%</t>
  </si>
  <si>
    <t xml:space="preserve">#3, #207</t>
  </si>
  <si>
    <t xml:space="preserve">C2.2</t>
  </si>
  <si>
    <t xml:space="preserve">33 30 00; 33 41 00</t>
  </si>
  <si>
    <t xml:space="preserve">C2.2; 33 30 00; 33 41 00</t>
  </si>
  <si>
    <t xml:space="preserve">PROPOSED-4in roof drain at SD-1</t>
  </si>
  <si>
    <t xml:space="preserve">4-inch roof drain connection from SDCB #9 (8 LF and 17 LF at 2.00%)</t>
  </si>
  <si>
    <t xml:space="preserve">C2.2; C0.5; 33 30 00; 33 41 00</t>
  </si>
  <si>
    <t xml:space="preserve">SDCB #5</t>
  </si>
  <si>
    <t xml:space="preserve">Storm drain catch basin #5, Type 1, rim 22.94 (STA 0+47.05)</t>
  </si>
  <si>
    <t xml:space="preserve">C2.2; C2.1; C2.3</t>
  </si>
  <si>
    <t xml:space="preserve">33 41 00</t>
  </si>
  <si>
    <t xml:space="preserve">C2.2; 33 41 00</t>
  </si>
  <si>
    <t xml:space="preserve">SDCB #8</t>
  </si>
  <si>
    <t xml:space="preserve">Storm drain catch basin #8, Type 1, rim 22.78 (STA 0+67.46)</t>
  </si>
  <si>
    <t xml:space="preserve">C2.2; C2.4; C2.1</t>
  </si>
  <si>
    <t xml:space="preserve">C2.2; C2.4; 33 41 00</t>
  </si>
  <si>
    <t xml:space="preserve">SDCB #9</t>
  </si>
  <si>
    <t xml:space="preserve">Storm drain catch basin #9, Type 1, rim 22.75 (STA 1+09.93)</t>
  </si>
  <si>
    <t xml:space="preserve">SDCB #7</t>
  </si>
  <si>
    <t xml:space="preserve">Storm drain catch basin #7, Type 1, rim 23.00 (west trench drain)</t>
  </si>
  <si>
    <t xml:space="preserve">C2.4; C2.1; C2.3</t>
  </si>
  <si>
    <t xml:space="preserve">C2.4; 33 41 00</t>
  </si>
  <si>
    <t xml:space="preserve">SDCB #10</t>
  </si>
  <si>
    <t xml:space="preserve">Storm drain catch basin #10, Type 1, rim 23.10 (STA 0+77.60, east trench drain)</t>
  </si>
  <si>
    <t xml:space="preserve">SDCB #2</t>
  </si>
  <si>
    <t xml:space="preserve">Storm drain catch basin #2, rim 22.65</t>
  </si>
  <si>
    <t xml:space="preserve">SDCB #3</t>
  </si>
  <si>
    <t xml:space="preserve">Storm drain catch basin #3, rim 22.70</t>
  </si>
  <si>
    <t xml:space="preserve">SDCB #4</t>
  </si>
  <si>
    <t xml:space="preserve">Storm drain catch basin #4, rim 23.15</t>
  </si>
  <si>
    <t xml:space="preserve">SDCB #6</t>
  </si>
  <si>
    <t xml:space="preserve">Storm drain catch basin #6, rim 23.00</t>
  </si>
  <si>
    <t xml:space="preserve">SDCB 1076</t>
  </si>
  <si>
    <t xml:space="preserve">Existing storm drain catch basin 1076 (Type 1) — new 12-inch connection on east side at IE 20.35</t>
  </si>
  <si>
    <t xml:space="preserve">C2.2; C0.1</t>
  </si>
  <si>
    <t xml:space="preserve">C2.2; C0.1; 33 41 00</t>
  </si>
  <si>
    <t xml:space="preserve">PROPOSED-East trench drains</t>
  </si>
  <si>
    <t xml:space="preserve">East trench drains, north and south of SDCB #10, rim 23.10</t>
  </si>
  <si>
    <t xml:space="preserve">C2.4; C7.4 (Det. 5)</t>
  </si>
  <si>
    <t xml:space="preserve">C2.4; C7.4</t>
  </si>
  <si>
    <t xml:space="preserve">PROPOSED-West trench drain</t>
  </si>
  <si>
    <t xml:space="preserve">West trench drain, about 51 ft, north side of SDCB #7</t>
  </si>
  <si>
    <t xml:space="preserve">PROPOSED-New septic tank</t>
  </si>
  <si>
    <t xml:space="preserve">New septic tank (replaces SSMH 1285)</t>
  </si>
  <si>
    <t xml:space="preserve">C0.5 (KN 4); C7.1 (Det. 3)</t>
  </si>
  <si>
    <t xml:space="preserve">Appendix H</t>
  </si>
  <si>
    <t xml:space="preserve">C0.5; Appendix H; C7.1</t>
  </si>
  <si>
    <t xml:space="preserve">PROPOSED-Gravity sewer cleanouts</t>
  </si>
  <si>
    <t xml:space="preserve">Gravity sewer cleanouts (6-in or 8-in) with cast iron ring and cover in concrete block</t>
  </si>
  <si>
    <t xml:space="preserve">C7.1 (Det. 5)</t>
  </si>
  <si>
    <t xml:space="preserve">33 31 00; 33 30 00</t>
  </si>
  <si>
    <t xml:space="preserve">C7.1; 33 31 00; 33 30 00</t>
  </si>
  <si>
    <t xml:space="preserve">PROPOSED-Buried valve label markers</t>
  </si>
  <si>
    <t xml:space="preserve">Bronze buried valve label markers (Berntsen #C35FB) with cast iron valve boxes and concrete pads</t>
  </si>
  <si>
    <t xml:space="preserve">#99</t>
  </si>
  <si>
    <t xml:space="preserve">C7.3 (Det. 2, 4); C1.4</t>
  </si>
  <si>
    <t xml:space="preserve">C7.3; C1.4</t>
  </si>
  <si>
    <t xml:space="preserve">PROPOSED-Post hydrant</t>
  </si>
  <si>
    <t xml:space="preserve">Post hydrant on 2-inch HDPE supply with buried 2-inch gate valve</t>
  </si>
  <si>
    <t xml:space="preserve">PROPOSED-POST-HYDRANTS (Process &amp; Mechanical)</t>
  </si>
  <si>
    <t xml:space="preserve">C7.5 (Det. 2)</t>
  </si>
  <si>
    <t xml:space="preserve">C7.5; 33 30 00</t>
  </si>
  <si>
    <t xml:space="preserve">PROPOSED-Composite manholes, double manhole condition</t>
  </si>
  <si>
    <t xml:space="preserve">Lightweight composite manholes (Morrison Bros. 418LC-3800 AM or equal) in cast-in-place traffic ring</t>
  </si>
  <si>
    <t xml:space="preserve">C7.5 (Det. 3)</t>
  </si>
  <si>
    <t xml:space="preserve">SDCB #1</t>
  </si>
  <si>
    <t xml:space="preserve">Storm drain catch basin #1, Type 1L, rim 22.3; 12-in (SE) invert 19.3</t>
  </si>
  <si>
    <t xml:space="preserve">C0.3; C2.1 (KN 7); C2.3 (SD-3)</t>
  </si>
  <si>
    <t xml:space="preserve">C2.1; C2.3</t>
  </si>
  <si>
    <t xml:space="preserve">SD-2</t>
  </si>
  <si>
    <t xml:space="preserve">Storm drain alignment SD-2: SDCB #5 → #6 → #7 → #10; 48 LF of 12-in and 23 LF of 6-in at 0.5%; 4-in roof drain 21 LF at 2.00%</t>
  </si>
  <si>
    <t xml:space="preserve">C2.3 (plan and profile); C2.1</t>
  </si>
  <si>
    <t xml:space="preserve">C2.3</t>
  </si>
  <si>
    <t xml:space="preserve">SD-3</t>
  </si>
  <si>
    <t xml:space="preserve">Storm drain alignment SD-3: SDCB #1 → #2 → #3 → #4 → trench drain; 83 LF of 12-in and 28 LF of 6-in at 0.5%</t>
  </si>
  <si>
    <t xml:space="preserve">PROPOSED-4in roof drain connections (SD-2, SD-3)</t>
  </si>
  <si>
    <t xml:space="preserve">4-in roof drain connections: SD-2 STA 0+47.16 (21 LF at 2.00%); SD-3 STA 0+26.94 and 0+70.26</t>
  </si>
  <si>
    <t xml:space="preserve">C2.3; C2.1 (KN 3)</t>
  </si>
  <si>
    <t xml:space="preserve">C2.3; C2.1</t>
  </si>
  <si>
    <t xml:space="preserve">SE1</t>
  </si>
  <si>
    <t xml:space="preserve">Train 1 secondary effluent line to effluent flow meter and UV</t>
  </si>
  <si>
    <t xml:space="preserve">Pipe ID 24 (Civil &amp; Site)</t>
  </si>
  <si>
    <t xml:space="preserve">G0.5</t>
  </si>
  <si>
    <t xml:space="preserve">SE2</t>
  </si>
  <si>
    <t xml:space="preserve">Train 2 secondary effluent line to effluent flow meter and UV</t>
  </si>
  <si>
    <t xml:space="preserve">Pipe ID 16 (Civil &amp; Site)</t>
  </si>
  <si>
    <t xml:space="preserve">WAS1</t>
  </si>
  <si>
    <t xml:space="preserve">Train 1 waste activated sludge line to WAS pump</t>
  </si>
  <si>
    <t xml:space="preserve">#101, #162</t>
  </si>
  <si>
    <t xml:space="preserve">G0.5; C6.2</t>
  </si>
  <si>
    <t xml:space="preserve">WAS2</t>
  </si>
  <si>
    <t xml:space="preserve">Train 2 waste activated sludge line to WAS pump</t>
  </si>
  <si>
    <t xml:space="preserve">#102, #162</t>
  </si>
  <si>
    <t xml:space="preserve">PROPOSED-FINAL-EFFLUENT-LINE</t>
  </si>
  <si>
    <t xml:space="preserve">Final effluent, UV chamber to existing SSMH *1288 and 12-inch outfall, 10-inch</t>
  </si>
  <si>
    <t xml:space="preserve">Pipe ID 5 (Civil &amp; Site)</t>
  </si>
  <si>
    <t xml:space="preserve">G0.5; G0.6; C5.2; C5.3</t>
  </si>
  <si>
    <t xml:space="preserve">PROPOSED-8in-Effluent-Piping</t>
  </si>
  <si>
    <t xml:space="preserve">8-inch effluent piping (new)</t>
  </si>
  <si>
    <t xml:space="preserve">#105, #250</t>
  </si>
  <si>
    <t xml:space="preserve">00 31 13; 01 45 00</t>
  </si>
  <si>
    <t xml:space="preserve">PROPOSED-Yard-Piping</t>
  </si>
  <si>
    <t xml:space="preserve">Yard piping</t>
  </si>
  <si>
    <t xml:space="preserve">00 31 13; 00 73 00; 01 45 00</t>
  </si>
  <si>
    <t xml:space="preserve">INF1</t>
  </si>
  <si>
    <t xml:space="preserve">Train 1 influent line, flow splitter to existing Train 1, 8-inch</t>
  </si>
  <si>
    <t xml:space="preserve">33-C03</t>
  </si>
  <si>
    <t xml:space="preserve">Pipe ID 14 (Civil &amp; Site)</t>
  </si>
  <si>
    <t xml:space="preserve">#79, #162</t>
  </si>
  <si>
    <t xml:space="preserve">G0.5; C3.1; C3.2</t>
  </si>
  <si>
    <t xml:space="preserve">INF2</t>
  </si>
  <si>
    <t xml:space="preserve">Train 2 influent line, flow splitter to existing Train 2, 8-inch DI</t>
  </si>
  <si>
    <t xml:space="preserve">Pipe ID 13 (Civil &amp; Site)</t>
  </si>
  <si>
    <t xml:space="preserve">#80, #162</t>
  </si>
  <si>
    <t xml:space="preserve">INF3</t>
  </si>
  <si>
    <t xml:space="preserve">Train 3 influent line, flow splitter to Train 3, 8-inch</t>
  </si>
  <si>
    <t xml:space="preserve">Influent Flow Splitter; Train 3</t>
  </si>
  <si>
    <t xml:space="preserve">Pipe ID 11 (Civil &amp; Site)</t>
  </si>
  <si>
    <t xml:space="preserve">#81, #162</t>
  </si>
  <si>
    <t xml:space="preserve">G0.5; C3.1; C3.2; C3.3; C3.5</t>
  </si>
  <si>
    <t xml:space="preserve">PROPOSED-STEP-INFLUENT-CONNECTION</t>
  </si>
  <si>
    <t xml:space="preserve">8-inch STEP influent connection to the new Influent Pump Station, IE 19.50</t>
  </si>
  <si>
    <t xml:space="preserve">Pipe ID 3 (Civil &amp; Site)</t>
  </si>
  <si>
    <t xml:space="preserve">G0.5; G0.6; C3.1; C4.1</t>
  </si>
  <si>
    <t xml:space="preserve">PROPOSED-Floor drains</t>
  </si>
  <si>
    <t xml:space="preserve">Floor drains, 4-inch stainless steel with 2-inch trap</t>
  </si>
  <si>
    <t xml:space="preserve">Not stated (in Train 2 and Train 3 flow meter vaults per C7.10)</t>
  </si>
  <si>
    <t xml:space="preserve">33-C04</t>
  </si>
  <si>
    <t xml:space="preserve">C7.1 (Det. 2); C7.10</t>
  </si>
  <si>
    <t xml:space="preserve">33 31 00</t>
  </si>
  <si>
    <t xml:space="preserve">C7.1; C7.10; 33 31 00</t>
  </si>
  <si>
    <t xml:space="preserve">SE3</t>
  </si>
  <si>
    <t xml:space="preserve">Train 3 secondary effluent line, 8-inch</t>
  </si>
  <si>
    <t xml:space="preserve">Pipe ID 17 (Civil &amp; Site)</t>
  </si>
  <si>
    <t xml:space="preserve">G0.5; C3.3; C3.5</t>
  </si>
  <si>
    <t xml:space="preserve">PROPOSED-DIGESTER-TELESCOPING-VALVE</t>
  </si>
  <si>
    <t xml:space="preserve">Aerobic digester telescoping valve, 4-inch rising stem, 48-inch min travel, Waterman TS-2 or equal</t>
  </si>
  <si>
    <t xml:space="preserve">40-C01</t>
  </si>
  <si>
    <t xml:space="preserve">G0.6; G0.7; C5.1; C5.3</t>
  </si>
  <si>
    <t xml:space="preserve">40 05 71</t>
  </si>
  <si>
    <t xml:space="preserve">G0.6; G0.7; C5.1; C5.3; 40 05 71</t>
  </si>
  <si>
    <t xml:space="preserve">Receiving Conveyor</t>
  </si>
  <si>
    <t xml:space="preserve">Receiving conveyor, horizontal shaftless, 9-in. flight, 6 ft 9 in., 304 SS U-trough, two inlets from rotary press cake chutes, 1 HP</t>
  </si>
  <si>
    <t xml:space="preserve">Rotary Fan Press System</t>
  </si>
  <si>
    <t xml:space="preserve">41-C01</t>
  </si>
  <si>
    <t xml:space="preserve">#111</t>
  </si>
  <si>
    <t xml:space="preserve">1; Equipment Alternate C</t>
  </si>
  <si>
    <t xml:space="preserve">41 12 13</t>
  </si>
  <si>
    <t xml:space="preserve">41 12 13; 46 76 26</t>
  </si>
  <si>
    <t xml:space="preserve">Inclined Conveyor</t>
  </si>
  <si>
    <t xml:space="preserve">Inclined conveyor, shafted, 9-in. flight at 5-in. pitch, 17 ft 4 in. at 35 degrees, 304 SS tubular trough, outlet to bin, 5 HP</t>
  </si>
  <si>
    <t xml:space="preserve">#112</t>
  </si>
  <si>
    <t xml:space="preserve">ESWD WWTP – Biological Treatment System Blowers (Trains 1 – 3)</t>
  </si>
  <si>
    <t xml:space="preserve">Biological treatment blowers (4), Kaeser Com-paK DB 166 C, 20 HP 460 V, VFD, 315 scfm at 8.9 psig each</t>
  </si>
  <si>
    <t xml:space="preserve">43-C02</t>
  </si>
  <si>
    <t xml:space="preserve">BL-2 (Electrical &amp; Controls); BL-3 (Electrical &amp; Controls); BL-4 (Electrical &amp; Controls); PROPOSED-Blowers-Blower-Building (Structural &amp; Building); PROPOSED-Blowers (Contract &amp; General); BL-1 (Electrical &amp; Controls)</t>
  </si>
  <si>
    <t xml:space="preserve">#18</t>
  </si>
  <si>
    <t xml:space="preserve">43 11 00</t>
  </si>
  <si>
    <t xml:space="preserve">C6.4; C6.5; 43 11 00</t>
  </si>
  <si>
    <t xml:space="preserve">PROPOSED-EYE-WASH-STATIONS</t>
  </si>
  <si>
    <t xml:space="preserve">Wall-mount eye wash stations (quantity and locations not stated)</t>
  </si>
  <si>
    <t xml:space="preserve">#113, #180</t>
  </si>
  <si>
    <t xml:space="preserve">43 22 10</t>
  </si>
  <si>
    <t xml:space="preserve">BL-1</t>
  </si>
  <si>
    <t xml:space="preserve">Aeration Blower No.1 — cell aeration blower, Cell 1, 20 HP, VFD in MCC</t>
  </si>
  <si>
    <t xml:space="preserve">PROPOSED-Blowers-Blower-Building (Structural &amp; Building); PROPOSED-Blowers (Contract &amp; General); ESWD WWTP – Biological Treatment System Blowers (Trains 1 – 3) (Process &amp; Mechanical)</t>
  </si>
  <si>
    <t xml:space="preserve">#18, #202, #215</t>
  </si>
  <si>
    <t xml:space="preserve">E2.1; E6.1; E6.3; E7.1; E7.2; E7.3; E7.4; E9.1; E9.2</t>
  </si>
  <si>
    <t xml:space="preserve">BL-2</t>
  </si>
  <si>
    <t xml:space="preserve">Aeration Blower No.2 — cell aeration blower, Cell 2, 20 HP, VFD in MCC</t>
  </si>
  <si>
    <t xml:space="preserve">BL-3</t>
  </si>
  <si>
    <t xml:space="preserve">Aeration Blower No.3 — cell aeration blower, Cell 3, 20 HP, VFD in MCC</t>
  </si>
  <si>
    <t xml:space="preserve">BL-4</t>
  </si>
  <si>
    <t xml:space="preserve">Aeration Blower No.4 — backup, 20 HP, VFD in MCC</t>
  </si>
  <si>
    <t xml:space="preserve">DB</t>
  </si>
  <si>
    <t xml:space="preserve">Digester blower, 5 HP, VFD in MCC</t>
  </si>
  <si>
    <t xml:space="preserve">Not stated — drawn on E2.1 outside the Blower Building outline, beside a "building interior wall"</t>
  </si>
  <si>
    <t xml:space="preserve">ESWD WWTP – Aerobic Digester Blower (Process &amp; Mechanical)</t>
  </si>
  <si>
    <t xml:space="preserve">#19</t>
  </si>
  <si>
    <t xml:space="preserve">PROPOSED-Blowers-Blower-Building</t>
  </si>
  <si>
    <t xml:space="preserve">Blowers (4) on the blower pad</t>
  </si>
  <si>
    <t xml:space="preserve">BL-2 (Electrical &amp; Controls); BL-3 (Electrical &amp; Controls); BL-4 (Electrical &amp; Controls); ESWD WWTP – Biological Treatment System Blowers (Trains 1 – 3) (Process &amp; Mechanical); BL-1 (Electrical &amp; Controls)</t>
  </si>
  <si>
    <t xml:space="preserve">#18, #224</t>
  </si>
  <si>
    <t xml:space="preserve">A1.1; A1.3</t>
  </si>
  <si>
    <t xml:space="preserve">PROPOSED-2W-Bladder-Tank-Assembly</t>
  </si>
  <si>
    <t xml:space="preserve">2W bladder tank assembly — 2 tanks, 24 in diameter</t>
  </si>
  <si>
    <t xml:space="preserve">PROPOSED-2W-DIAPHRAGM-TANKS (Process &amp; Mechanical)</t>
  </si>
  <si>
    <t xml:space="preserve">#25, #227</t>
  </si>
  <si>
    <t xml:space="preserve">PROPOSED-Blowers</t>
  </si>
  <si>
    <t xml:space="preserve">Blower equipment (blowers and drives)</t>
  </si>
  <si>
    <t xml:space="preserve">BL-2 (Electrical &amp; Controls); BL-3 (Electrical &amp; Controls); BL-4 (Electrical &amp; Controls); PROPOSED-Blowers-Blower-Building (Structural &amp; Building); ESWD WWTP – Biological Treatment System Blowers (Trains 1 – 3) (Process &amp; Mechanical); BL-1 (Electrical &amp; Controls)</t>
  </si>
  <si>
    <t xml:space="preserve">#18, #251</t>
  </si>
  <si>
    <t xml:space="preserve">01 91 00; 01 33 00; 01 70 00; CQA Plan</t>
  </si>
  <si>
    <t xml:space="preserve">ESWD WWTP – Aerobic Digester Blower</t>
  </si>
  <si>
    <t xml:space="preserve">Aerobic digester blower (1), Kaeser Com-paK BB 52 C, 5 HP 460 V, VFD, 120 scfm at 4.0 psig, on 3.25 x 2.25 ft pad</t>
  </si>
  <si>
    <t xml:space="preserve">Existing Metal Building adjacent to Train #2 (Digester Blower)</t>
  </si>
  <si>
    <t xml:space="preserve">43-C04</t>
  </si>
  <si>
    <t xml:space="preserve">DB (Electrical &amp; Controls)</t>
  </si>
  <si>
    <t xml:space="preserve">#19, #173</t>
  </si>
  <si>
    <t xml:space="preserve">C6.3; C6.4</t>
  </si>
  <si>
    <t xml:space="preserve">C6.3; C6.4; 43 11 00</t>
  </si>
  <si>
    <t xml:space="preserve">Hot Box #1</t>
  </si>
  <si>
    <t xml:space="preserve">2W water hot box #1 — flow meter and isolation valve (relocated per Add. 4)</t>
  </si>
  <si>
    <t xml:space="preserve">43-C05</t>
  </si>
  <si>
    <t xml:space="preserve">PROPOSED-Hot-Box-1 (Electrical &amp; Controls)</t>
  </si>
  <si>
    <t xml:space="preserve">#16, #95, #149, #193, #206</t>
  </si>
  <si>
    <t xml:space="preserve">C1.3 (Add. 4 p.7); C7.6 (Det. 1)</t>
  </si>
  <si>
    <t xml:space="preserve">C1.3; C7.6</t>
  </si>
  <si>
    <t xml:space="preserve">Hot Box #2</t>
  </si>
  <si>
    <t xml:space="preserve">2W water hot box #2 — air gap piping (relocated per Add. 4)</t>
  </si>
  <si>
    <t xml:space="preserve">PROPOSED-Hot-Box-2 (Electrical &amp; Controls); PROPOSED-2W-AIR-GAP-ENCLOSURE (Process &amp; Mechanical); PROPOSED-2W-Air-Gap-Water-System (Contract &amp; General)</t>
  </si>
  <si>
    <t xml:space="preserve">#17, #169, #183</t>
  </si>
  <si>
    <t xml:space="preserve">C1.3 (Add. 4 p.7); C7.6 (Det. 2–3)</t>
  </si>
  <si>
    <t xml:space="preserve">PROPOSED-Hot Box #1 solenoid valve</t>
  </si>
  <si>
    <t xml:space="preserve">Solenoid valve, ASCO Redhat 8221, 3/4-inch, slow-closing, normally closed, 120 VAC, NEMA 4X</t>
  </si>
  <si>
    <t xml:space="preserve">PROPOSED-2W-Isolation-Valve-Solenoid (Electrical &amp; Controls)</t>
  </si>
  <si>
    <t xml:space="preserve">#49, #100</t>
  </si>
  <si>
    <t xml:space="preserve">PROPOSED-2W-AIR-GAP-ENCLOSURE</t>
  </si>
  <si>
    <t xml:space="preserve">2W air gap system in a fiberglass enclosure ("2W (Air Gap) Water Hot Box")</t>
  </si>
  <si>
    <t xml:space="preserve">Site (on C1.3 per Add. 4 p.3)</t>
  </si>
  <si>
    <t xml:space="preserve">PROPOSED-Hot-Box-2 (Electrical &amp; Controls); Hot Box #2 (Civil &amp; Site); PROPOSED-2W-Air-Gap-Water-System (Contract &amp; General)</t>
  </si>
  <si>
    <t xml:space="preserve">#17</t>
  </si>
  <si>
    <t xml:space="preserve">43 22 10; C4.2</t>
  </si>
  <si>
    <t xml:space="preserve">PROPOSED-2W-FLOW-METER</t>
  </si>
  <si>
    <t xml:space="preserve">Plant water (2W) flow meter, 1-inch electromagnetic, 0-25 gpm, in a fiberglass enclosure (43 22 10 flow meter system)</t>
  </si>
  <si>
    <t xml:space="preserve">Not stated (2W system)</t>
  </si>
  <si>
    <t xml:space="preserve">43-C01</t>
  </si>
  <si>
    <t xml:space="preserve">PROPOSED-Hot Box #1 flow meter (Civil &amp; Site); PROPOSED-2W-Flow-Meter (Electrical &amp; Controls)</t>
  </si>
  <si>
    <t xml:space="preserve">G0.7</t>
  </si>
  <si>
    <t xml:space="preserve">G0.7; 43 22 10</t>
  </si>
  <si>
    <t xml:space="preserve">PROPOSED-2W-PUMP-STATION-WET-WELL | PROPOSED-2W-Pump-Station-Wet-Well</t>
  </si>
  <si>
    <t xml:space="preserve">2W plant water pump station wet well, 96-inch precast, floor 10.00, top 21.50, with 30-inch fiberglass access structure, insulated gasketed lid and 38-inch traffic-rated lid and ring | 2W water system pump station wet well</t>
  </si>
  <si>
    <t xml:space="preserve">PROPOSED-2W-Pump-Station-Precast-Wet-Well (Structural &amp; Building)</t>
  </si>
  <si>
    <t xml:space="preserve">#47, #251, #252</t>
  </si>
  <si>
    <t xml:space="preserve">C4.2</t>
  </si>
  <si>
    <t xml:space="preserve">43 22 10; 01 45 00; 01 50 00</t>
  </si>
  <si>
    <t xml:space="preserve">C4.2; 43 22 10; 01 45 00; 01 50 00</t>
  </si>
  <si>
    <t xml:space="preserve">Process &amp; Mechanical; Contract &amp; General</t>
  </si>
  <si>
    <t xml:space="preserve">PROPOSED-2W-PUMPS</t>
  </si>
  <si>
    <t xml:space="preserve">2W plant water pumps (2), submersible well pumps, 1 duty and 1 standby, 20-80 gpm</t>
  </si>
  <si>
    <t xml:space="preserve">2W-P1 (Electrical &amp; Controls); 2W-P2 (Electrical &amp; Controls)</t>
  </si>
  <si>
    <t xml:space="preserve">#45, #193</t>
  </si>
  <si>
    <t xml:space="preserve">G0.7; C4.2</t>
  </si>
  <si>
    <t xml:space="preserve">G0.7; C4.2; 43 22 10</t>
  </si>
  <si>
    <t xml:space="preserve">F1–F4 [2W Pump Station]</t>
  </si>
  <si>
    <t xml:space="preserve">2W pump station float switches F1-F4</t>
  </si>
  <si>
    <t xml:space="preserve">F2 (2W Pump Station) (Electrical &amp; Controls); LSH-111 (Electrical &amp; Controls); F3 (2W Pump Station) (Electrical &amp; Controls); LSL-111 (Electrical &amp; Controls)</t>
  </si>
  <si>
    <t xml:space="preserve">C4.2; 43 22 10</t>
  </si>
  <si>
    <t xml:space="preserve">PROPOSED-2W-DIAPHRAGM-TANKS</t>
  </si>
  <si>
    <t xml:space="preserve">2W air diaphragm (bladder) tanks (2), Amtrol Well-X-Trol WX-350D, 119 gal (26 x 62 in.), with manifold, gauge and relief valves</t>
  </si>
  <si>
    <t xml:space="preserve">Train #2 Building (per Add. 4 p.6)</t>
  </si>
  <si>
    <t xml:space="preserve">PROPOSED-2W-Bladder-Tank-Assembly (Structural &amp; Building)</t>
  </si>
  <si>
    <t xml:space="preserve">#25</t>
  </si>
  <si>
    <t xml:space="preserve">C4.3; C6.4</t>
  </si>
  <si>
    <t xml:space="preserve">C4.3; C6.4; 43 22 10</t>
  </si>
  <si>
    <t xml:space="preserve">PIT-620</t>
  </si>
  <si>
    <t xml:space="preserve">2W system pressure transducer, 0-150 psi (operating 55-75 psi)</t>
  </si>
  <si>
    <t xml:space="preserve">2W Equipment Layout (room not named on C4.3)</t>
  </si>
  <si>
    <t xml:space="preserve">PROPOSED-2W-Pressure-Transducer (Electrical &amp; Controls)</t>
  </si>
  <si>
    <t xml:space="preserve">C4.3</t>
  </si>
  <si>
    <t xml:space="preserve">C4.3; 43 22 10</t>
  </si>
  <si>
    <t xml:space="preserve">PROPOSED-2W-DISCHARGE-LINE</t>
  </si>
  <si>
    <t xml:space="preserve">2W plant water discharge, 2-inch SCH 80 PVC to 3-inch HDPE</t>
  </si>
  <si>
    <t xml:space="preserve">Pipe ID 10 (Civil &amp; Site)</t>
  </si>
  <si>
    <t xml:space="preserve">C4.2; C6.3; C6.4</t>
  </si>
  <si>
    <t xml:space="preserve">C4.2; C6.3; C6.4; 43 22 10</t>
  </si>
  <si>
    <t xml:space="preserve">PROPOSED-2W-FILL-LINE</t>
  </si>
  <si>
    <t xml:space="preserve">2W water fill from air gap to 2W wet well, 4-inch SCH 80 PVC at 2% slope, inlet IE 19.50</t>
  </si>
  <si>
    <t xml:space="preserve">#169</t>
  </si>
  <si>
    <t xml:space="preserve">PROPOSED-2W-BLADDER-TANK-SUPPLY</t>
  </si>
  <si>
    <t xml:space="preserve">1-inch 2W supply piping to the bladder tanks, routed below existing concrete floor, slab penetration at tank connection</t>
  </si>
  <si>
    <t xml:space="preserve">Pipe ID 23 (Civil &amp; Site)</t>
  </si>
  <si>
    <t xml:space="preserve">#51</t>
  </si>
  <si>
    <t xml:space="preserve">C6.4</t>
  </si>
  <si>
    <t xml:space="preserve">C6.4; 43 22 10</t>
  </si>
  <si>
    <t xml:space="preserve">2W-P1</t>
  </si>
  <si>
    <t xml:space="preserve">2W Water Pump No.1, 5 HP, VFD in MCC (E4.3 tags it P-2W-1)</t>
  </si>
  <si>
    <t xml:space="preserve">PROPOSED-2W-PUMPS (Process &amp; Mechanical)</t>
  </si>
  <si>
    <t xml:space="preserve">E4.3; E6.1; E6.3; E7.3; E7.4; E9.1</t>
  </si>
  <si>
    <t xml:space="preserve">2W-P2</t>
  </si>
  <si>
    <t xml:space="preserve">2W Water Pump No.2, 5 HP, VFD in MCC (E4.3 tags it P-2W-2)</t>
  </si>
  <si>
    <t xml:space="preserve">PROPOSED-Hot-Box-1</t>
  </si>
  <si>
    <t xml:space="preserve">Hot Box #1 (2W): houses the 1-in 2W flow meter, isolation valve solenoid, heat trace, GFEP and J-box</t>
  </si>
  <si>
    <t xml:space="preserve">Hot Box #1 (Civil &amp; Site)</t>
  </si>
  <si>
    <t xml:space="preserve">#16, #95</t>
  </si>
  <si>
    <t xml:space="preserve">1 (enclosure, Inferred per 04); 6 (electrical)</t>
  </si>
  <si>
    <t xml:space="preserve">PROPOSED-Hot-Box-2</t>
  </si>
  <si>
    <t xml:space="preserve">Hot Box #2 (2W): heat trace on exposed piping</t>
  </si>
  <si>
    <t xml:space="preserve">Hot Box #2 (Civil &amp; Site); PROPOSED-2W-AIR-GAP-ENCLOSURE (Process &amp; Mechanical); PROPOSED-2W-Air-Gap-Water-System (Contract &amp; General)</t>
  </si>
  <si>
    <t xml:space="preserve">PROPOSED-2W-Isolation-Valve-Solenoid</t>
  </si>
  <si>
    <t xml:space="preserve">Isolation valve solenoid in Hot Box #1 (2W line)</t>
  </si>
  <si>
    <t xml:space="preserve">PROPOSED-Hot Box #1 solenoid valve (Civil &amp; Site)</t>
  </si>
  <si>
    <t xml:space="preserve">E4.3; E6.3; E7.4</t>
  </si>
  <si>
    <t xml:space="preserve">PROPOSED-2W-Air-Gap-Water-System</t>
  </si>
  <si>
    <t xml:space="preserve">2W air gap water system</t>
  </si>
  <si>
    <t xml:space="preserve">PROPOSED-Hot-Box-2 (Electrical &amp; Controls); Hot Box #2 (Civil &amp; Site); PROPOSED-2W-AIR-GAP-ENCLOSURE (Process &amp; Mechanical)</t>
  </si>
  <si>
    <t xml:space="preserve">#17, #251</t>
  </si>
  <si>
    <t xml:space="preserve">00 31 13; 01 33 00; 01 70 00; 01 91 00</t>
  </si>
  <si>
    <t xml:space="preserve">00 31 13; 01 33 00; 01 70 00; 01 91 00; CQA Plan</t>
  </si>
  <si>
    <t xml:space="preserve">PROPOSED-2W-SUPPLY-TO-PRESS</t>
  </si>
  <si>
    <t xml:space="preserve">2W water supply to rotary fan press, 2-inch</t>
  </si>
  <si>
    <t xml:space="preserve">43-C03</t>
  </si>
  <si>
    <t xml:space="preserve">C6.1</t>
  </si>
  <si>
    <t xml:space="preserve">43 22 10; 46 76 26</t>
  </si>
  <si>
    <t xml:space="preserve">C6.1; 43 22 10; 46 76 26</t>
  </si>
  <si>
    <t xml:space="preserve">PROPOSED-AIR-BUTTERFLY-VALVES</t>
  </si>
  <si>
    <t xml:space="preserve">Aeration air butterfly valves: 3-inch and 6-inch at the biological blowers, 4-inch at the digester blower; Bray Series 31 lug or Dezurik or equal</t>
  </si>
  <si>
    <t xml:space="preserve">Blower Building; Digester Blower</t>
  </si>
  <si>
    <t xml:space="preserve">45-C01</t>
  </si>
  <si>
    <t xml:space="preserve">C6.3; C6.5</t>
  </si>
  <si>
    <t xml:space="preserve">45 05 00</t>
  </si>
  <si>
    <t xml:space="preserve">C6.3; C6.5; 45 05 00</t>
  </si>
  <si>
    <t xml:space="preserve">PROPOSED-SLUDGE-MANIFOLD-PIPING</t>
  </si>
  <si>
    <t xml:space="preserve">Sludge pump and valving area manifold: 2-inch SCH 80 PVC with 2-inch PVC ball valves and unions; 4-inch SCH 80 PVC digested sludge header; 4x2 reducer; 2x3 expansion to press</t>
  </si>
  <si>
    <t xml:space="preserve">45-C03</t>
  </si>
  <si>
    <t xml:space="preserve">C6.2; 45 05 00</t>
  </si>
  <si>
    <t xml:space="preserve">PROPOSED-IPS-CHECK-VALVES</t>
  </si>
  <si>
    <t xml:space="preserve">Influent Pump Station discharge check valves, 4-inch and 6-inch FxF, swing check with external lever, spring and limit switch (MH 259-02ALS)</t>
  </si>
  <si>
    <t xml:space="preserve">45-C02</t>
  </si>
  <si>
    <t xml:space="preserve">C4.1; 45 05 00</t>
  </si>
  <si>
    <t xml:space="preserve">PROPOSED-IPS-GATE-VALVES</t>
  </si>
  <si>
    <t xml:space="preserve">Influent Pump Station gate valves: 4-inch and 6-inch FxF in the valve vaults; 4-inch and 6-inch buried gate valves FLxMJ with valve boxes</t>
  </si>
  <si>
    <t xml:space="preserve">PROPOSED-WAS-SOLENOID-VALVES</t>
  </si>
  <si>
    <t xml:space="preserve">WAS inlet solenoid valves (3, on WAS #1-#3), ASCO Redhat 8221G013, 2-inch, normally closed, 120 V coil, NEMA 4X</t>
  </si>
  <si>
    <t xml:space="preserve">46-C03</t>
  </si>
  <si>
    <t xml:space="preserve">PROPOSED-WAS-Solenoid-Valves (Electrical &amp; Controls)</t>
  </si>
  <si>
    <t xml:space="preserve">#12, #107, #172</t>
  </si>
  <si>
    <t xml:space="preserve">DW-1</t>
  </si>
  <si>
    <t xml:space="preserve">Dewatering skid with skid control panel DW-1: pre-wired and factory tested, UL/ETL labeled per WA L&amp;I, 15 HP, 480 V 3-ph; skid PLC, operator interface and network switch</t>
  </si>
  <si>
    <t xml:space="preserve">46-C05</t>
  </si>
  <si>
    <t xml:space="preserve">PROPOSED-Dewatering-System (Contract &amp; General); PROPOSED-RFP-CONTROL-PANEL (Process &amp; Mechanical); PROPOSED-ROTARY-FAN-PRESS (Process &amp; Mechanical)</t>
  </si>
  <si>
    <t xml:space="preserve">#63, #207</t>
  </si>
  <si>
    <t xml:space="preserve">E4.1; E6.1; E6.3; E7.0; E9.1</t>
  </si>
  <si>
    <t xml:space="preserve">PROPOSED-WAS-Solenoid-Valves</t>
  </si>
  <si>
    <t xml:space="preserve">WAS solenoid valves (3), WAS #1 to #3, 120 V from the IPS panel</t>
  </si>
  <si>
    <t xml:space="preserve">PROPOSED-WAS-SOLENOID-VALVES (Process &amp; Mechanical)</t>
  </si>
  <si>
    <t xml:space="preserve">#12, #107</t>
  </si>
  <si>
    <t xml:space="preserve">E4.1; E6.3; E8.4</t>
  </si>
  <si>
    <t xml:space="preserve">PROPOSED-Polymer-Feed-Pump</t>
  </si>
  <si>
    <t xml:space="preserve">Polymer feed pump at the dewatering skid; 120 V GFCI receptacle LP2-6 and 4–20 mA flow pace</t>
  </si>
  <si>
    <t xml:space="preserve">PROPOSED-POLYMER-SYSTEM (Process &amp; Mechanical)</t>
  </si>
  <si>
    <t xml:space="preserve">#64</t>
  </si>
  <si>
    <t xml:space="preserve">E4.1; E6.2; E6.3; E8.6; E10.2</t>
  </si>
  <si>
    <t xml:space="preserve">PROPOSED-UV-TRANSMISSIVITY-ANALYZER</t>
  </si>
  <si>
    <t xml:space="preserve">UV transmissivity analyzer, Hach DR 1900 (1)</t>
  </si>
  <si>
    <t xml:space="preserve">46-C06</t>
  </si>
  <si>
    <t xml:space="preserve">#115</t>
  </si>
  <si>
    <t xml:space="preserve">46 66 10</t>
  </si>
  <si>
    <t xml:space="preserve">UV1</t>
  </si>
  <si>
    <t xml:space="preserve">UV disinfection unit No.1 (UV modules on 10-ft cords, 2 per PDR)</t>
  </si>
  <si>
    <t xml:space="preserve">PROPOSED-UV-Disinfection-System (Contract &amp; General); PROPOSED-UV-SYSTEM (Process &amp; Mechanical)</t>
  </si>
  <si>
    <t xml:space="preserve">#54</t>
  </si>
  <si>
    <t xml:space="preserve">E5.1; E6.2; E6.3; E7.3; E7.5</t>
  </si>
  <si>
    <t xml:space="preserve">E5.1; E6.2; E6.3; E7.3; E7.5; 26 80 00</t>
  </si>
  <si>
    <t xml:space="preserve">UV2</t>
  </si>
  <si>
    <t xml:space="preserve">UV disinfection unit No.2 (UV modules on 10-ft cords, 2 per PDR)</t>
  </si>
  <si>
    <t xml:space="preserve">PROPOSED-UV-SYSTEM</t>
  </si>
  <si>
    <t xml:space="preserve">UV disinfection system, Trojan UV3000 PTP or equal: 2 open-channel systems (UV Channels #1 and #2), 6 modules per bank, 4 lamps per module, 48 lamps, stainless channels with level control weirs</t>
  </si>
  <si>
    <t xml:space="preserve">46-C07</t>
  </si>
  <si>
    <t xml:space="preserve">PROPOSED-UV-Disinfection-System (Contract &amp; General); UV1 (Electrical &amp; Controls); UV2 (Electrical &amp; Controls)</t>
  </si>
  <si>
    <t xml:space="preserve">1; Equipment Alternate D</t>
  </si>
  <si>
    <t xml:space="preserve">G0.5; G0.6; G0.7; C5.1; C5.2; C5.3; C5.4</t>
  </si>
  <si>
    <t xml:space="preserve">46 66 00</t>
  </si>
  <si>
    <t xml:space="preserve">G0.5; G0.6; G0.7; C5.1; C5.2; C5.3; C5.4; 46 66 00</t>
  </si>
  <si>
    <t xml:space="preserve">PROPOSED-UV-CONTROL-PANELS</t>
  </si>
  <si>
    <t xml:space="preserve">UV control panels on chamber walls (2 on C5.1): splitter panel, power distribution receptacles and wall-mounted system monitor per UV unit (C5.4)</t>
  </si>
  <si>
    <t xml:space="preserve">PROPOSED-UV-Control-Panel-1 (Electrical &amp; Controls); PROPOSED-UV-Control-Panel-2 (Electrical &amp; Controls); PROPOSED-UV-Power-Distribution-1 (Electrical &amp; Controls); PROPOSED-UV-Power-Distribution-2 (Electrical &amp; Controls)</t>
  </si>
  <si>
    <t xml:space="preserve">C5.1; C5.2; C5.3; C5.4</t>
  </si>
  <si>
    <t xml:space="preserve">C5.1; C5.4; 46 66 00</t>
  </si>
  <si>
    <t xml:space="preserve">PROPOSED-DIGESTER-DIFFUSERS</t>
  </si>
  <si>
    <t xml:space="preserve">Aerobic digester coarse bubble diffusers, 24-in. 316 SS, open bottom with rubber inlet check valve (G0.7: 6 at 20 cfm)</t>
  </si>
  <si>
    <t xml:space="preserve">G0.7; C5.1; C5.2; C5.3</t>
  </si>
  <si>
    <t xml:space="preserve">46 51 21</t>
  </si>
  <si>
    <t xml:space="preserve">G0.7; C5.1; C5.2; C5.3; 46 51 21</t>
  </si>
  <si>
    <t xml:space="preserve">PROPOSED-UV-INTENSITY-SENSORS</t>
  </si>
  <si>
    <t xml:space="preserve">UV intensity sensors (2, one per bank), submersible, with low-UV alarm contact</t>
  </si>
  <si>
    <t xml:space="preserve">#114</t>
  </si>
  <si>
    <t xml:space="preserve">PROPOSED-UV-Disinfection-System</t>
  </si>
  <si>
    <t xml:space="preserve">UV disinfection system equipment</t>
  </si>
  <si>
    <t xml:space="preserve">PROPOSED-UV-SYSTEM (Process &amp; Mechanical); UV1 (Electrical &amp; Controls); UV2 (Electrical &amp; Controls)</t>
  </si>
  <si>
    <t xml:space="preserve">#54, #251</t>
  </si>
  <si>
    <t xml:space="preserve">00 31 13; 00 41 00; 00 73 00; 01 33 00; 01 70 00; 01 91 00</t>
  </si>
  <si>
    <t xml:space="preserve">00 31 13; 00 41 00; 00 73 00; 01 33 00; 01 70 00; 01 91 00; CQA Plan</t>
  </si>
  <si>
    <t xml:space="preserve">PROPOSED-PLANT-DRAIN-LINE</t>
  </si>
  <si>
    <t xml:space="preserve">Filtrate, pressate and digester supernatant drain line to Influent Pump Station, 4-inch (IE 13.40 at wet well)</t>
  </si>
  <si>
    <t xml:space="preserve">46-C08</t>
  </si>
  <si>
    <t xml:space="preserve">Pipe ID 25 (Civil &amp; Site)</t>
  </si>
  <si>
    <t xml:space="preserve">G0.5; G0.6; C4.1; C5.1; C5.3; C6.1</t>
  </si>
  <si>
    <t xml:space="preserve">46 76 26</t>
  </si>
  <si>
    <t xml:space="preserve">G0.5; G0.6; C4.1; C5.1; C5.3; C6.1; 46 76 26</t>
  </si>
  <si>
    <t xml:space="preserve">PROPOSED-FLOW-SPLITTER-BOX</t>
  </si>
  <si>
    <t xml:space="preserve">Influent flow splitter box, prefabricated 316 SS, 4 equal chambers with adjustable weirs, removable cover</t>
  </si>
  <si>
    <t xml:space="preserve">46-C02</t>
  </si>
  <si>
    <t xml:space="preserve">PROPOSED-Influent-Flow-Splitter (Contract &amp; General); PROPOSED-Flow-Splitter (Structural &amp; Building)</t>
  </si>
  <si>
    <t xml:space="preserve">#75, #103</t>
  </si>
  <si>
    <t xml:space="preserve">G0.5; G0.6; C3.1; C3.2</t>
  </si>
  <si>
    <t xml:space="preserve">PROPOSED-Influent-Sampler</t>
  </si>
  <si>
    <t xml:space="preserve">Influent sampler (Owner-furnished, contractor-installed); 120 V GFCI receptacle LP2-8 and 4–20 mA flow pace</t>
  </si>
  <si>
    <t xml:space="preserve">#13, #122, #251</t>
  </si>
  <si>
    <t xml:space="preserve">6 (installation, receptacle, flow-pace signal); sampler Owner-furnished</t>
  </si>
  <si>
    <t xml:space="preserve">E4.1; E6.2; E6.3; E8.6</t>
  </si>
  <si>
    <t xml:space="preserve">E4.1; E6.2; E6.3; E8.6; 26 80 00</t>
  </si>
  <si>
    <t xml:space="preserve">PROPOSED-Flow-Splitter</t>
  </si>
  <si>
    <t xml:space="preserve">Flow splitter — per civil, attachment by others</t>
  </si>
  <si>
    <t xml:space="preserve">PROPOSED-Influent-Flow-Splitter (Contract &amp; General); PROPOSED-FLOW-SPLITTER-BOX (Process &amp; Mechanical)</t>
  </si>
  <si>
    <t xml:space="preserve">#75, #103, #237</t>
  </si>
  <si>
    <t xml:space="preserve">PROPOSED-Influent-Flow-Splitter</t>
  </si>
  <si>
    <t xml:space="preserve">Influent flow splitter</t>
  </si>
  <si>
    <t xml:space="preserve">PROPOSED-Flow-Splitter (Structural &amp; Building); PROPOSED-FLOW-SPLITTER-BOX (Process &amp; Mechanical)</t>
  </si>
  <si>
    <t xml:space="preserve">#75, #103, #251</t>
  </si>
  <si>
    <t xml:space="preserve">Influent sampler</t>
  </si>
  <si>
    <t xml:space="preserve">WAS3</t>
  </si>
  <si>
    <t xml:space="preserve">Train 3 WAS / clarifier drain line to WAS pump manifold, 2-inch</t>
  </si>
  <si>
    <t xml:space="preserve">46-C04</t>
  </si>
  <si>
    <t xml:space="preserve">Pipe ID 15 (Civil &amp; Site)</t>
  </si>
  <si>
    <t xml:space="preserve">#85, #162</t>
  </si>
  <si>
    <t xml:space="preserve">G0.5; C3.3; C3.4; C6.2</t>
  </si>
  <si>
    <t xml:space="preserve">46 53 00</t>
  </si>
  <si>
    <t xml:space="preserve">G0.5; C3.3; C3.4; 46 53 00; C6.2</t>
  </si>
  <si>
    <t xml:space="preserve">DO #1 | DO-1</t>
  </si>
  <si>
    <t xml:space="preserve">Dissolved oxygen / pH sensor, Train 3 Aeration Zone #1 | Dissolved oxygen sensor and transmitter, Zone 1 (Hach LDO probe, SC200 transmitter, 24 VDC)</t>
  </si>
  <si>
    <t xml:space="preserve">Train 3 | Train No.3</t>
  </si>
  <si>
    <t xml:space="preserve">PROPOSED-Train-3-pH-Sensors (Contract &amp; General); PROPOSED-Train-3-Dissolved-Oxygen-Sensors (Contract &amp; General)</t>
  </si>
  <si>
    <t xml:space="preserve">#1, #35, #160, #255</t>
  </si>
  <si>
    <t xml:space="preserve">1; 18 — Unresolved (see 04); 19; Equipment Alternate B | 6</t>
  </si>
  <si>
    <t xml:space="preserve">C3.3; E3.1; E7.6</t>
  </si>
  <si>
    <t xml:space="preserve">46 53 00; 26 80 00</t>
  </si>
  <si>
    <t xml:space="preserve">C3.3; 46 53 00; E3.1; E7.6; 26 80 00</t>
  </si>
  <si>
    <t xml:space="preserve">DO #2 | DO-2</t>
  </si>
  <si>
    <t xml:space="preserve">Dissolved oxygen / pH sensor, Train 3 Aeration Zone #2 | Dissolved oxygen sensor and transmitter, second monitor (Hach LDO/SC200)</t>
  </si>
  <si>
    <t xml:space="preserve">#2, #35, #160, #255</t>
  </si>
  <si>
    <t xml:space="preserve">C3.3; E3.1; E6.3; E7.6</t>
  </si>
  <si>
    <t xml:space="preserve">C3.3; 46 53 00; E3.1; E6.3; E7.6; 26 80 00</t>
  </si>
  <si>
    <t xml:space="preserve">PROPOSED-TRAIN-3-TANK</t>
  </si>
  <si>
    <t xml:space="preserve">Train 3 tank, reinforced concrete bullseye tank, 32-ft ID, 34-ft OD, 12-inch walls</t>
  </si>
  <si>
    <t xml:space="preserve">PROPOSED-Train-3-Concrete-Tank (Structural &amp; Building)</t>
  </si>
  <si>
    <t xml:space="preserve">#29, #158, #255</t>
  </si>
  <si>
    <t xml:space="preserve">G0.5; G0.6; G0.7; C3.3; C3.4; C3.5</t>
  </si>
  <si>
    <t xml:space="preserve">G0.5; G0.6; G0.7; C3.3; C3.4; C3.5; 46 53 00</t>
  </si>
  <si>
    <t xml:space="preserve">PROPOSED-TRAIN-3-TREATMENT-SYSTEM</t>
  </si>
  <si>
    <t xml:space="preserve">Train 3 biological treatment system package, Smith &amp; Loveless Model R Oxigest (basis of design) or approved equal</t>
  </si>
  <si>
    <t xml:space="preserve">PROPOSED-Train-3-Biological-Treatment-Equipment (Contract &amp; General)</t>
  </si>
  <si>
    <t xml:space="preserve">#30, #255</t>
  </si>
  <si>
    <t xml:space="preserve">46 53 00; C3.3; C3.4; C3.5</t>
  </si>
  <si>
    <t xml:space="preserve">PROPOSED-TRAIN-3-INNER-WALLS</t>
  </si>
  <si>
    <t xml:space="preserve">Train 3 steel inner walls and zone partition walls, structural steel plate 1/4-inch minimum</t>
  </si>
  <si>
    <t xml:space="preserve">C3.3</t>
  </si>
  <si>
    <t xml:space="preserve">C3.3; 46 53 00</t>
  </si>
  <si>
    <t xml:space="preserve">PROPOSED-TRAIN-3-CLARIFIER-MECHANISM</t>
  </si>
  <si>
    <t xml:space="preserve">Train 3 clarifier mechanism, 18-ft dia.: center drive, feed well, rake arms, skimmer, scum baffle, effluent trough and weirs, scum airlift</t>
  </si>
  <si>
    <t xml:space="preserve">PROPOSED-Train-3-Clarifier-Drive-Motor (Electrical &amp; Controls); PROPOSED-Clarifier (Contract &amp; General)</t>
  </si>
  <si>
    <t xml:space="preserve">#33, #255</t>
  </si>
  <si>
    <t xml:space="preserve">C3.3; C3.4; C3.5</t>
  </si>
  <si>
    <t xml:space="preserve">C3.3; C3.4; C3.5; 46 53 00</t>
  </si>
  <si>
    <t xml:space="preserve">PROPOSED-TRAIN-3-WALKWAYS-AND-LADDER</t>
  </si>
  <si>
    <t xml:space="preserve">Train 3 access walkway (3-ft clarifier bridge), 2-ft peripheral service walkway, aluminum grating and handrail, aluminum ladder with concrete pad</t>
  </si>
  <si>
    <t xml:space="preserve">PROPOSED-Handrails (Contract &amp; General); PROPOSED-Train-3-Guardrail-and-Ladders (Structural &amp; Building)</t>
  </si>
  <si>
    <t xml:space="preserve">#34, #255</t>
  </si>
  <si>
    <t xml:space="preserve">C3.3; C3.4; 46 53 00</t>
  </si>
  <si>
    <t xml:space="preserve">PROPOSED-TRAIN-3-AERATION-DIFFUSERS</t>
  </si>
  <si>
    <t xml:space="preserve">Train 3 aeration system: air header, drop pipes with unions and air control valves, medium bubble (plenum) diffusers, 8 in Aeration Zone 1 and 2 in Aeration Zone 2</t>
  </si>
  <si>
    <t xml:space="preserve">G0.7; C3.3; C3.4; C3.5</t>
  </si>
  <si>
    <t xml:space="preserve">G0.7; C3.3; C3.4; C3.5; 46 53 00</t>
  </si>
  <si>
    <t xml:space="preserve">PROPOSED-TRAIN-3-ANOXIC-MIXERS</t>
  </si>
  <si>
    <t xml:space="preserve">Train 3 submersible mixers (2), 5 HP, 460 V 3-phase, one per anoxic zone</t>
  </si>
  <si>
    <t xml:space="preserve">PROPOSED-Train-3-Submersible-Mixer-A (Electrical &amp; Controls); PROPOSED-Train-3-Submersible-Mixer-B (Electrical &amp; Controls)</t>
  </si>
  <si>
    <t xml:space="preserve">#32, #255</t>
  </si>
  <si>
    <t xml:space="preserve">G0.7; C3.3; C3.4</t>
  </si>
  <si>
    <t xml:space="preserve">46 53 00; 46 41 23</t>
  </si>
  <si>
    <t xml:space="preserve">G0.7; C3.3; C3.4; 46 53 00; 46 41 23</t>
  </si>
  <si>
    <t xml:space="preserve">PROPOSED-TRAIN-3-DAVIT-CRANES</t>
  </si>
  <si>
    <t xml:space="preserve">Portable lifting davits (2) for the Train 3 mixers, stainless, manual brake winch, on top mast brackets</t>
  </si>
  <si>
    <t xml:space="preserve">C3.3; C3.4</t>
  </si>
  <si>
    <t xml:space="preserve">46 41 23</t>
  </si>
  <si>
    <t xml:space="preserve">C3.3; C3.4; 46 41 23</t>
  </si>
  <si>
    <t xml:space="preserve">PROPOSED-TRAIN-3-RAS-AIRLIFT</t>
  </si>
  <si>
    <t xml:space="preserve">RAS airlift pump, 3-inch steel riser with flow division (weir) box, 51 gpm at 15 cfm max</t>
  </si>
  <si>
    <t xml:space="preserve">G0.5; G0.7; C3.3; C3.5</t>
  </si>
  <si>
    <t xml:space="preserve">G0.5; G0.7; C3.3; C3.5; 46 53 00</t>
  </si>
  <si>
    <t xml:space="preserve">PROPOSED-TRAIN-3-MLR-AIRLIFT</t>
  </si>
  <si>
    <t xml:space="preserve">Nitrate (mixed liquor) recycle airlift pump(s), 6-inch steel riser, Liqui-Lift weir box, 6-inch MLR pipe</t>
  </si>
  <si>
    <t xml:space="preserve">G0.5; G0.7; C3.3; C3.4; C3.5</t>
  </si>
  <si>
    <t xml:space="preserve">G0.5; G0.7; C3.3; C3.4; C3.5; 46 53 00</t>
  </si>
  <si>
    <t xml:space="preserve">PROPOSED-CARBON-FEED-PUMPS</t>
  </si>
  <si>
    <t xml:space="preserve">Carbon feed peristaltic metering pumps (2: 1 duty, 1 standby), Stenner Model S3V02AA302N</t>
  </si>
  <si>
    <t xml:space="preserve">Not stated (feeds Train 3 Anoxic 2 per G0.5)</t>
  </si>
  <si>
    <t xml:space="preserve">#161, #255</t>
  </si>
  <si>
    <t xml:space="preserve">G0.5; 46 53 00</t>
  </si>
  <si>
    <t xml:space="preserve">PROPOSED-TRAIN-3-CONTROL-PANEL</t>
  </si>
  <si>
    <t xml:space="preserve">Treatment system control panel, NEMA 4X 316 SS, 460 V 3-phase input, UL listed</t>
  </si>
  <si>
    <t xml:space="preserve">TCP-3 (Electrical &amp; Controls)</t>
  </si>
  <si>
    <t xml:space="preserve">#31, #161, #255</t>
  </si>
  <si>
    <t xml:space="preserve">TCP-3</t>
  </si>
  <si>
    <t xml:space="preserve">Train No.3 control panel TCP-3 (by treatment system provider), 480 V 3-ph input, NEMA 4X Type 316 SS</t>
  </si>
  <si>
    <t xml:space="preserve">PROPOSED-TRAIN-3-CONTROL-PANEL (Process &amp; Mechanical)</t>
  </si>
  <si>
    <t xml:space="preserve">#31, #161</t>
  </si>
  <si>
    <t xml:space="preserve">E3.1; E6.1; E6.3; E7.3; E9.1</t>
  </si>
  <si>
    <t xml:space="preserve">PROPOSED-Train-3-Clarifier-Drive-Motor</t>
  </si>
  <si>
    <t xml:space="preserve">Train No.3 clarifier drive motor</t>
  </si>
  <si>
    <t xml:space="preserve">PROPOSED-Clarifier (Contract &amp; General); PROPOSED-TRAIN-3-CLARIFIER-MECHANISM (Process &amp; Mechanical)</t>
  </si>
  <si>
    <t xml:space="preserve">#33</t>
  </si>
  <si>
    <t xml:space="preserve">PROPOSED-Train-3-Submersible-Mixer-A</t>
  </si>
  <si>
    <t xml:space="preserve">Train No.3 submersible mixer A</t>
  </si>
  <si>
    <t xml:space="preserve">PROPOSED-TRAIN-3-ANOXIC-MIXERS (Process &amp; Mechanical)</t>
  </si>
  <si>
    <t xml:space="preserve">#32</t>
  </si>
  <si>
    <t xml:space="preserve">PROPOSED-Train-3-Submersible-Mixer-B</t>
  </si>
  <si>
    <t xml:space="preserve">Train No.3 submersible mixer B</t>
  </si>
  <si>
    <t xml:space="preserve">PROPOSED-Hypochlorite-Feed-Pump</t>
  </si>
  <si>
    <t xml:space="preserve">Hypochlorite feed pump; 120 V GFCI receptacle on LP1-16 and 4–20 mA flow pace</t>
  </si>
  <si>
    <t xml:space="preserve">Not stated (drawn on E4.1)</t>
  </si>
  <si>
    <t xml:space="preserve">#121</t>
  </si>
  <si>
    <t xml:space="preserve">E2.2; E4.1; E6.2; E6.3; E7.7; E10.2</t>
  </si>
  <si>
    <t xml:space="preserve">PROPOSED-Effluent-Sampler</t>
  </si>
  <si>
    <t xml:space="preserve">Effluent sampler (Owner-furnished, contractor-installed); 120 V GFCI receptacle on LP1-14 and 4–20 mA flow pace</t>
  </si>
  <si>
    <t xml:space="preserve">#123</t>
  </si>
  <si>
    <t xml:space="preserve">E2.2; E4.1; E6.2; E6.3; E7.7</t>
  </si>
  <si>
    <t xml:space="preserve">E2.2; E4.1; E6.2; E6.3; E7.7; 26 80 00</t>
  </si>
  <si>
    <t xml:space="preserve">PROPOSED-Train-3</t>
  </si>
  <si>
    <t xml:space="preserve">Train 3 (third treatment train)</t>
  </si>
  <si>
    <t xml:space="preserve">00 31 13; 00 24 13; 00 73 00; 01 45 00; 01 50 00</t>
  </si>
  <si>
    <t xml:space="preserve">00 31 13; 00 24 13; 00 73 00; 01 45 00; 01 50 00; CQA Plan</t>
  </si>
  <si>
    <t xml:space="preserve">PROPOSED-Train-3-Biological-Treatment-Equipment</t>
  </si>
  <si>
    <t xml:space="preserve">Train 3 biological treatment system equipment</t>
  </si>
  <si>
    <t xml:space="preserve">PROPOSED-TRAIN-3-TREATMENT-SYSTEM (Process &amp; Mechanical)</t>
  </si>
  <si>
    <t xml:space="preserve">#30, #251, #255</t>
  </si>
  <si>
    <t xml:space="preserve">1; Equipment Alternate B; 18 — Unresolved (see 04); 19</t>
  </si>
  <si>
    <t xml:space="preserve">00 24 13; 00 41 00; 01 33 00; 01 70 00; 01 91 00; 01 45 00</t>
  </si>
  <si>
    <t xml:space="preserve">PROPOSED-Aeration-Basins</t>
  </si>
  <si>
    <t xml:space="preserve">Aeration basins (Train 3)</t>
  </si>
  <si>
    <t xml:space="preserve">#251, #252</t>
  </si>
  <si>
    <t xml:space="preserve">01 45 00; 01 50 00</t>
  </si>
  <si>
    <t xml:space="preserve">PROPOSED-Anoxic-Basins</t>
  </si>
  <si>
    <t xml:space="preserve">Anoxic basins (Train 3)</t>
  </si>
  <si>
    <t xml:space="preserve">PROPOSED-Clarifier</t>
  </si>
  <si>
    <t xml:space="preserve">Clarifier (Train 3)</t>
  </si>
  <si>
    <t xml:space="preserve">PROPOSED-Train-3-Clarifier-Drive-Motor (Electrical &amp; Controls); PROPOSED-TRAIN-3-CLARIFIER-MECHANISM (Process &amp; Mechanical)</t>
  </si>
  <si>
    <t xml:space="preserve">#33, #251, #252</t>
  </si>
  <si>
    <t xml:space="preserve">01 45 00; 01 50 00; 01 91 00</t>
  </si>
  <si>
    <t xml:space="preserve">PROPOSED-Train-3-Dissolved-Oxygen-Sensors</t>
  </si>
  <si>
    <t xml:space="preserve">Dissolved oxygen (DO) sensors, Train 3</t>
  </si>
  <si>
    <t xml:space="preserve">DO #1 (Process &amp; Mechanical); DO-1 (Process &amp; Mechanical); DO #2 (Process &amp; Mechanical); DO-2 (Process &amp; Mechanical)</t>
  </si>
  <si>
    <t xml:space="preserve">#35, #251, #253</t>
  </si>
  <si>
    <t xml:space="preserve">1; Equipment Alternate B (package — Inferred)</t>
  </si>
  <si>
    <t xml:space="preserve">PROPOSED-Train-3-pH-Sensors</t>
  </si>
  <si>
    <t xml:space="preserve">pH sensors, Train 3</t>
  </si>
  <si>
    <t xml:space="preserve">PROPOSED-Handrails</t>
  </si>
  <si>
    <t xml:space="preserve">Handrails</t>
  </si>
  <si>
    <t xml:space="preserve">PROPOSED-TRAIN-3-WALKWAYS-AND-LADDER (Process &amp; Mechanical); PROPOSED-Train-3-Guardrail-and-Ladders (Structural &amp; Building)</t>
  </si>
  <si>
    <t xml:space="preserve">#34, #252</t>
  </si>
  <si>
    <t xml:space="preserve">01 70 00</t>
  </si>
  <si>
    <t xml:space="preserve">PROPOSED-DIGESTED-SLUDGE-FLOW-METER</t>
  </si>
  <si>
    <t xml:space="preserve">Rotary press sludge flowmeter, 3-inch electromagnetic (E+H 10W), 24-800 gpm, at the flocculator inlet (G0.5 digested sludge FM)</t>
  </si>
  <si>
    <t xml:space="preserve">46-C01</t>
  </si>
  <si>
    <t xml:space="preserve">#172</t>
  </si>
  <si>
    <t xml:space="preserve">G0.5; C6.2; 46 76 26</t>
  </si>
  <si>
    <t xml:space="preserve">PROPOSED-ROTARY-FAN-PRESS</t>
  </si>
  <si>
    <t xml:space="preserve">Rotary fan press (rotary press model), steel, 1 unit</t>
  </si>
  <si>
    <t xml:space="preserve">PROPOSED-Dewatering-System (Contract &amp; General); DW-1 (Electrical &amp; Controls)</t>
  </si>
  <si>
    <t xml:space="preserve">#63</t>
  </si>
  <si>
    <t xml:space="preserve">G0.5; G0.6; G0.7; C6.1</t>
  </si>
  <si>
    <t xml:space="preserve">C6.1; G0.7; 46 76 26</t>
  </si>
  <si>
    <t xml:space="preserve">PROPOSED-RFP-FLOCCULATOR</t>
  </si>
  <si>
    <t xml:space="preserve">Rotary fan press flocculator, steel, 1</t>
  </si>
  <si>
    <t xml:space="preserve">C6.1; 46 76 26</t>
  </si>
  <si>
    <t xml:space="preserve">PROPOSED-RFP-SLUDGE-MANIFOLD</t>
  </si>
  <si>
    <t xml:space="preserve">Rotary fan press sludge manifold and piping, 316 SS, 1</t>
  </si>
  <si>
    <t xml:space="preserve">PROPOSED-RFP-CAKE-CHUTE</t>
  </si>
  <si>
    <t xml:space="preserve">Rotary fan press cake chute, LLDPE, 1</t>
  </si>
  <si>
    <t xml:space="preserve">PROPOSED-RFP-AIR-COMPRESSOR</t>
  </si>
  <si>
    <t xml:space="preserve">Rotary fan press air compressor, material not listed, 1</t>
  </si>
  <si>
    <t xml:space="preserve">PROPOSED-RFP-CONTROL-PANEL</t>
  </si>
  <si>
    <t xml:space="preserve">Rotary fan press control panel with operator interface, 1</t>
  </si>
  <si>
    <t xml:space="preserve">PROPOSED-POLYMER-SYSTEM</t>
  </si>
  <si>
    <t xml:space="preserve">Emulsion (liquid) polymer make-up system, Fournier frame with Watson-Marlow peristaltic dosing pump; C6.1 plan labels a dry polymer mix unit</t>
  </si>
  <si>
    <t xml:space="preserve">PROPOSED-Polymer-Feed-Pump (Electrical &amp; Controls)</t>
  </si>
  <si>
    <t xml:space="preserve">46 33 33</t>
  </si>
  <si>
    <t xml:space="preserve">C6.1; 46 33 33; 46 76 26</t>
  </si>
  <si>
    <t xml:space="preserve">PROPOSED-SCREW-CONVEYOR</t>
  </si>
  <si>
    <t xml:space="preserve">Screw conveyor system, stainless steel, dewatered cake to mobile dumpster/bin (system row; components below)</t>
  </si>
  <si>
    <t xml:space="preserve">46 12 13 (as printed on C6.1; not in the spec); 41 12 13</t>
  </si>
  <si>
    <t xml:space="preserve">C6.1; 41 12 13; 46 76 26</t>
  </si>
  <si>
    <t xml:space="preserve">PROPOSED-DIGESTED-SLUDGE-FEED-TO-PRESS</t>
  </si>
  <si>
    <t xml:space="preserve">Digested sludge feed to rotary fan press, 3-inch</t>
  </si>
  <si>
    <t xml:space="preserve">#106</t>
  </si>
  <si>
    <t xml:space="preserve">G0.5; C6.1; C6.2</t>
  </si>
  <si>
    <t xml:space="preserve">PROPOSED-RFP-POLYMER-FLOWMETER</t>
  </si>
  <si>
    <t xml:space="preserve">Rotary press polymer (dilution) flowmeter, 1-inch electromagnetic (E+H 10P), 5-80 gpm, at the flocculator inlet</t>
  </si>
  <si>
    <t xml:space="preserve">#116</t>
  </si>
  <si>
    <t xml:space="preserve">46 76 26; 46 33 33</t>
  </si>
  <si>
    <t xml:space="preserve">PROPOSED-RFP-INLET-PRESSURE-TRANSMITTER</t>
  </si>
  <si>
    <t xml:space="preserve">Flocculator inlet pressure transmitter, E+H PMC71, 0-30 psi, HART</t>
  </si>
  <si>
    <t xml:space="preserve">#117</t>
  </si>
  <si>
    <t xml:space="preserve">PROPOSED-Dewatering-System</t>
  </si>
  <si>
    <t xml:space="preserve">Sludge dewatering system (rotary fan press)</t>
  </si>
  <si>
    <t xml:space="preserve">PROPOSED-RFP-CONTROL-PANEL (Process &amp; Mechanical); PROPOSED-ROTARY-FAN-PRESS (Process &amp; Mechanical); DW-1 (Electrical &amp; Controls)</t>
  </si>
  <si>
    <t xml:space="preserve">#15, #63, #251</t>
  </si>
  <si>
    <t xml:space="preserve">Rules of credit — % earned when each step is done</t>
  </si>
  <si>
    <t xml:space="preserve">Edit the yellow cells. Each row should total 100. Where the Ledger says Submittal Req = N or Testing/Startup Req = N, that step drops out and the rest scale to 100%. "Not stated" keeps the step (conservative).</t>
  </si>
  <si>
    <t xml:space="preserve">Total (formula)</t>
  </si>
  <si>
    <t xml:space="preserve">Step meanings by work type:</t>
  </si>
  <si>
    <t xml:space="preserve">Install — submittal approved; material on site; set / installed; tested or inspected per the ITP; turned over.</t>
  </si>
  <si>
    <t xml:space="preserve">Remove — area isolated and ready; removed; closed out (disposal, patch, restore).</t>
  </si>
  <si>
    <t xml:space="preserve">Temporary — as Install; "Turned over / closed" = removed at the end of use.</t>
  </si>
  <si>
    <t xml:space="preserve">Modify / connect (existing items kept) — as Install, for the modification or connection work.</t>
  </si>
  <si>
    <t xml:space="preserve">Weights are generic placeholders (no project estimate or material takeoff in this sample). Replace with the project's rules of credit.</t>
  </si>
  <si>
    <t xml:space="preserve">ID</t>
  </si>
  <si>
    <t xml:space="preserve">Type</t>
  </si>
  <si>
    <t xml:space="preserve">Activity</t>
  </si>
  <si>
    <t xml:space="preserve">Start</t>
  </si>
  <si>
    <t xml:space="preserve">Finish</t>
  </si>
  <si>
    <t xml:space="preserve">MS01</t>
  </si>
  <si>
    <t xml:space="preserve">Milestone</t>
  </si>
  <si>
    <t xml:space="preserve">Bids opened</t>
  </si>
  <si>
    <t xml:space="preserve">MS02</t>
  </si>
  <si>
    <t xml:space="preserve">Contract award</t>
  </si>
  <si>
    <t xml:space="preserve">MS03</t>
  </si>
  <si>
    <t xml:space="preserve">CPM schedule due (10 days after award)</t>
  </si>
  <si>
    <t xml:space="preserve">MS04</t>
  </si>
  <si>
    <t xml:space="preserve">Preconstruction meeting and Notice to Proceed</t>
  </si>
  <si>
    <t xml:space="preserve">MS05</t>
  </si>
  <si>
    <t xml:space="preserve">480V service, MCC and PLC panel complete</t>
  </si>
  <si>
    <t xml:space="preserve">MS06</t>
  </si>
  <si>
    <t xml:space="preserve">UV system complete</t>
  </si>
  <si>
    <t xml:space="preserve">MS07</t>
  </si>
  <si>
    <t xml:space="preserve">UV on line; effluent switched to new 8-in piping</t>
  </si>
  <si>
    <t xml:space="preserve">MS08</t>
  </si>
  <si>
    <t xml:space="preserve">2W air gap water system complete</t>
  </si>
  <si>
    <t xml:space="preserve">MS09</t>
  </si>
  <si>
    <t xml:space="preserve">Influent pump station, flow splitter and sampler on line</t>
  </si>
  <si>
    <t xml:space="preserve">MS10</t>
  </si>
  <si>
    <t xml:space="preserve">Major piping complete; aerobic digester complete</t>
  </si>
  <si>
    <t xml:space="preserve">MS11</t>
  </si>
  <si>
    <t xml:space="preserve">Dewatering system complete</t>
  </si>
  <si>
    <t xml:space="preserve">MS12</t>
  </si>
  <si>
    <t xml:space="preserve">Permanent generator on line; rental removed</t>
  </si>
  <si>
    <t xml:space="preserve">MS13</t>
  </si>
  <si>
    <t xml:space="preserve">Train 3 complete</t>
  </si>
  <si>
    <t xml:space="preserve">MS14</t>
  </si>
  <si>
    <t xml:space="preserve">Substantial Completion</t>
  </si>
  <si>
    <t xml:space="preserve">MS15</t>
  </si>
  <si>
    <t xml:space="preserve">Final Completion</t>
  </si>
  <si>
    <t xml:space="preserve">Construction</t>
  </si>
  <si>
    <t xml:space="preserve">General Requirements &amp; Temporary Works — Temporary bypass and interim effluent piping</t>
  </si>
  <si>
    <t xml:space="preserve">General Requirements &amp; Temporary Works — Temporary facilities and controls</t>
  </si>
  <si>
    <t xml:space="preserve">Demolition &amp; Existing Conditions — Existing generator, switchgear and fuel tank removal</t>
  </si>
  <si>
    <t xml:space="preserve">Demolition &amp; Existing Conditions — Site demolition ahead of new work</t>
  </si>
  <si>
    <t xml:space="preserve">Demolition &amp; Existing Conditions — Yard piping, vaults and site utilities</t>
  </si>
  <si>
    <t xml:space="preserve">Concrete (Cast-in-Place &amp; Precast) — 2W air gap water system</t>
  </si>
  <si>
    <t xml:space="preserve">Concrete (Cast-in-Place &amp; Precast) — Blower Building</t>
  </si>
  <si>
    <t xml:space="preserve">Concrete (Cast-in-Place &amp; Precast) — Permanent standby generator</t>
  </si>
  <si>
    <t xml:space="preserve">Concrete (Cast-in-Place &amp; Precast) — Influent pump station and flow splitter</t>
  </si>
  <si>
    <t xml:space="preserve">Concrete (Cast-in-Place &amp; Precast) — Sludge pumps and valving</t>
  </si>
  <si>
    <t xml:space="preserve">Concrete (Cast-in-Place &amp; Precast) — Train 3</t>
  </si>
  <si>
    <t xml:space="preserve">Concrete (Cast-in-Place &amp; Precast) — UV chamber and digester</t>
  </si>
  <si>
    <t xml:space="preserve">Concrete (Cast-in-Place &amp; Precast) — Yard piping, vaults and site utilities</t>
  </si>
  <si>
    <t xml:space="preserve">Metals (Grating, Railings, Ladders, Stairs) — Train 3</t>
  </si>
  <si>
    <t xml:space="preserve">Metals (Grating, Railings, Ladders, Stairs) — UV chamber and digester</t>
  </si>
  <si>
    <t xml:space="preserve">Doors, Frames &amp; Hardware — Blower Building</t>
  </si>
  <si>
    <t xml:space="preserve">Painting &amp; Coatings — Influent pump station and flow splitter</t>
  </si>
  <si>
    <t xml:space="preserve">Specialties — Blower Building</t>
  </si>
  <si>
    <t xml:space="preserve">Specialties — Train 3</t>
  </si>
  <si>
    <t xml:space="preserve">Specialties — Yard piping, vaults and site utilities</t>
  </si>
  <si>
    <t xml:space="preserve">Pre-Engineered Metal Building — Blower Building</t>
  </si>
  <si>
    <t xml:space="preserve">Pre-Engineered Metal Building — Existing generator, switchgear and fuel tank removal</t>
  </si>
  <si>
    <t xml:space="preserve">Pre-Engineered Metal Building — Site demolition ahead of new work</t>
  </si>
  <si>
    <t xml:space="preserve">Pre-Engineered Metal Building — Existing dewatering / treatment building</t>
  </si>
  <si>
    <t xml:space="preserve">Plumbing &amp; Process Pumps — Influent pump station and flow splitter</t>
  </si>
  <si>
    <t xml:space="preserve">Plumbing &amp; Process Pumps — Sludge pumps and valving</t>
  </si>
  <si>
    <t xml:space="preserve">Plumbing &amp; Process Pumps — Existing dewatering / treatment building</t>
  </si>
  <si>
    <t xml:space="preserve">Plumbing &amp; Process Pumps — Yard piping, vaults and site utilities</t>
  </si>
  <si>
    <t xml:space="preserve">HVAC &amp; Ventilation — Blower Building</t>
  </si>
  <si>
    <t xml:space="preserve">HVAC &amp; Ventilation — Existing dewatering / treatment building</t>
  </si>
  <si>
    <t xml:space="preserve">Electrical, Instrumentation &amp; Controls — 2W air gap water system</t>
  </si>
  <si>
    <t xml:space="preserve">Electrical, Instrumentation &amp; Controls — Blower Building</t>
  </si>
  <si>
    <t xml:space="preserve">Electrical, Instrumentation &amp; Controls — Existing generator, switchgear and fuel tank removal</t>
  </si>
  <si>
    <t xml:space="preserve">Electrical, Instrumentation &amp; Controls — Existing service equipment removal</t>
  </si>
  <si>
    <t xml:space="preserve">Electrical, Instrumentation &amp; Controls — Aerobic digester</t>
  </si>
  <si>
    <t xml:space="preserve">26-C06</t>
  </si>
  <si>
    <t xml:space="preserve">Not scheduled</t>
  </si>
  <si>
    <t xml:space="preserve">Electrical, Instrumentation &amp; Controls — Future provisions — not scheduled</t>
  </si>
  <si>
    <t xml:space="preserve">Electrical, Instrumentation &amp; Controls — Permanent standby generator</t>
  </si>
  <si>
    <t xml:space="preserve">Electrical, Instrumentation &amp; Controls — Influent pump station and flow splitter</t>
  </si>
  <si>
    <t xml:space="preserve">Electrical, Instrumentation &amp; Controls — SCADA / PLC programming</t>
  </si>
  <si>
    <t xml:space="preserve">Electrical, Instrumentation &amp; Controls — 480V service, MCC and PLC panel</t>
  </si>
  <si>
    <t xml:space="preserve">Electrical, Instrumentation &amp; Controls — Sludge pumps and valving</t>
  </si>
  <si>
    <t xml:space="preserve">Electrical, Instrumentation &amp; Controls — Temporary facilities and controls</t>
  </si>
  <si>
    <t xml:space="preserve">Electrical, Instrumentation &amp; Controls — Temporary back-up generator (rental)</t>
  </si>
  <si>
    <t xml:space="preserve">Electrical, Instrumentation &amp; Controls — Train 3</t>
  </si>
  <si>
    <t xml:space="preserve">Electrical, Instrumentation &amp; Controls — Existing dewatering / treatment building</t>
  </si>
  <si>
    <t xml:space="preserve">Electrical, Instrumentation &amp; Controls — UV chamber</t>
  </si>
  <si>
    <t xml:space="preserve">Electrical, Instrumentation &amp; Controls — UV chamber and digester</t>
  </si>
  <si>
    <t xml:space="preserve">Earthwork, Dewatering &amp; Erosion Control — Influent pump station and flow splitter</t>
  </si>
  <si>
    <t xml:space="preserve">Earthwork, Dewatering &amp; Erosion Control — Temporary facilities and controls</t>
  </si>
  <si>
    <t xml:space="preserve">Earthwork, Dewatering &amp; Erosion Control — Train 3</t>
  </si>
  <si>
    <t xml:space="preserve">Earthwork, Dewatering &amp; Erosion Control — Yard piping, vaults and site utilities</t>
  </si>
  <si>
    <t xml:space="preserve">Paving, Fencing, Walls &amp; Landscaping — Final surfacing and pavement</t>
  </si>
  <si>
    <t xml:space="preserve">Paving, Fencing, Walls &amp; Landscaping — Site finish work (fencing, walls, landscaping, bollards)</t>
  </si>
  <si>
    <t xml:space="preserve">Paving, Fencing, Walls &amp; Landscaping — Temporary facilities and controls</t>
  </si>
  <si>
    <t xml:space="preserve">Yard Piping &amp; Utilities — Blower Building</t>
  </si>
  <si>
    <t xml:space="preserve">Yard Piping &amp; Utilities — Temporary bypass and interim effluent piping</t>
  </si>
  <si>
    <t xml:space="preserve">Yard Piping &amp; Utilities — Influent pump station and flow splitter</t>
  </si>
  <si>
    <t xml:space="preserve">Yard Piping &amp; Utilities — Train 3</t>
  </si>
  <si>
    <t xml:space="preserve">Yard Piping &amp; Utilities — UV chamber and digester</t>
  </si>
  <si>
    <t xml:space="preserve">Yard Piping &amp; Utilities — Yard piping, vaults and site utilities</t>
  </si>
  <si>
    <t xml:space="preserve">Process Interconnections — UV chamber and digester</t>
  </si>
  <si>
    <t xml:space="preserve">Material Handling (Screw Conveyors) — Sludge dewatering (rotary fan press)</t>
  </si>
  <si>
    <t xml:space="preserve">Blowers &amp; 2W Plant Water System — 2W air gap water system</t>
  </si>
  <si>
    <t xml:space="preserve">Blowers &amp; 2W Plant Water System — Blower Building</t>
  </si>
  <si>
    <t xml:space="preserve">Blowers &amp; 2W Plant Water System — Sludge dewatering (rotary fan press)</t>
  </si>
  <si>
    <t xml:space="preserve">Blowers &amp; 2W Plant Water System — Aerobic digester</t>
  </si>
  <si>
    <t xml:space="preserve">Blowers &amp; 2W Plant Water System — Yard piping, vaults and site utilities</t>
  </si>
  <si>
    <t xml:space="preserve">Process Valves — Aerobic digester</t>
  </si>
  <si>
    <t xml:space="preserve">Process Valves — Influent pump station and flow splitter</t>
  </si>
  <si>
    <t xml:space="preserve">Process Valves — Sludge pumps and valving</t>
  </si>
  <si>
    <t xml:space="preserve">Treatment Equipment — Sludge dewatering (rotary fan press)</t>
  </si>
  <si>
    <t xml:space="preserve">Treatment Equipment — Influent pump station and flow splitter</t>
  </si>
  <si>
    <t xml:space="preserve">Treatment Equipment — Sludge pumps and valving</t>
  </si>
  <si>
    <t xml:space="preserve">Treatment Equipment — Train 3</t>
  </si>
  <si>
    <t xml:space="preserve">Treatment Equipment — Existing dewatering / treatment building</t>
  </si>
  <si>
    <t xml:space="preserve">Treatment Equipment — UV chamber</t>
  </si>
  <si>
    <t xml:space="preserve">Treatment Equipment — UV chamber and digester</t>
  </si>
  <si>
    <t xml:space="preserve">Treatment Equipment — Yard piping, vaults and site utilities</t>
  </si>
  <si>
    <t xml:space="preserve">01-P01</t>
  </si>
  <si>
    <t xml:space="preserve">Submittals &amp; procurement</t>
  </si>
  <si>
    <t xml:space="preserve">General Requirements &amp; Temporary Works — submittals and procurement (20 register lines)</t>
  </si>
  <si>
    <t xml:space="preserve">01-T01</t>
  </si>
  <si>
    <t xml:space="preserve">Inspection &amp; test</t>
  </si>
  <si>
    <t xml:space="preserve">General Requirements &amp; Temporary Works — inspections and tests during the work (11 ITP lines)</t>
  </si>
  <si>
    <t xml:space="preserve">02-P01</t>
  </si>
  <si>
    <t xml:space="preserve">Demolition &amp; Existing Conditions — submittals and procurement (0 register lines)</t>
  </si>
  <si>
    <t xml:space="preserve">02-T01</t>
  </si>
  <si>
    <t xml:space="preserve">Demolition &amp; Existing Conditions — inspections and tests during the work (0 ITP lines)</t>
  </si>
  <si>
    <t xml:space="preserve">03-P01</t>
  </si>
  <si>
    <t xml:space="preserve">Concrete (Cast-in-Place &amp; Precast) — submittals and procurement (8 register lines)</t>
  </si>
  <si>
    <t xml:space="preserve">03-T01</t>
  </si>
  <si>
    <t xml:space="preserve">Concrete (Cast-in-Place &amp; Precast) — inspections and tests during the work (4 ITP lines)</t>
  </si>
  <si>
    <t xml:space="preserve">05-P01</t>
  </si>
  <si>
    <t xml:space="preserve">Metals (Grating, Railings, Ladders, Stairs) — submittals and procurement (7 register lines)</t>
  </si>
  <si>
    <t xml:space="preserve">05-T01</t>
  </si>
  <si>
    <t xml:space="preserve">Metals (Grating, Railings, Ladders, Stairs) — inspections and tests during the work (1 ITP lines)</t>
  </si>
  <si>
    <t xml:space="preserve">08-P01</t>
  </si>
  <si>
    <t xml:space="preserve">Doors, Frames &amp; Hardware — submittals and procurement (3 register lines)</t>
  </si>
  <si>
    <t xml:space="preserve">08-T01</t>
  </si>
  <si>
    <t xml:space="preserve">Doors, Frames &amp; Hardware — inspections and tests during the work (2 ITP lines)</t>
  </si>
  <si>
    <t xml:space="preserve">09-P01</t>
  </si>
  <si>
    <t xml:space="preserve">Painting &amp; Coatings — submittals and procurement (4 register lines)</t>
  </si>
  <si>
    <t xml:space="preserve">09-T01</t>
  </si>
  <si>
    <t xml:space="preserve">Painting &amp; Coatings — inspections and tests during the work (3 ITP lines)</t>
  </si>
  <si>
    <t xml:space="preserve">10-P01</t>
  </si>
  <si>
    <t xml:space="preserve">Specialties — submittals and procurement (3 register lines)</t>
  </si>
  <si>
    <t xml:space="preserve">10-T01</t>
  </si>
  <si>
    <t xml:space="preserve">Specialties — inspections and tests during the work (3 ITP lines)</t>
  </si>
  <si>
    <t xml:space="preserve">13-P01</t>
  </si>
  <si>
    <t xml:space="preserve">Pre-Engineered Metal Building — submittals and procurement (5 register lines)</t>
  </si>
  <si>
    <t xml:space="preserve">13-T01</t>
  </si>
  <si>
    <t xml:space="preserve">Pre-Engineered Metal Building — inspections and tests during the work (1 ITP lines)</t>
  </si>
  <si>
    <t xml:space="preserve">22-P01</t>
  </si>
  <si>
    <t xml:space="preserve">Plumbing &amp; Process Pumps — submittals and procurement (6 register lines)</t>
  </si>
  <si>
    <t xml:space="preserve">22-T01</t>
  </si>
  <si>
    <t xml:space="preserve">Plumbing &amp; Process Pumps — inspections and tests during the work (3 ITP lines)</t>
  </si>
  <si>
    <t xml:space="preserve">23-P01</t>
  </si>
  <si>
    <t xml:space="preserve">HVAC &amp; Ventilation — submittals and procurement (1 register lines)</t>
  </si>
  <si>
    <t xml:space="preserve">23-T01</t>
  </si>
  <si>
    <t xml:space="preserve">HVAC &amp; Ventilation — inspections and tests during the work (0 ITP lines)</t>
  </si>
  <si>
    <t xml:space="preserve">26-P01</t>
  </si>
  <si>
    <t xml:space="preserve">Electrical, Instrumentation &amp; Controls — submittals and procurement (26 register lines)</t>
  </si>
  <si>
    <t xml:space="preserve">26-T01</t>
  </si>
  <si>
    <t xml:space="preserve">Electrical, Instrumentation &amp; Controls — inspections and tests during the work (23 ITP lines)</t>
  </si>
  <si>
    <t xml:space="preserve">31-P01</t>
  </si>
  <si>
    <t xml:space="preserve">Earthwork, Dewatering &amp; Erosion Control — submittals and procurement (11 register lines)</t>
  </si>
  <si>
    <t xml:space="preserve">31-T01</t>
  </si>
  <si>
    <t xml:space="preserve">Earthwork, Dewatering &amp; Erosion Control — inspections and tests during the work (9 ITP lines)</t>
  </si>
  <si>
    <t xml:space="preserve">32-P01</t>
  </si>
  <si>
    <t xml:space="preserve">Paving, Fencing, Walls &amp; Landscaping — submittals and procurement (6 register lines)</t>
  </si>
  <si>
    <t xml:space="preserve">32-T01</t>
  </si>
  <si>
    <t xml:space="preserve">Paving, Fencing, Walls &amp; Landscaping — inspections and tests during the work (2 ITP lines)</t>
  </si>
  <si>
    <t xml:space="preserve">33-P01</t>
  </si>
  <si>
    <t xml:space="preserve">Yard Piping &amp; Utilities — submittals and procurement (14 register lines)</t>
  </si>
  <si>
    <t xml:space="preserve">33-T01</t>
  </si>
  <si>
    <t xml:space="preserve">Yard Piping &amp; Utilities — inspections and tests during the work (21 ITP lines)</t>
  </si>
  <si>
    <t xml:space="preserve">40-P01</t>
  </si>
  <si>
    <t xml:space="preserve">Process Interconnections — submittals and procurement (1 register lines)</t>
  </si>
  <si>
    <t xml:space="preserve">40-T01</t>
  </si>
  <si>
    <t xml:space="preserve">Process Interconnections — inspections and tests during the work (0 ITP lines)</t>
  </si>
  <si>
    <t xml:space="preserve">41-P01</t>
  </si>
  <si>
    <t xml:space="preserve">Material Handling (Screw Conveyors) — submittals and procurement (1 register lines)</t>
  </si>
  <si>
    <t xml:space="preserve">41-T01</t>
  </si>
  <si>
    <t xml:space="preserve">Material Handling (Screw Conveyors) — inspections and tests during the work (1 ITP lines)</t>
  </si>
  <si>
    <t xml:space="preserve">43-P01</t>
  </si>
  <si>
    <t xml:space="preserve">Blowers &amp; 2W Plant Water System — submittals and procurement (3 register lines)</t>
  </si>
  <si>
    <t xml:space="preserve">43-T01</t>
  </si>
  <si>
    <t xml:space="preserve">Blowers &amp; 2W Plant Water System — inspections and tests during the work (3 ITP lines)</t>
  </si>
  <si>
    <t xml:space="preserve">45-P01</t>
  </si>
  <si>
    <t xml:space="preserve">Process Valves — submittals and procurement (3 register lines)</t>
  </si>
  <si>
    <t xml:space="preserve">45-T01</t>
  </si>
  <si>
    <t xml:space="preserve">Process Valves — inspections and tests during the work (2 ITP lines)</t>
  </si>
  <si>
    <t xml:space="preserve">46-P01</t>
  </si>
  <si>
    <t xml:space="preserve">Treatment Equipment — submittals and procurement (19 register lines)</t>
  </si>
  <si>
    <t xml:space="preserve">46-T01</t>
  </si>
  <si>
    <t xml:space="preserve">Treatment Equipment — inspections and tests during the work (13 ITP lines)</t>
  </si>
  <si>
    <t xml:space="preserve">03-S01</t>
  </si>
  <si>
    <t xml:space="preserve">Test / start-up</t>
  </si>
  <si>
    <t xml:space="preserve">Clean-water leakage test — UV chamber</t>
  </si>
  <si>
    <t xml:space="preserve">03-S02</t>
  </si>
  <si>
    <t xml:space="preserve">Clean-water leakage test — 2W wet well</t>
  </si>
  <si>
    <t xml:space="preserve">03-S03</t>
  </si>
  <si>
    <t xml:space="preserve">Clean-water leakage test — influent pump station wet well and flow splitter</t>
  </si>
  <si>
    <t xml:space="preserve">03-S04</t>
  </si>
  <si>
    <t xml:space="preserve">Clean-water leakage test — aerobic digester</t>
  </si>
  <si>
    <t xml:space="preserve">03-S05</t>
  </si>
  <si>
    <t xml:space="preserve">Clean-water leakage test — Train 3 aeration and anoxic basins and clarifier</t>
  </si>
  <si>
    <t xml:space="preserve">33-S06</t>
  </si>
  <si>
    <t xml:space="preserve">Pipe pressure testing, witnessed (48-hour notice)</t>
  </si>
  <si>
    <t xml:space="preserve">26-S07</t>
  </si>
  <si>
    <t xml:space="preserve">Temporary generator connection and automatic load transfer test (Add. 4 Clarification 5)</t>
  </si>
  <si>
    <t xml:space="preserve">26-S08</t>
  </si>
  <si>
    <t xml:space="preserve">480V service, MCC and PLC testing and energization</t>
  </si>
  <si>
    <t xml:space="preserve">26-S09</t>
  </si>
  <si>
    <t xml:space="preserve">Permanent generator load bank test, 2 hours at full load (26 32 13)</t>
  </si>
  <si>
    <t xml:space="preserve">46-S10</t>
  </si>
  <si>
    <t xml:space="preserve">UV system start-up and field testing (46 66 00: 2 days start-up, 1 day training)</t>
  </si>
  <si>
    <t xml:space="preserve">43-S11</t>
  </si>
  <si>
    <t xml:space="preserve">2W system start-up (01 91 00 ¶1.10: hold 60–90 psi, 0–50 gpm)</t>
  </si>
  <si>
    <t xml:space="preserve">22-S12</t>
  </si>
  <si>
    <t xml:space="preserve">Influent pumps and flow splitter start-up</t>
  </si>
  <si>
    <t xml:space="preserve">43-S13</t>
  </si>
  <si>
    <t xml:space="preserve">Blower start-up (01 91 00)</t>
  </si>
  <si>
    <t xml:space="preserve">46-S14</t>
  </si>
  <si>
    <t xml:space="preserve">Dewatering system start-up (01 91 00 ¶1.07.A)</t>
  </si>
  <si>
    <t xml:space="preserve">46-S15</t>
  </si>
  <si>
    <t xml:space="preserve">Train 3 start-up and seeding, 10,000 gal activated sludge</t>
  </si>
  <si>
    <t xml:space="preserve">How to use the tracker</t>
  </si>
  <si>
    <t xml:space="preserve">Edit</t>
  </si>
  <si>
    <t xml:space="preserve">Tracker Summary C3 (yellow): status date. Tracker, blue cells: Work type (drop-down), the five step dates (date, or N/A if the step does not apply), Weight, Remarks. Rules of Credit (yellow): step weights. Schedule tab (blue dates): re-plan an activity and every linked item follows.</t>
  </si>
  <si>
    <t xml:space="preserve">Do not edit</t>
  </si>
  <si>
    <t xml:space="preserve">All other Tracker columns are formulas or Ledger reference data.</t>
  </si>
  <si>
    <t xml:space="preserve">Sum of the weights of completed steps ÷ sum of the weights that apply. The submittal step drops out only when the Ledger says Submittal Req = N, the test step only when Testing/Startup Req = N; "Not stated" keeps the step, so progress is not overstated.</t>
  </si>
  <si>
    <t xml:space="preserve">Straight line from planned start to planned finish at the status date.</t>
  </si>
  <si>
    <t xml:space="preserve">Complete (100%) · Overdue (past planned finish, not complete) · Behind (earned more than 10 points below planned) · Not started (nothing earned, start still ahead) · On track (everything else).</t>
  </si>
  <si>
    <t xml:space="preserve">Sections</t>
  </si>
  <si>
    <t xml:space="preserve">Each CWP starts with a colored section row showing its item count, overdue and complete counts, planned window, and weighted planned / earned %.</t>
  </si>
  <si>
    <t xml:space="preserve">Duplicates</t>
  </si>
  <si>
    <t xml:space="preserve">Some physical items sit on more than one Ledger row (different lanes, different tags). "Also tracked as" names the other rows — update one and mark the others N/A or weight 0 until the tag crosswalk is done.</t>
  </si>
  <si>
    <t xml:space="preserve">Defaults to 1 per item (no material takeoff or estimate in this sample). Replace with hours or quantities when available.</t>
  </si>
  <si>
    <t xml:space="preserve">Example (not part of the tracker data): an Install item needing a submittal and a test</t>
  </si>
  <si>
    <t xml:space="preserve">Earned % (formula)</t>
  </si>
  <si>
    <t xml:space="preserve">→ 5 + 15 + 50 of 100 = 70% until the test and turnover dates are entered.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</si>
</sst>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42">
    <fill>
      <patternFill patternType="none"/>
    </fill>
    <fill>
      <patternFill patternType="gray125"/>
    </fill>
    <fill>
      <patternFill patternType="solid">
        <fgColor rgb="FFFFFF00"/>
        <bgColor rgb="FFFFEB9C"/>
      </patternFill>
    </fill>
    <fill>
      <patternFill patternType="solid">
        <fgColor rgb="FF1F3864"/>
        <bgColor rgb="FF3F3F9F"/>
      </patternFill>
    </fill>
    <fill>
      <patternFill patternType="solid">
        <fgColor rgb="FF595959"/>
        <bgColor rgb="FF5F6B7A"/>
      </patternFill>
    </fill>
    <fill>
      <patternFill patternType="solid">
        <fgColor rgb="FFEDEDED"/>
        <bgColor rgb="FFEEE8E2"/>
      </patternFill>
    </fill>
    <fill>
      <patternFill patternType="solid">
        <fgColor rgb="FF843C0C"/>
        <bgColor rgb="FF9C2A2A"/>
      </patternFill>
    </fill>
    <fill>
      <patternFill patternType="solid">
        <fgColor rgb="FFF4E1D2"/>
        <bgColor rgb="FFFBE4D5"/>
      </patternFill>
    </fill>
    <fill>
      <patternFill patternType="solid">
        <fgColor rgb="FF8C7B6B"/>
        <bgColor rgb="FF878787"/>
      </patternFill>
    </fill>
    <fill>
      <patternFill patternType="solid">
        <fgColor rgb="FFEEE8E2"/>
        <bgColor rgb="FFEDEDED"/>
      </patternFill>
    </fill>
    <fill>
      <patternFill patternType="solid">
        <fgColor rgb="FFDAE1EE"/>
        <bgColor rgb="FFDEDEF4"/>
      </patternFill>
    </fill>
    <fill>
      <patternFill patternType="solid">
        <fgColor rgb="FF7030A0"/>
        <bgColor rgb="FF7B2D5C"/>
      </patternFill>
    </fill>
    <fill>
      <patternFill patternType="solid">
        <fgColor rgb="FFEADCF4"/>
        <bgColor rgb="FFEFDCE7"/>
      </patternFill>
    </fill>
    <fill>
      <patternFill patternType="solid">
        <fgColor rgb="FFC00070"/>
        <bgColor rgb="FF9C0006"/>
      </patternFill>
    </fill>
    <fill>
      <patternFill patternType="solid">
        <fgColor rgb="FFF9D9EA"/>
        <bgColor rgb="FFFBDDDB"/>
      </patternFill>
    </fill>
    <fill>
      <patternFill patternType="solid">
        <fgColor rgb="FF7F7F00"/>
        <bgColor rgb="FF548235"/>
      </patternFill>
    </fill>
    <fill>
      <patternFill patternType="solid">
        <fgColor rgb="FFEFEFCC"/>
        <bgColor rgb="FFE2EFDA"/>
      </patternFill>
    </fill>
    <fill>
      <patternFill patternType="solid">
        <fgColor rgb="FF3F3F9F"/>
        <bgColor rgb="FF1F3864"/>
      </patternFill>
    </fill>
    <fill>
      <patternFill patternType="solid">
        <fgColor rgb="FFDEDEF4"/>
        <bgColor rgb="FFDAE1EE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E3E6EA"/>
      </patternFill>
    </fill>
    <fill>
      <patternFill patternType="solid">
        <fgColor rgb="FF00A0B0"/>
        <bgColor rgb="FF0E7C61"/>
      </patternFill>
    </fill>
    <fill>
      <patternFill patternType="solid">
        <fgColor rgb="FFD1F2F5"/>
        <bgColor rgb="FFD2EEE6"/>
      </patternFill>
    </fill>
    <fill>
      <patternFill patternType="solid">
        <fgColor rgb="FFBF8F00"/>
        <bgColor rgb="FF7F7F00"/>
      </patternFill>
    </fill>
    <fill>
      <patternFill patternType="solid">
        <fgColor rgb="FFFFF2CC"/>
        <bgColor rgb="FFEFEFCC"/>
      </patternFill>
    </fill>
    <fill>
      <patternFill patternType="solid">
        <fgColor rgb="FFC55A11"/>
        <bgColor rgb="FFC0504D"/>
      </patternFill>
    </fill>
    <fill>
      <patternFill patternType="solid">
        <fgColor rgb="FFFBE4D5"/>
        <bgColor rgb="FFF4E1D2"/>
      </patternFill>
    </fill>
    <fill>
      <patternFill patternType="solid">
        <fgColor rgb="FF548235"/>
        <bgColor rgb="FF7F7F00"/>
      </patternFill>
    </fill>
    <fill>
      <patternFill patternType="solid">
        <fgColor rgb="FFE2EFDA"/>
        <bgColor rgb="FFEFEFCC"/>
      </patternFill>
    </fill>
    <fill>
      <patternFill patternType="solid">
        <fgColor rgb="FF0E7C61"/>
        <bgColor rgb="FF005F73"/>
      </patternFill>
    </fill>
    <fill>
      <patternFill patternType="solid">
        <fgColor rgb="FFD2EEE6"/>
        <bgColor rgb="FFD1F2F5"/>
      </patternFill>
    </fill>
    <fill>
      <patternFill patternType="solid">
        <fgColor rgb="FF5F6B7A"/>
        <bgColor rgb="FF595959"/>
      </patternFill>
    </fill>
    <fill>
      <patternFill patternType="solid">
        <fgColor rgb="FFE3E6EA"/>
        <bgColor rgb="FFDAE1EE"/>
      </patternFill>
    </fill>
    <fill>
      <patternFill patternType="solid">
        <fgColor rgb="FF9C2A2A"/>
        <bgColor rgb="FF843C0C"/>
      </patternFill>
    </fill>
    <fill>
      <patternFill patternType="solid">
        <fgColor rgb="FFF4DADA"/>
        <bgColor rgb="FFFBDDDB"/>
      </patternFill>
    </fill>
    <fill>
      <patternFill patternType="solid">
        <fgColor rgb="FFE03C31"/>
        <bgColor rgb="FFC0504D"/>
      </patternFill>
    </fill>
    <fill>
      <patternFill patternType="solid">
        <fgColor rgb="FFFBDDDB"/>
        <bgColor rgb="FFF4DADA"/>
      </patternFill>
    </fill>
    <fill>
      <patternFill patternType="solid">
        <fgColor rgb="FF7B2D5C"/>
        <bgColor rgb="FF7030A0"/>
      </patternFill>
    </fill>
    <fill>
      <patternFill patternType="solid">
        <fgColor rgb="FFEFDCE7"/>
        <bgColor rgb="FFEADCF4"/>
      </patternFill>
    </fill>
    <fill>
      <patternFill patternType="solid">
        <fgColor rgb="FF005F73"/>
        <bgColor rgb="FF0E7C61"/>
      </patternFill>
    </fill>
    <fill>
      <patternFill patternType="solid">
        <fgColor rgb="FFCCE7EC"/>
        <bgColor rgb="FFD2EEE6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1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1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1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1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1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1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1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1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1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1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1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1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1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1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2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2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2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2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2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2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2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2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2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2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3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3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3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3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3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4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4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4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5" fillId="4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9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9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1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1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1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1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1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1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1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1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1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1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1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1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1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1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1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1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1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1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1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1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1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1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1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1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1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1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1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2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19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2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2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2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2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2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2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2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2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2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2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2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2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2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2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2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2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2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2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2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2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2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2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2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2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9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3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3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3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3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1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3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3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3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3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3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3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3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3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3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3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3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3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3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3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3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3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4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9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4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4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6">
    <dxf>
      <fill>
        <patternFill patternType="solid">
          <fgColor rgb="FF005F73"/>
          <bgColor rgb="FF000000"/>
        </patternFill>
      </fill>
    </dxf>
    <dxf>
      <fill>
        <patternFill patternType="solid">
          <fgColor rgb="FF00A0B0"/>
          <bgColor rgb="FF000000"/>
        </patternFill>
      </fill>
    </dxf>
    <dxf>
      <fill>
        <patternFill patternType="solid">
          <fgColor rgb="FF0E7C61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3F3F9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5F6B7A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7B2D5C"/>
          <bgColor rgb="FF000000"/>
        </patternFill>
      </fill>
    </dxf>
    <dxf>
      <fill>
        <patternFill patternType="solid">
          <fgColor rgb="FF7F7F00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8C7B6B"/>
          <bgColor rgb="FF000000"/>
        </patternFill>
      </fill>
    </dxf>
    <dxf>
      <fill>
        <patternFill patternType="solid">
          <fgColor rgb="FF9C2A2A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7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CCE7EC"/>
          <bgColor rgb="FF000000"/>
        </patternFill>
      </fill>
    </dxf>
    <dxf>
      <fill>
        <patternFill patternType="solid">
          <fgColor rgb="FFD1F2F5"/>
          <bgColor rgb="FF000000"/>
        </patternFill>
      </fill>
    </dxf>
    <dxf>
      <fill>
        <patternFill patternType="solid">
          <fgColor rgb="FFD2EEE6"/>
          <bgColor rgb="FF000000"/>
        </patternFill>
      </fill>
    </dxf>
    <dxf>
      <fill>
        <patternFill patternType="solid">
          <fgColor rgb="FFDAE1E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DEDEF4"/>
          <bgColor rgb="FF000000"/>
        </patternFill>
      </fill>
    </dxf>
    <dxf>
      <fill>
        <patternFill patternType="solid">
          <fgColor rgb="FFE03C3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3E6EA"/>
          <bgColor rgb="FF000000"/>
        </patternFill>
      </fill>
    </dxf>
    <dxf>
      <fill>
        <patternFill patternType="solid">
          <fgColor rgb="FFEADCF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EEE8E2"/>
          <bgColor rgb="FF000000"/>
        </patternFill>
      </fill>
    </dxf>
    <dxf>
      <fill>
        <patternFill patternType="solid">
          <fgColor rgb="FFEFDCE7"/>
          <bgColor rgb="FF000000"/>
        </patternFill>
      </fill>
    </dxf>
    <dxf>
      <fill>
        <patternFill patternType="solid">
          <fgColor rgb="FFEFEFCC"/>
          <bgColor rgb="FF000000"/>
        </patternFill>
      </fill>
    </dxf>
    <dxf>
      <fill>
        <patternFill patternType="solid">
          <fgColor rgb="FFF4DADA"/>
          <bgColor rgb="FF000000"/>
        </patternFill>
      </fill>
    </dxf>
    <dxf>
      <fill>
        <patternFill patternType="solid">
          <fgColor rgb="FFF4E1D2"/>
          <bgColor rgb="FF000000"/>
        </patternFill>
      </fill>
    </dxf>
    <dxf>
      <fill>
        <patternFill patternType="solid">
          <fgColor rgb="FFF9D9EA"/>
          <bgColor rgb="FF000000"/>
        </patternFill>
      </fill>
    </dxf>
    <dxf>
      <fill>
        <patternFill patternType="solid">
          <fgColor rgb="FFFBDDDB"/>
          <bgColor rgb="FF000000"/>
        </patternFill>
      </fill>
    </dxf>
    <dxf>
      <fill>
        <patternFill patternType="solid">
          <fgColor rgb="FFFBE4D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E2EFDA"/>
        </patternFill>
      </fill>
    </dxf>
  </dxfs>
  <colors>
    <indexedColors>
      <rgbColor rgb="FF000000"/>
      <rgbColor rgb="FFFFFFFF"/>
      <rgbColor rgb="FFE03C31"/>
      <rgbColor rgb="FFEEE8E2"/>
      <rgbColor rgb="FF0000FF"/>
      <rgbColor rgb="FFFFFF00"/>
      <rgbColor rgb="FFF4DADA"/>
      <rgbColor rgb="FFE3E6EA"/>
      <rgbColor rgb="FF9C0006"/>
      <rgbColor rgb="FF006100"/>
      <rgbColor rgb="FFF9F9F9"/>
      <rgbColor rgb="FF7F7F00"/>
      <rgbColor rgb="FFC00070"/>
      <rgbColor rgb="FF0E7C61"/>
      <rgbColor rgb="FFBFBFBF"/>
      <rgbColor rgb="FF878787"/>
      <rgbColor rgb="FFDAE1EE"/>
      <rgbColor rgb="FF7B2D5C"/>
      <rgbColor rgb="FFFFF2CC"/>
      <rgbColor rgb="FFD1F2F5"/>
      <rgbColor rgb="FFEADCF4"/>
      <rgbColor rgb="FFC0504D"/>
      <rgbColor rgb="FF4F81BD"/>
      <rgbColor rgb="FFDEDEF4"/>
      <rgbColor rgb="FF000080"/>
      <rgbColor rgb="FFEFDCE7"/>
      <rgbColor rgb="FFEFEFCC"/>
      <rgbColor rgb="FFEDEDED"/>
      <rgbColor rgb="FF7030A0"/>
      <rgbColor rgb="FF9C5700"/>
      <rgbColor rgb="FF005F73"/>
      <rgbColor rgb="FFFBE4D5"/>
      <rgbColor rgb="FF00A0B0"/>
      <rgbColor rgb="FFD2EEE6"/>
      <rgbColor rgb="FFC6EFCE"/>
      <rgbColor rgb="FFFFEB9C"/>
      <rgbColor rgb="FFCCE7EC"/>
      <rgbColor rgb="FFF9D9EA"/>
      <rgbColor rgb="FFD9D9D9"/>
      <rgbColor rgb="FFFFC7CE"/>
      <rgbColor rgb="FF2E75B6"/>
      <rgbColor rgb="FFDDEBF7"/>
      <rgbColor rgb="FFE2EFDA"/>
      <rgbColor rgb="FFF4E1D2"/>
      <rgbColor rgb="FFBF8F00"/>
      <rgbColor rgb="FFC55A11"/>
      <rgbColor rgb="FF5F6B7A"/>
      <rgbColor rgb="FF8C7B6B"/>
      <rgbColor rgb="FF1F3864"/>
      <rgbColor rgb="FF548235"/>
      <rgbColor rgb="FFFBDDDB"/>
      <rgbColor rgb="FF595959"/>
      <rgbColor rgb="FF843C0C"/>
      <rgbColor rgb="FF9C2A2A"/>
      <rgbColor rgb="FF3F3F9F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vs earned by CWP (at status date)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'Tracker Summary'!E5</c:f>
              <c:strCache>
                <c:ptCount val="1"/>
                <c:pt idx="0">
                  <c:v>Planned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'Tracker Summary'!$A$6:$A$24</c:f>
              <c:strCache>
                <c:ptCount val="19"/>
                <c:pt idx="0">
                  <c:v>CWP 01</c:v>
                </c:pt>
                <c:pt idx="1">
                  <c:v>CWP 02</c:v>
                </c:pt>
                <c:pt idx="2">
                  <c:v>CWP 03</c:v>
                </c:pt>
                <c:pt idx="3">
                  <c:v>CWP 05</c:v>
                </c:pt>
                <c:pt idx="4">
                  <c:v>CWP 08</c:v>
                </c:pt>
                <c:pt idx="5">
                  <c:v>CWP 09</c:v>
                </c:pt>
                <c:pt idx="6">
                  <c:v>CWP 10</c:v>
                </c:pt>
                <c:pt idx="7">
                  <c:v>CWP 13</c:v>
                </c:pt>
                <c:pt idx="8">
                  <c:v>CWP 22</c:v>
                </c:pt>
                <c:pt idx="9">
                  <c:v>CWP 23</c:v>
                </c:pt>
                <c:pt idx="10">
                  <c:v>CWP 26</c:v>
                </c:pt>
                <c:pt idx="11">
                  <c:v>CWP 31</c:v>
                </c:pt>
                <c:pt idx="12">
                  <c:v>CWP 32</c:v>
                </c:pt>
                <c:pt idx="13">
                  <c:v>CWP 33</c:v>
                </c:pt>
                <c:pt idx="14">
                  <c:v>CWP 40</c:v>
                </c:pt>
                <c:pt idx="15">
                  <c:v>CWP 41</c:v>
                </c:pt>
                <c:pt idx="16">
                  <c:v>CWP 43</c:v>
                </c:pt>
                <c:pt idx="17">
                  <c:v>CWP 45</c:v>
                </c:pt>
                <c:pt idx="18">
                  <c:v>CWP 46</c:v>
                </c:pt>
              </c:strCache>
            </c:strRef>
          </c:cat>
          <c:val>
            <c:numRef>
              <c:f>'Tracker Summary'!$E$6:$E$24</c:f>
              <c:numCache>
                <c:formatCode>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ser>
          <c:idx val="1"/>
          <c:order val="1"/>
          <c:tx>
            <c:strRef>
              <c:f>'Tracker Summary'!F5</c:f>
              <c:strCache>
                <c:ptCount val="1"/>
                <c:pt idx="0">
                  <c:v>Earned 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'Tracker Summary'!$A$6:$A$24</c:f>
              <c:strCache>
                <c:ptCount val="19"/>
                <c:pt idx="0">
                  <c:v>CWP 01</c:v>
                </c:pt>
                <c:pt idx="1">
                  <c:v>CWP 02</c:v>
                </c:pt>
                <c:pt idx="2">
                  <c:v>CWP 03</c:v>
                </c:pt>
                <c:pt idx="3">
                  <c:v>CWP 05</c:v>
                </c:pt>
                <c:pt idx="4">
                  <c:v>CWP 08</c:v>
                </c:pt>
                <c:pt idx="5">
                  <c:v>CWP 09</c:v>
                </c:pt>
                <c:pt idx="6">
                  <c:v>CWP 10</c:v>
                </c:pt>
                <c:pt idx="7">
                  <c:v>CWP 13</c:v>
                </c:pt>
                <c:pt idx="8">
                  <c:v>CWP 22</c:v>
                </c:pt>
                <c:pt idx="9">
                  <c:v>CWP 23</c:v>
                </c:pt>
                <c:pt idx="10">
                  <c:v>CWP 26</c:v>
                </c:pt>
                <c:pt idx="11">
                  <c:v>CWP 31</c:v>
                </c:pt>
                <c:pt idx="12">
                  <c:v>CWP 32</c:v>
                </c:pt>
                <c:pt idx="13">
                  <c:v>CWP 33</c:v>
                </c:pt>
                <c:pt idx="14">
                  <c:v>CWP 40</c:v>
                </c:pt>
                <c:pt idx="15">
                  <c:v>CWP 41</c:v>
                </c:pt>
                <c:pt idx="16">
                  <c:v>CWP 43</c:v>
                </c:pt>
                <c:pt idx="17">
                  <c:v>CWP 45</c:v>
                </c:pt>
                <c:pt idx="18">
                  <c:v>CWP 46</c:v>
                </c:pt>
              </c:strCache>
            </c:strRef>
          </c:cat>
          <c:val>
            <c:numRef>
              <c:f>'Tracker Summary'!$F$6:$F$24</c:f>
              <c:numCache>
                <c:formatCode>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gapWidth val="150"/>
        <c:overlap val="0"/>
        <c:axId val="35313934"/>
        <c:axId val="65448762"/>
      </c:barChart>
      <c:catAx>
        <c:axId val="353139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48762"/>
        <c:crosses val="autoZero"/>
        <c:auto val="1"/>
        <c:lblAlgn val="ctr"/>
        <c:lblOffset val="100"/>
        <c:noMultiLvlLbl val="0"/>
      </c:catAx>
      <c:valAx>
        <c:axId val="6544876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139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63720</xdr:rowOff>
    </xdr:from>
    <xdr:to>
      <xdr:col>7</xdr:col>
      <xdr:colOff>417960</xdr:colOff>
      <xdr:row>49</xdr:row>
      <xdr:rowOff>1800</xdr:rowOff>
    </xdr:to>
    <xdr:graphicFrame>
      <xdr:nvGraphicFramePr>
        <xdr:cNvPr id="0" name="Chart 1"/>
        <xdr:cNvGraphicFramePr/>
      </xdr:nvGraphicFramePr>
      <xdr:xfrm>
        <a:off x="634320" y="51436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4" min="3" style="0" width="8"/>
    <col collapsed="false" customWidth="true" hidden="false" outlineLevel="0" max="7" min="5" style="0" width="1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4" min="13" style="0" width="1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3" t="n">
        <v>45000</v>
      </c>
      <c r="D3" s="4" t="s">
        <v>2</v>
      </c>
    </row>
    <row r="5" customFormat="false" ht="23.8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customFormat="false" ht="15" hidden="false" customHeight="false" outlineLevel="0" collapsed="false">
      <c r="A6" s="6" t="s">
        <v>17</v>
      </c>
      <c r="B6" s="7" t="s">
        <v>18</v>
      </c>
      <c r="C6" s="7" t="n">
        <f aca="false">COUNTIFS(Tracker!$A$5:$A$467,"Item",Tracker!$B$5:$B$467,$A6)</f>
        <v>12</v>
      </c>
      <c r="D6" s="7" t="n">
        <f aca="false">SUMIFS(Tracker!$O$5:$O$467,Tracker!$A$5:$A$467,"Item",Tracker!$B$5:$B$467,$A6)</f>
        <v>12</v>
      </c>
      <c r="E6" s="8" t="n">
        <f aca="false">IFERROR(SUMPRODUCT((Tracker!$A$5:$A$467="Item")*(Tracker!$B$5:$B$467=$A6)*Tracker!$O$5:$O$467*Tracker!$Q$5:$Q$467)/D6,0)</f>
        <v>0</v>
      </c>
      <c r="F6" s="8" t="n">
        <f aca="false">IFERROR(SUMPRODUCT((Tracker!$A$5:$A$467="Item")*(Tracker!$B$5:$B$467=$A6)*Tracker!$O$5:$O$467*Tracker!$P$5:$P$467)/D6,0)</f>
        <v>0</v>
      </c>
      <c r="G6" s="8" t="n">
        <f aca="false">F6-E6</f>
        <v>0</v>
      </c>
      <c r="H6" s="7" t="n">
        <f aca="false">COUNTIFS(Tracker!$A$5:$A$467,"Item",Tracker!$B$5:$B$467,$A6,Tracker!$S$5:$S$467,"Not started")</f>
        <v>4</v>
      </c>
      <c r="I6" s="7" t="n">
        <f aca="false">COUNTIFS(Tracker!$A$5:$A$467,"Item",Tracker!$B$5:$B$467,$A6,Tracker!$S$5:$S$467,"On track")</f>
        <v>8</v>
      </c>
      <c r="J6" s="7" t="n">
        <f aca="false">COUNTIFS(Tracker!$A$5:$A$467,"Item",Tracker!$B$5:$B$467,$A6,Tracker!$S$5:$S$467,"Behind")</f>
        <v>0</v>
      </c>
      <c r="K6" s="7" t="n">
        <f aca="false">COUNTIFS(Tracker!$A$5:$A$467,"Item",Tracker!$B$5:$B$467,$A6,Tracker!$S$5:$S$467,"Overdue")</f>
        <v>0</v>
      </c>
      <c r="L6" s="7" t="n">
        <f aca="false">COUNTIFS(Tracker!$A$5:$A$467,"Item",Tracker!$B$5:$B$467,$A6,Tracker!$S$5:$S$467,"Complete")</f>
        <v>0</v>
      </c>
      <c r="M6" s="9" t="n">
        <f aca="false">_xlfn.MINIFS(Tracker!$H$5:$H$467,Tracker!$A$5:$A$467,"Item",Tracker!$B$5:$B$467,$A6)</f>
        <v>45000</v>
      </c>
      <c r="N6" s="9" t="n">
        <f aca="false">_xlfn.MAXIFS(Tracker!$I$5:$I$467,Tracker!$A$5:$A$467,"Item",Tracker!$B$5:$B$467,$A6)</f>
        <v>45581</v>
      </c>
    </row>
    <row r="7" customFormat="false" ht="15" hidden="false" customHeight="false" outlineLevel="0" collapsed="false">
      <c r="A7" s="10" t="s">
        <v>19</v>
      </c>
      <c r="B7" s="11" t="s">
        <v>20</v>
      </c>
      <c r="C7" s="11" t="n">
        <f aca="false">COUNTIFS(Tracker!$A$5:$A$467,"Item",Tracker!$B$5:$B$467,$A7)</f>
        <v>21</v>
      </c>
      <c r="D7" s="11" t="n">
        <f aca="false">SUMIFS(Tracker!$O$5:$O$467,Tracker!$A$5:$A$467,"Item",Tracker!$B$5:$B$467,$A7)</f>
        <v>21</v>
      </c>
      <c r="E7" s="12" t="n">
        <f aca="false">IFERROR(SUMPRODUCT((Tracker!$A$5:$A$467="Item")*(Tracker!$B$5:$B$467=$A7)*Tracker!$O$5:$O$467*Tracker!$Q$5:$Q$467)/D7,0)</f>
        <v>0</v>
      </c>
      <c r="F7" s="12" t="n">
        <f aca="false">IFERROR(SUMPRODUCT((Tracker!$A$5:$A$467="Item")*(Tracker!$B$5:$B$467=$A7)*Tracker!$O$5:$O$467*Tracker!$P$5:$P$467)/D7,0)</f>
        <v>0</v>
      </c>
      <c r="G7" s="12" t="n">
        <f aca="false">F7-E7</f>
        <v>0</v>
      </c>
      <c r="H7" s="11" t="n">
        <f aca="false">COUNTIFS(Tracker!$A$5:$A$467,"Item",Tracker!$B$5:$B$467,$A7,Tracker!$S$5:$S$467,"Not started")</f>
        <v>21</v>
      </c>
      <c r="I7" s="11" t="n">
        <f aca="false">COUNTIFS(Tracker!$A$5:$A$467,"Item",Tracker!$B$5:$B$467,$A7,Tracker!$S$5:$S$467,"On track")</f>
        <v>0</v>
      </c>
      <c r="J7" s="11" t="n">
        <f aca="false">COUNTIFS(Tracker!$A$5:$A$467,"Item",Tracker!$B$5:$B$467,$A7,Tracker!$S$5:$S$467,"Behind")</f>
        <v>0</v>
      </c>
      <c r="K7" s="11" t="n">
        <f aca="false">COUNTIFS(Tracker!$A$5:$A$467,"Item",Tracker!$B$5:$B$467,$A7,Tracker!$S$5:$S$467,"Overdue")</f>
        <v>0</v>
      </c>
      <c r="L7" s="11" t="n">
        <f aca="false">COUNTIFS(Tracker!$A$5:$A$467,"Item",Tracker!$B$5:$B$467,$A7,Tracker!$S$5:$S$467,"Complete")</f>
        <v>0</v>
      </c>
      <c r="M7" s="13" t="n">
        <f aca="false">_xlfn.MINIFS(Tracker!$H$5:$H$467,Tracker!$A$5:$A$467,"Item",Tracker!$B$5:$B$467,$A7)</f>
        <v>45017</v>
      </c>
      <c r="N7" s="13" t="n">
        <f aca="false">_xlfn.MAXIFS(Tracker!$I$5:$I$467,Tracker!$A$5:$A$467,"Item",Tracker!$B$5:$B$467,$A7)</f>
        <v>45443</v>
      </c>
    </row>
    <row r="8" customFormat="false" ht="15" hidden="false" customHeight="false" outlineLevel="0" collapsed="false">
      <c r="A8" s="14" t="s">
        <v>21</v>
      </c>
      <c r="B8" s="15" t="s">
        <v>22</v>
      </c>
      <c r="C8" s="15" t="n">
        <f aca="false">COUNTIFS(Tracker!$A$5:$A$467,"Item",Tracker!$B$5:$B$467,$A8)</f>
        <v>30</v>
      </c>
      <c r="D8" s="15" t="n">
        <f aca="false">SUMIFS(Tracker!$O$5:$O$467,Tracker!$A$5:$A$467,"Item",Tracker!$B$5:$B$467,$A8)</f>
        <v>30</v>
      </c>
      <c r="E8" s="16" t="n">
        <f aca="false">IFERROR(SUMPRODUCT((Tracker!$A$5:$A$467="Item")*(Tracker!$B$5:$B$467=$A8)*Tracker!$O$5:$O$467*Tracker!$Q$5:$Q$467)/D8,0)</f>
        <v>0</v>
      </c>
      <c r="F8" s="16" t="n">
        <f aca="false">IFERROR(SUMPRODUCT((Tracker!$A$5:$A$467="Item")*(Tracker!$B$5:$B$467=$A8)*Tracker!$O$5:$O$467*Tracker!$P$5:$P$467)/D8,0)</f>
        <v>0</v>
      </c>
      <c r="G8" s="16" t="n">
        <f aca="false">F8-E8</f>
        <v>0</v>
      </c>
      <c r="H8" s="15" t="n">
        <f aca="false">COUNTIFS(Tracker!$A$5:$A$467,"Item",Tracker!$B$5:$B$467,$A8,Tracker!$S$5:$S$467,"Not started")</f>
        <v>30</v>
      </c>
      <c r="I8" s="15" t="n">
        <f aca="false">COUNTIFS(Tracker!$A$5:$A$467,"Item",Tracker!$B$5:$B$467,$A8,Tracker!$S$5:$S$467,"On track")</f>
        <v>0</v>
      </c>
      <c r="J8" s="15" t="n">
        <f aca="false">COUNTIFS(Tracker!$A$5:$A$467,"Item",Tracker!$B$5:$B$467,$A8,Tracker!$S$5:$S$467,"Behind")</f>
        <v>0</v>
      </c>
      <c r="K8" s="15" t="n">
        <f aca="false">COUNTIFS(Tracker!$A$5:$A$467,"Item",Tracker!$B$5:$B$467,$A8,Tracker!$S$5:$S$467,"Overdue")</f>
        <v>0</v>
      </c>
      <c r="L8" s="15" t="n">
        <f aca="false">COUNTIFS(Tracker!$A$5:$A$467,"Item",Tracker!$B$5:$B$467,$A8,Tracker!$S$5:$S$467,"Complete")</f>
        <v>0</v>
      </c>
      <c r="M8" s="17" t="n">
        <f aca="false">_xlfn.MINIFS(Tracker!$H$5:$H$467,Tracker!$A$5:$A$467,"Item",Tracker!$B$5:$B$467,$A8)</f>
        <v>45017</v>
      </c>
      <c r="N8" s="17" t="n">
        <f aca="false">_xlfn.MAXIFS(Tracker!$I$5:$I$467,Tracker!$A$5:$A$467,"Item",Tracker!$B$5:$B$467,$A8)</f>
        <v>45481</v>
      </c>
    </row>
    <row r="9" customFormat="false" ht="15" hidden="false" customHeight="false" outlineLevel="0" collapsed="false">
      <c r="A9" s="18" t="s">
        <v>23</v>
      </c>
      <c r="B9" s="19" t="s">
        <v>24</v>
      </c>
      <c r="C9" s="19" t="n">
        <f aca="false">COUNTIFS(Tracker!$A$5:$A$467,"Item",Tracker!$B$5:$B$467,$A9)</f>
        <v>6</v>
      </c>
      <c r="D9" s="19" t="n">
        <f aca="false">SUMIFS(Tracker!$O$5:$O$467,Tracker!$A$5:$A$467,"Item",Tracker!$B$5:$B$467,$A9)</f>
        <v>6</v>
      </c>
      <c r="E9" s="20" t="n">
        <f aca="false">IFERROR(SUMPRODUCT((Tracker!$A$5:$A$467="Item")*(Tracker!$B$5:$B$467=$A9)*Tracker!$O$5:$O$467*Tracker!$Q$5:$Q$467)/D9,0)</f>
        <v>0</v>
      </c>
      <c r="F9" s="20" t="n">
        <f aca="false">IFERROR(SUMPRODUCT((Tracker!$A$5:$A$467="Item")*(Tracker!$B$5:$B$467=$A9)*Tracker!$O$5:$O$467*Tracker!$P$5:$P$467)/D9,0)</f>
        <v>0</v>
      </c>
      <c r="G9" s="20" t="n">
        <f aca="false">F9-E9</f>
        <v>0</v>
      </c>
      <c r="H9" s="19" t="n">
        <f aca="false">COUNTIFS(Tracker!$A$5:$A$467,"Item",Tracker!$B$5:$B$467,$A9,Tracker!$S$5:$S$467,"Not started")</f>
        <v>6</v>
      </c>
      <c r="I9" s="19" t="n">
        <f aca="false">COUNTIFS(Tracker!$A$5:$A$467,"Item",Tracker!$B$5:$B$467,$A9,Tracker!$S$5:$S$467,"On track")</f>
        <v>0</v>
      </c>
      <c r="J9" s="19" t="n">
        <f aca="false">COUNTIFS(Tracker!$A$5:$A$467,"Item",Tracker!$B$5:$B$467,$A9,Tracker!$S$5:$S$467,"Behind")</f>
        <v>0</v>
      </c>
      <c r="K9" s="19" t="n">
        <f aca="false">COUNTIFS(Tracker!$A$5:$A$467,"Item",Tracker!$B$5:$B$467,$A9,Tracker!$S$5:$S$467,"Overdue")</f>
        <v>0</v>
      </c>
      <c r="L9" s="19" t="n">
        <f aca="false">COUNTIFS(Tracker!$A$5:$A$467,"Item",Tracker!$B$5:$B$467,$A9,Tracker!$S$5:$S$467,"Complete")</f>
        <v>0</v>
      </c>
      <c r="M9" s="21" t="n">
        <f aca="false">_xlfn.MINIFS(Tracker!$H$5:$H$467,Tracker!$A$5:$A$467,"Item",Tracker!$B$5:$B$467,$A9)</f>
        <v>45017</v>
      </c>
      <c r="N9" s="21" t="n">
        <f aca="false">_xlfn.MAXIFS(Tracker!$I$5:$I$467,Tracker!$A$5:$A$467,"Item",Tracker!$B$5:$B$467,$A9)</f>
        <v>45481</v>
      </c>
    </row>
    <row r="10" customFormat="false" ht="15" hidden="false" customHeight="false" outlineLevel="0" collapsed="false">
      <c r="A10" s="22" t="s">
        <v>25</v>
      </c>
      <c r="B10" s="23" t="s">
        <v>26</v>
      </c>
      <c r="C10" s="23" t="n">
        <f aca="false">COUNTIFS(Tracker!$A$5:$A$467,"Item",Tracker!$B$5:$B$467,$A10)</f>
        <v>4</v>
      </c>
      <c r="D10" s="23" t="n">
        <f aca="false">SUMIFS(Tracker!$O$5:$O$467,Tracker!$A$5:$A$467,"Item",Tracker!$B$5:$B$467,$A10)</f>
        <v>4</v>
      </c>
      <c r="E10" s="24" t="n">
        <f aca="false">IFERROR(SUMPRODUCT((Tracker!$A$5:$A$467="Item")*(Tracker!$B$5:$B$467=$A10)*Tracker!$O$5:$O$467*Tracker!$Q$5:$Q$467)/D10,0)</f>
        <v>0</v>
      </c>
      <c r="F10" s="24" t="n">
        <f aca="false">IFERROR(SUMPRODUCT((Tracker!$A$5:$A$467="Item")*(Tracker!$B$5:$B$467=$A10)*Tracker!$O$5:$O$467*Tracker!$P$5:$P$467)/D10,0)</f>
        <v>0</v>
      </c>
      <c r="G10" s="24" t="n">
        <f aca="false">F10-E10</f>
        <v>0</v>
      </c>
      <c r="H10" s="23" t="n">
        <f aca="false">COUNTIFS(Tracker!$A$5:$A$467,"Item",Tracker!$B$5:$B$467,$A10,Tracker!$S$5:$S$467,"Not started")</f>
        <v>4</v>
      </c>
      <c r="I10" s="23" t="n">
        <f aca="false">COUNTIFS(Tracker!$A$5:$A$467,"Item",Tracker!$B$5:$B$467,$A10,Tracker!$S$5:$S$467,"On track")</f>
        <v>0</v>
      </c>
      <c r="J10" s="23" t="n">
        <f aca="false">COUNTIFS(Tracker!$A$5:$A$467,"Item",Tracker!$B$5:$B$467,$A10,Tracker!$S$5:$S$467,"Behind")</f>
        <v>0</v>
      </c>
      <c r="K10" s="23" t="n">
        <f aca="false">COUNTIFS(Tracker!$A$5:$A$467,"Item",Tracker!$B$5:$B$467,$A10,Tracker!$S$5:$S$467,"Overdue")</f>
        <v>0</v>
      </c>
      <c r="L10" s="23" t="n">
        <f aca="false">COUNTIFS(Tracker!$A$5:$A$467,"Item",Tracker!$B$5:$B$467,$A10,Tracker!$S$5:$S$467,"Complete")</f>
        <v>0</v>
      </c>
      <c r="M10" s="25" t="n">
        <f aca="false">_xlfn.MINIFS(Tracker!$H$5:$H$467,Tracker!$A$5:$A$467,"Item",Tracker!$B$5:$B$467,$A10)</f>
        <v>45017</v>
      </c>
      <c r="N10" s="25" t="n">
        <f aca="false">_xlfn.MAXIFS(Tracker!$I$5:$I$467,Tracker!$A$5:$A$467,"Item",Tracker!$B$5:$B$467,$A10)</f>
        <v>45138</v>
      </c>
    </row>
    <row r="11" customFormat="false" ht="15" hidden="false" customHeight="false" outlineLevel="0" collapsed="false">
      <c r="A11" s="26" t="s">
        <v>27</v>
      </c>
      <c r="B11" s="27" t="s">
        <v>28</v>
      </c>
      <c r="C11" s="27" t="n">
        <f aca="false">COUNTIFS(Tracker!$A$5:$A$467,"Item",Tracker!$B$5:$B$467,$A11)</f>
        <v>1</v>
      </c>
      <c r="D11" s="27" t="n">
        <f aca="false">SUMIFS(Tracker!$O$5:$O$467,Tracker!$A$5:$A$467,"Item",Tracker!$B$5:$B$467,$A11)</f>
        <v>1</v>
      </c>
      <c r="E11" s="28" t="n">
        <f aca="false">IFERROR(SUMPRODUCT((Tracker!$A$5:$A$467="Item")*(Tracker!$B$5:$B$467=$A11)*Tracker!$O$5:$O$467*Tracker!$Q$5:$Q$467)/D11,0)</f>
        <v>0</v>
      </c>
      <c r="F11" s="28" t="n">
        <f aca="false">IFERROR(SUMPRODUCT((Tracker!$A$5:$A$467="Item")*(Tracker!$B$5:$B$467=$A11)*Tracker!$O$5:$O$467*Tracker!$P$5:$P$467)/D11,0)</f>
        <v>0</v>
      </c>
      <c r="G11" s="28" t="n">
        <f aca="false">F11-E11</f>
        <v>0</v>
      </c>
      <c r="H11" s="27" t="n">
        <f aca="false">COUNTIFS(Tracker!$A$5:$A$467,"Item",Tracker!$B$5:$B$467,$A11,Tracker!$S$5:$S$467,"Not started")</f>
        <v>1</v>
      </c>
      <c r="I11" s="27" t="n">
        <f aca="false">COUNTIFS(Tracker!$A$5:$A$467,"Item",Tracker!$B$5:$B$467,$A11,Tracker!$S$5:$S$467,"On track")</f>
        <v>0</v>
      </c>
      <c r="J11" s="27" t="n">
        <f aca="false">COUNTIFS(Tracker!$A$5:$A$467,"Item",Tracker!$B$5:$B$467,$A11,Tracker!$S$5:$S$467,"Behind")</f>
        <v>0</v>
      </c>
      <c r="K11" s="27" t="n">
        <f aca="false">COUNTIFS(Tracker!$A$5:$A$467,"Item",Tracker!$B$5:$B$467,$A11,Tracker!$S$5:$S$467,"Overdue")</f>
        <v>0</v>
      </c>
      <c r="L11" s="27" t="n">
        <f aca="false">COUNTIFS(Tracker!$A$5:$A$467,"Item",Tracker!$B$5:$B$467,$A11,Tracker!$S$5:$S$467,"Complete")</f>
        <v>0</v>
      </c>
      <c r="M11" s="29" t="n">
        <f aca="false">_xlfn.MINIFS(Tracker!$H$5:$H$467,Tracker!$A$5:$A$467,"Item",Tracker!$B$5:$B$467,$A11)</f>
        <v>45078</v>
      </c>
      <c r="N11" s="29" t="n">
        <f aca="false">_xlfn.MAXIFS(Tracker!$I$5:$I$467,Tracker!$A$5:$A$467,"Item",Tracker!$B$5:$B$467,$A11)</f>
        <v>45224</v>
      </c>
    </row>
    <row r="12" customFormat="false" ht="15" hidden="false" customHeight="false" outlineLevel="0" collapsed="false">
      <c r="A12" s="30" t="s">
        <v>29</v>
      </c>
      <c r="B12" s="31" t="s">
        <v>30</v>
      </c>
      <c r="C12" s="31" t="n">
        <f aca="false">COUNTIFS(Tracker!$A$5:$A$467,"Item",Tracker!$B$5:$B$467,$A12)</f>
        <v>3</v>
      </c>
      <c r="D12" s="31" t="n">
        <f aca="false">SUMIFS(Tracker!$O$5:$O$467,Tracker!$A$5:$A$467,"Item",Tracker!$B$5:$B$467,$A12)</f>
        <v>3</v>
      </c>
      <c r="E12" s="32" t="n">
        <f aca="false">IFERROR(SUMPRODUCT((Tracker!$A$5:$A$467="Item")*(Tracker!$B$5:$B$467=$A12)*Tracker!$O$5:$O$467*Tracker!$Q$5:$Q$467)/D12,0)</f>
        <v>0</v>
      </c>
      <c r="F12" s="32" t="n">
        <f aca="false">IFERROR(SUMPRODUCT((Tracker!$A$5:$A$467="Item")*(Tracker!$B$5:$B$467=$A12)*Tracker!$O$5:$O$467*Tracker!$P$5:$P$467)/D12,0)</f>
        <v>0</v>
      </c>
      <c r="G12" s="32" t="n">
        <f aca="false">F12-E12</f>
        <v>0</v>
      </c>
      <c r="H12" s="31" t="n">
        <f aca="false">COUNTIFS(Tracker!$A$5:$A$467,"Item",Tracker!$B$5:$B$467,$A12,Tracker!$S$5:$S$467,"Not started")</f>
        <v>3</v>
      </c>
      <c r="I12" s="31" t="n">
        <f aca="false">COUNTIFS(Tracker!$A$5:$A$467,"Item",Tracker!$B$5:$B$467,$A12,Tracker!$S$5:$S$467,"On track")</f>
        <v>0</v>
      </c>
      <c r="J12" s="31" t="n">
        <f aca="false">COUNTIFS(Tracker!$A$5:$A$467,"Item",Tracker!$B$5:$B$467,$A12,Tracker!$S$5:$S$467,"Behind")</f>
        <v>0</v>
      </c>
      <c r="K12" s="31" t="n">
        <f aca="false">COUNTIFS(Tracker!$A$5:$A$467,"Item",Tracker!$B$5:$B$467,$A12,Tracker!$S$5:$S$467,"Overdue")</f>
        <v>0</v>
      </c>
      <c r="L12" s="31" t="n">
        <f aca="false">COUNTIFS(Tracker!$A$5:$A$467,"Item",Tracker!$B$5:$B$467,$A12,Tracker!$S$5:$S$467,"Complete")</f>
        <v>0</v>
      </c>
      <c r="M12" s="33" t="n">
        <f aca="false">_xlfn.MINIFS(Tracker!$H$5:$H$467,Tracker!$A$5:$A$467,"Item",Tracker!$B$5:$B$467,$A12)</f>
        <v>45017</v>
      </c>
      <c r="N12" s="33" t="n">
        <f aca="false">_xlfn.MAXIFS(Tracker!$I$5:$I$467,Tracker!$A$5:$A$467,"Item",Tracker!$B$5:$B$467,$A12)</f>
        <v>45481</v>
      </c>
    </row>
    <row r="13" customFormat="false" ht="15" hidden="false" customHeight="false" outlineLevel="0" collapsed="false">
      <c r="A13" s="34" t="s">
        <v>31</v>
      </c>
      <c r="B13" s="35" t="s">
        <v>32</v>
      </c>
      <c r="C13" s="35" t="n">
        <f aca="false">COUNTIFS(Tracker!$A$5:$A$467,"Item",Tracker!$B$5:$B$467,$A13)</f>
        <v>7</v>
      </c>
      <c r="D13" s="35" t="n">
        <f aca="false">SUMIFS(Tracker!$O$5:$O$467,Tracker!$A$5:$A$467,"Item",Tracker!$B$5:$B$467,$A13)</f>
        <v>7</v>
      </c>
      <c r="E13" s="36" t="n">
        <f aca="false">IFERROR(SUMPRODUCT((Tracker!$A$5:$A$467="Item")*(Tracker!$B$5:$B$467=$A13)*Tracker!$O$5:$O$467*Tracker!$Q$5:$Q$467)/D13,0)</f>
        <v>0</v>
      </c>
      <c r="F13" s="36" t="n">
        <f aca="false">IFERROR(SUMPRODUCT((Tracker!$A$5:$A$467="Item")*(Tracker!$B$5:$B$467=$A13)*Tracker!$O$5:$O$467*Tracker!$P$5:$P$467)/D13,0)</f>
        <v>0</v>
      </c>
      <c r="G13" s="36" t="n">
        <f aca="false">F13-E13</f>
        <v>0</v>
      </c>
      <c r="H13" s="35" t="n">
        <f aca="false">COUNTIFS(Tracker!$A$5:$A$467,"Item",Tracker!$B$5:$B$467,$A13,Tracker!$S$5:$S$467,"Not started")</f>
        <v>7</v>
      </c>
      <c r="I13" s="35" t="n">
        <f aca="false">COUNTIFS(Tracker!$A$5:$A$467,"Item",Tracker!$B$5:$B$467,$A13,Tracker!$S$5:$S$467,"On track")</f>
        <v>0</v>
      </c>
      <c r="J13" s="35" t="n">
        <f aca="false">COUNTIFS(Tracker!$A$5:$A$467,"Item",Tracker!$B$5:$B$467,$A13,Tracker!$S$5:$S$467,"Behind")</f>
        <v>0</v>
      </c>
      <c r="K13" s="35" t="n">
        <f aca="false">COUNTIFS(Tracker!$A$5:$A$467,"Item",Tracker!$B$5:$B$467,$A13,Tracker!$S$5:$S$467,"Overdue")</f>
        <v>0</v>
      </c>
      <c r="L13" s="35" t="n">
        <f aca="false">COUNTIFS(Tracker!$A$5:$A$467,"Item",Tracker!$B$5:$B$467,$A13,Tracker!$S$5:$S$467,"Complete")</f>
        <v>0</v>
      </c>
      <c r="M13" s="37" t="n">
        <f aca="false">_xlfn.MINIFS(Tracker!$H$5:$H$467,Tracker!$A$5:$A$467,"Item",Tracker!$B$5:$B$467,$A13)</f>
        <v>45017</v>
      </c>
      <c r="N13" s="37" t="n">
        <f aca="false">_xlfn.MAXIFS(Tracker!$I$5:$I$467,Tracker!$A$5:$A$467,"Item",Tracker!$B$5:$B$467,$A13)</f>
        <v>45443</v>
      </c>
    </row>
    <row r="14" customFormat="false" ht="15" hidden="false" customHeight="false" outlineLevel="0" collapsed="false">
      <c r="A14" s="38" t="s">
        <v>33</v>
      </c>
      <c r="B14" s="39" t="s">
        <v>34</v>
      </c>
      <c r="C14" s="39" t="n">
        <f aca="false">COUNTIFS(Tracker!$A$5:$A$467,"Item",Tracker!$B$5:$B$467,$A14)</f>
        <v>25</v>
      </c>
      <c r="D14" s="39" t="n">
        <f aca="false">SUMIFS(Tracker!$O$5:$O$467,Tracker!$A$5:$A$467,"Item",Tracker!$B$5:$B$467,$A14)</f>
        <v>25</v>
      </c>
      <c r="E14" s="40" t="n">
        <f aca="false">IFERROR(SUMPRODUCT((Tracker!$A$5:$A$467="Item")*(Tracker!$B$5:$B$467=$A14)*Tracker!$O$5:$O$467*Tracker!$Q$5:$Q$467)/D14,0)</f>
        <v>0</v>
      </c>
      <c r="F14" s="40" t="n">
        <f aca="false">IFERROR(SUMPRODUCT((Tracker!$A$5:$A$467="Item")*(Tracker!$B$5:$B$467=$A14)*Tracker!$O$5:$O$467*Tracker!$P$5:$P$467)/D14,0)</f>
        <v>0</v>
      </c>
      <c r="G14" s="40" t="n">
        <f aca="false">F14-E14</f>
        <v>0</v>
      </c>
      <c r="H14" s="39" t="n">
        <f aca="false">COUNTIFS(Tracker!$A$5:$A$467,"Item",Tracker!$B$5:$B$467,$A14,Tracker!$S$5:$S$467,"Not started")</f>
        <v>25</v>
      </c>
      <c r="I14" s="39" t="n">
        <f aca="false">COUNTIFS(Tracker!$A$5:$A$467,"Item",Tracker!$B$5:$B$467,$A14,Tracker!$S$5:$S$467,"On track")</f>
        <v>0</v>
      </c>
      <c r="J14" s="39" t="n">
        <f aca="false">COUNTIFS(Tracker!$A$5:$A$467,"Item",Tracker!$B$5:$B$467,$A14,Tracker!$S$5:$S$467,"Behind")</f>
        <v>0</v>
      </c>
      <c r="K14" s="39" t="n">
        <f aca="false">COUNTIFS(Tracker!$A$5:$A$467,"Item",Tracker!$B$5:$B$467,$A14,Tracker!$S$5:$S$467,"Overdue")</f>
        <v>0</v>
      </c>
      <c r="L14" s="39" t="n">
        <f aca="false">COUNTIFS(Tracker!$A$5:$A$467,"Item",Tracker!$B$5:$B$467,$A14,Tracker!$S$5:$S$467,"Complete")</f>
        <v>0</v>
      </c>
      <c r="M14" s="41" t="n">
        <f aca="false">_xlfn.MINIFS(Tracker!$H$5:$H$467,Tracker!$A$5:$A$467,"Item",Tracker!$B$5:$B$467,$A14)</f>
        <v>45017</v>
      </c>
      <c r="N14" s="41" t="n">
        <f aca="false">_xlfn.MAXIFS(Tracker!$I$5:$I$467,Tracker!$A$5:$A$467,"Item",Tracker!$B$5:$B$467,$A14)</f>
        <v>45331</v>
      </c>
    </row>
    <row r="15" customFormat="false" ht="15" hidden="false" customHeight="false" outlineLevel="0" collapsed="false">
      <c r="A15" s="42" t="s">
        <v>35</v>
      </c>
      <c r="B15" s="43" t="s">
        <v>36</v>
      </c>
      <c r="C15" s="43" t="n">
        <f aca="false">COUNTIFS(Tracker!$A$5:$A$467,"Item",Tracker!$B$5:$B$467,$A15)</f>
        <v>15</v>
      </c>
      <c r="D15" s="43" t="n">
        <f aca="false">SUMIFS(Tracker!$O$5:$O$467,Tracker!$A$5:$A$467,"Item",Tracker!$B$5:$B$467,$A15)</f>
        <v>15</v>
      </c>
      <c r="E15" s="44" t="n">
        <f aca="false">IFERROR(SUMPRODUCT((Tracker!$A$5:$A$467="Item")*(Tracker!$B$5:$B$467=$A15)*Tracker!$O$5:$O$467*Tracker!$Q$5:$Q$467)/D15,0)</f>
        <v>0</v>
      </c>
      <c r="F15" s="44" t="n">
        <f aca="false">IFERROR(SUMPRODUCT((Tracker!$A$5:$A$467="Item")*(Tracker!$B$5:$B$467=$A15)*Tracker!$O$5:$O$467*Tracker!$P$5:$P$467)/D15,0)</f>
        <v>0</v>
      </c>
      <c r="G15" s="44" t="n">
        <f aca="false">F15-E15</f>
        <v>0</v>
      </c>
      <c r="H15" s="43" t="n">
        <f aca="false">COUNTIFS(Tracker!$A$5:$A$467,"Item",Tracker!$B$5:$B$467,$A15,Tracker!$S$5:$S$467,"Not started")</f>
        <v>15</v>
      </c>
      <c r="I15" s="43" t="n">
        <f aca="false">COUNTIFS(Tracker!$A$5:$A$467,"Item",Tracker!$B$5:$B$467,$A15,Tracker!$S$5:$S$467,"On track")</f>
        <v>0</v>
      </c>
      <c r="J15" s="43" t="n">
        <f aca="false">COUNTIFS(Tracker!$A$5:$A$467,"Item",Tracker!$B$5:$B$467,$A15,Tracker!$S$5:$S$467,"Behind")</f>
        <v>0</v>
      </c>
      <c r="K15" s="43" t="n">
        <f aca="false">COUNTIFS(Tracker!$A$5:$A$467,"Item",Tracker!$B$5:$B$467,$A15,Tracker!$S$5:$S$467,"Overdue")</f>
        <v>0</v>
      </c>
      <c r="L15" s="43" t="n">
        <f aca="false">COUNTIFS(Tracker!$A$5:$A$467,"Item",Tracker!$B$5:$B$467,$A15,Tracker!$S$5:$S$467,"Complete")</f>
        <v>0</v>
      </c>
      <c r="M15" s="45" t="n">
        <f aca="false">_xlfn.MINIFS(Tracker!$H$5:$H$467,Tracker!$A$5:$A$467,"Item",Tracker!$B$5:$B$467,$A15)</f>
        <v>45017</v>
      </c>
      <c r="N15" s="45" t="n">
        <f aca="false">_xlfn.MAXIFS(Tracker!$I$5:$I$467,Tracker!$A$5:$A$467,"Item",Tracker!$B$5:$B$467,$A15)</f>
        <v>45331</v>
      </c>
    </row>
    <row r="16" customFormat="false" ht="15" hidden="false" customHeight="false" outlineLevel="0" collapsed="false">
      <c r="A16" s="46" t="s">
        <v>37</v>
      </c>
      <c r="B16" s="47" t="s">
        <v>38</v>
      </c>
      <c r="C16" s="47" t="n">
        <f aca="false">COUNTIFS(Tracker!$A$5:$A$467,"Item",Tracker!$B$5:$B$467,$A16)</f>
        <v>103</v>
      </c>
      <c r="D16" s="47" t="n">
        <f aca="false">SUMIFS(Tracker!$O$5:$O$467,Tracker!$A$5:$A$467,"Item",Tracker!$B$5:$B$467,$A16)</f>
        <v>103</v>
      </c>
      <c r="E16" s="48" t="n">
        <f aca="false">IFERROR(SUMPRODUCT((Tracker!$A$5:$A$467="Item")*(Tracker!$B$5:$B$467=$A16)*Tracker!$O$5:$O$467*Tracker!$Q$5:$Q$467)/D16,0)</f>
        <v>0</v>
      </c>
      <c r="F16" s="48" t="n">
        <f aca="false">IFERROR(SUMPRODUCT((Tracker!$A$5:$A$467="Item")*(Tracker!$B$5:$B$467=$A16)*Tracker!$O$5:$O$467*Tracker!$P$5:$P$467)/D16,0)</f>
        <v>0</v>
      </c>
      <c r="G16" s="48" t="n">
        <f aca="false">F16-E16</f>
        <v>0</v>
      </c>
      <c r="H16" s="47" t="n">
        <f aca="false">COUNTIFS(Tracker!$A$5:$A$467,"Item",Tracker!$B$5:$B$467,$A16,Tracker!$S$5:$S$467,"Not started")</f>
        <v>101</v>
      </c>
      <c r="I16" s="47" t="n">
        <f aca="false">COUNTIFS(Tracker!$A$5:$A$467,"Item",Tracker!$B$5:$B$467,$A16,Tracker!$S$5:$S$467,"On track")</f>
        <v>2</v>
      </c>
      <c r="J16" s="47" t="n">
        <f aca="false">COUNTIFS(Tracker!$A$5:$A$467,"Item",Tracker!$B$5:$B$467,$A16,Tracker!$S$5:$S$467,"Behind")</f>
        <v>0</v>
      </c>
      <c r="K16" s="47" t="n">
        <f aca="false">COUNTIFS(Tracker!$A$5:$A$467,"Item",Tracker!$B$5:$B$467,$A16,Tracker!$S$5:$S$467,"Overdue")</f>
        <v>0</v>
      </c>
      <c r="L16" s="47" t="n">
        <f aca="false">COUNTIFS(Tracker!$A$5:$A$467,"Item",Tracker!$B$5:$B$467,$A16,Tracker!$S$5:$S$467,"Complete")</f>
        <v>0</v>
      </c>
      <c r="M16" s="49" t="n">
        <f aca="false">_xlfn.MINIFS(Tracker!$H$5:$H$467,Tracker!$A$5:$A$467,"Item",Tracker!$B$5:$B$467,$A16)</f>
        <v>45000</v>
      </c>
      <c r="N16" s="49" t="n">
        <f aca="false">_xlfn.MAXIFS(Tracker!$I$5:$I$467,Tracker!$A$5:$A$467,"Item",Tracker!$B$5:$B$467,$A16)</f>
        <v>45581</v>
      </c>
    </row>
    <row r="17" customFormat="false" ht="15" hidden="false" customHeight="false" outlineLevel="0" collapsed="false">
      <c r="A17" s="50" t="s">
        <v>39</v>
      </c>
      <c r="B17" s="51" t="s">
        <v>40</v>
      </c>
      <c r="C17" s="51" t="n">
        <f aca="false">COUNTIFS(Tracker!$A$5:$A$467,"Item",Tracker!$B$5:$B$467,$A17)</f>
        <v>19</v>
      </c>
      <c r="D17" s="51" t="n">
        <f aca="false">SUMIFS(Tracker!$O$5:$O$467,Tracker!$A$5:$A$467,"Item",Tracker!$B$5:$B$467,$A17)</f>
        <v>19</v>
      </c>
      <c r="E17" s="52" t="n">
        <f aca="false">IFERROR(SUMPRODUCT((Tracker!$A$5:$A$467="Item")*(Tracker!$B$5:$B$467=$A17)*Tracker!$O$5:$O$467*Tracker!$Q$5:$Q$467)/D17,0)</f>
        <v>0</v>
      </c>
      <c r="F17" s="52" t="n">
        <f aca="false">IFERROR(SUMPRODUCT((Tracker!$A$5:$A$467="Item")*(Tracker!$B$5:$B$467=$A17)*Tracker!$O$5:$O$467*Tracker!$P$5:$P$467)/D17,0)</f>
        <v>0</v>
      </c>
      <c r="G17" s="52" t="n">
        <f aca="false">F17-E17</f>
        <v>0</v>
      </c>
      <c r="H17" s="51" t="n">
        <f aca="false">COUNTIFS(Tracker!$A$5:$A$467,"Item",Tracker!$B$5:$B$467,$A17,Tracker!$S$5:$S$467,"Not started")</f>
        <v>5</v>
      </c>
      <c r="I17" s="51" t="n">
        <f aca="false">COUNTIFS(Tracker!$A$5:$A$467,"Item",Tracker!$B$5:$B$467,$A17,Tracker!$S$5:$S$467,"On track")</f>
        <v>14</v>
      </c>
      <c r="J17" s="51" t="n">
        <f aca="false">COUNTIFS(Tracker!$A$5:$A$467,"Item",Tracker!$B$5:$B$467,$A17,Tracker!$S$5:$S$467,"Behind")</f>
        <v>0</v>
      </c>
      <c r="K17" s="51" t="n">
        <f aca="false">COUNTIFS(Tracker!$A$5:$A$467,"Item",Tracker!$B$5:$B$467,$A17,Tracker!$S$5:$S$467,"Overdue")</f>
        <v>0</v>
      </c>
      <c r="L17" s="51" t="n">
        <f aca="false">COUNTIFS(Tracker!$A$5:$A$467,"Item",Tracker!$B$5:$B$467,$A17,Tracker!$S$5:$S$467,"Complete")</f>
        <v>0</v>
      </c>
      <c r="M17" s="53" t="n">
        <f aca="false">_xlfn.MINIFS(Tracker!$H$5:$H$467,Tracker!$A$5:$A$467,"Item",Tracker!$B$5:$B$467,$A17)</f>
        <v>45000</v>
      </c>
      <c r="N17" s="53" t="n">
        <f aca="false">_xlfn.MAXIFS(Tracker!$I$5:$I$467,Tracker!$A$5:$A$467,"Item",Tracker!$B$5:$B$467,$A17)</f>
        <v>45581</v>
      </c>
    </row>
    <row r="18" customFormat="false" ht="15" hidden="false" customHeight="false" outlineLevel="0" collapsed="false">
      <c r="A18" s="54" t="s">
        <v>41</v>
      </c>
      <c r="B18" s="55" t="s">
        <v>42</v>
      </c>
      <c r="C18" s="55" t="n">
        <f aca="false">COUNTIFS(Tracker!$A$5:$A$467,"Item",Tracker!$B$5:$B$467,$A18)</f>
        <v>12</v>
      </c>
      <c r="D18" s="55" t="n">
        <f aca="false">SUMIFS(Tracker!$O$5:$O$467,Tracker!$A$5:$A$467,"Item",Tracker!$B$5:$B$467,$A18)</f>
        <v>12</v>
      </c>
      <c r="E18" s="56" t="n">
        <f aca="false">IFERROR(SUMPRODUCT((Tracker!$A$5:$A$467="Item")*(Tracker!$B$5:$B$467=$A18)*Tracker!$O$5:$O$467*Tracker!$Q$5:$Q$467)/D18,0)</f>
        <v>0</v>
      </c>
      <c r="F18" s="56" t="n">
        <f aca="false">IFERROR(SUMPRODUCT((Tracker!$A$5:$A$467="Item")*(Tracker!$B$5:$B$467=$A18)*Tracker!$O$5:$O$467*Tracker!$P$5:$P$467)/D18,0)</f>
        <v>0</v>
      </c>
      <c r="G18" s="56" t="n">
        <f aca="false">F18-E18</f>
        <v>0</v>
      </c>
      <c r="H18" s="55" t="n">
        <f aca="false">COUNTIFS(Tracker!$A$5:$A$467,"Item",Tracker!$B$5:$B$467,$A18,Tracker!$S$5:$S$467,"Not started")</f>
        <v>11</v>
      </c>
      <c r="I18" s="55" t="n">
        <f aca="false">COUNTIFS(Tracker!$A$5:$A$467,"Item",Tracker!$B$5:$B$467,$A18,Tracker!$S$5:$S$467,"On track")</f>
        <v>1</v>
      </c>
      <c r="J18" s="55" t="n">
        <f aca="false">COUNTIFS(Tracker!$A$5:$A$467,"Item",Tracker!$B$5:$B$467,$A18,Tracker!$S$5:$S$467,"Behind")</f>
        <v>0</v>
      </c>
      <c r="K18" s="55" t="n">
        <f aca="false">COUNTIFS(Tracker!$A$5:$A$467,"Item",Tracker!$B$5:$B$467,$A18,Tracker!$S$5:$S$467,"Overdue")</f>
        <v>0</v>
      </c>
      <c r="L18" s="55" t="n">
        <f aca="false">COUNTIFS(Tracker!$A$5:$A$467,"Item",Tracker!$B$5:$B$467,$A18,Tracker!$S$5:$S$467,"Complete")</f>
        <v>0</v>
      </c>
      <c r="M18" s="57" t="n">
        <f aca="false">_xlfn.MINIFS(Tracker!$H$5:$H$467,Tracker!$A$5:$A$467,"Item",Tracker!$B$5:$B$467,$A18)</f>
        <v>45000</v>
      </c>
      <c r="N18" s="57" t="n">
        <f aca="false">_xlfn.MAXIFS(Tracker!$I$5:$I$467,Tracker!$A$5:$A$467,"Item",Tracker!$B$5:$B$467,$A18)</f>
        <v>45581</v>
      </c>
    </row>
    <row r="19" customFormat="false" ht="15" hidden="false" customHeight="false" outlineLevel="0" collapsed="false">
      <c r="A19" s="58" t="s">
        <v>43</v>
      </c>
      <c r="B19" s="59" t="s">
        <v>44</v>
      </c>
      <c r="C19" s="59" t="n">
        <f aca="false">COUNTIFS(Tracker!$A$5:$A$467,"Item",Tracker!$B$5:$B$467,$A19)</f>
        <v>88</v>
      </c>
      <c r="D19" s="59" t="n">
        <f aca="false">SUMIFS(Tracker!$O$5:$O$467,Tracker!$A$5:$A$467,"Item",Tracker!$B$5:$B$467,$A19)</f>
        <v>88</v>
      </c>
      <c r="E19" s="60" t="n">
        <f aca="false">IFERROR(SUMPRODUCT((Tracker!$A$5:$A$467="Item")*(Tracker!$B$5:$B$467=$A19)*Tracker!$O$5:$O$467*Tracker!$Q$5:$Q$467)/D19,0)</f>
        <v>0</v>
      </c>
      <c r="F19" s="60" t="n">
        <f aca="false">IFERROR(SUMPRODUCT((Tracker!$A$5:$A$467="Item")*(Tracker!$B$5:$B$467=$A19)*Tracker!$O$5:$O$467*Tracker!$P$5:$P$467)/D19,0)</f>
        <v>0</v>
      </c>
      <c r="G19" s="60" t="n">
        <f aca="false">F19-E19</f>
        <v>0</v>
      </c>
      <c r="H19" s="59" t="n">
        <f aca="false">COUNTIFS(Tracker!$A$5:$A$467,"Item",Tracker!$B$5:$B$467,$A19,Tracker!$S$5:$S$467,"Not started")</f>
        <v>88</v>
      </c>
      <c r="I19" s="59" t="n">
        <f aca="false">COUNTIFS(Tracker!$A$5:$A$467,"Item",Tracker!$B$5:$B$467,$A19,Tracker!$S$5:$S$467,"On track")</f>
        <v>0</v>
      </c>
      <c r="J19" s="59" t="n">
        <f aca="false">COUNTIFS(Tracker!$A$5:$A$467,"Item",Tracker!$B$5:$B$467,$A19,Tracker!$S$5:$S$467,"Behind")</f>
        <v>0</v>
      </c>
      <c r="K19" s="59" t="n">
        <f aca="false">COUNTIFS(Tracker!$A$5:$A$467,"Item",Tracker!$B$5:$B$467,$A19,Tracker!$S$5:$S$467,"Overdue")</f>
        <v>0</v>
      </c>
      <c r="L19" s="59" t="n">
        <f aca="false">COUNTIFS(Tracker!$A$5:$A$467,"Item",Tracker!$B$5:$B$467,$A19,Tracker!$S$5:$S$467,"Complete")</f>
        <v>0</v>
      </c>
      <c r="M19" s="61" t="n">
        <f aca="false">_xlfn.MINIFS(Tracker!$H$5:$H$467,Tracker!$A$5:$A$467,"Item",Tracker!$B$5:$B$467,$A19)</f>
        <v>45017</v>
      </c>
      <c r="N19" s="61" t="n">
        <f aca="false">_xlfn.MAXIFS(Tracker!$I$5:$I$467,Tracker!$A$5:$A$467,"Item",Tracker!$B$5:$B$467,$A19)</f>
        <v>45481</v>
      </c>
    </row>
    <row r="20" customFormat="false" ht="15" hidden="false" customHeight="false" outlineLevel="0" collapsed="false">
      <c r="A20" s="62" t="s">
        <v>45</v>
      </c>
      <c r="B20" s="63" t="s">
        <v>46</v>
      </c>
      <c r="C20" s="63" t="n">
        <f aca="false">COUNTIFS(Tracker!$A$5:$A$467,"Item",Tracker!$B$5:$B$467,$A20)</f>
        <v>1</v>
      </c>
      <c r="D20" s="63" t="n">
        <f aca="false">SUMIFS(Tracker!$O$5:$O$467,Tracker!$A$5:$A$467,"Item",Tracker!$B$5:$B$467,$A20)</f>
        <v>1</v>
      </c>
      <c r="E20" s="64" t="n">
        <f aca="false">IFERROR(SUMPRODUCT((Tracker!$A$5:$A$467="Item")*(Tracker!$B$5:$B$467=$A20)*Tracker!$O$5:$O$467*Tracker!$Q$5:$Q$467)/D20,0)</f>
        <v>0</v>
      </c>
      <c r="F20" s="64" t="n">
        <f aca="false">IFERROR(SUMPRODUCT((Tracker!$A$5:$A$467="Item")*(Tracker!$B$5:$B$467=$A20)*Tracker!$O$5:$O$467*Tracker!$P$5:$P$467)/D20,0)</f>
        <v>0</v>
      </c>
      <c r="G20" s="64" t="n">
        <f aca="false">F20-E20</f>
        <v>0</v>
      </c>
      <c r="H20" s="63" t="n">
        <f aca="false">COUNTIFS(Tracker!$A$5:$A$467,"Item",Tracker!$B$5:$B$467,$A20,Tracker!$S$5:$S$467,"Not started")</f>
        <v>1</v>
      </c>
      <c r="I20" s="63" t="n">
        <f aca="false">COUNTIFS(Tracker!$A$5:$A$467,"Item",Tracker!$B$5:$B$467,$A20,Tracker!$S$5:$S$467,"On track")</f>
        <v>0</v>
      </c>
      <c r="J20" s="63" t="n">
        <f aca="false">COUNTIFS(Tracker!$A$5:$A$467,"Item",Tracker!$B$5:$B$467,$A20,Tracker!$S$5:$S$467,"Behind")</f>
        <v>0</v>
      </c>
      <c r="K20" s="63" t="n">
        <f aca="false">COUNTIFS(Tracker!$A$5:$A$467,"Item",Tracker!$B$5:$B$467,$A20,Tracker!$S$5:$S$467,"Overdue")</f>
        <v>0</v>
      </c>
      <c r="L20" s="63" t="n">
        <f aca="false">COUNTIFS(Tracker!$A$5:$A$467,"Item",Tracker!$B$5:$B$467,$A20,Tracker!$S$5:$S$467,"Complete")</f>
        <v>0</v>
      </c>
      <c r="M20" s="65" t="n">
        <f aca="false">_xlfn.MINIFS(Tracker!$H$5:$H$467,Tracker!$A$5:$A$467,"Item",Tracker!$B$5:$B$467,$A20)</f>
        <v>45017</v>
      </c>
      <c r="N20" s="65" t="n">
        <f aca="false">_xlfn.MAXIFS(Tracker!$I$5:$I$467,Tracker!$A$5:$A$467,"Item",Tracker!$B$5:$B$467,$A20)</f>
        <v>45231</v>
      </c>
    </row>
    <row r="21" customFormat="false" ht="15" hidden="false" customHeight="false" outlineLevel="0" collapsed="false">
      <c r="A21" s="66" t="s">
        <v>47</v>
      </c>
      <c r="B21" s="67" t="s">
        <v>48</v>
      </c>
      <c r="C21" s="67" t="n">
        <f aca="false">COUNTIFS(Tracker!$A$5:$A$467,"Item",Tracker!$B$5:$B$467,$A21)</f>
        <v>2</v>
      </c>
      <c r="D21" s="67" t="n">
        <f aca="false">SUMIFS(Tracker!$O$5:$O$467,Tracker!$A$5:$A$467,"Item",Tracker!$B$5:$B$467,$A21)</f>
        <v>2</v>
      </c>
      <c r="E21" s="68" t="n">
        <f aca="false">IFERROR(SUMPRODUCT((Tracker!$A$5:$A$467="Item")*(Tracker!$B$5:$B$467=$A21)*Tracker!$O$5:$O$467*Tracker!$Q$5:$Q$467)/D21,0)</f>
        <v>0</v>
      </c>
      <c r="F21" s="68" t="n">
        <f aca="false">IFERROR(SUMPRODUCT((Tracker!$A$5:$A$467="Item")*(Tracker!$B$5:$B$467=$A21)*Tracker!$O$5:$O$467*Tracker!$P$5:$P$467)/D21,0)</f>
        <v>0</v>
      </c>
      <c r="G21" s="68" t="n">
        <f aca="false">F21-E21</f>
        <v>0</v>
      </c>
      <c r="H21" s="67" t="n">
        <f aca="false">COUNTIFS(Tracker!$A$5:$A$467,"Item",Tracker!$B$5:$B$467,$A21,Tracker!$S$5:$S$467,"Not started")</f>
        <v>2</v>
      </c>
      <c r="I21" s="67" t="n">
        <f aca="false">COUNTIFS(Tracker!$A$5:$A$467,"Item",Tracker!$B$5:$B$467,$A21,Tracker!$S$5:$S$467,"On track")</f>
        <v>0</v>
      </c>
      <c r="J21" s="67" t="n">
        <f aca="false">COUNTIFS(Tracker!$A$5:$A$467,"Item",Tracker!$B$5:$B$467,$A21,Tracker!$S$5:$S$467,"Behind")</f>
        <v>0</v>
      </c>
      <c r="K21" s="67" t="n">
        <f aca="false">COUNTIFS(Tracker!$A$5:$A$467,"Item",Tracker!$B$5:$B$467,$A21,Tracker!$S$5:$S$467,"Overdue")</f>
        <v>0</v>
      </c>
      <c r="L21" s="67" t="n">
        <f aca="false">COUNTIFS(Tracker!$A$5:$A$467,"Item",Tracker!$B$5:$B$467,$A21,Tracker!$S$5:$S$467,"Complete")</f>
        <v>0</v>
      </c>
      <c r="M21" s="69" t="n">
        <f aca="false">_xlfn.MINIFS(Tracker!$H$5:$H$467,Tracker!$A$5:$A$467,"Item",Tracker!$B$5:$B$467,$A21)</f>
        <v>45231</v>
      </c>
      <c r="N21" s="69" t="n">
        <f aca="false">_xlfn.MAXIFS(Tracker!$I$5:$I$467,Tracker!$A$5:$A$467,"Item",Tracker!$B$5:$B$467,$A21)</f>
        <v>45331</v>
      </c>
    </row>
    <row r="22" customFormat="false" ht="15" hidden="false" customHeight="false" outlineLevel="0" collapsed="false">
      <c r="A22" s="70" t="s">
        <v>49</v>
      </c>
      <c r="B22" s="71" t="s">
        <v>50</v>
      </c>
      <c r="C22" s="71" t="n">
        <f aca="false">COUNTIFS(Tracker!$A$5:$A$467,"Item",Tracker!$B$5:$B$467,$A22)</f>
        <v>31</v>
      </c>
      <c r="D22" s="71" t="n">
        <f aca="false">SUMIFS(Tracker!$O$5:$O$467,Tracker!$A$5:$A$467,"Item",Tracker!$B$5:$B$467,$A22)</f>
        <v>31</v>
      </c>
      <c r="E22" s="72" t="n">
        <f aca="false">IFERROR(SUMPRODUCT((Tracker!$A$5:$A$467="Item")*(Tracker!$B$5:$B$467=$A22)*Tracker!$O$5:$O$467*Tracker!$Q$5:$Q$467)/D22,0)</f>
        <v>0</v>
      </c>
      <c r="F22" s="72" t="n">
        <f aca="false">IFERROR(SUMPRODUCT((Tracker!$A$5:$A$467="Item")*(Tracker!$B$5:$B$467=$A22)*Tracker!$O$5:$O$467*Tracker!$P$5:$P$467)/D22,0)</f>
        <v>0</v>
      </c>
      <c r="G22" s="72" t="n">
        <f aca="false">F22-E22</f>
        <v>0</v>
      </c>
      <c r="H22" s="71" t="n">
        <f aca="false">COUNTIFS(Tracker!$A$5:$A$467,"Item",Tracker!$B$5:$B$467,$A22,Tracker!$S$5:$S$467,"Not started")</f>
        <v>31</v>
      </c>
      <c r="I22" s="71" t="n">
        <f aca="false">COUNTIFS(Tracker!$A$5:$A$467,"Item",Tracker!$B$5:$B$467,$A22,Tracker!$S$5:$S$467,"On track")</f>
        <v>0</v>
      </c>
      <c r="J22" s="71" t="n">
        <f aca="false">COUNTIFS(Tracker!$A$5:$A$467,"Item",Tracker!$B$5:$B$467,$A22,Tracker!$S$5:$S$467,"Behind")</f>
        <v>0</v>
      </c>
      <c r="K22" s="71" t="n">
        <f aca="false">COUNTIFS(Tracker!$A$5:$A$467,"Item",Tracker!$B$5:$B$467,$A22,Tracker!$S$5:$S$467,"Overdue")</f>
        <v>0</v>
      </c>
      <c r="L22" s="71" t="n">
        <f aca="false">COUNTIFS(Tracker!$A$5:$A$467,"Item",Tracker!$B$5:$B$467,$A22,Tracker!$S$5:$S$467,"Complete")</f>
        <v>0</v>
      </c>
      <c r="M22" s="73" t="n">
        <f aca="false">_xlfn.MINIFS(Tracker!$H$5:$H$467,Tracker!$A$5:$A$467,"Item",Tracker!$B$5:$B$467,$A22)</f>
        <v>45017</v>
      </c>
      <c r="N22" s="73" t="n">
        <f aca="false">_xlfn.MAXIFS(Tracker!$I$5:$I$467,Tracker!$A$5:$A$467,"Item",Tracker!$B$5:$B$467,$A22)</f>
        <v>45331</v>
      </c>
    </row>
    <row r="23" customFormat="false" ht="15" hidden="false" customHeight="false" outlineLevel="0" collapsed="false">
      <c r="A23" s="74" t="s">
        <v>51</v>
      </c>
      <c r="B23" s="75" t="s">
        <v>52</v>
      </c>
      <c r="C23" s="75" t="n">
        <f aca="false">COUNTIFS(Tracker!$A$5:$A$467,"Item",Tracker!$B$5:$B$467,$A23)</f>
        <v>4</v>
      </c>
      <c r="D23" s="75" t="n">
        <f aca="false">SUMIFS(Tracker!$O$5:$O$467,Tracker!$A$5:$A$467,"Item",Tracker!$B$5:$B$467,$A23)</f>
        <v>4</v>
      </c>
      <c r="E23" s="76" t="n">
        <f aca="false">IFERROR(SUMPRODUCT((Tracker!$A$5:$A$467="Item")*(Tracker!$B$5:$B$467=$A23)*Tracker!$O$5:$O$467*Tracker!$Q$5:$Q$467)/D23,0)</f>
        <v>0</v>
      </c>
      <c r="F23" s="76" t="n">
        <f aca="false">IFERROR(SUMPRODUCT((Tracker!$A$5:$A$467="Item")*(Tracker!$B$5:$B$467=$A23)*Tracker!$O$5:$O$467*Tracker!$P$5:$P$467)/D23,0)</f>
        <v>0</v>
      </c>
      <c r="G23" s="76" t="n">
        <f aca="false">F23-E23</f>
        <v>0</v>
      </c>
      <c r="H23" s="75" t="n">
        <f aca="false">COUNTIFS(Tracker!$A$5:$A$467,"Item",Tracker!$B$5:$B$467,$A23,Tracker!$S$5:$S$467,"Not started")</f>
        <v>4</v>
      </c>
      <c r="I23" s="75" t="n">
        <f aca="false">COUNTIFS(Tracker!$A$5:$A$467,"Item",Tracker!$B$5:$B$467,$A23,Tracker!$S$5:$S$467,"On track")</f>
        <v>0</v>
      </c>
      <c r="J23" s="75" t="n">
        <f aca="false">COUNTIFS(Tracker!$A$5:$A$467,"Item",Tracker!$B$5:$B$467,$A23,Tracker!$S$5:$S$467,"Behind")</f>
        <v>0</v>
      </c>
      <c r="K23" s="75" t="n">
        <f aca="false">COUNTIFS(Tracker!$A$5:$A$467,"Item",Tracker!$B$5:$B$467,$A23,Tracker!$S$5:$S$467,"Overdue")</f>
        <v>0</v>
      </c>
      <c r="L23" s="75" t="n">
        <f aca="false">COUNTIFS(Tracker!$A$5:$A$467,"Item",Tracker!$B$5:$B$467,$A23,Tracker!$S$5:$S$467,"Complete")</f>
        <v>0</v>
      </c>
      <c r="M23" s="77" t="n">
        <f aca="false">_xlfn.MINIFS(Tracker!$H$5:$H$467,Tracker!$A$5:$A$467,"Item",Tracker!$B$5:$B$467,$A23)</f>
        <v>45017</v>
      </c>
      <c r="N23" s="77" t="n">
        <f aca="false">_xlfn.MAXIFS(Tracker!$I$5:$I$467,Tracker!$A$5:$A$467,"Item",Tracker!$B$5:$B$467,$A23)</f>
        <v>45231</v>
      </c>
    </row>
    <row r="24" customFormat="false" ht="15" hidden="false" customHeight="false" outlineLevel="0" collapsed="false">
      <c r="A24" s="78" t="s">
        <v>53</v>
      </c>
      <c r="B24" s="79" t="s">
        <v>54</v>
      </c>
      <c r="C24" s="79" t="n">
        <f aca="false">COUNTIFS(Tracker!$A$5:$A$467,"Item",Tracker!$B$5:$B$467,$A24)</f>
        <v>60</v>
      </c>
      <c r="D24" s="79" t="n">
        <f aca="false">SUMIFS(Tracker!$O$5:$O$467,Tracker!$A$5:$A$467,"Item",Tracker!$B$5:$B$467,$A24)</f>
        <v>60</v>
      </c>
      <c r="E24" s="80" t="n">
        <f aca="false">IFERROR(SUMPRODUCT((Tracker!$A$5:$A$467="Item")*(Tracker!$B$5:$B$467=$A24)*Tracker!$O$5:$O$467*Tracker!$Q$5:$Q$467)/D24,0)</f>
        <v>0</v>
      </c>
      <c r="F24" s="80" t="n">
        <f aca="false">IFERROR(SUMPRODUCT((Tracker!$A$5:$A$467="Item")*(Tracker!$B$5:$B$467=$A24)*Tracker!$O$5:$O$467*Tracker!$P$5:$P$467)/D24,0)</f>
        <v>0</v>
      </c>
      <c r="G24" s="80" t="n">
        <f aca="false">F24-E24</f>
        <v>0</v>
      </c>
      <c r="H24" s="79" t="n">
        <f aca="false">COUNTIFS(Tracker!$A$5:$A$467,"Item",Tracker!$B$5:$B$467,$A24,Tracker!$S$5:$S$467,"Not started")</f>
        <v>60</v>
      </c>
      <c r="I24" s="79" t="n">
        <f aca="false">COUNTIFS(Tracker!$A$5:$A$467,"Item",Tracker!$B$5:$B$467,$A24,Tracker!$S$5:$S$467,"On track")</f>
        <v>0</v>
      </c>
      <c r="J24" s="79" t="n">
        <f aca="false">COUNTIFS(Tracker!$A$5:$A$467,"Item",Tracker!$B$5:$B$467,$A24,Tracker!$S$5:$S$467,"Behind")</f>
        <v>0</v>
      </c>
      <c r="K24" s="79" t="n">
        <f aca="false">COUNTIFS(Tracker!$A$5:$A$467,"Item",Tracker!$B$5:$B$467,$A24,Tracker!$S$5:$S$467,"Overdue")</f>
        <v>0</v>
      </c>
      <c r="L24" s="79" t="n">
        <f aca="false">COUNTIFS(Tracker!$A$5:$A$467,"Item",Tracker!$B$5:$B$467,$A24,Tracker!$S$5:$S$467,"Complete")</f>
        <v>0</v>
      </c>
      <c r="M24" s="81" t="n">
        <f aca="false">_xlfn.MINIFS(Tracker!$H$5:$H$467,Tracker!$A$5:$A$467,"Item",Tracker!$B$5:$B$467,$A24)</f>
        <v>45017</v>
      </c>
      <c r="N24" s="81" t="n">
        <f aca="false">_xlfn.MAXIFS(Tracker!$I$5:$I$467,Tracker!$A$5:$A$467,"Item",Tracker!$B$5:$B$467,$A24)</f>
        <v>45481</v>
      </c>
    </row>
    <row r="25" customFormat="false" ht="15" hidden="false" customHeight="false" outlineLevel="0" collapsed="false">
      <c r="A25" s="2" t="s">
        <v>55</v>
      </c>
      <c r="B25" s="2"/>
      <c r="C25" s="2" t="n">
        <f aca="false">SUM(C6:C24)</f>
        <v>444</v>
      </c>
      <c r="D25" s="2" t="n">
        <f aca="false">SUM(D6:D24)</f>
        <v>444</v>
      </c>
      <c r="E25" s="82" t="n">
        <f aca="false">IFERROR(SUMPRODUCT(D6:D24,E6:E24)/D25,0)</f>
        <v>0</v>
      </c>
      <c r="F25" s="82" t="n">
        <f aca="false">IFERROR(SUMPRODUCT(D6:D24,F6:F24)/D25,0)</f>
        <v>0</v>
      </c>
      <c r="G25" s="82" t="n">
        <f aca="false">F25-E25</f>
        <v>0</v>
      </c>
      <c r="H25" s="2" t="n">
        <f aca="false">SUM(H6:H24)</f>
        <v>419</v>
      </c>
      <c r="I25" s="2" t="n">
        <f aca="false">SUM(I6:I24)</f>
        <v>25</v>
      </c>
      <c r="J25" s="2" t="n">
        <f aca="false">SUM(J6:J24)</f>
        <v>0</v>
      </c>
      <c r="K25" s="2" t="n">
        <f aca="false">SUM(K6:K24)</f>
        <v>0</v>
      </c>
      <c r="L25" s="2" t="n">
        <f aca="false">SUM(L6:L24)</f>
        <v>0</v>
      </c>
      <c r="M25" s="83" t="n">
        <f aca="false">MIN(M6:M24)</f>
        <v>45000</v>
      </c>
      <c r="N25" s="83" t="n">
        <f aca="false">MAX(N6:N24)</f>
        <v>45581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14" min="8" style="0" width="11"/>
    <col collapsed="false" customWidth="true" hidden="false" outlineLevel="0" max="15" min="15" style="0" width="7"/>
    <col collapsed="false" customWidth="true" hidden="false" outlineLevel="0" max="18" min="16" style="0" width="8"/>
    <col collapsed="false" customWidth="true" hidden="false" outlineLevel="0" max="19" min="19" style="0" width="11"/>
    <col collapsed="false" customWidth="true" hidden="false" outlineLevel="0" max="20" min="20" style="0" width="24"/>
    <col collapsed="false" customWidth="true" hidden="false" outlineLevel="0" max="21" min="21" style="0" width="48"/>
    <col collapsed="false" customWidth="true" hidden="false" outlineLevel="0" max="22" min="22" style="0" width="11"/>
    <col collapsed="false" customWidth="true" hidden="false" outlineLevel="0" max="26" min="23" style="0" width="10"/>
    <col collapsed="false" customWidth="true" hidden="false" outlineLevel="0" max="27" min="27" style="0" width="44"/>
    <col collapsed="false" customWidth="true" hidden="false" outlineLevel="0" max="28" min="28" style="0" width="16"/>
    <col collapsed="false" customWidth="true" hidden="false" outlineLevel="0" max="29" min="29" style="0" width="10"/>
    <col collapsed="false" customWidth="true" hidden="false" outlineLevel="0" max="30" min="30" style="0" width="18"/>
    <col collapsed="false" customWidth="true" hidden="false" outlineLevel="0" max="31" min="31" style="0" width="20"/>
    <col collapsed="false" customWidth="true" hidden="false" outlineLevel="0" max="33" min="32" style="0" width="16"/>
    <col collapsed="false" customWidth="true" hidden="false" outlineLevel="0" max="34" min="34" style="0" width="18"/>
  </cols>
  <sheetData>
    <row r="1" customFormat="false" ht="16.15" hidden="false" customHeight="false" outlineLevel="0" collapsed="false">
      <c r="A1" s="1" t="s">
        <v>56</v>
      </c>
    </row>
    <row r="2" customFormat="false" ht="15" hidden="false" customHeight="false" outlineLevel="0" collapsed="false">
      <c r="A2" s="4" t="s">
        <v>57</v>
      </c>
    </row>
    <row r="4" customFormat="false" ht="36" hidden="false" customHeight="true" outlineLevel="0" collapsed="false">
      <c r="A4" s="84" t="s">
        <v>58</v>
      </c>
      <c r="B4" s="84" t="s">
        <v>3</v>
      </c>
      <c r="C4" s="84" t="s">
        <v>59</v>
      </c>
      <c r="D4" s="84" t="s">
        <v>60</v>
      </c>
      <c r="E4" s="84" t="s">
        <v>61</v>
      </c>
      <c r="F4" s="84" t="s">
        <v>62</v>
      </c>
      <c r="G4" s="84" t="s">
        <v>63</v>
      </c>
      <c r="H4" s="84" t="s">
        <v>15</v>
      </c>
      <c r="I4" s="84" t="s">
        <v>16</v>
      </c>
      <c r="J4" s="84" t="s">
        <v>64</v>
      </c>
      <c r="K4" s="84" t="s">
        <v>65</v>
      </c>
      <c r="L4" s="84" t="s">
        <v>66</v>
      </c>
      <c r="M4" s="84" t="s">
        <v>67</v>
      </c>
      <c r="N4" s="84" t="s">
        <v>68</v>
      </c>
      <c r="O4" s="84" t="s">
        <v>6</v>
      </c>
      <c r="P4" s="84" t="s">
        <v>8</v>
      </c>
      <c r="Q4" s="84" t="s">
        <v>7</v>
      </c>
      <c r="R4" s="84" t="s">
        <v>9</v>
      </c>
      <c r="S4" s="84" t="s">
        <v>69</v>
      </c>
      <c r="T4" s="84" t="s">
        <v>70</v>
      </c>
      <c r="U4" s="84" t="s">
        <v>71</v>
      </c>
      <c r="V4" s="84" t="s">
        <v>72</v>
      </c>
      <c r="W4" s="84" t="s">
        <v>73</v>
      </c>
      <c r="X4" s="84" t="s">
        <v>74</v>
      </c>
      <c r="Y4" s="84" t="s">
        <v>75</v>
      </c>
      <c r="Z4" s="84" t="s">
        <v>76</v>
      </c>
      <c r="AA4" s="84" t="s">
        <v>77</v>
      </c>
      <c r="AB4" s="84" t="s">
        <v>78</v>
      </c>
      <c r="AC4" s="84" t="s">
        <v>79</v>
      </c>
      <c r="AD4" s="84" t="s">
        <v>80</v>
      </c>
      <c r="AE4" s="84" t="s">
        <v>81</v>
      </c>
      <c r="AF4" s="84" t="s">
        <v>82</v>
      </c>
      <c r="AG4" s="84" t="s">
        <v>83</v>
      </c>
      <c r="AH4" s="84" t="s">
        <v>84</v>
      </c>
    </row>
    <row r="5" customFormat="false" ht="15" hidden="false" customHeight="false" outlineLevel="0" collapsed="false">
      <c r="A5" s="85" t="s">
        <v>85</v>
      </c>
      <c r="B5" s="85" t="s">
        <v>17</v>
      </c>
      <c r="C5" s="85" t="s">
        <v>18</v>
      </c>
      <c r="D5" s="85" t="str">
        <f aca="false">COUNTIF(A6:A17,"Item")&amp;" items · "&amp;COUNTIF(S6:S17,"Overdue")&amp;" overdue · "&amp;COUNTIF(S6:S17,"Complete")&amp;" complete"</f>
        <v>12 items · 0 overdue · 0 complete</v>
      </c>
      <c r="E5" s="85"/>
      <c r="F5" s="85"/>
      <c r="G5" s="85"/>
      <c r="H5" s="86" t="n">
        <f aca="false">MIN(H6:H17)</f>
        <v>45000</v>
      </c>
      <c r="I5" s="86" t="n">
        <f aca="false">MAX(I6:I17)</f>
        <v>45581</v>
      </c>
      <c r="J5" s="86"/>
      <c r="K5" s="86"/>
      <c r="L5" s="86"/>
      <c r="M5" s="86"/>
      <c r="N5" s="86"/>
      <c r="O5" s="85" t="n">
        <f aca="false">SUM(O6:O17)</f>
        <v>12</v>
      </c>
      <c r="P5" s="87" t="n">
        <f aca="false">IFERROR(SUMPRODUCT(O6:O17,P6:P17)/SUM(O6:O17),0)</f>
        <v>0</v>
      </c>
      <c r="Q5" s="87" t="n">
        <f aca="false">IFERROR(SUMPRODUCT(O6:O17,Q6:Q17)/SUM(O6:O17),0)</f>
        <v>0</v>
      </c>
      <c r="R5" s="87" t="n">
        <f aca="false">P5-Q5</f>
        <v>0</v>
      </c>
      <c r="S5" s="85"/>
      <c r="T5" s="85"/>
      <c r="U5" s="85"/>
      <c r="V5" s="86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</row>
    <row r="6" customFormat="false" ht="15" hidden="false" customHeight="false" outlineLevel="0" collapsed="false">
      <c r="A6" s="88" t="s">
        <v>60</v>
      </c>
      <c r="B6" s="89" t="s">
        <v>17</v>
      </c>
      <c r="C6" s="88" t="s">
        <v>86</v>
      </c>
      <c r="D6" s="88" t="s">
        <v>87</v>
      </c>
      <c r="E6" s="88" t="s">
        <v>88</v>
      </c>
      <c r="F6" s="90" t="s">
        <v>89</v>
      </c>
      <c r="G6" s="88" t="s">
        <v>90</v>
      </c>
      <c r="H6" s="91" t="n">
        <f aca="false">IFERROR(INDEX(Schedule!$E$2:$E$147,MATCH($G6,Schedule!$A$2:$A$147,0)),"")</f>
        <v>45000</v>
      </c>
      <c r="I6" s="91" t="n">
        <f aca="false">IFERROR(INDEX(Schedule!$F$2:$F$147,MATCH($G6,Schedule!$A$2:$A$147,0)),"")</f>
        <v>45581</v>
      </c>
      <c r="J6" s="92"/>
      <c r="K6" s="92"/>
      <c r="L6" s="92"/>
      <c r="M6" s="92"/>
      <c r="N6" s="92"/>
      <c r="O6" s="90" t="n">
        <v>1</v>
      </c>
      <c r="P6" s="93" t="n">
        <f aca="false">IFERROR((IF(OR(ISNUMBER(J6),UPPER(TRIM(J6))="N/A"),1,0)*IF($W6="N",0,INDEX('Rules of Credit'!$B$5:$F$8,MATCH($F6,'Rules of Credit'!$A$5:$A$8,0),1))+IF(OR(ISNUMBER(K6),UPPER(TRIM(K6))="N/A"),1,0)*INDEX('Rules of Credit'!$B$5:$F$8,MATCH($F6,'Rules of Credit'!$A$5:$A$8,0),2)+IF(OR(ISNUMBER(L6),UPPER(TRIM(L6))="N/A"),1,0)*INDEX('Rules of Credit'!$B$5:$F$8,MATCH($F6,'Rules of Credit'!$A$5:$A$8,0),3)+IF(OR(ISNUMBER(M6),UPPER(TRIM(M6))="N/A"),1,0)*IF($X6="N",0,INDEX('Rules of Credit'!$B$5:$F$8,MATCH($F6,'Rules of Credit'!$A$5:$A$8,0),4))+IF(OR(ISNUMBER(N6),UPPER(TRIM(N6))="N/A"),1,0)*INDEX('Rules of Credit'!$B$5:$F$8,MATCH($F6,'Rules of Credit'!$A$5:$A$8,0),5))/(IF($W6="N",0,INDEX('Rules of Credit'!$B$5:$F$8,MATCH($F6,'Rules of Credit'!$A$5:$A$8,0),1))+INDEX('Rules of Credit'!$B$5:$F$8,MATCH($F6,'Rules of Credit'!$A$5:$A$8,0),2)+INDEX('Rules of Credit'!$B$5:$F$8,MATCH($F6,'Rules of Credit'!$A$5:$A$8,0),3)+IF($X6="N",0,INDEX('Rules of Credit'!$B$5:$F$8,MATCH($F6,'Rules of Credit'!$A$5:$A$8,0),4))+INDEX('Rules of Credit'!$B$5:$F$8,MATCH($F6,'Rules of Credit'!$A$5:$A$8,0),5)),0)</f>
        <v>0</v>
      </c>
      <c r="Q6" s="93" t="n">
        <f aca="false">IF(OR($H6="",$I6=""),0,IF('Tracker Summary'!$C$3&lt;$H6,0,IF('Tracker Summary'!$C$3&gt;=$I6,1,('Tracker Summary'!$C$3-$H6)/($I6-$H6+1))))</f>
        <v>0</v>
      </c>
      <c r="R6" s="93" t="n">
        <f aca="false">P6-Q6</f>
        <v>0</v>
      </c>
      <c r="S6" s="88" t="str">
        <f aca="false">IF($I6="","Not scheduled",IF(P6&gt;=1,"Complete",IF('Tracker Summary'!$C$3&gt;$I6,"Overdue",IF(P6-Q6&lt;-0.1,"Behind",IF(AND(P6=0,'Tracker Summary'!$C$3&lt;$H6),"Not started","On track")))))</f>
        <v>On track</v>
      </c>
      <c r="T6" s="90"/>
      <c r="U6" s="88" t="str">
        <f aca="false">IFERROR(INDEX(Schedule!$D$2:$D$147,MATCH($G6,Schedule!$A$2:$A$147,0)),"")</f>
        <v>General Requirements &amp; Temporary Works — Temporary facilities and controls</v>
      </c>
      <c r="V6" s="91" t="n">
        <f aca="false">IFERROR(INDEX(Schedule!$F$2:$F$147,MATCH("01-P01",Schedule!$A$2:$A$147,0)),"")</f>
        <v>44999</v>
      </c>
      <c r="W6" s="88" t="s">
        <v>91</v>
      </c>
      <c r="X6" s="88" t="s">
        <v>91</v>
      </c>
      <c r="Y6" s="88" t="n">
        <v>0</v>
      </c>
      <c r="Z6" s="88" t="n">
        <v>0</v>
      </c>
      <c r="AA6" s="88"/>
      <c r="AB6" s="88"/>
      <c r="AC6" s="88" t="s">
        <v>92</v>
      </c>
      <c r="AD6" s="88" t="s">
        <v>93</v>
      </c>
      <c r="AE6" s="88" t="s">
        <v>94</v>
      </c>
      <c r="AF6" s="88"/>
      <c r="AG6" s="88" t="s">
        <v>94</v>
      </c>
      <c r="AH6" s="88" t="s">
        <v>95</v>
      </c>
    </row>
    <row r="7" customFormat="false" ht="15" hidden="false" customHeight="false" outlineLevel="0" collapsed="false">
      <c r="A7" s="88" t="s">
        <v>60</v>
      </c>
      <c r="B7" s="89" t="s">
        <v>17</v>
      </c>
      <c r="C7" s="88" t="s">
        <v>96</v>
      </c>
      <c r="D7" s="88" t="s">
        <v>97</v>
      </c>
      <c r="E7" s="88" t="s">
        <v>98</v>
      </c>
      <c r="F7" s="90" t="s">
        <v>89</v>
      </c>
      <c r="G7" s="88" t="s">
        <v>90</v>
      </c>
      <c r="H7" s="91" t="n">
        <f aca="false">IFERROR(INDEX(Schedule!$E$2:$E$147,MATCH($G7,Schedule!$A$2:$A$147,0)),"")</f>
        <v>45000</v>
      </c>
      <c r="I7" s="91" t="n">
        <f aca="false">IFERROR(INDEX(Schedule!$F$2:$F$147,MATCH($G7,Schedule!$A$2:$A$147,0)),"")</f>
        <v>45581</v>
      </c>
      <c r="J7" s="92"/>
      <c r="K7" s="92"/>
      <c r="L7" s="92"/>
      <c r="M7" s="92"/>
      <c r="N7" s="92"/>
      <c r="O7" s="90" t="n">
        <v>1</v>
      </c>
      <c r="P7" s="93" t="n">
        <f aca="false">IFERROR((IF(OR(ISNUMBER(J7),UPPER(TRIM(J7))="N/A"),1,0)*IF($W7="N",0,INDEX('Rules of Credit'!$B$5:$F$8,MATCH($F7,'Rules of Credit'!$A$5:$A$8,0),1))+IF(OR(ISNUMBER(K7),UPPER(TRIM(K7))="N/A"),1,0)*INDEX('Rules of Credit'!$B$5:$F$8,MATCH($F7,'Rules of Credit'!$A$5:$A$8,0),2)+IF(OR(ISNUMBER(L7),UPPER(TRIM(L7))="N/A"),1,0)*INDEX('Rules of Credit'!$B$5:$F$8,MATCH($F7,'Rules of Credit'!$A$5:$A$8,0),3)+IF(OR(ISNUMBER(M7),UPPER(TRIM(M7))="N/A"),1,0)*IF($X7="N",0,INDEX('Rules of Credit'!$B$5:$F$8,MATCH($F7,'Rules of Credit'!$A$5:$A$8,0),4))+IF(OR(ISNUMBER(N7),UPPER(TRIM(N7))="N/A"),1,0)*INDEX('Rules of Credit'!$B$5:$F$8,MATCH($F7,'Rules of Credit'!$A$5:$A$8,0),5))/(IF($W7="N",0,INDEX('Rules of Credit'!$B$5:$F$8,MATCH($F7,'Rules of Credit'!$A$5:$A$8,0),1))+INDEX('Rules of Credit'!$B$5:$F$8,MATCH($F7,'Rules of Credit'!$A$5:$A$8,0),2)+INDEX('Rules of Credit'!$B$5:$F$8,MATCH($F7,'Rules of Credit'!$A$5:$A$8,0),3)+IF($X7="N",0,INDEX('Rules of Credit'!$B$5:$F$8,MATCH($F7,'Rules of Credit'!$A$5:$A$8,0),4))+INDEX('Rules of Credit'!$B$5:$F$8,MATCH($F7,'Rules of Credit'!$A$5:$A$8,0),5)),0)</f>
        <v>0</v>
      </c>
      <c r="Q7" s="93" t="n">
        <f aca="false">IF(OR($H7="",$I7=""),0,IF('Tracker Summary'!$C$3&lt;$H7,0,IF('Tracker Summary'!$C$3&gt;=$I7,1,('Tracker Summary'!$C$3-$H7)/($I7-$H7+1))))</f>
        <v>0</v>
      </c>
      <c r="R7" s="93" t="n">
        <f aca="false">P7-Q7</f>
        <v>0</v>
      </c>
      <c r="S7" s="88" t="str">
        <f aca="false">IF($I7="","Not scheduled",IF(P7&gt;=1,"Complete",IF('Tracker Summary'!$C$3&gt;$I7,"Overdue",IF(P7-Q7&lt;-0.1,"Behind",IF(AND(P7=0,'Tracker Summary'!$C$3&lt;$H7),"Not started","On track")))))</f>
        <v>On track</v>
      </c>
      <c r="T7" s="90"/>
      <c r="U7" s="88" t="str">
        <f aca="false">IFERROR(INDEX(Schedule!$D$2:$D$147,MATCH($G7,Schedule!$A$2:$A$147,0)),"")</f>
        <v>General Requirements &amp; Temporary Works — Temporary facilities and controls</v>
      </c>
      <c r="V7" s="91" t="n">
        <f aca="false">IFERROR(INDEX(Schedule!$F$2:$F$147,MATCH("01-P01",Schedule!$A$2:$A$147,0)),"")</f>
        <v>44999</v>
      </c>
      <c r="W7" s="88" t="s">
        <v>99</v>
      </c>
      <c r="X7" s="88" t="s">
        <v>91</v>
      </c>
      <c r="Y7" s="88" t="n">
        <v>1</v>
      </c>
      <c r="Z7" s="88" t="n">
        <v>0</v>
      </c>
      <c r="AA7" s="88" t="s">
        <v>100</v>
      </c>
      <c r="AB7" s="88" t="s">
        <v>101</v>
      </c>
      <c r="AC7" s="88" t="s">
        <v>92</v>
      </c>
      <c r="AD7" s="88" t="s">
        <v>93</v>
      </c>
      <c r="AE7" s="88" t="s">
        <v>102</v>
      </c>
      <c r="AF7" s="88" t="s">
        <v>103</v>
      </c>
      <c r="AG7" s="88" t="s">
        <v>103</v>
      </c>
      <c r="AH7" s="88" t="s">
        <v>95</v>
      </c>
    </row>
    <row r="8" customFormat="false" ht="15" hidden="false" customHeight="false" outlineLevel="0" collapsed="false">
      <c r="A8" s="88" t="s">
        <v>60</v>
      </c>
      <c r="B8" s="89" t="s">
        <v>17</v>
      </c>
      <c r="C8" s="88" t="s">
        <v>104</v>
      </c>
      <c r="D8" s="88" t="s">
        <v>105</v>
      </c>
      <c r="E8" s="88" t="s">
        <v>98</v>
      </c>
      <c r="F8" s="90" t="s">
        <v>89</v>
      </c>
      <c r="G8" s="88" t="s">
        <v>90</v>
      </c>
      <c r="H8" s="91" t="n">
        <f aca="false">IFERROR(INDEX(Schedule!$E$2:$E$147,MATCH($G8,Schedule!$A$2:$A$147,0)),"")</f>
        <v>45000</v>
      </c>
      <c r="I8" s="91" t="n">
        <f aca="false">IFERROR(INDEX(Schedule!$F$2:$F$147,MATCH($G8,Schedule!$A$2:$A$147,0)),"")</f>
        <v>45581</v>
      </c>
      <c r="J8" s="92"/>
      <c r="K8" s="92"/>
      <c r="L8" s="92"/>
      <c r="M8" s="92"/>
      <c r="N8" s="92"/>
      <c r="O8" s="90" t="n">
        <v>1</v>
      </c>
      <c r="P8" s="93" t="n">
        <f aca="false">IFERROR((IF(OR(ISNUMBER(J8),UPPER(TRIM(J8))="N/A"),1,0)*IF($W8="N",0,INDEX('Rules of Credit'!$B$5:$F$8,MATCH($F8,'Rules of Credit'!$A$5:$A$8,0),1))+IF(OR(ISNUMBER(K8),UPPER(TRIM(K8))="N/A"),1,0)*INDEX('Rules of Credit'!$B$5:$F$8,MATCH($F8,'Rules of Credit'!$A$5:$A$8,0),2)+IF(OR(ISNUMBER(L8),UPPER(TRIM(L8))="N/A"),1,0)*INDEX('Rules of Credit'!$B$5:$F$8,MATCH($F8,'Rules of Credit'!$A$5:$A$8,0),3)+IF(OR(ISNUMBER(M8),UPPER(TRIM(M8))="N/A"),1,0)*IF($X8="N",0,INDEX('Rules of Credit'!$B$5:$F$8,MATCH($F8,'Rules of Credit'!$A$5:$A$8,0),4))+IF(OR(ISNUMBER(N8),UPPER(TRIM(N8))="N/A"),1,0)*INDEX('Rules of Credit'!$B$5:$F$8,MATCH($F8,'Rules of Credit'!$A$5:$A$8,0),5))/(IF($W8="N",0,INDEX('Rules of Credit'!$B$5:$F$8,MATCH($F8,'Rules of Credit'!$A$5:$A$8,0),1))+INDEX('Rules of Credit'!$B$5:$F$8,MATCH($F8,'Rules of Credit'!$A$5:$A$8,0),2)+INDEX('Rules of Credit'!$B$5:$F$8,MATCH($F8,'Rules of Credit'!$A$5:$A$8,0),3)+IF($X8="N",0,INDEX('Rules of Credit'!$B$5:$F$8,MATCH($F8,'Rules of Credit'!$A$5:$A$8,0),4))+INDEX('Rules of Credit'!$B$5:$F$8,MATCH($F8,'Rules of Credit'!$A$5:$A$8,0),5)),0)</f>
        <v>0</v>
      </c>
      <c r="Q8" s="93" t="n">
        <f aca="false">IF(OR($H8="",$I8=""),0,IF('Tracker Summary'!$C$3&lt;$H8,0,IF('Tracker Summary'!$C$3&gt;=$I8,1,('Tracker Summary'!$C$3-$H8)/($I8-$H8+1))))</f>
        <v>0</v>
      </c>
      <c r="R8" s="93" t="n">
        <f aca="false">P8-Q8</f>
        <v>0</v>
      </c>
      <c r="S8" s="88" t="str">
        <f aca="false">IF($I8="","Not scheduled",IF(P8&gt;=1,"Complete",IF('Tracker Summary'!$C$3&gt;$I8,"Overdue",IF(P8-Q8&lt;-0.1,"Behind",IF(AND(P8=0,'Tracker Summary'!$C$3&lt;$H8),"Not started","On track")))))</f>
        <v>On track</v>
      </c>
      <c r="T8" s="90"/>
      <c r="U8" s="88" t="str">
        <f aca="false">IFERROR(INDEX(Schedule!$D$2:$D$147,MATCH($G8,Schedule!$A$2:$A$147,0)),"")</f>
        <v>General Requirements &amp; Temporary Works — Temporary facilities and controls</v>
      </c>
      <c r="V8" s="91" t="n">
        <f aca="false">IFERROR(INDEX(Schedule!$F$2:$F$147,MATCH("01-P01",Schedule!$A$2:$A$147,0)),"")</f>
        <v>44999</v>
      </c>
      <c r="W8" s="88" t="s">
        <v>91</v>
      </c>
      <c r="X8" s="88" t="s">
        <v>91</v>
      </c>
      <c r="Y8" s="88" t="n">
        <v>0</v>
      </c>
      <c r="Z8" s="88" t="n">
        <v>0</v>
      </c>
      <c r="AA8" s="88" t="s">
        <v>106</v>
      </c>
      <c r="AB8" s="88" t="s">
        <v>107</v>
      </c>
      <c r="AC8" s="88" t="s">
        <v>92</v>
      </c>
      <c r="AD8" s="88" t="s">
        <v>93</v>
      </c>
      <c r="AE8" s="88"/>
      <c r="AF8" s="88" t="s">
        <v>108</v>
      </c>
      <c r="AG8" s="88" t="s">
        <v>108</v>
      </c>
      <c r="AH8" s="88" t="s">
        <v>109</v>
      </c>
    </row>
    <row r="9" customFormat="false" ht="15" hidden="false" customHeight="false" outlineLevel="0" collapsed="false">
      <c r="A9" s="88" t="s">
        <v>60</v>
      </c>
      <c r="B9" s="89" t="s">
        <v>17</v>
      </c>
      <c r="C9" s="88" t="s">
        <v>110</v>
      </c>
      <c r="D9" s="88" t="s">
        <v>111</v>
      </c>
      <c r="E9" s="88" t="s">
        <v>98</v>
      </c>
      <c r="F9" s="90" t="s">
        <v>89</v>
      </c>
      <c r="G9" s="88" t="s">
        <v>90</v>
      </c>
      <c r="H9" s="91" t="n">
        <f aca="false">IFERROR(INDEX(Schedule!$E$2:$E$147,MATCH($G9,Schedule!$A$2:$A$147,0)),"")</f>
        <v>45000</v>
      </c>
      <c r="I9" s="91" t="n">
        <f aca="false">IFERROR(INDEX(Schedule!$F$2:$F$147,MATCH($G9,Schedule!$A$2:$A$147,0)),"")</f>
        <v>45581</v>
      </c>
      <c r="J9" s="92"/>
      <c r="K9" s="92"/>
      <c r="L9" s="92"/>
      <c r="M9" s="92"/>
      <c r="N9" s="92"/>
      <c r="O9" s="90" t="n">
        <v>1</v>
      </c>
      <c r="P9" s="93" t="n">
        <f aca="false">IFERROR((IF(OR(ISNUMBER(J9),UPPER(TRIM(J9))="N/A"),1,0)*IF($W9="N",0,INDEX('Rules of Credit'!$B$5:$F$8,MATCH($F9,'Rules of Credit'!$A$5:$A$8,0),1))+IF(OR(ISNUMBER(K9),UPPER(TRIM(K9))="N/A"),1,0)*INDEX('Rules of Credit'!$B$5:$F$8,MATCH($F9,'Rules of Credit'!$A$5:$A$8,0),2)+IF(OR(ISNUMBER(L9),UPPER(TRIM(L9))="N/A"),1,0)*INDEX('Rules of Credit'!$B$5:$F$8,MATCH($F9,'Rules of Credit'!$A$5:$A$8,0),3)+IF(OR(ISNUMBER(M9),UPPER(TRIM(M9))="N/A"),1,0)*IF($X9="N",0,INDEX('Rules of Credit'!$B$5:$F$8,MATCH($F9,'Rules of Credit'!$A$5:$A$8,0),4))+IF(OR(ISNUMBER(N9),UPPER(TRIM(N9))="N/A"),1,0)*INDEX('Rules of Credit'!$B$5:$F$8,MATCH($F9,'Rules of Credit'!$A$5:$A$8,0),5))/(IF($W9="N",0,INDEX('Rules of Credit'!$B$5:$F$8,MATCH($F9,'Rules of Credit'!$A$5:$A$8,0),1))+INDEX('Rules of Credit'!$B$5:$F$8,MATCH($F9,'Rules of Credit'!$A$5:$A$8,0),2)+INDEX('Rules of Credit'!$B$5:$F$8,MATCH($F9,'Rules of Credit'!$A$5:$A$8,0),3)+IF($X9="N",0,INDEX('Rules of Credit'!$B$5:$F$8,MATCH($F9,'Rules of Credit'!$A$5:$A$8,0),4))+INDEX('Rules of Credit'!$B$5:$F$8,MATCH($F9,'Rules of Credit'!$A$5:$A$8,0),5)),0)</f>
        <v>0</v>
      </c>
      <c r="Q9" s="93" t="n">
        <f aca="false">IF(OR($H9="",$I9=""),0,IF('Tracker Summary'!$C$3&lt;$H9,0,IF('Tracker Summary'!$C$3&gt;=$I9,1,('Tracker Summary'!$C$3-$H9)/($I9-$H9+1))))</f>
        <v>0</v>
      </c>
      <c r="R9" s="93" t="n">
        <f aca="false">P9-Q9</f>
        <v>0</v>
      </c>
      <c r="S9" s="88" t="str">
        <f aca="false">IF($I9="","Not scheduled",IF(P9&gt;=1,"Complete",IF('Tracker Summary'!$C$3&gt;$I9,"Overdue",IF(P9-Q9&lt;-0.1,"Behind",IF(AND(P9=0,'Tracker Summary'!$C$3&lt;$H9),"Not started","On track")))))</f>
        <v>On track</v>
      </c>
      <c r="T9" s="90"/>
      <c r="U9" s="88" t="str">
        <f aca="false">IFERROR(INDEX(Schedule!$D$2:$D$147,MATCH($G9,Schedule!$A$2:$A$147,0)),"")</f>
        <v>General Requirements &amp; Temporary Works — Temporary facilities and controls</v>
      </c>
      <c r="V9" s="91" t="n">
        <f aca="false">IFERROR(INDEX(Schedule!$F$2:$F$147,MATCH("01-P01",Schedule!$A$2:$A$147,0)),"")</f>
        <v>44999</v>
      </c>
      <c r="W9" s="88" t="s">
        <v>91</v>
      </c>
      <c r="X9" s="88" t="s">
        <v>91</v>
      </c>
      <c r="Y9" s="88" t="n">
        <v>0</v>
      </c>
      <c r="Z9" s="88" t="n">
        <v>0</v>
      </c>
      <c r="AA9" s="88"/>
      <c r="AB9" s="88"/>
      <c r="AC9" s="88" t="s">
        <v>92</v>
      </c>
      <c r="AD9" s="88" t="s">
        <v>93</v>
      </c>
      <c r="AE9" s="88"/>
      <c r="AF9" s="88" t="s">
        <v>112</v>
      </c>
      <c r="AG9" s="88" t="s">
        <v>112</v>
      </c>
      <c r="AH9" s="88" t="s">
        <v>109</v>
      </c>
    </row>
    <row r="10" customFormat="false" ht="15" hidden="false" customHeight="false" outlineLevel="0" collapsed="false">
      <c r="A10" s="88" t="s">
        <v>60</v>
      </c>
      <c r="B10" s="89" t="s">
        <v>17</v>
      </c>
      <c r="C10" s="88" t="s">
        <v>113</v>
      </c>
      <c r="D10" s="88" t="s">
        <v>114</v>
      </c>
      <c r="E10" s="88" t="s">
        <v>115</v>
      </c>
      <c r="F10" s="90" t="s">
        <v>89</v>
      </c>
      <c r="G10" s="88" t="s">
        <v>90</v>
      </c>
      <c r="H10" s="91" t="n">
        <f aca="false">IFERROR(INDEX(Schedule!$E$2:$E$147,MATCH($G10,Schedule!$A$2:$A$147,0)),"")</f>
        <v>45000</v>
      </c>
      <c r="I10" s="91" t="n">
        <f aca="false">IFERROR(INDEX(Schedule!$F$2:$F$147,MATCH($G10,Schedule!$A$2:$A$147,0)),"")</f>
        <v>45581</v>
      </c>
      <c r="J10" s="92"/>
      <c r="K10" s="92"/>
      <c r="L10" s="92"/>
      <c r="M10" s="92"/>
      <c r="N10" s="92"/>
      <c r="O10" s="90" t="n">
        <v>1</v>
      </c>
      <c r="P10" s="93" t="n">
        <f aca="false">IFERROR((IF(OR(ISNUMBER(J10),UPPER(TRIM(J10))="N/A"),1,0)*IF($W10="N",0,INDEX('Rules of Credit'!$B$5:$F$8,MATCH($F10,'Rules of Credit'!$A$5:$A$8,0),1))+IF(OR(ISNUMBER(K10),UPPER(TRIM(K10))="N/A"),1,0)*INDEX('Rules of Credit'!$B$5:$F$8,MATCH($F10,'Rules of Credit'!$A$5:$A$8,0),2)+IF(OR(ISNUMBER(L10),UPPER(TRIM(L10))="N/A"),1,0)*INDEX('Rules of Credit'!$B$5:$F$8,MATCH($F10,'Rules of Credit'!$A$5:$A$8,0),3)+IF(OR(ISNUMBER(M10),UPPER(TRIM(M10))="N/A"),1,0)*IF($X10="N",0,INDEX('Rules of Credit'!$B$5:$F$8,MATCH($F10,'Rules of Credit'!$A$5:$A$8,0),4))+IF(OR(ISNUMBER(N10),UPPER(TRIM(N10))="N/A"),1,0)*INDEX('Rules of Credit'!$B$5:$F$8,MATCH($F10,'Rules of Credit'!$A$5:$A$8,0),5))/(IF($W10="N",0,INDEX('Rules of Credit'!$B$5:$F$8,MATCH($F10,'Rules of Credit'!$A$5:$A$8,0),1))+INDEX('Rules of Credit'!$B$5:$F$8,MATCH($F10,'Rules of Credit'!$A$5:$A$8,0),2)+INDEX('Rules of Credit'!$B$5:$F$8,MATCH($F10,'Rules of Credit'!$A$5:$A$8,0),3)+IF($X10="N",0,INDEX('Rules of Credit'!$B$5:$F$8,MATCH($F10,'Rules of Credit'!$A$5:$A$8,0),4))+INDEX('Rules of Credit'!$B$5:$F$8,MATCH($F10,'Rules of Credit'!$A$5:$A$8,0),5)),0)</f>
        <v>0</v>
      </c>
      <c r="Q10" s="93" t="n">
        <f aca="false">IF(OR($H10="",$I10=""),0,IF('Tracker Summary'!$C$3&lt;$H10,0,IF('Tracker Summary'!$C$3&gt;=$I10,1,('Tracker Summary'!$C$3-$H10)/($I10-$H10+1))))</f>
        <v>0</v>
      </c>
      <c r="R10" s="93" t="n">
        <f aca="false">P10-Q10</f>
        <v>0</v>
      </c>
      <c r="S10" s="88" t="str">
        <f aca="false">IF($I10="","Not scheduled",IF(P10&gt;=1,"Complete",IF('Tracker Summary'!$C$3&gt;$I10,"Overdue",IF(P10-Q10&lt;-0.1,"Behind",IF(AND(P10=0,'Tracker Summary'!$C$3&lt;$H10),"Not started","On track")))))</f>
        <v>On track</v>
      </c>
      <c r="T10" s="90"/>
      <c r="U10" s="88" t="str">
        <f aca="false">IFERROR(INDEX(Schedule!$D$2:$D$147,MATCH($G10,Schedule!$A$2:$A$147,0)),"")</f>
        <v>General Requirements &amp; Temporary Works — Temporary facilities and controls</v>
      </c>
      <c r="V10" s="91" t="n">
        <f aca="false">IFERROR(INDEX(Schedule!$F$2:$F$147,MATCH("01-P01",Schedule!$A$2:$A$147,0)),"")</f>
        <v>44999</v>
      </c>
      <c r="W10" s="88" t="s">
        <v>91</v>
      </c>
      <c r="X10" s="88" t="s">
        <v>91</v>
      </c>
      <c r="Y10" s="88" t="n">
        <v>0</v>
      </c>
      <c r="Z10" s="88" t="n">
        <v>0</v>
      </c>
      <c r="AA10" s="88"/>
      <c r="AB10" s="88" t="s">
        <v>116</v>
      </c>
      <c r="AC10" s="88" t="s">
        <v>92</v>
      </c>
      <c r="AD10" s="88" t="s">
        <v>93</v>
      </c>
      <c r="AE10" s="88"/>
      <c r="AF10" s="88" t="s">
        <v>117</v>
      </c>
      <c r="AG10" s="88" t="s">
        <v>117</v>
      </c>
      <c r="AH10" s="88" t="s">
        <v>109</v>
      </c>
    </row>
    <row r="11" customFormat="false" ht="15" hidden="false" customHeight="false" outlineLevel="0" collapsed="false">
      <c r="A11" s="88" t="s">
        <v>60</v>
      </c>
      <c r="B11" s="89" t="s">
        <v>17</v>
      </c>
      <c r="C11" s="88" t="s">
        <v>118</v>
      </c>
      <c r="D11" s="88" t="s">
        <v>119</v>
      </c>
      <c r="E11" s="88" t="s">
        <v>98</v>
      </c>
      <c r="F11" s="90" t="s">
        <v>89</v>
      </c>
      <c r="G11" s="88" t="s">
        <v>90</v>
      </c>
      <c r="H11" s="91" t="n">
        <f aca="false">IFERROR(INDEX(Schedule!$E$2:$E$147,MATCH($G11,Schedule!$A$2:$A$147,0)),"")</f>
        <v>45000</v>
      </c>
      <c r="I11" s="91" t="n">
        <f aca="false">IFERROR(INDEX(Schedule!$F$2:$F$147,MATCH($G11,Schedule!$A$2:$A$147,0)),"")</f>
        <v>45581</v>
      </c>
      <c r="J11" s="92"/>
      <c r="K11" s="92"/>
      <c r="L11" s="92"/>
      <c r="M11" s="92"/>
      <c r="N11" s="92"/>
      <c r="O11" s="90" t="n">
        <v>1</v>
      </c>
      <c r="P11" s="93" t="n">
        <f aca="false">IFERROR((IF(OR(ISNUMBER(J11),UPPER(TRIM(J11))="N/A"),1,0)*IF($W11="N",0,INDEX('Rules of Credit'!$B$5:$F$8,MATCH($F11,'Rules of Credit'!$A$5:$A$8,0),1))+IF(OR(ISNUMBER(K11),UPPER(TRIM(K11))="N/A"),1,0)*INDEX('Rules of Credit'!$B$5:$F$8,MATCH($F11,'Rules of Credit'!$A$5:$A$8,0),2)+IF(OR(ISNUMBER(L11),UPPER(TRIM(L11))="N/A"),1,0)*INDEX('Rules of Credit'!$B$5:$F$8,MATCH($F11,'Rules of Credit'!$A$5:$A$8,0),3)+IF(OR(ISNUMBER(M11),UPPER(TRIM(M11))="N/A"),1,0)*IF($X11="N",0,INDEX('Rules of Credit'!$B$5:$F$8,MATCH($F11,'Rules of Credit'!$A$5:$A$8,0),4))+IF(OR(ISNUMBER(N11),UPPER(TRIM(N11))="N/A"),1,0)*INDEX('Rules of Credit'!$B$5:$F$8,MATCH($F11,'Rules of Credit'!$A$5:$A$8,0),5))/(IF($W11="N",0,INDEX('Rules of Credit'!$B$5:$F$8,MATCH($F11,'Rules of Credit'!$A$5:$A$8,0),1))+INDEX('Rules of Credit'!$B$5:$F$8,MATCH($F11,'Rules of Credit'!$A$5:$A$8,0),2)+INDEX('Rules of Credit'!$B$5:$F$8,MATCH($F11,'Rules of Credit'!$A$5:$A$8,0),3)+IF($X11="N",0,INDEX('Rules of Credit'!$B$5:$F$8,MATCH($F11,'Rules of Credit'!$A$5:$A$8,0),4))+INDEX('Rules of Credit'!$B$5:$F$8,MATCH($F11,'Rules of Credit'!$A$5:$A$8,0),5)),0)</f>
        <v>0</v>
      </c>
      <c r="Q11" s="93" t="n">
        <f aca="false">IF(OR($H11="",$I11=""),0,IF('Tracker Summary'!$C$3&lt;$H11,0,IF('Tracker Summary'!$C$3&gt;=$I11,1,('Tracker Summary'!$C$3-$H11)/($I11-$H11+1))))</f>
        <v>0</v>
      </c>
      <c r="R11" s="93" t="n">
        <f aca="false">P11-Q11</f>
        <v>0</v>
      </c>
      <c r="S11" s="88" t="str">
        <f aca="false">IF($I11="","Not scheduled",IF(P11&gt;=1,"Complete",IF('Tracker Summary'!$C$3&gt;$I11,"Overdue",IF(P11-Q11&lt;-0.1,"Behind",IF(AND(P11=0,'Tracker Summary'!$C$3&lt;$H11),"Not started","On track")))))</f>
        <v>On track</v>
      </c>
      <c r="T11" s="90"/>
      <c r="U11" s="88" t="str">
        <f aca="false">IFERROR(INDEX(Schedule!$D$2:$D$147,MATCH($G11,Schedule!$A$2:$A$147,0)),"")</f>
        <v>General Requirements &amp; Temporary Works — Temporary facilities and controls</v>
      </c>
      <c r="V11" s="91" t="n">
        <f aca="false">IFERROR(INDEX(Schedule!$F$2:$F$147,MATCH("01-P01",Schedule!$A$2:$A$147,0)),"")</f>
        <v>44999</v>
      </c>
      <c r="W11" s="88" t="s">
        <v>91</v>
      </c>
      <c r="X11" s="88" t="s">
        <v>91</v>
      </c>
      <c r="Y11" s="88" t="n">
        <v>0</v>
      </c>
      <c r="Z11" s="88" t="n">
        <v>0</v>
      </c>
      <c r="AA11" s="88"/>
      <c r="AB11" s="88"/>
      <c r="AC11" s="88" t="s">
        <v>120</v>
      </c>
      <c r="AD11" s="88" t="s">
        <v>93</v>
      </c>
      <c r="AE11" s="88"/>
      <c r="AF11" s="88" t="s">
        <v>121</v>
      </c>
      <c r="AG11" s="88" t="s">
        <v>122</v>
      </c>
      <c r="AH11" s="88" t="s">
        <v>109</v>
      </c>
    </row>
    <row r="12" customFormat="false" ht="15" hidden="false" customHeight="false" outlineLevel="0" collapsed="false">
      <c r="A12" s="88" t="s">
        <v>60</v>
      </c>
      <c r="B12" s="89" t="s">
        <v>17</v>
      </c>
      <c r="C12" s="88" t="s">
        <v>123</v>
      </c>
      <c r="D12" s="88" t="s">
        <v>124</v>
      </c>
      <c r="E12" s="88" t="s">
        <v>98</v>
      </c>
      <c r="F12" s="90" t="s">
        <v>89</v>
      </c>
      <c r="G12" s="88" t="s">
        <v>90</v>
      </c>
      <c r="H12" s="91" t="n">
        <f aca="false">IFERROR(INDEX(Schedule!$E$2:$E$147,MATCH($G12,Schedule!$A$2:$A$147,0)),"")</f>
        <v>45000</v>
      </c>
      <c r="I12" s="91" t="n">
        <f aca="false">IFERROR(INDEX(Schedule!$F$2:$F$147,MATCH($G12,Schedule!$A$2:$A$147,0)),"")</f>
        <v>45581</v>
      </c>
      <c r="J12" s="92"/>
      <c r="K12" s="92"/>
      <c r="L12" s="92"/>
      <c r="M12" s="92"/>
      <c r="N12" s="92"/>
      <c r="O12" s="90" t="n">
        <v>1</v>
      </c>
      <c r="P12" s="93" t="n">
        <f aca="false">IFERROR((IF(OR(ISNUMBER(J12),UPPER(TRIM(J12))="N/A"),1,0)*IF($W12="N",0,INDEX('Rules of Credit'!$B$5:$F$8,MATCH($F12,'Rules of Credit'!$A$5:$A$8,0),1))+IF(OR(ISNUMBER(K12),UPPER(TRIM(K12))="N/A"),1,0)*INDEX('Rules of Credit'!$B$5:$F$8,MATCH($F12,'Rules of Credit'!$A$5:$A$8,0),2)+IF(OR(ISNUMBER(L12),UPPER(TRIM(L12))="N/A"),1,0)*INDEX('Rules of Credit'!$B$5:$F$8,MATCH($F12,'Rules of Credit'!$A$5:$A$8,0),3)+IF(OR(ISNUMBER(M12),UPPER(TRIM(M12))="N/A"),1,0)*IF($X12="N",0,INDEX('Rules of Credit'!$B$5:$F$8,MATCH($F12,'Rules of Credit'!$A$5:$A$8,0),4))+IF(OR(ISNUMBER(N12),UPPER(TRIM(N12))="N/A"),1,0)*INDEX('Rules of Credit'!$B$5:$F$8,MATCH($F12,'Rules of Credit'!$A$5:$A$8,0),5))/(IF($W12="N",0,INDEX('Rules of Credit'!$B$5:$F$8,MATCH($F12,'Rules of Credit'!$A$5:$A$8,0),1))+INDEX('Rules of Credit'!$B$5:$F$8,MATCH($F12,'Rules of Credit'!$A$5:$A$8,0),2)+INDEX('Rules of Credit'!$B$5:$F$8,MATCH($F12,'Rules of Credit'!$A$5:$A$8,0),3)+IF($X12="N",0,INDEX('Rules of Credit'!$B$5:$F$8,MATCH($F12,'Rules of Credit'!$A$5:$A$8,0),4))+INDEX('Rules of Credit'!$B$5:$F$8,MATCH($F12,'Rules of Credit'!$A$5:$A$8,0),5)),0)</f>
        <v>0</v>
      </c>
      <c r="Q12" s="93" t="n">
        <f aca="false">IF(OR($H12="",$I12=""),0,IF('Tracker Summary'!$C$3&lt;$H12,0,IF('Tracker Summary'!$C$3&gt;=$I12,1,('Tracker Summary'!$C$3-$H12)/($I12-$H12+1))))</f>
        <v>0</v>
      </c>
      <c r="R12" s="93" t="n">
        <f aca="false">P12-Q12</f>
        <v>0</v>
      </c>
      <c r="S12" s="88" t="str">
        <f aca="false">IF($I12="","Not scheduled",IF(P12&gt;=1,"Complete",IF('Tracker Summary'!$C$3&gt;$I12,"Overdue",IF(P12-Q12&lt;-0.1,"Behind",IF(AND(P12=0,'Tracker Summary'!$C$3&lt;$H12),"Not started","On track")))))</f>
        <v>On track</v>
      </c>
      <c r="T12" s="90"/>
      <c r="U12" s="88" t="str">
        <f aca="false">IFERROR(INDEX(Schedule!$D$2:$D$147,MATCH($G12,Schedule!$A$2:$A$147,0)),"")</f>
        <v>General Requirements &amp; Temporary Works — Temporary facilities and controls</v>
      </c>
      <c r="V12" s="91" t="n">
        <f aca="false">IFERROR(INDEX(Schedule!$F$2:$F$147,MATCH("01-P01",Schedule!$A$2:$A$147,0)),"")</f>
        <v>44999</v>
      </c>
      <c r="W12" s="88" t="s">
        <v>91</v>
      </c>
      <c r="X12" s="88" t="s">
        <v>91</v>
      </c>
      <c r="Y12" s="88" t="n">
        <v>0</v>
      </c>
      <c r="Z12" s="88" t="n">
        <v>0</v>
      </c>
      <c r="AA12" s="88"/>
      <c r="AB12" s="88"/>
      <c r="AC12" s="88" t="s">
        <v>120</v>
      </c>
      <c r="AD12" s="88" t="s">
        <v>93</v>
      </c>
      <c r="AE12" s="88"/>
      <c r="AF12" s="88" t="s">
        <v>125</v>
      </c>
      <c r="AG12" s="88" t="s">
        <v>125</v>
      </c>
      <c r="AH12" s="88" t="s">
        <v>109</v>
      </c>
    </row>
    <row r="13" customFormat="false" ht="15" hidden="false" customHeight="false" outlineLevel="0" collapsed="false">
      <c r="A13" s="88" t="s">
        <v>60</v>
      </c>
      <c r="B13" s="89" t="s">
        <v>17</v>
      </c>
      <c r="C13" s="88" t="s">
        <v>126</v>
      </c>
      <c r="D13" s="88" t="s">
        <v>127</v>
      </c>
      <c r="E13" s="88" t="s">
        <v>98</v>
      </c>
      <c r="F13" s="90" t="s">
        <v>89</v>
      </c>
      <c r="G13" s="88" t="s">
        <v>90</v>
      </c>
      <c r="H13" s="91" t="n">
        <f aca="false">IFERROR(INDEX(Schedule!$E$2:$E$147,MATCH($G13,Schedule!$A$2:$A$147,0)),"")</f>
        <v>45000</v>
      </c>
      <c r="I13" s="91" t="n">
        <f aca="false">IFERROR(INDEX(Schedule!$F$2:$F$147,MATCH($G13,Schedule!$A$2:$A$147,0)),"")</f>
        <v>45581</v>
      </c>
      <c r="J13" s="92"/>
      <c r="K13" s="92"/>
      <c r="L13" s="92"/>
      <c r="M13" s="92"/>
      <c r="N13" s="92"/>
      <c r="O13" s="90" t="n">
        <v>1</v>
      </c>
      <c r="P13" s="93" t="n">
        <f aca="false">IFERROR((IF(OR(ISNUMBER(J13),UPPER(TRIM(J13))="N/A"),1,0)*IF($W13="N",0,INDEX('Rules of Credit'!$B$5:$F$8,MATCH($F13,'Rules of Credit'!$A$5:$A$8,0),1))+IF(OR(ISNUMBER(K13),UPPER(TRIM(K13))="N/A"),1,0)*INDEX('Rules of Credit'!$B$5:$F$8,MATCH($F13,'Rules of Credit'!$A$5:$A$8,0),2)+IF(OR(ISNUMBER(L13),UPPER(TRIM(L13))="N/A"),1,0)*INDEX('Rules of Credit'!$B$5:$F$8,MATCH($F13,'Rules of Credit'!$A$5:$A$8,0),3)+IF(OR(ISNUMBER(M13),UPPER(TRIM(M13))="N/A"),1,0)*IF($X13="N",0,INDEX('Rules of Credit'!$B$5:$F$8,MATCH($F13,'Rules of Credit'!$A$5:$A$8,0),4))+IF(OR(ISNUMBER(N13),UPPER(TRIM(N13))="N/A"),1,0)*INDEX('Rules of Credit'!$B$5:$F$8,MATCH($F13,'Rules of Credit'!$A$5:$A$8,0),5))/(IF($W13="N",0,INDEX('Rules of Credit'!$B$5:$F$8,MATCH($F13,'Rules of Credit'!$A$5:$A$8,0),1))+INDEX('Rules of Credit'!$B$5:$F$8,MATCH($F13,'Rules of Credit'!$A$5:$A$8,0),2)+INDEX('Rules of Credit'!$B$5:$F$8,MATCH($F13,'Rules of Credit'!$A$5:$A$8,0),3)+IF($X13="N",0,INDEX('Rules of Credit'!$B$5:$F$8,MATCH($F13,'Rules of Credit'!$A$5:$A$8,0),4))+INDEX('Rules of Credit'!$B$5:$F$8,MATCH($F13,'Rules of Credit'!$A$5:$A$8,0),5)),0)</f>
        <v>0</v>
      </c>
      <c r="Q13" s="93" t="n">
        <f aca="false">IF(OR($H13="",$I13=""),0,IF('Tracker Summary'!$C$3&lt;$H13,0,IF('Tracker Summary'!$C$3&gt;=$I13,1,('Tracker Summary'!$C$3-$H13)/($I13-$H13+1))))</f>
        <v>0</v>
      </c>
      <c r="R13" s="93" t="n">
        <f aca="false">P13-Q13</f>
        <v>0</v>
      </c>
      <c r="S13" s="88" t="str">
        <f aca="false">IF($I13="","Not scheduled",IF(P13&gt;=1,"Complete",IF('Tracker Summary'!$C$3&gt;$I13,"Overdue",IF(P13-Q13&lt;-0.1,"Behind",IF(AND(P13=0,'Tracker Summary'!$C$3&lt;$H13),"Not started","On track")))))</f>
        <v>On track</v>
      </c>
      <c r="T13" s="90"/>
      <c r="U13" s="88" t="str">
        <f aca="false">IFERROR(INDEX(Schedule!$D$2:$D$147,MATCH($G13,Schedule!$A$2:$A$147,0)),"")</f>
        <v>General Requirements &amp; Temporary Works — Temporary facilities and controls</v>
      </c>
      <c r="V13" s="91" t="n">
        <f aca="false">IFERROR(INDEX(Schedule!$F$2:$F$147,MATCH("01-P01",Schedule!$A$2:$A$147,0)),"")</f>
        <v>44999</v>
      </c>
      <c r="W13" s="88" t="s">
        <v>91</v>
      </c>
      <c r="X13" s="88" t="s">
        <v>91</v>
      </c>
      <c r="Y13" s="88" t="n">
        <v>0</v>
      </c>
      <c r="Z13" s="88" t="n">
        <v>0</v>
      </c>
      <c r="AA13" s="88"/>
      <c r="AB13" s="88"/>
      <c r="AC13" s="88" t="s">
        <v>120</v>
      </c>
      <c r="AD13" s="88" t="s">
        <v>93</v>
      </c>
      <c r="AE13" s="88"/>
      <c r="AF13" s="88" t="s">
        <v>125</v>
      </c>
      <c r="AG13" s="88" t="s">
        <v>125</v>
      </c>
      <c r="AH13" s="88" t="s">
        <v>109</v>
      </c>
    </row>
    <row r="14" customFormat="false" ht="15" hidden="false" customHeight="false" outlineLevel="0" collapsed="false">
      <c r="A14" s="88" t="s">
        <v>60</v>
      </c>
      <c r="B14" s="89" t="s">
        <v>17</v>
      </c>
      <c r="C14" s="88" t="s">
        <v>128</v>
      </c>
      <c r="D14" s="88" t="s">
        <v>129</v>
      </c>
      <c r="E14" s="88" t="s">
        <v>98</v>
      </c>
      <c r="F14" s="90" t="s">
        <v>89</v>
      </c>
      <c r="G14" s="88" t="s">
        <v>130</v>
      </c>
      <c r="H14" s="91" t="n">
        <f aca="false">IFERROR(INDEX(Schedule!$E$2:$E$147,MATCH($G14,Schedule!$A$2:$A$147,0)),"")</f>
        <v>45017</v>
      </c>
      <c r="I14" s="91" t="n">
        <f aca="false">IFERROR(INDEX(Schedule!$F$2:$F$147,MATCH($G14,Schedule!$A$2:$A$147,0)),"")</f>
        <v>45210</v>
      </c>
      <c r="J14" s="92"/>
      <c r="K14" s="92"/>
      <c r="L14" s="92"/>
      <c r="M14" s="92"/>
      <c r="N14" s="92"/>
      <c r="O14" s="90" t="n">
        <v>1</v>
      </c>
      <c r="P14" s="93" t="n">
        <f aca="false">IFERROR((IF(OR(ISNUMBER(J14),UPPER(TRIM(J14))="N/A"),1,0)*IF($W14="N",0,INDEX('Rules of Credit'!$B$5:$F$8,MATCH($F14,'Rules of Credit'!$A$5:$A$8,0),1))+IF(OR(ISNUMBER(K14),UPPER(TRIM(K14))="N/A"),1,0)*INDEX('Rules of Credit'!$B$5:$F$8,MATCH($F14,'Rules of Credit'!$A$5:$A$8,0),2)+IF(OR(ISNUMBER(L14),UPPER(TRIM(L14))="N/A"),1,0)*INDEX('Rules of Credit'!$B$5:$F$8,MATCH($F14,'Rules of Credit'!$A$5:$A$8,0),3)+IF(OR(ISNUMBER(M14),UPPER(TRIM(M14))="N/A"),1,0)*IF($X14="N",0,INDEX('Rules of Credit'!$B$5:$F$8,MATCH($F14,'Rules of Credit'!$A$5:$A$8,0),4))+IF(OR(ISNUMBER(N14),UPPER(TRIM(N14))="N/A"),1,0)*INDEX('Rules of Credit'!$B$5:$F$8,MATCH($F14,'Rules of Credit'!$A$5:$A$8,0),5))/(IF($W14="N",0,INDEX('Rules of Credit'!$B$5:$F$8,MATCH($F14,'Rules of Credit'!$A$5:$A$8,0),1))+INDEX('Rules of Credit'!$B$5:$F$8,MATCH($F14,'Rules of Credit'!$A$5:$A$8,0),2)+INDEX('Rules of Credit'!$B$5:$F$8,MATCH($F14,'Rules of Credit'!$A$5:$A$8,0),3)+IF($X14="N",0,INDEX('Rules of Credit'!$B$5:$F$8,MATCH($F14,'Rules of Credit'!$A$5:$A$8,0),4))+INDEX('Rules of Credit'!$B$5:$F$8,MATCH($F14,'Rules of Credit'!$A$5:$A$8,0),5)),0)</f>
        <v>0</v>
      </c>
      <c r="Q14" s="93" t="n">
        <f aca="false">IF(OR($H14="",$I14=""),0,IF('Tracker Summary'!$C$3&lt;$H14,0,IF('Tracker Summary'!$C$3&gt;=$I14,1,('Tracker Summary'!$C$3-$H14)/($I14-$H14+1))))</f>
        <v>0</v>
      </c>
      <c r="R14" s="93" t="n">
        <f aca="false">P14-Q14</f>
        <v>0</v>
      </c>
      <c r="S14" s="88" t="str">
        <f aca="false">IF($I14="","Not scheduled",IF(P14&gt;=1,"Complete",IF('Tracker Summary'!$C$3&gt;$I14,"Overdue",IF(P14-Q14&lt;-0.1,"Behind",IF(AND(P14=0,'Tracker Summary'!$C$3&lt;$H14),"Not started","On track")))))</f>
        <v>Not started</v>
      </c>
      <c r="T14" s="90"/>
      <c r="U14" s="88" t="str">
        <f aca="false">IFERROR(INDEX(Schedule!$D$2:$D$147,MATCH($G14,Schedule!$A$2:$A$147,0)),"")</f>
        <v>General Requirements &amp; Temporary Works — Temporary bypass and interim effluent piping</v>
      </c>
      <c r="V14" s="91" t="n">
        <f aca="false">IFERROR(INDEX(Schedule!$F$2:$F$147,MATCH("01-P01",Schedule!$A$2:$A$147,0)),"")</f>
        <v>44999</v>
      </c>
      <c r="W14" s="88" t="s">
        <v>91</v>
      </c>
      <c r="X14" s="88" t="s">
        <v>91</v>
      </c>
      <c r="Y14" s="88" t="n">
        <v>0</v>
      </c>
      <c r="Z14" s="88" t="n">
        <v>0</v>
      </c>
      <c r="AA14" s="88" t="s">
        <v>131</v>
      </c>
      <c r="AB14" s="88" t="s">
        <v>132</v>
      </c>
      <c r="AC14" s="88" t="s">
        <v>92</v>
      </c>
      <c r="AD14" s="88" t="s">
        <v>93</v>
      </c>
      <c r="AE14" s="88" t="s">
        <v>133</v>
      </c>
      <c r="AF14" s="88"/>
      <c r="AG14" s="88" t="s">
        <v>134</v>
      </c>
      <c r="AH14" s="88" t="s">
        <v>95</v>
      </c>
    </row>
    <row r="15" customFormat="false" ht="15" hidden="false" customHeight="false" outlineLevel="0" collapsed="false">
      <c r="A15" s="88" t="s">
        <v>60</v>
      </c>
      <c r="B15" s="89" t="s">
        <v>17</v>
      </c>
      <c r="C15" s="88" t="s">
        <v>135</v>
      </c>
      <c r="D15" s="88" t="s">
        <v>136</v>
      </c>
      <c r="E15" s="88" t="s">
        <v>98</v>
      </c>
      <c r="F15" s="90" t="s">
        <v>89</v>
      </c>
      <c r="G15" s="88" t="s">
        <v>130</v>
      </c>
      <c r="H15" s="91" t="n">
        <f aca="false">IFERROR(INDEX(Schedule!$E$2:$E$147,MATCH($G15,Schedule!$A$2:$A$147,0)),"")</f>
        <v>45017</v>
      </c>
      <c r="I15" s="91" t="n">
        <f aca="false">IFERROR(INDEX(Schedule!$F$2:$F$147,MATCH($G15,Schedule!$A$2:$A$147,0)),"")</f>
        <v>45210</v>
      </c>
      <c r="J15" s="92"/>
      <c r="K15" s="92"/>
      <c r="L15" s="92"/>
      <c r="M15" s="92"/>
      <c r="N15" s="92"/>
      <c r="O15" s="90" t="n">
        <v>1</v>
      </c>
      <c r="P15" s="93" t="n">
        <f aca="false">IFERROR((IF(OR(ISNUMBER(J15),UPPER(TRIM(J15))="N/A"),1,0)*IF($W15="N",0,INDEX('Rules of Credit'!$B$5:$F$8,MATCH($F15,'Rules of Credit'!$A$5:$A$8,0),1))+IF(OR(ISNUMBER(K15),UPPER(TRIM(K15))="N/A"),1,0)*INDEX('Rules of Credit'!$B$5:$F$8,MATCH($F15,'Rules of Credit'!$A$5:$A$8,0),2)+IF(OR(ISNUMBER(L15),UPPER(TRIM(L15))="N/A"),1,0)*INDEX('Rules of Credit'!$B$5:$F$8,MATCH($F15,'Rules of Credit'!$A$5:$A$8,0),3)+IF(OR(ISNUMBER(M15),UPPER(TRIM(M15))="N/A"),1,0)*IF($X15="N",0,INDEX('Rules of Credit'!$B$5:$F$8,MATCH($F15,'Rules of Credit'!$A$5:$A$8,0),4))+IF(OR(ISNUMBER(N15),UPPER(TRIM(N15))="N/A"),1,0)*INDEX('Rules of Credit'!$B$5:$F$8,MATCH($F15,'Rules of Credit'!$A$5:$A$8,0),5))/(IF($W15="N",0,INDEX('Rules of Credit'!$B$5:$F$8,MATCH($F15,'Rules of Credit'!$A$5:$A$8,0),1))+INDEX('Rules of Credit'!$B$5:$F$8,MATCH($F15,'Rules of Credit'!$A$5:$A$8,0),2)+INDEX('Rules of Credit'!$B$5:$F$8,MATCH($F15,'Rules of Credit'!$A$5:$A$8,0),3)+IF($X15="N",0,INDEX('Rules of Credit'!$B$5:$F$8,MATCH($F15,'Rules of Credit'!$A$5:$A$8,0),4))+INDEX('Rules of Credit'!$B$5:$F$8,MATCH($F15,'Rules of Credit'!$A$5:$A$8,0),5)),0)</f>
        <v>0</v>
      </c>
      <c r="Q15" s="93" t="n">
        <f aca="false">IF(OR($H15="",$I15=""),0,IF('Tracker Summary'!$C$3&lt;$H15,0,IF('Tracker Summary'!$C$3&gt;=$I15,1,('Tracker Summary'!$C$3-$H15)/($I15-$H15+1))))</f>
        <v>0</v>
      </c>
      <c r="R15" s="93" t="n">
        <f aca="false">P15-Q15</f>
        <v>0</v>
      </c>
      <c r="S15" s="88" t="str">
        <f aca="false">IF($I15="","Not scheduled",IF(P15&gt;=1,"Complete",IF('Tracker Summary'!$C$3&gt;$I15,"Overdue",IF(P15-Q15&lt;-0.1,"Behind",IF(AND(P15=0,'Tracker Summary'!$C$3&lt;$H15),"Not started","On track")))))</f>
        <v>Not started</v>
      </c>
      <c r="T15" s="90"/>
      <c r="U15" s="88" t="str">
        <f aca="false">IFERROR(INDEX(Schedule!$D$2:$D$147,MATCH($G15,Schedule!$A$2:$A$147,0)),"")</f>
        <v>General Requirements &amp; Temporary Works — Temporary bypass and interim effluent piping</v>
      </c>
      <c r="V15" s="91" t="n">
        <f aca="false">IFERROR(INDEX(Schedule!$F$2:$F$147,MATCH("01-P01",Schedule!$A$2:$A$147,0)),"")</f>
        <v>44999</v>
      </c>
      <c r="W15" s="88" t="s">
        <v>91</v>
      </c>
      <c r="X15" s="88" t="s">
        <v>91</v>
      </c>
      <c r="Y15" s="88" t="n">
        <v>0</v>
      </c>
      <c r="Z15" s="88" t="n">
        <v>0</v>
      </c>
      <c r="AA15" s="88" t="s">
        <v>137</v>
      </c>
      <c r="AB15" s="88" t="s">
        <v>138</v>
      </c>
      <c r="AC15" s="88" t="s">
        <v>92</v>
      </c>
      <c r="AD15" s="88" t="s">
        <v>93</v>
      </c>
      <c r="AE15" s="88"/>
      <c r="AF15" s="88" t="s">
        <v>139</v>
      </c>
      <c r="AG15" s="88" t="s">
        <v>139</v>
      </c>
      <c r="AH15" s="88" t="s">
        <v>109</v>
      </c>
    </row>
    <row r="16" customFormat="false" ht="15" hidden="false" customHeight="false" outlineLevel="0" collapsed="false">
      <c r="A16" s="88" t="s">
        <v>60</v>
      </c>
      <c r="B16" s="89" t="s">
        <v>17</v>
      </c>
      <c r="C16" s="88" t="s">
        <v>140</v>
      </c>
      <c r="D16" s="88" t="s">
        <v>141</v>
      </c>
      <c r="E16" s="88" t="s">
        <v>98</v>
      </c>
      <c r="F16" s="90" t="s">
        <v>89</v>
      </c>
      <c r="G16" s="88" t="s">
        <v>130</v>
      </c>
      <c r="H16" s="91" t="n">
        <f aca="false">IFERROR(INDEX(Schedule!$E$2:$E$147,MATCH($G16,Schedule!$A$2:$A$147,0)),"")</f>
        <v>45017</v>
      </c>
      <c r="I16" s="91" t="n">
        <f aca="false">IFERROR(INDEX(Schedule!$F$2:$F$147,MATCH($G16,Schedule!$A$2:$A$147,0)),"")</f>
        <v>45210</v>
      </c>
      <c r="J16" s="92"/>
      <c r="K16" s="92"/>
      <c r="L16" s="92"/>
      <c r="M16" s="92"/>
      <c r="N16" s="92"/>
      <c r="O16" s="90" t="n">
        <v>1</v>
      </c>
      <c r="P16" s="93" t="n">
        <f aca="false">IFERROR((IF(OR(ISNUMBER(J16),UPPER(TRIM(J16))="N/A"),1,0)*IF($W16="N",0,INDEX('Rules of Credit'!$B$5:$F$8,MATCH($F16,'Rules of Credit'!$A$5:$A$8,0),1))+IF(OR(ISNUMBER(K16),UPPER(TRIM(K16))="N/A"),1,0)*INDEX('Rules of Credit'!$B$5:$F$8,MATCH($F16,'Rules of Credit'!$A$5:$A$8,0),2)+IF(OR(ISNUMBER(L16),UPPER(TRIM(L16))="N/A"),1,0)*INDEX('Rules of Credit'!$B$5:$F$8,MATCH($F16,'Rules of Credit'!$A$5:$A$8,0),3)+IF(OR(ISNUMBER(M16),UPPER(TRIM(M16))="N/A"),1,0)*IF($X16="N",0,INDEX('Rules of Credit'!$B$5:$F$8,MATCH($F16,'Rules of Credit'!$A$5:$A$8,0),4))+IF(OR(ISNUMBER(N16),UPPER(TRIM(N16))="N/A"),1,0)*INDEX('Rules of Credit'!$B$5:$F$8,MATCH($F16,'Rules of Credit'!$A$5:$A$8,0),5))/(IF($W16="N",0,INDEX('Rules of Credit'!$B$5:$F$8,MATCH($F16,'Rules of Credit'!$A$5:$A$8,0),1))+INDEX('Rules of Credit'!$B$5:$F$8,MATCH($F16,'Rules of Credit'!$A$5:$A$8,0),2)+INDEX('Rules of Credit'!$B$5:$F$8,MATCH($F16,'Rules of Credit'!$A$5:$A$8,0),3)+IF($X16="N",0,INDEX('Rules of Credit'!$B$5:$F$8,MATCH($F16,'Rules of Credit'!$A$5:$A$8,0),4))+INDEX('Rules of Credit'!$B$5:$F$8,MATCH($F16,'Rules of Credit'!$A$5:$A$8,0),5)),0)</f>
        <v>0</v>
      </c>
      <c r="Q16" s="93" t="n">
        <f aca="false">IF(OR($H16="",$I16=""),0,IF('Tracker Summary'!$C$3&lt;$H16,0,IF('Tracker Summary'!$C$3&gt;=$I16,1,('Tracker Summary'!$C$3-$H16)/($I16-$H16+1))))</f>
        <v>0</v>
      </c>
      <c r="R16" s="93" t="n">
        <f aca="false">P16-Q16</f>
        <v>0</v>
      </c>
      <c r="S16" s="88" t="str">
        <f aca="false">IF($I16="","Not scheduled",IF(P16&gt;=1,"Complete",IF('Tracker Summary'!$C$3&gt;$I16,"Overdue",IF(P16-Q16&lt;-0.1,"Behind",IF(AND(P16=0,'Tracker Summary'!$C$3&lt;$H16),"Not started","On track")))))</f>
        <v>Not started</v>
      </c>
      <c r="T16" s="90"/>
      <c r="U16" s="88" t="str">
        <f aca="false">IFERROR(INDEX(Schedule!$D$2:$D$147,MATCH($G16,Schedule!$A$2:$A$147,0)),"")</f>
        <v>General Requirements &amp; Temporary Works — Temporary bypass and interim effluent piping</v>
      </c>
      <c r="V16" s="91" t="n">
        <f aca="false">IFERROR(INDEX(Schedule!$F$2:$F$147,MATCH("01-P01",Schedule!$A$2:$A$147,0)),"")</f>
        <v>44999</v>
      </c>
      <c r="W16" s="88" t="s">
        <v>99</v>
      </c>
      <c r="X16" s="88" t="s">
        <v>91</v>
      </c>
      <c r="Y16" s="88" t="n">
        <v>6</v>
      </c>
      <c r="Z16" s="88" t="n">
        <v>0</v>
      </c>
      <c r="AA16" s="88" t="s">
        <v>137</v>
      </c>
      <c r="AB16" s="88" t="s">
        <v>142</v>
      </c>
      <c r="AC16" s="88" t="s">
        <v>92</v>
      </c>
      <c r="AD16" s="88" t="s">
        <v>93</v>
      </c>
      <c r="AE16" s="88"/>
      <c r="AF16" s="88" t="s">
        <v>143</v>
      </c>
      <c r="AG16" s="88" t="s">
        <v>143</v>
      </c>
      <c r="AH16" s="88" t="s">
        <v>109</v>
      </c>
    </row>
    <row r="17" customFormat="false" ht="15" hidden="false" customHeight="false" outlineLevel="0" collapsed="false">
      <c r="A17" s="88" t="s">
        <v>60</v>
      </c>
      <c r="B17" s="89" t="s">
        <v>17</v>
      </c>
      <c r="C17" s="88" t="s">
        <v>144</v>
      </c>
      <c r="D17" s="88" t="s">
        <v>145</v>
      </c>
      <c r="E17" s="88" t="s">
        <v>115</v>
      </c>
      <c r="F17" s="90" t="s">
        <v>89</v>
      </c>
      <c r="G17" s="88" t="s">
        <v>130</v>
      </c>
      <c r="H17" s="91" t="n">
        <f aca="false">IFERROR(INDEX(Schedule!$E$2:$E$147,MATCH($G17,Schedule!$A$2:$A$147,0)),"")</f>
        <v>45017</v>
      </c>
      <c r="I17" s="91" t="n">
        <f aca="false">IFERROR(INDEX(Schedule!$F$2:$F$147,MATCH($G17,Schedule!$A$2:$A$147,0)),"")</f>
        <v>45210</v>
      </c>
      <c r="J17" s="92"/>
      <c r="K17" s="92"/>
      <c r="L17" s="92"/>
      <c r="M17" s="92"/>
      <c r="N17" s="92"/>
      <c r="O17" s="90" t="n">
        <v>1</v>
      </c>
      <c r="P17" s="93" t="n">
        <f aca="false">IFERROR((IF(OR(ISNUMBER(J17),UPPER(TRIM(J17))="N/A"),1,0)*IF($W17="N",0,INDEX('Rules of Credit'!$B$5:$F$8,MATCH($F17,'Rules of Credit'!$A$5:$A$8,0),1))+IF(OR(ISNUMBER(K17),UPPER(TRIM(K17))="N/A"),1,0)*INDEX('Rules of Credit'!$B$5:$F$8,MATCH($F17,'Rules of Credit'!$A$5:$A$8,0),2)+IF(OR(ISNUMBER(L17),UPPER(TRIM(L17))="N/A"),1,0)*INDEX('Rules of Credit'!$B$5:$F$8,MATCH($F17,'Rules of Credit'!$A$5:$A$8,0),3)+IF(OR(ISNUMBER(M17),UPPER(TRIM(M17))="N/A"),1,0)*IF($X17="N",0,INDEX('Rules of Credit'!$B$5:$F$8,MATCH($F17,'Rules of Credit'!$A$5:$A$8,0),4))+IF(OR(ISNUMBER(N17),UPPER(TRIM(N17))="N/A"),1,0)*INDEX('Rules of Credit'!$B$5:$F$8,MATCH($F17,'Rules of Credit'!$A$5:$A$8,0),5))/(IF($W17="N",0,INDEX('Rules of Credit'!$B$5:$F$8,MATCH($F17,'Rules of Credit'!$A$5:$A$8,0),1))+INDEX('Rules of Credit'!$B$5:$F$8,MATCH($F17,'Rules of Credit'!$A$5:$A$8,0),2)+INDEX('Rules of Credit'!$B$5:$F$8,MATCH($F17,'Rules of Credit'!$A$5:$A$8,0),3)+IF($X17="N",0,INDEX('Rules of Credit'!$B$5:$F$8,MATCH($F17,'Rules of Credit'!$A$5:$A$8,0),4))+INDEX('Rules of Credit'!$B$5:$F$8,MATCH($F17,'Rules of Credit'!$A$5:$A$8,0),5)),0)</f>
        <v>0</v>
      </c>
      <c r="Q17" s="93" t="n">
        <f aca="false">IF(OR($H17="",$I17=""),0,IF('Tracker Summary'!$C$3&lt;$H17,0,IF('Tracker Summary'!$C$3&gt;=$I17,1,('Tracker Summary'!$C$3-$H17)/($I17-$H17+1))))</f>
        <v>0</v>
      </c>
      <c r="R17" s="93" t="n">
        <f aca="false">P17-Q17</f>
        <v>0</v>
      </c>
      <c r="S17" s="88" t="str">
        <f aca="false">IF($I17="","Not scheduled",IF(P17&gt;=1,"Complete",IF('Tracker Summary'!$C$3&gt;$I17,"Overdue",IF(P17-Q17&lt;-0.1,"Behind",IF(AND(P17=0,'Tracker Summary'!$C$3&lt;$H17),"Not started","On track")))))</f>
        <v>Not started</v>
      </c>
      <c r="T17" s="90"/>
      <c r="U17" s="88" t="str">
        <f aca="false">IFERROR(INDEX(Schedule!$D$2:$D$147,MATCH($G17,Schedule!$A$2:$A$147,0)),"")</f>
        <v>General Requirements &amp; Temporary Works — Temporary bypass and interim effluent piping</v>
      </c>
      <c r="V17" s="91" t="n">
        <f aca="false">IFERROR(INDEX(Schedule!$F$2:$F$147,MATCH("01-P01",Schedule!$A$2:$A$147,0)),"")</f>
        <v>44999</v>
      </c>
      <c r="W17" s="88" t="s">
        <v>91</v>
      </c>
      <c r="X17" s="88" t="s">
        <v>91</v>
      </c>
      <c r="Y17" s="88" t="n">
        <v>0</v>
      </c>
      <c r="Z17" s="88" t="n">
        <v>0</v>
      </c>
      <c r="AA17" s="88" t="s">
        <v>137</v>
      </c>
      <c r="AB17" s="88" t="s">
        <v>146</v>
      </c>
      <c r="AC17" s="88" t="s">
        <v>92</v>
      </c>
      <c r="AD17" s="88" t="s">
        <v>93</v>
      </c>
      <c r="AE17" s="88"/>
      <c r="AF17" s="88" t="s">
        <v>125</v>
      </c>
      <c r="AG17" s="88" t="s">
        <v>125</v>
      </c>
      <c r="AH17" s="88" t="s">
        <v>109</v>
      </c>
    </row>
    <row r="18" customFormat="false" ht="15" hidden="false" customHeight="false" outlineLevel="0" collapsed="false">
      <c r="A18" s="94" t="s">
        <v>85</v>
      </c>
      <c r="B18" s="94" t="s">
        <v>19</v>
      </c>
      <c r="C18" s="94" t="s">
        <v>20</v>
      </c>
      <c r="D18" s="94" t="str">
        <f aca="false">COUNTIF(A19:A39,"Item")&amp;" items · "&amp;COUNTIF(S19:S39,"Overdue")&amp;" overdue · "&amp;COUNTIF(S19:S39,"Complete")&amp;" complete"</f>
        <v>21 items · 0 overdue · 0 complete</v>
      </c>
      <c r="E18" s="94"/>
      <c r="F18" s="94"/>
      <c r="G18" s="94"/>
      <c r="H18" s="95" t="n">
        <f aca="false">MIN(H19:H39)</f>
        <v>45017</v>
      </c>
      <c r="I18" s="95" t="n">
        <f aca="false">MAX(I19:I39)</f>
        <v>45443</v>
      </c>
      <c r="J18" s="95"/>
      <c r="K18" s="95"/>
      <c r="L18" s="95"/>
      <c r="M18" s="95"/>
      <c r="N18" s="95"/>
      <c r="O18" s="94" t="n">
        <f aca="false">SUM(O19:O39)</f>
        <v>21</v>
      </c>
      <c r="P18" s="96" t="n">
        <f aca="false">IFERROR(SUMPRODUCT(O19:O39,P19:P39)/SUM(O19:O39),0)</f>
        <v>0</v>
      </c>
      <c r="Q18" s="96" t="n">
        <f aca="false">IFERROR(SUMPRODUCT(O19:O39,Q19:Q39)/SUM(O19:O39),0)</f>
        <v>0</v>
      </c>
      <c r="R18" s="96" t="n">
        <f aca="false">P18-Q18</f>
        <v>0</v>
      </c>
      <c r="S18" s="94"/>
      <c r="T18" s="94"/>
      <c r="U18" s="94"/>
      <c r="V18" s="95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</row>
    <row r="19" customFormat="false" ht="15" hidden="false" customHeight="false" outlineLevel="0" collapsed="false">
      <c r="A19" s="97" t="s">
        <v>60</v>
      </c>
      <c r="B19" s="98" t="s">
        <v>19</v>
      </c>
      <c r="C19" s="97" t="s">
        <v>147</v>
      </c>
      <c r="D19" s="97" t="s">
        <v>148</v>
      </c>
      <c r="E19" s="97" t="s">
        <v>98</v>
      </c>
      <c r="F19" s="90" t="s">
        <v>149</v>
      </c>
      <c r="G19" s="97" t="s">
        <v>150</v>
      </c>
      <c r="H19" s="99" t="n">
        <f aca="false">IFERROR(INDEX(Schedule!$E$2:$E$147,MATCH($G19,Schedule!$A$2:$A$147,0)),"")</f>
        <v>45017</v>
      </c>
      <c r="I19" s="99" t="n">
        <f aca="false">IFERROR(INDEX(Schedule!$F$2:$F$147,MATCH($G19,Schedule!$A$2:$A$147,0)),"")</f>
        <v>45077</v>
      </c>
      <c r="J19" s="92"/>
      <c r="K19" s="92"/>
      <c r="L19" s="92"/>
      <c r="M19" s="92"/>
      <c r="N19" s="92"/>
      <c r="O19" s="90" t="n">
        <v>1</v>
      </c>
      <c r="P19" s="100" t="n">
        <f aca="false">IFERROR((IF(OR(ISNUMBER(J19),UPPER(TRIM(J19))="N/A"),1,0)*IF($W19="N",0,INDEX('Rules of Credit'!$B$5:$F$8,MATCH($F19,'Rules of Credit'!$A$5:$A$8,0),1))+IF(OR(ISNUMBER(K19),UPPER(TRIM(K19))="N/A"),1,0)*INDEX('Rules of Credit'!$B$5:$F$8,MATCH($F19,'Rules of Credit'!$A$5:$A$8,0),2)+IF(OR(ISNUMBER(L19),UPPER(TRIM(L19))="N/A"),1,0)*INDEX('Rules of Credit'!$B$5:$F$8,MATCH($F19,'Rules of Credit'!$A$5:$A$8,0),3)+IF(OR(ISNUMBER(M19),UPPER(TRIM(M19))="N/A"),1,0)*IF($X19="N",0,INDEX('Rules of Credit'!$B$5:$F$8,MATCH($F19,'Rules of Credit'!$A$5:$A$8,0),4))+IF(OR(ISNUMBER(N19),UPPER(TRIM(N19))="N/A"),1,0)*INDEX('Rules of Credit'!$B$5:$F$8,MATCH($F19,'Rules of Credit'!$A$5:$A$8,0),5))/(IF($W19="N",0,INDEX('Rules of Credit'!$B$5:$F$8,MATCH($F19,'Rules of Credit'!$A$5:$A$8,0),1))+INDEX('Rules of Credit'!$B$5:$F$8,MATCH($F19,'Rules of Credit'!$A$5:$A$8,0),2)+INDEX('Rules of Credit'!$B$5:$F$8,MATCH($F19,'Rules of Credit'!$A$5:$A$8,0),3)+IF($X19="N",0,INDEX('Rules of Credit'!$B$5:$F$8,MATCH($F19,'Rules of Credit'!$A$5:$A$8,0),4))+INDEX('Rules of Credit'!$B$5:$F$8,MATCH($F19,'Rules of Credit'!$A$5:$A$8,0),5)),0)</f>
        <v>0</v>
      </c>
      <c r="Q19" s="100" t="n">
        <f aca="false">IF(OR($H19="",$I19=""),0,IF('Tracker Summary'!$C$3&lt;$H19,0,IF('Tracker Summary'!$C$3&gt;=$I19,1,('Tracker Summary'!$C$3-$H19)/($I19-$H19+1))))</f>
        <v>0</v>
      </c>
      <c r="R19" s="100" t="n">
        <f aca="false">P19-Q19</f>
        <v>0</v>
      </c>
      <c r="S19" s="97" t="str">
        <f aca="false">IF($I19="","Not scheduled",IF(P19&gt;=1,"Complete",IF('Tracker Summary'!$C$3&gt;$I19,"Overdue",IF(P19-Q19&lt;-0.1,"Behind",IF(AND(P19=0,'Tracker Summary'!$C$3&lt;$H19),"Not started","On track")))))</f>
        <v>Not started</v>
      </c>
      <c r="T19" s="90"/>
      <c r="U19" s="97" t="str">
        <f aca="false">IFERROR(INDEX(Schedule!$D$2:$D$147,MATCH($G19,Schedule!$A$2:$A$147,0)),"")</f>
        <v>Demolition &amp; Existing Conditions — Site demolition ahead of new work</v>
      </c>
      <c r="V19" s="99" t="n">
        <f aca="false">IFERROR(INDEX(Schedule!$F$2:$F$147,MATCH("02-P01",Schedule!$A$2:$A$147,0)),"")</f>
        <v>45016</v>
      </c>
      <c r="W19" s="97" t="s">
        <v>91</v>
      </c>
      <c r="X19" s="97" t="s">
        <v>91</v>
      </c>
      <c r="Y19" s="97" t="n">
        <v>0</v>
      </c>
      <c r="Z19" s="97" t="n">
        <v>0</v>
      </c>
      <c r="AA19" s="97"/>
      <c r="AB19" s="97"/>
      <c r="AC19" s="97" t="s">
        <v>92</v>
      </c>
      <c r="AD19" s="97" t="s">
        <v>93</v>
      </c>
      <c r="AE19" s="97" t="s">
        <v>151</v>
      </c>
      <c r="AF19" s="97" t="s">
        <v>152</v>
      </c>
      <c r="AG19" s="97" t="s">
        <v>153</v>
      </c>
      <c r="AH19" s="97" t="s">
        <v>95</v>
      </c>
    </row>
    <row r="20" customFormat="false" ht="15" hidden="false" customHeight="false" outlineLevel="0" collapsed="false">
      <c r="A20" s="97" t="s">
        <v>60</v>
      </c>
      <c r="B20" s="98" t="s">
        <v>19</v>
      </c>
      <c r="C20" s="97" t="s">
        <v>154</v>
      </c>
      <c r="D20" s="97" t="s">
        <v>155</v>
      </c>
      <c r="E20" s="97" t="s">
        <v>98</v>
      </c>
      <c r="F20" s="90" t="s">
        <v>149</v>
      </c>
      <c r="G20" s="97" t="s">
        <v>150</v>
      </c>
      <c r="H20" s="99" t="n">
        <f aca="false">IFERROR(INDEX(Schedule!$E$2:$E$147,MATCH($G20,Schedule!$A$2:$A$147,0)),"")</f>
        <v>45017</v>
      </c>
      <c r="I20" s="99" t="n">
        <f aca="false">IFERROR(INDEX(Schedule!$F$2:$F$147,MATCH($G20,Schedule!$A$2:$A$147,0)),"")</f>
        <v>45077</v>
      </c>
      <c r="J20" s="92"/>
      <c r="K20" s="92"/>
      <c r="L20" s="92"/>
      <c r="M20" s="92"/>
      <c r="N20" s="92"/>
      <c r="O20" s="90" t="n">
        <v>1</v>
      </c>
      <c r="P20" s="100" t="n">
        <f aca="false">IFERROR((IF(OR(ISNUMBER(J20),UPPER(TRIM(J20))="N/A"),1,0)*IF($W20="N",0,INDEX('Rules of Credit'!$B$5:$F$8,MATCH($F20,'Rules of Credit'!$A$5:$A$8,0),1))+IF(OR(ISNUMBER(K20),UPPER(TRIM(K20))="N/A"),1,0)*INDEX('Rules of Credit'!$B$5:$F$8,MATCH($F20,'Rules of Credit'!$A$5:$A$8,0),2)+IF(OR(ISNUMBER(L20),UPPER(TRIM(L20))="N/A"),1,0)*INDEX('Rules of Credit'!$B$5:$F$8,MATCH($F20,'Rules of Credit'!$A$5:$A$8,0),3)+IF(OR(ISNUMBER(M20),UPPER(TRIM(M20))="N/A"),1,0)*IF($X20="N",0,INDEX('Rules of Credit'!$B$5:$F$8,MATCH($F20,'Rules of Credit'!$A$5:$A$8,0),4))+IF(OR(ISNUMBER(N20),UPPER(TRIM(N20))="N/A"),1,0)*INDEX('Rules of Credit'!$B$5:$F$8,MATCH($F20,'Rules of Credit'!$A$5:$A$8,0),5))/(IF($W20="N",0,INDEX('Rules of Credit'!$B$5:$F$8,MATCH($F20,'Rules of Credit'!$A$5:$A$8,0),1))+INDEX('Rules of Credit'!$B$5:$F$8,MATCH($F20,'Rules of Credit'!$A$5:$A$8,0),2)+INDEX('Rules of Credit'!$B$5:$F$8,MATCH($F20,'Rules of Credit'!$A$5:$A$8,0),3)+IF($X20="N",0,INDEX('Rules of Credit'!$B$5:$F$8,MATCH($F20,'Rules of Credit'!$A$5:$A$8,0),4))+INDEX('Rules of Credit'!$B$5:$F$8,MATCH($F20,'Rules of Credit'!$A$5:$A$8,0),5)),0)</f>
        <v>0</v>
      </c>
      <c r="Q20" s="100" t="n">
        <f aca="false">IF(OR($H20="",$I20=""),0,IF('Tracker Summary'!$C$3&lt;$H20,0,IF('Tracker Summary'!$C$3&gt;=$I20,1,('Tracker Summary'!$C$3-$H20)/($I20-$H20+1))))</f>
        <v>0</v>
      </c>
      <c r="R20" s="100" t="n">
        <f aca="false">P20-Q20</f>
        <v>0</v>
      </c>
      <c r="S20" s="97" t="str">
        <f aca="false">IF($I20="","Not scheduled",IF(P20&gt;=1,"Complete",IF('Tracker Summary'!$C$3&gt;$I20,"Overdue",IF(P20-Q20&lt;-0.1,"Behind",IF(AND(P20=0,'Tracker Summary'!$C$3&lt;$H20),"Not started","On track")))))</f>
        <v>Not started</v>
      </c>
      <c r="T20" s="90"/>
      <c r="U20" s="97" t="str">
        <f aca="false">IFERROR(INDEX(Schedule!$D$2:$D$147,MATCH($G20,Schedule!$A$2:$A$147,0)),"")</f>
        <v>Demolition &amp; Existing Conditions — Site demolition ahead of new work</v>
      </c>
      <c r="V20" s="99" t="n">
        <f aca="false">IFERROR(INDEX(Schedule!$F$2:$F$147,MATCH("02-P01",Schedule!$A$2:$A$147,0)),"")</f>
        <v>45016</v>
      </c>
      <c r="W20" s="97" t="s">
        <v>91</v>
      </c>
      <c r="X20" s="97" t="s">
        <v>91</v>
      </c>
      <c r="Y20" s="97" t="n">
        <v>0</v>
      </c>
      <c r="Z20" s="97" t="n">
        <v>0</v>
      </c>
      <c r="AA20" s="97"/>
      <c r="AB20" s="97"/>
      <c r="AC20" s="97" t="s">
        <v>92</v>
      </c>
      <c r="AD20" s="97" t="s">
        <v>93</v>
      </c>
      <c r="AE20" s="97" t="s">
        <v>156</v>
      </c>
      <c r="AF20" s="97" t="s">
        <v>152</v>
      </c>
      <c r="AG20" s="97" t="s">
        <v>153</v>
      </c>
      <c r="AH20" s="97" t="s">
        <v>95</v>
      </c>
    </row>
    <row r="21" customFormat="false" ht="15" hidden="false" customHeight="false" outlineLevel="0" collapsed="false">
      <c r="A21" s="97" t="s">
        <v>60</v>
      </c>
      <c r="B21" s="98" t="s">
        <v>19</v>
      </c>
      <c r="C21" s="97" t="s">
        <v>157</v>
      </c>
      <c r="D21" s="97" t="s">
        <v>158</v>
      </c>
      <c r="E21" s="97" t="s">
        <v>98</v>
      </c>
      <c r="F21" s="90" t="s">
        <v>149</v>
      </c>
      <c r="G21" s="97" t="s">
        <v>150</v>
      </c>
      <c r="H21" s="99" t="n">
        <f aca="false">IFERROR(INDEX(Schedule!$E$2:$E$147,MATCH($G21,Schedule!$A$2:$A$147,0)),"")</f>
        <v>45017</v>
      </c>
      <c r="I21" s="99" t="n">
        <f aca="false">IFERROR(INDEX(Schedule!$F$2:$F$147,MATCH($G21,Schedule!$A$2:$A$147,0)),"")</f>
        <v>45077</v>
      </c>
      <c r="J21" s="92"/>
      <c r="K21" s="92"/>
      <c r="L21" s="92"/>
      <c r="M21" s="92"/>
      <c r="N21" s="92"/>
      <c r="O21" s="90" t="n">
        <v>1</v>
      </c>
      <c r="P21" s="100" t="n">
        <f aca="false">IFERROR((IF(OR(ISNUMBER(J21),UPPER(TRIM(J21))="N/A"),1,0)*IF($W21="N",0,INDEX('Rules of Credit'!$B$5:$F$8,MATCH($F21,'Rules of Credit'!$A$5:$A$8,0),1))+IF(OR(ISNUMBER(K21),UPPER(TRIM(K21))="N/A"),1,0)*INDEX('Rules of Credit'!$B$5:$F$8,MATCH($F21,'Rules of Credit'!$A$5:$A$8,0),2)+IF(OR(ISNUMBER(L21),UPPER(TRIM(L21))="N/A"),1,0)*INDEX('Rules of Credit'!$B$5:$F$8,MATCH($F21,'Rules of Credit'!$A$5:$A$8,0),3)+IF(OR(ISNUMBER(M21),UPPER(TRIM(M21))="N/A"),1,0)*IF($X21="N",0,INDEX('Rules of Credit'!$B$5:$F$8,MATCH($F21,'Rules of Credit'!$A$5:$A$8,0),4))+IF(OR(ISNUMBER(N21),UPPER(TRIM(N21))="N/A"),1,0)*INDEX('Rules of Credit'!$B$5:$F$8,MATCH($F21,'Rules of Credit'!$A$5:$A$8,0),5))/(IF($W21="N",0,INDEX('Rules of Credit'!$B$5:$F$8,MATCH($F21,'Rules of Credit'!$A$5:$A$8,0),1))+INDEX('Rules of Credit'!$B$5:$F$8,MATCH($F21,'Rules of Credit'!$A$5:$A$8,0),2)+INDEX('Rules of Credit'!$B$5:$F$8,MATCH($F21,'Rules of Credit'!$A$5:$A$8,0),3)+IF($X21="N",0,INDEX('Rules of Credit'!$B$5:$F$8,MATCH($F21,'Rules of Credit'!$A$5:$A$8,0),4))+INDEX('Rules of Credit'!$B$5:$F$8,MATCH($F21,'Rules of Credit'!$A$5:$A$8,0),5)),0)</f>
        <v>0</v>
      </c>
      <c r="Q21" s="100" t="n">
        <f aca="false">IF(OR($H21="",$I21=""),0,IF('Tracker Summary'!$C$3&lt;$H21,0,IF('Tracker Summary'!$C$3&gt;=$I21,1,('Tracker Summary'!$C$3-$H21)/($I21-$H21+1))))</f>
        <v>0</v>
      </c>
      <c r="R21" s="100" t="n">
        <f aca="false">P21-Q21</f>
        <v>0</v>
      </c>
      <c r="S21" s="97" t="str">
        <f aca="false">IF($I21="","Not scheduled",IF(P21&gt;=1,"Complete",IF('Tracker Summary'!$C$3&gt;$I21,"Overdue",IF(P21-Q21&lt;-0.1,"Behind",IF(AND(P21=0,'Tracker Summary'!$C$3&lt;$H21),"Not started","On track")))))</f>
        <v>Not started</v>
      </c>
      <c r="T21" s="90"/>
      <c r="U21" s="97" t="str">
        <f aca="false">IFERROR(INDEX(Schedule!$D$2:$D$147,MATCH($G21,Schedule!$A$2:$A$147,0)),"")</f>
        <v>Demolition &amp; Existing Conditions — Site demolition ahead of new work</v>
      </c>
      <c r="V21" s="99" t="n">
        <f aca="false">IFERROR(INDEX(Schedule!$F$2:$F$147,MATCH("02-P01",Schedule!$A$2:$A$147,0)),"")</f>
        <v>45016</v>
      </c>
      <c r="W21" s="97" t="s">
        <v>91</v>
      </c>
      <c r="X21" s="97" t="s">
        <v>91</v>
      </c>
      <c r="Y21" s="97" t="n">
        <v>0</v>
      </c>
      <c r="Z21" s="97" t="n">
        <v>0</v>
      </c>
      <c r="AA21" s="97"/>
      <c r="AB21" s="97"/>
      <c r="AC21" s="97" t="s">
        <v>92</v>
      </c>
      <c r="AD21" s="97" t="s">
        <v>93</v>
      </c>
      <c r="AE21" s="97" t="s">
        <v>159</v>
      </c>
      <c r="AF21" s="97" t="s">
        <v>152</v>
      </c>
      <c r="AG21" s="97" t="s">
        <v>160</v>
      </c>
      <c r="AH21" s="97" t="s">
        <v>95</v>
      </c>
    </row>
    <row r="22" customFormat="false" ht="15" hidden="false" customHeight="false" outlineLevel="0" collapsed="false">
      <c r="A22" s="97" t="s">
        <v>60</v>
      </c>
      <c r="B22" s="98" t="s">
        <v>19</v>
      </c>
      <c r="C22" s="97" t="s">
        <v>161</v>
      </c>
      <c r="D22" s="97" t="s">
        <v>162</v>
      </c>
      <c r="E22" s="97" t="s">
        <v>98</v>
      </c>
      <c r="F22" s="90" t="s">
        <v>149</v>
      </c>
      <c r="G22" s="97" t="s">
        <v>150</v>
      </c>
      <c r="H22" s="99" t="n">
        <f aca="false">IFERROR(INDEX(Schedule!$E$2:$E$147,MATCH($G22,Schedule!$A$2:$A$147,0)),"")</f>
        <v>45017</v>
      </c>
      <c r="I22" s="99" t="n">
        <f aca="false">IFERROR(INDEX(Schedule!$F$2:$F$147,MATCH($G22,Schedule!$A$2:$A$147,0)),"")</f>
        <v>45077</v>
      </c>
      <c r="J22" s="92"/>
      <c r="K22" s="92"/>
      <c r="L22" s="92"/>
      <c r="M22" s="92"/>
      <c r="N22" s="92"/>
      <c r="O22" s="90" t="n">
        <v>1</v>
      </c>
      <c r="P22" s="100" t="n">
        <f aca="false">IFERROR((IF(OR(ISNUMBER(J22),UPPER(TRIM(J22))="N/A"),1,0)*IF($W22="N",0,INDEX('Rules of Credit'!$B$5:$F$8,MATCH($F22,'Rules of Credit'!$A$5:$A$8,0),1))+IF(OR(ISNUMBER(K22),UPPER(TRIM(K22))="N/A"),1,0)*INDEX('Rules of Credit'!$B$5:$F$8,MATCH($F22,'Rules of Credit'!$A$5:$A$8,0),2)+IF(OR(ISNUMBER(L22),UPPER(TRIM(L22))="N/A"),1,0)*INDEX('Rules of Credit'!$B$5:$F$8,MATCH($F22,'Rules of Credit'!$A$5:$A$8,0),3)+IF(OR(ISNUMBER(M22),UPPER(TRIM(M22))="N/A"),1,0)*IF($X22="N",0,INDEX('Rules of Credit'!$B$5:$F$8,MATCH($F22,'Rules of Credit'!$A$5:$A$8,0),4))+IF(OR(ISNUMBER(N22),UPPER(TRIM(N22))="N/A"),1,0)*INDEX('Rules of Credit'!$B$5:$F$8,MATCH($F22,'Rules of Credit'!$A$5:$A$8,0),5))/(IF($W22="N",0,INDEX('Rules of Credit'!$B$5:$F$8,MATCH($F22,'Rules of Credit'!$A$5:$A$8,0),1))+INDEX('Rules of Credit'!$B$5:$F$8,MATCH($F22,'Rules of Credit'!$A$5:$A$8,0),2)+INDEX('Rules of Credit'!$B$5:$F$8,MATCH($F22,'Rules of Credit'!$A$5:$A$8,0),3)+IF($X22="N",0,INDEX('Rules of Credit'!$B$5:$F$8,MATCH($F22,'Rules of Credit'!$A$5:$A$8,0),4))+INDEX('Rules of Credit'!$B$5:$F$8,MATCH($F22,'Rules of Credit'!$A$5:$A$8,0),5)),0)</f>
        <v>0</v>
      </c>
      <c r="Q22" s="100" t="n">
        <f aca="false">IF(OR($H22="",$I22=""),0,IF('Tracker Summary'!$C$3&lt;$H22,0,IF('Tracker Summary'!$C$3&gt;=$I22,1,('Tracker Summary'!$C$3-$H22)/($I22-$H22+1))))</f>
        <v>0</v>
      </c>
      <c r="R22" s="100" t="n">
        <f aca="false">P22-Q22</f>
        <v>0</v>
      </c>
      <c r="S22" s="97" t="str">
        <f aca="false">IF($I22="","Not scheduled",IF(P22&gt;=1,"Complete",IF('Tracker Summary'!$C$3&gt;$I22,"Overdue",IF(P22-Q22&lt;-0.1,"Behind",IF(AND(P22=0,'Tracker Summary'!$C$3&lt;$H22),"Not started","On track")))))</f>
        <v>Not started</v>
      </c>
      <c r="T22" s="90"/>
      <c r="U22" s="97" t="str">
        <f aca="false">IFERROR(INDEX(Schedule!$D$2:$D$147,MATCH($G22,Schedule!$A$2:$A$147,0)),"")</f>
        <v>Demolition &amp; Existing Conditions — Site demolition ahead of new work</v>
      </c>
      <c r="V22" s="99" t="n">
        <f aca="false">IFERROR(INDEX(Schedule!$F$2:$F$147,MATCH("02-P01",Schedule!$A$2:$A$147,0)),"")</f>
        <v>45016</v>
      </c>
      <c r="W22" s="97" t="s">
        <v>91</v>
      </c>
      <c r="X22" s="97" t="s">
        <v>91</v>
      </c>
      <c r="Y22" s="97" t="n">
        <v>0</v>
      </c>
      <c r="Z22" s="97" t="n">
        <v>0</v>
      </c>
      <c r="AA22" s="97"/>
      <c r="AB22" s="97"/>
      <c r="AC22" s="97" t="s">
        <v>92</v>
      </c>
      <c r="AD22" s="97" t="s">
        <v>93</v>
      </c>
      <c r="AE22" s="97" t="s">
        <v>163</v>
      </c>
      <c r="AF22" s="97" t="s">
        <v>152</v>
      </c>
      <c r="AG22" s="97" t="s">
        <v>160</v>
      </c>
      <c r="AH22" s="97" t="s">
        <v>95</v>
      </c>
    </row>
    <row r="23" customFormat="false" ht="15" hidden="false" customHeight="false" outlineLevel="0" collapsed="false">
      <c r="A23" s="97" t="s">
        <v>60</v>
      </c>
      <c r="B23" s="98" t="s">
        <v>19</v>
      </c>
      <c r="C23" s="97" t="s">
        <v>164</v>
      </c>
      <c r="D23" s="97" t="s">
        <v>165</v>
      </c>
      <c r="E23" s="97" t="s">
        <v>98</v>
      </c>
      <c r="F23" s="90" t="s">
        <v>149</v>
      </c>
      <c r="G23" s="97" t="s">
        <v>150</v>
      </c>
      <c r="H23" s="99" t="n">
        <f aca="false">IFERROR(INDEX(Schedule!$E$2:$E$147,MATCH($G23,Schedule!$A$2:$A$147,0)),"")</f>
        <v>45017</v>
      </c>
      <c r="I23" s="99" t="n">
        <f aca="false">IFERROR(INDEX(Schedule!$F$2:$F$147,MATCH($G23,Schedule!$A$2:$A$147,0)),"")</f>
        <v>45077</v>
      </c>
      <c r="J23" s="92"/>
      <c r="K23" s="92"/>
      <c r="L23" s="92"/>
      <c r="M23" s="92"/>
      <c r="N23" s="92"/>
      <c r="O23" s="90" t="n">
        <v>1</v>
      </c>
      <c r="P23" s="100" t="n">
        <f aca="false">IFERROR((IF(OR(ISNUMBER(J23),UPPER(TRIM(J23))="N/A"),1,0)*IF($W23="N",0,INDEX('Rules of Credit'!$B$5:$F$8,MATCH($F23,'Rules of Credit'!$A$5:$A$8,0),1))+IF(OR(ISNUMBER(K23),UPPER(TRIM(K23))="N/A"),1,0)*INDEX('Rules of Credit'!$B$5:$F$8,MATCH($F23,'Rules of Credit'!$A$5:$A$8,0),2)+IF(OR(ISNUMBER(L23),UPPER(TRIM(L23))="N/A"),1,0)*INDEX('Rules of Credit'!$B$5:$F$8,MATCH($F23,'Rules of Credit'!$A$5:$A$8,0),3)+IF(OR(ISNUMBER(M23),UPPER(TRIM(M23))="N/A"),1,0)*IF($X23="N",0,INDEX('Rules of Credit'!$B$5:$F$8,MATCH($F23,'Rules of Credit'!$A$5:$A$8,0),4))+IF(OR(ISNUMBER(N23),UPPER(TRIM(N23))="N/A"),1,0)*INDEX('Rules of Credit'!$B$5:$F$8,MATCH($F23,'Rules of Credit'!$A$5:$A$8,0),5))/(IF($W23="N",0,INDEX('Rules of Credit'!$B$5:$F$8,MATCH($F23,'Rules of Credit'!$A$5:$A$8,0),1))+INDEX('Rules of Credit'!$B$5:$F$8,MATCH($F23,'Rules of Credit'!$A$5:$A$8,0),2)+INDEX('Rules of Credit'!$B$5:$F$8,MATCH($F23,'Rules of Credit'!$A$5:$A$8,0),3)+IF($X23="N",0,INDEX('Rules of Credit'!$B$5:$F$8,MATCH($F23,'Rules of Credit'!$A$5:$A$8,0),4))+INDEX('Rules of Credit'!$B$5:$F$8,MATCH($F23,'Rules of Credit'!$A$5:$A$8,0),5)),0)</f>
        <v>0</v>
      </c>
      <c r="Q23" s="100" t="n">
        <f aca="false">IF(OR($H23="",$I23=""),0,IF('Tracker Summary'!$C$3&lt;$H23,0,IF('Tracker Summary'!$C$3&gt;=$I23,1,('Tracker Summary'!$C$3-$H23)/($I23-$H23+1))))</f>
        <v>0</v>
      </c>
      <c r="R23" s="100" t="n">
        <f aca="false">P23-Q23</f>
        <v>0</v>
      </c>
      <c r="S23" s="97" t="str">
        <f aca="false">IF($I23="","Not scheduled",IF(P23&gt;=1,"Complete",IF('Tracker Summary'!$C$3&gt;$I23,"Overdue",IF(P23-Q23&lt;-0.1,"Behind",IF(AND(P23=0,'Tracker Summary'!$C$3&lt;$H23),"Not started","On track")))))</f>
        <v>Not started</v>
      </c>
      <c r="T23" s="90"/>
      <c r="U23" s="97" t="str">
        <f aca="false">IFERROR(INDEX(Schedule!$D$2:$D$147,MATCH($G23,Schedule!$A$2:$A$147,0)),"")</f>
        <v>Demolition &amp; Existing Conditions — Site demolition ahead of new work</v>
      </c>
      <c r="V23" s="99" t="n">
        <f aca="false">IFERROR(INDEX(Schedule!$F$2:$F$147,MATCH("02-P01",Schedule!$A$2:$A$147,0)),"")</f>
        <v>45016</v>
      </c>
      <c r="W23" s="97" t="s">
        <v>91</v>
      </c>
      <c r="X23" s="97" t="s">
        <v>91</v>
      </c>
      <c r="Y23" s="97" t="n">
        <v>0</v>
      </c>
      <c r="Z23" s="97" t="n">
        <v>0</v>
      </c>
      <c r="AA23" s="97"/>
      <c r="AB23" s="97"/>
      <c r="AC23" s="97" t="s">
        <v>92</v>
      </c>
      <c r="AD23" s="97" t="s">
        <v>93</v>
      </c>
      <c r="AE23" s="97" t="s">
        <v>166</v>
      </c>
      <c r="AF23" s="97" t="s">
        <v>152</v>
      </c>
      <c r="AG23" s="97" t="s">
        <v>153</v>
      </c>
      <c r="AH23" s="97" t="s">
        <v>95</v>
      </c>
    </row>
    <row r="24" customFormat="false" ht="15" hidden="false" customHeight="false" outlineLevel="0" collapsed="false">
      <c r="A24" s="97" t="s">
        <v>60</v>
      </c>
      <c r="B24" s="98" t="s">
        <v>19</v>
      </c>
      <c r="C24" s="97" t="s">
        <v>167</v>
      </c>
      <c r="D24" s="97" t="s">
        <v>168</v>
      </c>
      <c r="E24" s="97" t="s">
        <v>98</v>
      </c>
      <c r="F24" s="90" t="s">
        <v>149</v>
      </c>
      <c r="G24" s="97" t="s">
        <v>150</v>
      </c>
      <c r="H24" s="99" t="n">
        <f aca="false">IFERROR(INDEX(Schedule!$E$2:$E$147,MATCH($G24,Schedule!$A$2:$A$147,0)),"")</f>
        <v>45017</v>
      </c>
      <c r="I24" s="99" t="n">
        <f aca="false">IFERROR(INDEX(Schedule!$F$2:$F$147,MATCH($G24,Schedule!$A$2:$A$147,0)),"")</f>
        <v>45077</v>
      </c>
      <c r="J24" s="92"/>
      <c r="K24" s="92"/>
      <c r="L24" s="92"/>
      <c r="M24" s="92"/>
      <c r="N24" s="92"/>
      <c r="O24" s="90" t="n">
        <v>1</v>
      </c>
      <c r="P24" s="100" t="n">
        <f aca="false">IFERROR((IF(OR(ISNUMBER(J24),UPPER(TRIM(J24))="N/A"),1,0)*IF($W24="N",0,INDEX('Rules of Credit'!$B$5:$F$8,MATCH($F24,'Rules of Credit'!$A$5:$A$8,0),1))+IF(OR(ISNUMBER(K24),UPPER(TRIM(K24))="N/A"),1,0)*INDEX('Rules of Credit'!$B$5:$F$8,MATCH($F24,'Rules of Credit'!$A$5:$A$8,0),2)+IF(OR(ISNUMBER(L24),UPPER(TRIM(L24))="N/A"),1,0)*INDEX('Rules of Credit'!$B$5:$F$8,MATCH($F24,'Rules of Credit'!$A$5:$A$8,0),3)+IF(OR(ISNUMBER(M24),UPPER(TRIM(M24))="N/A"),1,0)*IF($X24="N",0,INDEX('Rules of Credit'!$B$5:$F$8,MATCH($F24,'Rules of Credit'!$A$5:$A$8,0),4))+IF(OR(ISNUMBER(N24),UPPER(TRIM(N24))="N/A"),1,0)*INDEX('Rules of Credit'!$B$5:$F$8,MATCH($F24,'Rules of Credit'!$A$5:$A$8,0),5))/(IF($W24="N",0,INDEX('Rules of Credit'!$B$5:$F$8,MATCH($F24,'Rules of Credit'!$A$5:$A$8,0),1))+INDEX('Rules of Credit'!$B$5:$F$8,MATCH($F24,'Rules of Credit'!$A$5:$A$8,0),2)+INDEX('Rules of Credit'!$B$5:$F$8,MATCH($F24,'Rules of Credit'!$A$5:$A$8,0),3)+IF($X24="N",0,INDEX('Rules of Credit'!$B$5:$F$8,MATCH($F24,'Rules of Credit'!$A$5:$A$8,0),4))+INDEX('Rules of Credit'!$B$5:$F$8,MATCH($F24,'Rules of Credit'!$A$5:$A$8,0),5)),0)</f>
        <v>0</v>
      </c>
      <c r="Q24" s="100" t="n">
        <f aca="false">IF(OR($H24="",$I24=""),0,IF('Tracker Summary'!$C$3&lt;$H24,0,IF('Tracker Summary'!$C$3&gt;=$I24,1,('Tracker Summary'!$C$3-$H24)/($I24-$H24+1))))</f>
        <v>0</v>
      </c>
      <c r="R24" s="100" t="n">
        <f aca="false">P24-Q24</f>
        <v>0</v>
      </c>
      <c r="S24" s="97" t="str">
        <f aca="false">IF($I24="","Not scheduled",IF(P24&gt;=1,"Complete",IF('Tracker Summary'!$C$3&gt;$I24,"Overdue",IF(P24-Q24&lt;-0.1,"Behind",IF(AND(P24=0,'Tracker Summary'!$C$3&lt;$H24),"Not started","On track")))))</f>
        <v>Not started</v>
      </c>
      <c r="T24" s="90"/>
      <c r="U24" s="97" t="str">
        <f aca="false">IFERROR(INDEX(Schedule!$D$2:$D$147,MATCH($G24,Schedule!$A$2:$A$147,0)),"")</f>
        <v>Demolition &amp; Existing Conditions — Site demolition ahead of new work</v>
      </c>
      <c r="V24" s="99" t="n">
        <f aca="false">IFERROR(INDEX(Schedule!$F$2:$F$147,MATCH("02-P01",Schedule!$A$2:$A$147,0)),"")</f>
        <v>45016</v>
      </c>
      <c r="W24" s="97" t="s">
        <v>91</v>
      </c>
      <c r="X24" s="97" t="s">
        <v>91</v>
      </c>
      <c r="Y24" s="97" t="n">
        <v>0</v>
      </c>
      <c r="Z24" s="97" t="n">
        <v>0</v>
      </c>
      <c r="AA24" s="97"/>
      <c r="AB24" s="97"/>
      <c r="AC24" s="97" t="s">
        <v>92</v>
      </c>
      <c r="AD24" s="97" t="s">
        <v>93</v>
      </c>
      <c r="AE24" s="97" t="s">
        <v>169</v>
      </c>
      <c r="AF24" s="97" t="s">
        <v>152</v>
      </c>
      <c r="AG24" s="97" t="s">
        <v>153</v>
      </c>
      <c r="AH24" s="97" t="s">
        <v>95</v>
      </c>
    </row>
    <row r="25" customFormat="false" ht="15" hidden="false" customHeight="false" outlineLevel="0" collapsed="false">
      <c r="A25" s="97" t="s">
        <v>60</v>
      </c>
      <c r="B25" s="98" t="s">
        <v>19</v>
      </c>
      <c r="C25" s="97" t="s">
        <v>170</v>
      </c>
      <c r="D25" s="97" t="s">
        <v>171</v>
      </c>
      <c r="E25" s="97" t="s">
        <v>98</v>
      </c>
      <c r="F25" s="90" t="s">
        <v>149</v>
      </c>
      <c r="G25" s="97" t="s">
        <v>150</v>
      </c>
      <c r="H25" s="99" t="n">
        <f aca="false">IFERROR(INDEX(Schedule!$E$2:$E$147,MATCH($G25,Schedule!$A$2:$A$147,0)),"")</f>
        <v>45017</v>
      </c>
      <c r="I25" s="99" t="n">
        <f aca="false">IFERROR(INDEX(Schedule!$F$2:$F$147,MATCH($G25,Schedule!$A$2:$A$147,0)),"")</f>
        <v>45077</v>
      </c>
      <c r="J25" s="92"/>
      <c r="K25" s="92"/>
      <c r="L25" s="92"/>
      <c r="M25" s="92"/>
      <c r="N25" s="92"/>
      <c r="O25" s="90" t="n">
        <v>1</v>
      </c>
      <c r="P25" s="100" t="n">
        <f aca="false">IFERROR((IF(OR(ISNUMBER(J25),UPPER(TRIM(J25))="N/A"),1,0)*IF($W25="N",0,INDEX('Rules of Credit'!$B$5:$F$8,MATCH($F25,'Rules of Credit'!$A$5:$A$8,0),1))+IF(OR(ISNUMBER(K25),UPPER(TRIM(K25))="N/A"),1,0)*INDEX('Rules of Credit'!$B$5:$F$8,MATCH($F25,'Rules of Credit'!$A$5:$A$8,0),2)+IF(OR(ISNUMBER(L25),UPPER(TRIM(L25))="N/A"),1,0)*INDEX('Rules of Credit'!$B$5:$F$8,MATCH($F25,'Rules of Credit'!$A$5:$A$8,0),3)+IF(OR(ISNUMBER(M25),UPPER(TRIM(M25))="N/A"),1,0)*IF($X25="N",0,INDEX('Rules of Credit'!$B$5:$F$8,MATCH($F25,'Rules of Credit'!$A$5:$A$8,0),4))+IF(OR(ISNUMBER(N25),UPPER(TRIM(N25))="N/A"),1,0)*INDEX('Rules of Credit'!$B$5:$F$8,MATCH($F25,'Rules of Credit'!$A$5:$A$8,0),5))/(IF($W25="N",0,INDEX('Rules of Credit'!$B$5:$F$8,MATCH($F25,'Rules of Credit'!$A$5:$A$8,0),1))+INDEX('Rules of Credit'!$B$5:$F$8,MATCH($F25,'Rules of Credit'!$A$5:$A$8,0),2)+INDEX('Rules of Credit'!$B$5:$F$8,MATCH($F25,'Rules of Credit'!$A$5:$A$8,0),3)+IF($X25="N",0,INDEX('Rules of Credit'!$B$5:$F$8,MATCH($F25,'Rules of Credit'!$A$5:$A$8,0),4))+INDEX('Rules of Credit'!$B$5:$F$8,MATCH($F25,'Rules of Credit'!$A$5:$A$8,0),5)),0)</f>
        <v>0</v>
      </c>
      <c r="Q25" s="100" t="n">
        <f aca="false">IF(OR($H25="",$I25=""),0,IF('Tracker Summary'!$C$3&lt;$H25,0,IF('Tracker Summary'!$C$3&gt;=$I25,1,('Tracker Summary'!$C$3-$H25)/($I25-$H25+1))))</f>
        <v>0</v>
      </c>
      <c r="R25" s="100" t="n">
        <f aca="false">P25-Q25</f>
        <v>0</v>
      </c>
      <c r="S25" s="97" t="str">
        <f aca="false">IF($I25="","Not scheduled",IF(P25&gt;=1,"Complete",IF('Tracker Summary'!$C$3&gt;$I25,"Overdue",IF(P25-Q25&lt;-0.1,"Behind",IF(AND(P25=0,'Tracker Summary'!$C$3&lt;$H25),"Not started","On track")))))</f>
        <v>Not started</v>
      </c>
      <c r="T25" s="90"/>
      <c r="U25" s="97" t="str">
        <f aca="false">IFERROR(INDEX(Schedule!$D$2:$D$147,MATCH($G25,Schedule!$A$2:$A$147,0)),"")</f>
        <v>Demolition &amp; Existing Conditions — Site demolition ahead of new work</v>
      </c>
      <c r="V25" s="99" t="n">
        <f aca="false">IFERROR(INDEX(Schedule!$F$2:$F$147,MATCH("02-P01",Schedule!$A$2:$A$147,0)),"")</f>
        <v>45016</v>
      </c>
      <c r="W25" s="97" t="s">
        <v>91</v>
      </c>
      <c r="X25" s="97" t="s">
        <v>91</v>
      </c>
      <c r="Y25" s="97" t="n">
        <v>0</v>
      </c>
      <c r="Z25" s="97" t="n">
        <v>0</v>
      </c>
      <c r="AA25" s="97"/>
      <c r="AB25" s="97"/>
      <c r="AC25" s="97" t="s">
        <v>92</v>
      </c>
      <c r="AD25" s="97" t="s">
        <v>93</v>
      </c>
      <c r="AE25" s="97" t="s">
        <v>172</v>
      </c>
      <c r="AF25" s="97" t="s">
        <v>152</v>
      </c>
      <c r="AG25" s="97" t="s">
        <v>153</v>
      </c>
      <c r="AH25" s="97" t="s">
        <v>95</v>
      </c>
    </row>
    <row r="26" customFormat="false" ht="15" hidden="false" customHeight="false" outlineLevel="0" collapsed="false">
      <c r="A26" s="97" t="s">
        <v>60</v>
      </c>
      <c r="B26" s="98" t="s">
        <v>19</v>
      </c>
      <c r="C26" s="97" t="s">
        <v>173</v>
      </c>
      <c r="D26" s="97" t="s">
        <v>174</v>
      </c>
      <c r="E26" s="97" t="s">
        <v>98</v>
      </c>
      <c r="F26" s="90" t="s">
        <v>149</v>
      </c>
      <c r="G26" s="97" t="s">
        <v>150</v>
      </c>
      <c r="H26" s="99" t="n">
        <f aca="false">IFERROR(INDEX(Schedule!$E$2:$E$147,MATCH($G26,Schedule!$A$2:$A$147,0)),"")</f>
        <v>45017</v>
      </c>
      <c r="I26" s="99" t="n">
        <f aca="false">IFERROR(INDEX(Schedule!$F$2:$F$147,MATCH($G26,Schedule!$A$2:$A$147,0)),"")</f>
        <v>45077</v>
      </c>
      <c r="J26" s="92"/>
      <c r="K26" s="92"/>
      <c r="L26" s="92"/>
      <c r="M26" s="92"/>
      <c r="N26" s="92"/>
      <c r="O26" s="90" t="n">
        <v>1</v>
      </c>
      <c r="P26" s="100" t="n">
        <f aca="false">IFERROR((IF(OR(ISNUMBER(J26),UPPER(TRIM(J26))="N/A"),1,0)*IF($W26="N",0,INDEX('Rules of Credit'!$B$5:$F$8,MATCH($F26,'Rules of Credit'!$A$5:$A$8,0),1))+IF(OR(ISNUMBER(K26),UPPER(TRIM(K26))="N/A"),1,0)*INDEX('Rules of Credit'!$B$5:$F$8,MATCH($F26,'Rules of Credit'!$A$5:$A$8,0),2)+IF(OR(ISNUMBER(L26),UPPER(TRIM(L26))="N/A"),1,0)*INDEX('Rules of Credit'!$B$5:$F$8,MATCH($F26,'Rules of Credit'!$A$5:$A$8,0),3)+IF(OR(ISNUMBER(M26),UPPER(TRIM(M26))="N/A"),1,0)*IF($X26="N",0,INDEX('Rules of Credit'!$B$5:$F$8,MATCH($F26,'Rules of Credit'!$A$5:$A$8,0),4))+IF(OR(ISNUMBER(N26),UPPER(TRIM(N26))="N/A"),1,0)*INDEX('Rules of Credit'!$B$5:$F$8,MATCH($F26,'Rules of Credit'!$A$5:$A$8,0),5))/(IF($W26="N",0,INDEX('Rules of Credit'!$B$5:$F$8,MATCH($F26,'Rules of Credit'!$A$5:$A$8,0),1))+INDEX('Rules of Credit'!$B$5:$F$8,MATCH($F26,'Rules of Credit'!$A$5:$A$8,0),2)+INDEX('Rules of Credit'!$B$5:$F$8,MATCH($F26,'Rules of Credit'!$A$5:$A$8,0),3)+IF($X26="N",0,INDEX('Rules of Credit'!$B$5:$F$8,MATCH($F26,'Rules of Credit'!$A$5:$A$8,0),4))+INDEX('Rules of Credit'!$B$5:$F$8,MATCH($F26,'Rules of Credit'!$A$5:$A$8,0),5)),0)</f>
        <v>0</v>
      </c>
      <c r="Q26" s="100" t="n">
        <f aca="false">IF(OR($H26="",$I26=""),0,IF('Tracker Summary'!$C$3&lt;$H26,0,IF('Tracker Summary'!$C$3&gt;=$I26,1,('Tracker Summary'!$C$3-$H26)/($I26-$H26+1))))</f>
        <v>0</v>
      </c>
      <c r="R26" s="100" t="n">
        <f aca="false">P26-Q26</f>
        <v>0</v>
      </c>
      <c r="S26" s="97" t="str">
        <f aca="false">IF($I26="","Not scheduled",IF(P26&gt;=1,"Complete",IF('Tracker Summary'!$C$3&gt;$I26,"Overdue",IF(P26-Q26&lt;-0.1,"Behind",IF(AND(P26=0,'Tracker Summary'!$C$3&lt;$H26),"Not started","On track")))))</f>
        <v>Not started</v>
      </c>
      <c r="T26" s="90"/>
      <c r="U26" s="97" t="str">
        <f aca="false">IFERROR(INDEX(Schedule!$D$2:$D$147,MATCH($G26,Schedule!$A$2:$A$147,0)),"")</f>
        <v>Demolition &amp; Existing Conditions — Site demolition ahead of new work</v>
      </c>
      <c r="V26" s="99" t="n">
        <f aca="false">IFERROR(INDEX(Schedule!$F$2:$F$147,MATCH("02-P01",Schedule!$A$2:$A$147,0)),"")</f>
        <v>45016</v>
      </c>
      <c r="W26" s="97" t="s">
        <v>91</v>
      </c>
      <c r="X26" s="97" t="s">
        <v>91</v>
      </c>
      <c r="Y26" s="97" t="n">
        <v>0</v>
      </c>
      <c r="Z26" s="97" t="n">
        <v>0</v>
      </c>
      <c r="AA26" s="97"/>
      <c r="AB26" s="97"/>
      <c r="AC26" s="97" t="s">
        <v>92</v>
      </c>
      <c r="AD26" s="97" t="s">
        <v>93</v>
      </c>
      <c r="AE26" s="97" t="s">
        <v>175</v>
      </c>
      <c r="AF26" s="97" t="s">
        <v>152</v>
      </c>
      <c r="AG26" s="97" t="s">
        <v>153</v>
      </c>
      <c r="AH26" s="97" t="s">
        <v>95</v>
      </c>
    </row>
    <row r="27" customFormat="false" ht="15" hidden="false" customHeight="false" outlineLevel="0" collapsed="false">
      <c r="A27" s="97" t="s">
        <v>60</v>
      </c>
      <c r="B27" s="98" t="s">
        <v>19</v>
      </c>
      <c r="C27" s="97" t="s">
        <v>176</v>
      </c>
      <c r="D27" s="97" t="s">
        <v>177</v>
      </c>
      <c r="E27" s="97" t="s">
        <v>98</v>
      </c>
      <c r="F27" s="90" t="s">
        <v>149</v>
      </c>
      <c r="G27" s="97" t="s">
        <v>150</v>
      </c>
      <c r="H27" s="99" t="n">
        <f aca="false">IFERROR(INDEX(Schedule!$E$2:$E$147,MATCH($G27,Schedule!$A$2:$A$147,0)),"")</f>
        <v>45017</v>
      </c>
      <c r="I27" s="99" t="n">
        <f aca="false">IFERROR(INDEX(Schedule!$F$2:$F$147,MATCH($G27,Schedule!$A$2:$A$147,0)),"")</f>
        <v>45077</v>
      </c>
      <c r="J27" s="92"/>
      <c r="K27" s="92"/>
      <c r="L27" s="92"/>
      <c r="M27" s="92"/>
      <c r="N27" s="92"/>
      <c r="O27" s="90" t="n">
        <v>1</v>
      </c>
      <c r="P27" s="100" t="n">
        <f aca="false">IFERROR((IF(OR(ISNUMBER(J27),UPPER(TRIM(J27))="N/A"),1,0)*IF($W27="N",0,INDEX('Rules of Credit'!$B$5:$F$8,MATCH($F27,'Rules of Credit'!$A$5:$A$8,0),1))+IF(OR(ISNUMBER(K27),UPPER(TRIM(K27))="N/A"),1,0)*INDEX('Rules of Credit'!$B$5:$F$8,MATCH($F27,'Rules of Credit'!$A$5:$A$8,0),2)+IF(OR(ISNUMBER(L27),UPPER(TRIM(L27))="N/A"),1,0)*INDEX('Rules of Credit'!$B$5:$F$8,MATCH($F27,'Rules of Credit'!$A$5:$A$8,0),3)+IF(OR(ISNUMBER(M27),UPPER(TRIM(M27))="N/A"),1,0)*IF($X27="N",0,INDEX('Rules of Credit'!$B$5:$F$8,MATCH($F27,'Rules of Credit'!$A$5:$A$8,0),4))+IF(OR(ISNUMBER(N27),UPPER(TRIM(N27))="N/A"),1,0)*INDEX('Rules of Credit'!$B$5:$F$8,MATCH($F27,'Rules of Credit'!$A$5:$A$8,0),5))/(IF($W27="N",0,INDEX('Rules of Credit'!$B$5:$F$8,MATCH($F27,'Rules of Credit'!$A$5:$A$8,0),1))+INDEX('Rules of Credit'!$B$5:$F$8,MATCH($F27,'Rules of Credit'!$A$5:$A$8,0),2)+INDEX('Rules of Credit'!$B$5:$F$8,MATCH($F27,'Rules of Credit'!$A$5:$A$8,0),3)+IF($X27="N",0,INDEX('Rules of Credit'!$B$5:$F$8,MATCH($F27,'Rules of Credit'!$A$5:$A$8,0),4))+INDEX('Rules of Credit'!$B$5:$F$8,MATCH($F27,'Rules of Credit'!$A$5:$A$8,0),5)),0)</f>
        <v>0</v>
      </c>
      <c r="Q27" s="100" t="n">
        <f aca="false">IF(OR($H27="",$I27=""),0,IF('Tracker Summary'!$C$3&lt;$H27,0,IF('Tracker Summary'!$C$3&gt;=$I27,1,('Tracker Summary'!$C$3-$H27)/($I27-$H27+1))))</f>
        <v>0</v>
      </c>
      <c r="R27" s="100" t="n">
        <f aca="false">P27-Q27</f>
        <v>0</v>
      </c>
      <c r="S27" s="97" t="str">
        <f aca="false">IF($I27="","Not scheduled",IF(P27&gt;=1,"Complete",IF('Tracker Summary'!$C$3&gt;$I27,"Overdue",IF(P27-Q27&lt;-0.1,"Behind",IF(AND(P27=0,'Tracker Summary'!$C$3&lt;$H27),"Not started","On track")))))</f>
        <v>Not started</v>
      </c>
      <c r="T27" s="90"/>
      <c r="U27" s="97" t="str">
        <f aca="false">IFERROR(INDEX(Schedule!$D$2:$D$147,MATCH($G27,Schedule!$A$2:$A$147,0)),"")</f>
        <v>Demolition &amp; Existing Conditions — Site demolition ahead of new work</v>
      </c>
      <c r="V27" s="99" t="n">
        <f aca="false">IFERROR(INDEX(Schedule!$F$2:$F$147,MATCH("02-P01",Schedule!$A$2:$A$147,0)),"")</f>
        <v>45016</v>
      </c>
      <c r="W27" s="97" t="s">
        <v>91</v>
      </c>
      <c r="X27" s="97" t="s">
        <v>91</v>
      </c>
      <c r="Y27" s="97" t="n">
        <v>0</v>
      </c>
      <c r="Z27" s="97" t="n">
        <v>0</v>
      </c>
      <c r="AA27" s="97"/>
      <c r="AB27" s="97"/>
      <c r="AC27" s="97" t="s">
        <v>92</v>
      </c>
      <c r="AD27" s="97" t="s">
        <v>93</v>
      </c>
      <c r="AE27" s="97" t="s">
        <v>178</v>
      </c>
      <c r="AF27" s="97" t="s">
        <v>152</v>
      </c>
      <c r="AG27" s="97" t="s">
        <v>153</v>
      </c>
      <c r="AH27" s="97" t="s">
        <v>95</v>
      </c>
    </row>
    <row r="28" customFormat="false" ht="15" hidden="false" customHeight="false" outlineLevel="0" collapsed="false">
      <c r="A28" s="97" t="s">
        <v>60</v>
      </c>
      <c r="B28" s="98" t="s">
        <v>19</v>
      </c>
      <c r="C28" s="97" t="s">
        <v>179</v>
      </c>
      <c r="D28" s="97" t="s">
        <v>180</v>
      </c>
      <c r="E28" s="97" t="s">
        <v>98</v>
      </c>
      <c r="F28" s="90" t="s">
        <v>149</v>
      </c>
      <c r="G28" s="97" t="s">
        <v>150</v>
      </c>
      <c r="H28" s="99" t="n">
        <f aca="false">IFERROR(INDEX(Schedule!$E$2:$E$147,MATCH($G28,Schedule!$A$2:$A$147,0)),"")</f>
        <v>45017</v>
      </c>
      <c r="I28" s="99" t="n">
        <f aca="false">IFERROR(INDEX(Schedule!$F$2:$F$147,MATCH($G28,Schedule!$A$2:$A$147,0)),"")</f>
        <v>45077</v>
      </c>
      <c r="J28" s="92"/>
      <c r="K28" s="92"/>
      <c r="L28" s="92"/>
      <c r="M28" s="92"/>
      <c r="N28" s="92"/>
      <c r="O28" s="90" t="n">
        <v>1</v>
      </c>
      <c r="P28" s="100" t="n">
        <f aca="false">IFERROR((IF(OR(ISNUMBER(J28),UPPER(TRIM(J28))="N/A"),1,0)*IF($W28="N",0,INDEX('Rules of Credit'!$B$5:$F$8,MATCH($F28,'Rules of Credit'!$A$5:$A$8,0),1))+IF(OR(ISNUMBER(K28),UPPER(TRIM(K28))="N/A"),1,0)*INDEX('Rules of Credit'!$B$5:$F$8,MATCH($F28,'Rules of Credit'!$A$5:$A$8,0),2)+IF(OR(ISNUMBER(L28),UPPER(TRIM(L28))="N/A"),1,0)*INDEX('Rules of Credit'!$B$5:$F$8,MATCH($F28,'Rules of Credit'!$A$5:$A$8,0),3)+IF(OR(ISNUMBER(M28),UPPER(TRIM(M28))="N/A"),1,0)*IF($X28="N",0,INDEX('Rules of Credit'!$B$5:$F$8,MATCH($F28,'Rules of Credit'!$A$5:$A$8,0),4))+IF(OR(ISNUMBER(N28),UPPER(TRIM(N28))="N/A"),1,0)*INDEX('Rules of Credit'!$B$5:$F$8,MATCH($F28,'Rules of Credit'!$A$5:$A$8,0),5))/(IF($W28="N",0,INDEX('Rules of Credit'!$B$5:$F$8,MATCH($F28,'Rules of Credit'!$A$5:$A$8,0),1))+INDEX('Rules of Credit'!$B$5:$F$8,MATCH($F28,'Rules of Credit'!$A$5:$A$8,0),2)+INDEX('Rules of Credit'!$B$5:$F$8,MATCH($F28,'Rules of Credit'!$A$5:$A$8,0),3)+IF($X28="N",0,INDEX('Rules of Credit'!$B$5:$F$8,MATCH($F28,'Rules of Credit'!$A$5:$A$8,0),4))+INDEX('Rules of Credit'!$B$5:$F$8,MATCH($F28,'Rules of Credit'!$A$5:$A$8,0),5)),0)</f>
        <v>0</v>
      </c>
      <c r="Q28" s="100" t="n">
        <f aca="false">IF(OR($H28="",$I28=""),0,IF('Tracker Summary'!$C$3&lt;$H28,0,IF('Tracker Summary'!$C$3&gt;=$I28,1,('Tracker Summary'!$C$3-$H28)/($I28-$H28+1))))</f>
        <v>0</v>
      </c>
      <c r="R28" s="100" t="n">
        <f aca="false">P28-Q28</f>
        <v>0</v>
      </c>
      <c r="S28" s="97" t="str">
        <f aca="false">IF($I28="","Not scheduled",IF(P28&gt;=1,"Complete",IF('Tracker Summary'!$C$3&gt;$I28,"Overdue",IF(P28-Q28&lt;-0.1,"Behind",IF(AND(P28=0,'Tracker Summary'!$C$3&lt;$H28),"Not started","On track")))))</f>
        <v>Not started</v>
      </c>
      <c r="T28" s="90"/>
      <c r="U28" s="97" t="str">
        <f aca="false">IFERROR(INDEX(Schedule!$D$2:$D$147,MATCH($G28,Schedule!$A$2:$A$147,0)),"")</f>
        <v>Demolition &amp; Existing Conditions — Site demolition ahead of new work</v>
      </c>
      <c r="V28" s="99" t="n">
        <f aca="false">IFERROR(INDEX(Schedule!$F$2:$F$147,MATCH("02-P01",Schedule!$A$2:$A$147,0)),"")</f>
        <v>45016</v>
      </c>
      <c r="W28" s="97" t="s">
        <v>91</v>
      </c>
      <c r="X28" s="97" t="s">
        <v>91</v>
      </c>
      <c r="Y28" s="97" t="n">
        <v>0</v>
      </c>
      <c r="Z28" s="97" t="n">
        <v>0</v>
      </c>
      <c r="AA28" s="97"/>
      <c r="AB28" s="97"/>
      <c r="AC28" s="97" t="s">
        <v>92</v>
      </c>
      <c r="AD28" s="97" t="s">
        <v>93</v>
      </c>
      <c r="AE28" s="97" t="s">
        <v>181</v>
      </c>
      <c r="AF28" s="97" t="s">
        <v>152</v>
      </c>
      <c r="AG28" s="97" t="s">
        <v>153</v>
      </c>
      <c r="AH28" s="97" t="s">
        <v>95</v>
      </c>
    </row>
    <row r="29" customFormat="false" ht="15" hidden="false" customHeight="false" outlineLevel="0" collapsed="false">
      <c r="A29" s="97" t="s">
        <v>60</v>
      </c>
      <c r="B29" s="98" t="s">
        <v>19</v>
      </c>
      <c r="C29" s="97" t="s">
        <v>182</v>
      </c>
      <c r="D29" s="97" t="s">
        <v>183</v>
      </c>
      <c r="E29" s="97" t="s">
        <v>98</v>
      </c>
      <c r="F29" s="90" t="s">
        <v>149</v>
      </c>
      <c r="G29" s="97" t="s">
        <v>150</v>
      </c>
      <c r="H29" s="99" t="n">
        <f aca="false">IFERROR(INDEX(Schedule!$E$2:$E$147,MATCH($G29,Schedule!$A$2:$A$147,0)),"")</f>
        <v>45017</v>
      </c>
      <c r="I29" s="99" t="n">
        <f aca="false">IFERROR(INDEX(Schedule!$F$2:$F$147,MATCH($G29,Schedule!$A$2:$A$147,0)),"")</f>
        <v>45077</v>
      </c>
      <c r="J29" s="92"/>
      <c r="K29" s="92"/>
      <c r="L29" s="92"/>
      <c r="M29" s="92"/>
      <c r="N29" s="92"/>
      <c r="O29" s="90" t="n">
        <v>1</v>
      </c>
      <c r="P29" s="100" t="n">
        <f aca="false">IFERROR((IF(OR(ISNUMBER(J29),UPPER(TRIM(J29))="N/A"),1,0)*IF($W29="N",0,INDEX('Rules of Credit'!$B$5:$F$8,MATCH($F29,'Rules of Credit'!$A$5:$A$8,0),1))+IF(OR(ISNUMBER(K29),UPPER(TRIM(K29))="N/A"),1,0)*INDEX('Rules of Credit'!$B$5:$F$8,MATCH($F29,'Rules of Credit'!$A$5:$A$8,0),2)+IF(OR(ISNUMBER(L29),UPPER(TRIM(L29))="N/A"),1,0)*INDEX('Rules of Credit'!$B$5:$F$8,MATCH($F29,'Rules of Credit'!$A$5:$A$8,0),3)+IF(OR(ISNUMBER(M29),UPPER(TRIM(M29))="N/A"),1,0)*IF($X29="N",0,INDEX('Rules of Credit'!$B$5:$F$8,MATCH($F29,'Rules of Credit'!$A$5:$A$8,0),4))+IF(OR(ISNUMBER(N29),UPPER(TRIM(N29))="N/A"),1,0)*INDEX('Rules of Credit'!$B$5:$F$8,MATCH($F29,'Rules of Credit'!$A$5:$A$8,0),5))/(IF($W29="N",0,INDEX('Rules of Credit'!$B$5:$F$8,MATCH($F29,'Rules of Credit'!$A$5:$A$8,0),1))+INDEX('Rules of Credit'!$B$5:$F$8,MATCH($F29,'Rules of Credit'!$A$5:$A$8,0),2)+INDEX('Rules of Credit'!$B$5:$F$8,MATCH($F29,'Rules of Credit'!$A$5:$A$8,0),3)+IF($X29="N",0,INDEX('Rules of Credit'!$B$5:$F$8,MATCH($F29,'Rules of Credit'!$A$5:$A$8,0),4))+INDEX('Rules of Credit'!$B$5:$F$8,MATCH($F29,'Rules of Credit'!$A$5:$A$8,0),5)),0)</f>
        <v>0</v>
      </c>
      <c r="Q29" s="100" t="n">
        <f aca="false">IF(OR($H29="",$I29=""),0,IF('Tracker Summary'!$C$3&lt;$H29,0,IF('Tracker Summary'!$C$3&gt;=$I29,1,('Tracker Summary'!$C$3-$H29)/($I29-$H29+1))))</f>
        <v>0</v>
      </c>
      <c r="R29" s="100" t="n">
        <f aca="false">P29-Q29</f>
        <v>0</v>
      </c>
      <c r="S29" s="97" t="str">
        <f aca="false">IF($I29="","Not scheduled",IF(P29&gt;=1,"Complete",IF('Tracker Summary'!$C$3&gt;$I29,"Overdue",IF(P29-Q29&lt;-0.1,"Behind",IF(AND(P29=0,'Tracker Summary'!$C$3&lt;$H29),"Not started","On track")))))</f>
        <v>Not started</v>
      </c>
      <c r="T29" s="90"/>
      <c r="U29" s="97" t="str">
        <f aca="false">IFERROR(INDEX(Schedule!$D$2:$D$147,MATCH($G29,Schedule!$A$2:$A$147,0)),"")</f>
        <v>Demolition &amp; Existing Conditions — Site demolition ahead of new work</v>
      </c>
      <c r="V29" s="99" t="n">
        <f aca="false">IFERROR(INDEX(Schedule!$F$2:$F$147,MATCH("02-P01",Schedule!$A$2:$A$147,0)),"")</f>
        <v>45016</v>
      </c>
      <c r="W29" s="97" t="s">
        <v>91</v>
      </c>
      <c r="X29" s="97" t="s">
        <v>91</v>
      </c>
      <c r="Y29" s="97" t="n">
        <v>0</v>
      </c>
      <c r="Z29" s="97" t="n">
        <v>0</v>
      </c>
      <c r="AA29" s="97"/>
      <c r="AB29" s="97"/>
      <c r="AC29" s="97" t="s">
        <v>92</v>
      </c>
      <c r="AD29" s="97" t="s">
        <v>93</v>
      </c>
      <c r="AE29" s="97" t="s">
        <v>184</v>
      </c>
      <c r="AF29" s="97" t="s">
        <v>152</v>
      </c>
      <c r="AG29" s="97" t="s">
        <v>153</v>
      </c>
      <c r="AH29" s="97" t="s">
        <v>95</v>
      </c>
    </row>
    <row r="30" customFormat="false" ht="15" hidden="false" customHeight="false" outlineLevel="0" collapsed="false">
      <c r="A30" s="97" t="s">
        <v>60</v>
      </c>
      <c r="B30" s="98" t="s">
        <v>19</v>
      </c>
      <c r="C30" s="97" t="s">
        <v>185</v>
      </c>
      <c r="D30" s="97" t="s">
        <v>186</v>
      </c>
      <c r="E30" s="97" t="s">
        <v>98</v>
      </c>
      <c r="F30" s="90" t="s">
        <v>149</v>
      </c>
      <c r="G30" s="97" t="s">
        <v>150</v>
      </c>
      <c r="H30" s="99" t="n">
        <f aca="false">IFERROR(INDEX(Schedule!$E$2:$E$147,MATCH($G30,Schedule!$A$2:$A$147,0)),"")</f>
        <v>45017</v>
      </c>
      <c r="I30" s="99" t="n">
        <f aca="false">IFERROR(INDEX(Schedule!$F$2:$F$147,MATCH($G30,Schedule!$A$2:$A$147,0)),"")</f>
        <v>45077</v>
      </c>
      <c r="J30" s="92"/>
      <c r="K30" s="92"/>
      <c r="L30" s="92"/>
      <c r="M30" s="92"/>
      <c r="N30" s="92"/>
      <c r="O30" s="90" t="n">
        <v>1</v>
      </c>
      <c r="P30" s="100" t="n">
        <f aca="false">IFERROR((IF(OR(ISNUMBER(J30),UPPER(TRIM(J30))="N/A"),1,0)*IF($W30="N",0,INDEX('Rules of Credit'!$B$5:$F$8,MATCH($F30,'Rules of Credit'!$A$5:$A$8,0),1))+IF(OR(ISNUMBER(K30),UPPER(TRIM(K30))="N/A"),1,0)*INDEX('Rules of Credit'!$B$5:$F$8,MATCH($F30,'Rules of Credit'!$A$5:$A$8,0),2)+IF(OR(ISNUMBER(L30),UPPER(TRIM(L30))="N/A"),1,0)*INDEX('Rules of Credit'!$B$5:$F$8,MATCH($F30,'Rules of Credit'!$A$5:$A$8,0),3)+IF(OR(ISNUMBER(M30),UPPER(TRIM(M30))="N/A"),1,0)*IF($X30="N",0,INDEX('Rules of Credit'!$B$5:$F$8,MATCH($F30,'Rules of Credit'!$A$5:$A$8,0),4))+IF(OR(ISNUMBER(N30),UPPER(TRIM(N30))="N/A"),1,0)*INDEX('Rules of Credit'!$B$5:$F$8,MATCH($F30,'Rules of Credit'!$A$5:$A$8,0),5))/(IF($W30="N",0,INDEX('Rules of Credit'!$B$5:$F$8,MATCH($F30,'Rules of Credit'!$A$5:$A$8,0),1))+INDEX('Rules of Credit'!$B$5:$F$8,MATCH($F30,'Rules of Credit'!$A$5:$A$8,0),2)+INDEX('Rules of Credit'!$B$5:$F$8,MATCH($F30,'Rules of Credit'!$A$5:$A$8,0),3)+IF($X30="N",0,INDEX('Rules of Credit'!$B$5:$F$8,MATCH($F30,'Rules of Credit'!$A$5:$A$8,0),4))+INDEX('Rules of Credit'!$B$5:$F$8,MATCH($F30,'Rules of Credit'!$A$5:$A$8,0),5)),0)</f>
        <v>0</v>
      </c>
      <c r="Q30" s="100" t="n">
        <f aca="false">IF(OR($H30="",$I30=""),0,IF('Tracker Summary'!$C$3&lt;$H30,0,IF('Tracker Summary'!$C$3&gt;=$I30,1,('Tracker Summary'!$C$3-$H30)/($I30-$H30+1))))</f>
        <v>0</v>
      </c>
      <c r="R30" s="100" t="n">
        <f aca="false">P30-Q30</f>
        <v>0</v>
      </c>
      <c r="S30" s="97" t="str">
        <f aca="false">IF($I30="","Not scheduled",IF(P30&gt;=1,"Complete",IF('Tracker Summary'!$C$3&gt;$I30,"Overdue",IF(P30-Q30&lt;-0.1,"Behind",IF(AND(P30=0,'Tracker Summary'!$C$3&lt;$H30),"Not started","On track")))))</f>
        <v>Not started</v>
      </c>
      <c r="T30" s="90"/>
      <c r="U30" s="97" t="str">
        <f aca="false">IFERROR(INDEX(Schedule!$D$2:$D$147,MATCH($G30,Schedule!$A$2:$A$147,0)),"")</f>
        <v>Demolition &amp; Existing Conditions — Site demolition ahead of new work</v>
      </c>
      <c r="V30" s="99" t="n">
        <f aca="false">IFERROR(INDEX(Schedule!$F$2:$F$147,MATCH("02-P01",Schedule!$A$2:$A$147,0)),"")</f>
        <v>45016</v>
      </c>
      <c r="W30" s="97" t="s">
        <v>91</v>
      </c>
      <c r="X30" s="97" t="s">
        <v>91</v>
      </c>
      <c r="Y30" s="97" t="n">
        <v>0</v>
      </c>
      <c r="Z30" s="97" t="n">
        <v>0</v>
      </c>
      <c r="AA30" s="97"/>
      <c r="AB30" s="97"/>
      <c r="AC30" s="97" t="s">
        <v>92</v>
      </c>
      <c r="AD30" s="97" t="s">
        <v>93</v>
      </c>
      <c r="AE30" s="97" t="s">
        <v>187</v>
      </c>
      <c r="AF30" s="97" t="s">
        <v>152</v>
      </c>
      <c r="AG30" s="97" t="s">
        <v>153</v>
      </c>
      <c r="AH30" s="97" t="s">
        <v>95</v>
      </c>
    </row>
    <row r="31" customFormat="false" ht="15" hidden="false" customHeight="false" outlineLevel="0" collapsed="false">
      <c r="A31" s="97" t="s">
        <v>60</v>
      </c>
      <c r="B31" s="98" t="s">
        <v>19</v>
      </c>
      <c r="C31" s="97" t="s">
        <v>188</v>
      </c>
      <c r="D31" s="97" t="s">
        <v>189</v>
      </c>
      <c r="E31" s="97" t="s">
        <v>98</v>
      </c>
      <c r="F31" s="90" t="s">
        <v>149</v>
      </c>
      <c r="G31" s="97" t="s">
        <v>150</v>
      </c>
      <c r="H31" s="99" t="n">
        <f aca="false">IFERROR(INDEX(Schedule!$E$2:$E$147,MATCH($G31,Schedule!$A$2:$A$147,0)),"")</f>
        <v>45017</v>
      </c>
      <c r="I31" s="99" t="n">
        <f aca="false">IFERROR(INDEX(Schedule!$F$2:$F$147,MATCH($G31,Schedule!$A$2:$A$147,0)),"")</f>
        <v>45077</v>
      </c>
      <c r="J31" s="92"/>
      <c r="K31" s="92"/>
      <c r="L31" s="92"/>
      <c r="M31" s="92"/>
      <c r="N31" s="92"/>
      <c r="O31" s="90" t="n">
        <v>1</v>
      </c>
      <c r="P31" s="100" t="n">
        <f aca="false">IFERROR((IF(OR(ISNUMBER(J31),UPPER(TRIM(J31))="N/A"),1,0)*IF($W31="N",0,INDEX('Rules of Credit'!$B$5:$F$8,MATCH($F31,'Rules of Credit'!$A$5:$A$8,0),1))+IF(OR(ISNUMBER(K31),UPPER(TRIM(K31))="N/A"),1,0)*INDEX('Rules of Credit'!$B$5:$F$8,MATCH($F31,'Rules of Credit'!$A$5:$A$8,0),2)+IF(OR(ISNUMBER(L31),UPPER(TRIM(L31))="N/A"),1,0)*INDEX('Rules of Credit'!$B$5:$F$8,MATCH($F31,'Rules of Credit'!$A$5:$A$8,0),3)+IF(OR(ISNUMBER(M31),UPPER(TRIM(M31))="N/A"),1,0)*IF($X31="N",0,INDEX('Rules of Credit'!$B$5:$F$8,MATCH($F31,'Rules of Credit'!$A$5:$A$8,0),4))+IF(OR(ISNUMBER(N31),UPPER(TRIM(N31))="N/A"),1,0)*INDEX('Rules of Credit'!$B$5:$F$8,MATCH($F31,'Rules of Credit'!$A$5:$A$8,0),5))/(IF($W31="N",0,INDEX('Rules of Credit'!$B$5:$F$8,MATCH($F31,'Rules of Credit'!$A$5:$A$8,0),1))+INDEX('Rules of Credit'!$B$5:$F$8,MATCH($F31,'Rules of Credit'!$A$5:$A$8,0),2)+INDEX('Rules of Credit'!$B$5:$F$8,MATCH($F31,'Rules of Credit'!$A$5:$A$8,0),3)+IF($X31="N",0,INDEX('Rules of Credit'!$B$5:$F$8,MATCH($F31,'Rules of Credit'!$A$5:$A$8,0),4))+INDEX('Rules of Credit'!$B$5:$F$8,MATCH($F31,'Rules of Credit'!$A$5:$A$8,0),5)),0)</f>
        <v>0</v>
      </c>
      <c r="Q31" s="100" t="n">
        <f aca="false">IF(OR($H31="",$I31=""),0,IF('Tracker Summary'!$C$3&lt;$H31,0,IF('Tracker Summary'!$C$3&gt;=$I31,1,('Tracker Summary'!$C$3-$H31)/($I31-$H31+1))))</f>
        <v>0</v>
      </c>
      <c r="R31" s="100" t="n">
        <f aca="false">P31-Q31</f>
        <v>0</v>
      </c>
      <c r="S31" s="97" t="str">
        <f aca="false">IF($I31="","Not scheduled",IF(P31&gt;=1,"Complete",IF('Tracker Summary'!$C$3&gt;$I31,"Overdue",IF(P31-Q31&lt;-0.1,"Behind",IF(AND(P31=0,'Tracker Summary'!$C$3&lt;$H31),"Not started","On track")))))</f>
        <v>Not started</v>
      </c>
      <c r="T31" s="90"/>
      <c r="U31" s="97" t="str">
        <f aca="false">IFERROR(INDEX(Schedule!$D$2:$D$147,MATCH($G31,Schedule!$A$2:$A$147,0)),"")</f>
        <v>Demolition &amp; Existing Conditions — Site demolition ahead of new work</v>
      </c>
      <c r="V31" s="99" t="n">
        <f aca="false">IFERROR(INDEX(Schedule!$F$2:$F$147,MATCH("02-P01",Schedule!$A$2:$A$147,0)),"")</f>
        <v>45016</v>
      </c>
      <c r="W31" s="97" t="s">
        <v>91</v>
      </c>
      <c r="X31" s="97" t="s">
        <v>91</v>
      </c>
      <c r="Y31" s="97" t="n">
        <v>0</v>
      </c>
      <c r="Z31" s="97" t="n">
        <v>0</v>
      </c>
      <c r="AA31" s="97"/>
      <c r="AB31" s="97"/>
      <c r="AC31" s="97" t="s">
        <v>92</v>
      </c>
      <c r="AD31" s="97" t="s">
        <v>93</v>
      </c>
      <c r="AE31" s="97" t="s">
        <v>190</v>
      </c>
      <c r="AF31" s="97" t="s">
        <v>152</v>
      </c>
      <c r="AG31" s="97" t="s">
        <v>153</v>
      </c>
      <c r="AH31" s="97" t="s">
        <v>95</v>
      </c>
    </row>
    <row r="32" customFormat="false" ht="15" hidden="false" customHeight="false" outlineLevel="0" collapsed="false">
      <c r="A32" s="97" t="s">
        <v>60</v>
      </c>
      <c r="B32" s="98" t="s">
        <v>19</v>
      </c>
      <c r="C32" s="97" t="s">
        <v>191</v>
      </c>
      <c r="D32" s="97" t="s">
        <v>192</v>
      </c>
      <c r="E32" s="97" t="s">
        <v>98</v>
      </c>
      <c r="F32" s="90" t="s">
        <v>149</v>
      </c>
      <c r="G32" s="97" t="s">
        <v>150</v>
      </c>
      <c r="H32" s="99" t="n">
        <f aca="false">IFERROR(INDEX(Schedule!$E$2:$E$147,MATCH($G32,Schedule!$A$2:$A$147,0)),"")</f>
        <v>45017</v>
      </c>
      <c r="I32" s="99" t="n">
        <f aca="false">IFERROR(INDEX(Schedule!$F$2:$F$147,MATCH($G32,Schedule!$A$2:$A$147,0)),"")</f>
        <v>45077</v>
      </c>
      <c r="J32" s="92"/>
      <c r="K32" s="92"/>
      <c r="L32" s="92"/>
      <c r="M32" s="92"/>
      <c r="N32" s="92"/>
      <c r="O32" s="90" t="n">
        <v>1</v>
      </c>
      <c r="P32" s="100" t="n">
        <f aca="false">IFERROR((IF(OR(ISNUMBER(J32),UPPER(TRIM(J32))="N/A"),1,0)*IF($W32="N",0,INDEX('Rules of Credit'!$B$5:$F$8,MATCH($F32,'Rules of Credit'!$A$5:$A$8,0),1))+IF(OR(ISNUMBER(K32),UPPER(TRIM(K32))="N/A"),1,0)*INDEX('Rules of Credit'!$B$5:$F$8,MATCH($F32,'Rules of Credit'!$A$5:$A$8,0),2)+IF(OR(ISNUMBER(L32),UPPER(TRIM(L32))="N/A"),1,0)*INDEX('Rules of Credit'!$B$5:$F$8,MATCH($F32,'Rules of Credit'!$A$5:$A$8,0),3)+IF(OR(ISNUMBER(M32),UPPER(TRIM(M32))="N/A"),1,0)*IF($X32="N",0,INDEX('Rules of Credit'!$B$5:$F$8,MATCH($F32,'Rules of Credit'!$A$5:$A$8,0),4))+IF(OR(ISNUMBER(N32),UPPER(TRIM(N32))="N/A"),1,0)*INDEX('Rules of Credit'!$B$5:$F$8,MATCH($F32,'Rules of Credit'!$A$5:$A$8,0),5))/(IF($W32="N",0,INDEX('Rules of Credit'!$B$5:$F$8,MATCH($F32,'Rules of Credit'!$A$5:$A$8,0),1))+INDEX('Rules of Credit'!$B$5:$F$8,MATCH($F32,'Rules of Credit'!$A$5:$A$8,0),2)+INDEX('Rules of Credit'!$B$5:$F$8,MATCH($F32,'Rules of Credit'!$A$5:$A$8,0),3)+IF($X32="N",0,INDEX('Rules of Credit'!$B$5:$F$8,MATCH($F32,'Rules of Credit'!$A$5:$A$8,0),4))+INDEX('Rules of Credit'!$B$5:$F$8,MATCH($F32,'Rules of Credit'!$A$5:$A$8,0),5)),0)</f>
        <v>0</v>
      </c>
      <c r="Q32" s="100" t="n">
        <f aca="false">IF(OR($H32="",$I32=""),0,IF('Tracker Summary'!$C$3&lt;$H32,0,IF('Tracker Summary'!$C$3&gt;=$I32,1,('Tracker Summary'!$C$3-$H32)/($I32-$H32+1))))</f>
        <v>0</v>
      </c>
      <c r="R32" s="100" t="n">
        <f aca="false">P32-Q32</f>
        <v>0</v>
      </c>
      <c r="S32" s="97" t="str">
        <f aca="false">IF($I32="","Not scheduled",IF(P32&gt;=1,"Complete",IF('Tracker Summary'!$C$3&gt;$I32,"Overdue",IF(P32-Q32&lt;-0.1,"Behind",IF(AND(P32=0,'Tracker Summary'!$C$3&lt;$H32),"Not started","On track")))))</f>
        <v>Not started</v>
      </c>
      <c r="T32" s="90"/>
      <c r="U32" s="97" t="str">
        <f aca="false">IFERROR(INDEX(Schedule!$D$2:$D$147,MATCH($G32,Schedule!$A$2:$A$147,0)),"")</f>
        <v>Demolition &amp; Existing Conditions — Site demolition ahead of new work</v>
      </c>
      <c r="V32" s="99" t="n">
        <f aca="false">IFERROR(INDEX(Schedule!$F$2:$F$147,MATCH("02-P01",Schedule!$A$2:$A$147,0)),"")</f>
        <v>45016</v>
      </c>
      <c r="W32" s="97" t="s">
        <v>91</v>
      </c>
      <c r="X32" s="97" t="s">
        <v>91</v>
      </c>
      <c r="Y32" s="97" t="n">
        <v>0</v>
      </c>
      <c r="Z32" s="97" t="n">
        <v>0</v>
      </c>
      <c r="AA32" s="97" t="s">
        <v>193</v>
      </c>
      <c r="AB32" s="97" t="s">
        <v>194</v>
      </c>
      <c r="AC32" s="97" t="s">
        <v>92</v>
      </c>
      <c r="AD32" s="97" t="s">
        <v>93</v>
      </c>
      <c r="AE32" s="97" t="s">
        <v>195</v>
      </c>
      <c r="AF32" s="97" t="s">
        <v>152</v>
      </c>
      <c r="AG32" s="97" t="s">
        <v>153</v>
      </c>
      <c r="AH32" s="97" t="s">
        <v>95</v>
      </c>
    </row>
    <row r="33" customFormat="false" ht="15" hidden="false" customHeight="false" outlineLevel="0" collapsed="false">
      <c r="A33" s="97" t="s">
        <v>60</v>
      </c>
      <c r="B33" s="98" t="s">
        <v>19</v>
      </c>
      <c r="C33" s="97" t="s">
        <v>196</v>
      </c>
      <c r="D33" s="97" t="s">
        <v>197</v>
      </c>
      <c r="E33" s="97" t="s">
        <v>98</v>
      </c>
      <c r="F33" s="90" t="s">
        <v>149</v>
      </c>
      <c r="G33" s="97" t="s">
        <v>150</v>
      </c>
      <c r="H33" s="99" t="n">
        <f aca="false">IFERROR(INDEX(Schedule!$E$2:$E$147,MATCH($G33,Schedule!$A$2:$A$147,0)),"")</f>
        <v>45017</v>
      </c>
      <c r="I33" s="99" t="n">
        <f aca="false">IFERROR(INDEX(Schedule!$F$2:$F$147,MATCH($G33,Schedule!$A$2:$A$147,0)),"")</f>
        <v>45077</v>
      </c>
      <c r="J33" s="92"/>
      <c r="K33" s="92"/>
      <c r="L33" s="92"/>
      <c r="M33" s="92"/>
      <c r="N33" s="92"/>
      <c r="O33" s="90" t="n">
        <v>1</v>
      </c>
      <c r="P33" s="100" t="n">
        <f aca="false">IFERROR((IF(OR(ISNUMBER(J33),UPPER(TRIM(J33))="N/A"),1,0)*IF($W33="N",0,INDEX('Rules of Credit'!$B$5:$F$8,MATCH($F33,'Rules of Credit'!$A$5:$A$8,0),1))+IF(OR(ISNUMBER(K33),UPPER(TRIM(K33))="N/A"),1,0)*INDEX('Rules of Credit'!$B$5:$F$8,MATCH($F33,'Rules of Credit'!$A$5:$A$8,0),2)+IF(OR(ISNUMBER(L33),UPPER(TRIM(L33))="N/A"),1,0)*INDEX('Rules of Credit'!$B$5:$F$8,MATCH($F33,'Rules of Credit'!$A$5:$A$8,0),3)+IF(OR(ISNUMBER(M33),UPPER(TRIM(M33))="N/A"),1,0)*IF($X33="N",0,INDEX('Rules of Credit'!$B$5:$F$8,MATCH($F33,'Rules of Credit'!$A$5:$A$8,0),4))+IF(OR(ISNUMBER(N33),UPPER(TRIM(N33))="N/A"),1,0)*INDEX('Rules of Credit'!$B$5:$F$8,MATCH($F33,'Rules of Credit'!$A$5:$A$8,0),5))/(IF($W33="N",0,INDEX('Rules of Credit'!$B$5:$F$8,MATCH($F33,'Rules of Credit'!$A$5:$A$8,0),1))+INDEX('Rules of Credit'!$B$5:$F$8,MATCH($F33,'Rules of Credit'!$A$5:$A$8,0),2)+INDEX('Rules of Credit'!$B$5:$F$8,MATCH($F33,'Rules of Credit'!$A$5:$A$8,0),3)+IF($X33="N",0,INDEX('Rules of Credit'!$B$5:$F$8,MATCH($F33,'Rules of Credit'!$A$5:$A$8,0),4))+INDEX('Rules of Credit'!$B$5:$F$8,MATCH($F33,'Rules of Credit'!$A$5:$A$8,0),5)),0)</f>
        <v>0</v>
      </c>
      <c r="Q33" s="100" t="n">
        <f aca="false">IF(OR($H33="",$I33=""),0,IF('Tracker Summary'!$C$3&lt;$H33,0,IF('Tracker Summary'!$C$3&gt;=$I33,1,('Tracker Summary'!$C$3-$H33)/($I33-$H33+1))))</f>
        <v>0</v>
      </c>
      <c r="R33" s="100" t="n">
        <f aca="false">P33-Q33</f>
        <v>0</v>
      </c>
      <c r="S33" s="97" t="str">
        <f aca="false">IF($I33="","Not scheduled",IF(P33&gt;=1,"Complete",IF('Tracker Summary'!$C$3&gt;$I33,"Overdue",IF(P33-Q33&lt;-0.1,"Behind",IF(AND(P33=0,'Tracker Summary'!$C$3&lt;$H33),"Not started","On track")))))</f>
        <v>Not started</v>
      </c>
      <c r="T33" s="90"/>
      <c r="U33" s="97" t="str">
        <f aca="false">IFERROR(INDEX(Schedule!$D$2:$D$147,MATCH($G33,Schedule!$A$2:$A$147,0)),"")</f>
        <v>Demolition &amp; Existing Conditions — Site demolition ahead of new work</v>
      </c>
      <c r="V33" s="99" t="n">
        <f aca="false">IFERROR(INDEX(Schedule!$F$2:$F$147,MATCH("02-P01",Schedule!$A$2:$A$147,0)),"")</f>
        <v>45016</v>
      </c>
      <c r="W33" s="97" t="s">
        <v>91</v>
      </c>
      <c r="X33" s="97" t="s">
        <v>91</v>
      </c>
      <c r="Y33" s="97" t="n">
        <v>0</v>
      </c>
      <c r="Z33" s="97" t="n">
        <v>0</v>
      </c>
      <c r="AA33" s="97"/>
      <c r="AB33" s="97"/>
      <c r="AC33" s="97" t="s">
        <v>92</v>
      </c>
      <c r="AD33" s="97" t="s">
        <v>93</v>
      </c>
      <c r="AE33" s="97" t="s">
        <v>198</v>
      </c>
      <c r="AF33" s="97" t="s">
        <v>199</v>
      </c>
      <c r="AG33" s="97" t="s">
        <v>200</v>
      </c>
      <c r="AH33" s="97" t="s">
        <v>95</v>
      </c>
    </row>
    <row r="34" customFormat="false" ht="15" hidden="false" customHeight="false" outlineLevel="0" collapsed="false">
      <c r="A34" s="97" t="s">
        <v>60</v>
      </c>
      <c r="B34" s="98" t="s">
        <v>19</v>
      </c>
      <c r="C34" s="97" t="s">
        <v>201</v>
      </c>
      <c r="D34" s="97" t="s">
        <v>202</v>
      </c>
      <c r="E34" s="97" t="s">
        <v>98</v>
      </c>
      <c r="F34" s="90" t="s">
        <v>149</v>
      </c>
      <c r="G34" s="97" t="s">
        <v>150</v>
      </c>
      <c r="H34" s="99" t="n">
        <f aca="false">IFERROR(INDEX(Schedule!$E$2:$E$147,MATCH($G34,Schedule!$A$2:$A$147,0)),"")</f>
        <v>45017</v>
      </c>
      <c r="I34" s="99" t="n">
        <f aca="false">IFERROR(INDEX(Schedule!$F$2:$F$147,MATCH($G34,Schedule!$A$2:$A$147,0)),"")</f>
        <v>45077</v>
      </c>
      <c r="J34" s="92"/>
      <c r="K34" s="92"/>
      <c r="L34" s="92"/>
      <c r="M34" s="92"/>
      <c r="N34" s="92"/>
      <c r="O34" s="90" t="n">
        <v>1</v>
      </c>
      <c r="P34" s="100" t="n">
        <f aca="false">IFERROR((IF(OR(ISNUMBER(J34),UPPER(TRIM(J34))="N/A"),1,0)*IF($W34="N",0,INDEX('Rules of Credit'!$B$5:$F$8,MATCH($F34,'Rules of Credit'!$A$5:$A$8,0),1))+IF(OR(ISNUMBER(K34),UPPER(TRIM(K34))="N/A"),1,0)*INDEX('Rules of Credit'!$B$5:$F$8,MATCH($F34,'Rules of Credit'!$A$5:$A$8,0),2)+IF(OR(ISNUMBER(L34),UPPER(TRIM(L34))="N/A"),1,0)*INDEX('Rules of Credit'!$B$5:$F$8,MATCH($F34,'Rules of Credit'!$A$5:$A$8,0),3)+IF(OR(ISNUMBER(M34),UPPER(TRIM(M34))="N/A"),1,0)*IF($X34="N",0,INDEX('Rules of Credit'!$B$5:$F$8,MATCH($F34,'Rules of Credit'!$A$5:$A$8,0),4))+IF(OR(ISNUMBER(N34),UPPER(TRIM(N34))="N/A"),1,0)*INDEX('Rules of Credit'!$B$5:$F$8,MATCH($F34,'Rules of Credit'!$A$5:$A$8,0),5))/(IF($W34="N",0,INDEX('Rules of Credit'!$B$5:$F$8,MATCH($F34,'Rules of Credit'!$A$5:$A$8,0),1))+INDEX('Rules of Credit'!$B$5:$F$8,MATCH($F34,'Rules of Credit'!$A$5:$A$8,0),2)+INDEX('Rules of Credit'!$B$5:$F$8,MATCH($F34,'Rules of Credit'!$A$5:$A$8,0),3)+IF($X34="N",0,INDEX('Rules of Credit'!$B$5:$F$8,MATCH($F34,'Rules of Credit'!$A$5:$A$8,0),4))+INDEX('Rules of Credit'!$B$5:$F$8,MATCH($F34,'Rules of Credit'!$A$5:$A$8,0),5)),0)</f>
        <v>0</v>
      </c>
      <c r="Q34" s="100" t="n">
        <f aca="false">IF(OR($H34="",$I34=""),0,IF('Tracker Summary'!$C$3&lt;$H34,0,IF('Tracker Summary'!$C$3&gt;=$I34,1,('Tracker Summary'!$C$3-$H34)/($I34-$H34+1))))</f>
        <v>0</v>
      </c>
      <c r="R34" s="100" t="n">
        <f aca="false">P34-Q34</f>
        <v>0</v>
      </c>
      <c r="S34" s="97" t="str">
        <f aca="false">IF($I34="","Not scheduled",IF(P34&gt;=1,"Complete",IF('Tracker Summary'!$C$3&gt;$I34,"Overdue",IF(P34-Q34&lt;-0.1,"Behind",IF(AND(P34=0,'Tracker Summary'!$C$3&lt;$H34),"Not started","On track")))))</f>
        <v>Not started</v>
      </c>
      <c r="T34" s="90"/>
      <c r="U34" s="97" t="str">
        <f aca="false">IFERROR(INDEX(Schedule!$D$2:$D$147,MATCH($G34,Schedule!$A$2:$A$147,0)),"")</f>
        <v>Demolition &amp; Existing Conditions — Site demolition ahead of new work</v>
      </c>
      <c r="V34" s="99" t="n">
        <f aca="false">IFERROR(INDEX(Schedule!$F$2:$F$147,MATCH("02-P01",Schedule!$A$2:$A$147,0)),"")</f>
        <v>45016</v>
      </c>
      <c r="W34" s="97" t="s">
        <v>91</v>
      </c>
      <c r="X34" s="97" t="s">
        <v>91</v>
      </c>
      <c r="Y34" s="97" t="n">
        <v>0</v>
      </c>
      <c r="Z34" s="97" t="n">
        <v>0</v>
      </c>
      <c r="AA34" s="97"/>
      <c r="AB34" s="97"/>
      <c r="AC34" s="97" t="s">
        <v>92</v>
      </c>
      <c r="AD34" s="97" t="s">
        <v>93</v>
      </c>
      <c r="AE34" s="97" t="s">
        <v>203</v>
      </c>
      <c r="AF34" s="97" t="s">
        <v>152</v>
      </c>
      <c r="AG34" s="97" t="s">
        <v>153</v>
      </c>
      <c r="AH34" s="97" t="s">
        <v>95</v>
      </c>
    </row>
    <row r="35" customFormat="false" ht="15" hidden="false" customHeight="false" outlineLevel="0" collapsed="false">
      <c r="A35" s="97" t="s">
        <v>60</v>
      </c>
      <c r="B35" s="98" t="s">
        <v>19</v>
      </c>
      <c r="C35" s="97" t="s">
        <v>204</v>
      </c>
      <c r="D35" s="97" t="s">
        <v>205</v>
      </c>
      <c r="E35" s="97" t="s">
        <v>98</v>
      </c>
      <c r="F35" s="90" t="s">
        <v>149</v>
      </c>
      <c r="G35" s="97" t="s">
        <v>150</v>
      </c>
      <c r="H35" s="99" t="n">
        <f aca="false">IFERROR(INDEX(Schedule!$E$2:$E$147,MATCH($G35,Schedule!$A$2:$A$147,0)),"")</f>
        <v>45017</v>
      </c>
      <c r="I35" s="99" t="n">
        <f aca="false">IFERROR(INDEX(Schedule!$F$2:$F$147,MATCH($G35,Schedule!$A$2:$A$147,0)),"")</f>
        <v>45077</v>
      </c>
      <c r="J35" s="92"/>
      <c r="K35" s="92"/>
      <c r="L35" s="92"/>
      <c r="M35" s="92"/>
      <c r="N35" s="92"/>
      <c r="O35" s="90" t="n">
        <v>1</v>
      </c>
      <c r="P35" s="100" t="n">
        <f aca="false">IFERROR((IF(OR(ISNUMBER(J35),UPPER(TRIM(J35))="N/A"),1,0)*IF($W35="N",0,INDEX('Rules of Credit'!$B$5:$F$8,MATCH($F35,'Rules of Credit'!$A$5:$A$8,0),1))+IF(OR(ISNUMBER(K35),UPPER(TRIM(K35))="N/A"),1,0)*INDEX('Rules of Credit'!$B$5:$F$8,MATCH($F35,'Rules of Credit'!$A$5:$A$8,0),2)+IF(OR(ISNUMBER(L35),UPPER(TRIM(L35))="N/A"),1,0)*INDEX('Rules of Credit'!$B$5:$F$8,MATCH($F35,'Rules of Credit'!$A$5:$A$8,0),3)+IF(OR(ISNUMBER(M35),UPPER(TRIM(M35))="N/A"),1,0)*IF($X35="N",0,INDEX('Rules of Credit'!$B$5:$F$8,MATCH($F35,'Rules of Credit'!$A$5:$A$8,0),4))+IF(OR(ISNUMBER(N35),UPPER(TRIM(N35))="N/A"),1,0)*INDEX('Rules of Credit'!$B$5:$F$8,MATCH($F35,'Rules of Credit'!$A$5:$A$8,0),5))/(IF($W35="N",0,INDEX('Rules of Credit'!$B$5:$F$8,MATCH($F35,'Rules of Credit'!$A$5:$A$8,0),1))+INDEX('Rules of Credit'!$B$5:$F$8,MATCH($F35,'Rules of Credit'!$A$5:$A$8,0),2)+INDEX('Rules of Credit'!$B$5:$F$8,MATCH($F35,'Rules of Credit'!$A$5:$A$8,0),3)+IF($X35="N",0,INDEX('Rules of Credit'!$B$5:$F$8,MATCH($F35,'Rules of Credit'!$A$5:$A$8,0),4))+INDEX('Rules of Credit'!$B$5:$F$8,MATCH($F35,'Rules of Credit'!$A$5:$A$8,0),5)),0)</f>
        <v>0</v>
      </c>
      <c r="Q35" s="100" t="n">
        <f aca="false">IF(OR($H35="",$I35=""),0,IF('Tracker Summary'!$C$3&lt;$H35,0,IF('Tracker Summary'!$C$3&gt;=$I35,1,('Tracker Summary'!$C$3-$H35)/($I35-$H35+1))))</f>
        <v>0</v>
      </c>
      <c r="R35" s="100" t="n">
        <f aca="false">P35-Q35</f>
        <v>0</v>
      </c>
      <c r="S35" s="97" t="str">
        <f aca="false">IF($I35="","Not scheduled",IF(P35&gt;=1,"Complete",IF('Tracker Summary'!$C$3&gt;$I35,"Overdue",IF(P35-Q35&lt;-0.1,"Behind",IF(AND(P35=0,'Tracker Summary'!$C$3&lt;$H35),"Not started","On track")))))</f>
        <v>Not started</v>
      </c>
      <c r="T35" s="90"/>
      <c r="U35" s="97" t="str">
        <f aca="false">IFERROR(INDEX(Schedule!$D$2:$D$147,MATCH($G35,Schedule!$A$2:$A$147,0)),"")</f>
        <v>Demolition &amp; Existing Conditions — Site demolition ahead of new work</v>
      </c>
      <c r="V35" s="99" t="n">
        <f aca="false">IFERROR(INDEX(Schedule!$F$2:$F$147,MATCH("02-P01",Schedule!$A$2:$A$147,0)),"")</f>
        <v>45016</v>
      </c>
      <c r="W35" s="97" t="s">
        <v>91</v>
      </c>
      <c r="X35" s="97" t="s">
        <v>91</v>
      </c>
      <c r="Y35" s="97" t="n">
        <v>0</v>
      </c>
      <c r="Z35" s="97" t="n">
        <v>0</v>
      </c>
      <c r="AA35" s="97"/>
      <c r="AB35" s="97"/>
      <c r="AC35" s="97" t="s">
        <v>92</v>
      </c>
      <c r="AD35" s="97" t="s">
        <v>93</v>
      </c>
      <c r="AE35" s="97" t="s">
        <v>206</v>
      </c>
      <c r="AF35" s="97" t="s">
        <v>152</v>
      </c>
      <c r="AG35" s="97" t="s">
        <v>153</v>
      </c>
      <c r="AH35" s="97" t="s">
        <v>95</v>
      </c>
    </row>
    <row r="36" customFormat="false" ht="15" hidden="false" customHeight="false" outlineLevel="0" collapsed="false">
      <c r="A36" s="97" t="s">
        <v>60</v>
      </c>
      <c r="B36" s="98" t="s">
        <v>19</v>
      </c>
      <c r="C36" s="97" t="s">
        <v>207</v>
      </c>
      <c r="D36" s="97" t="s">
        <v>208</v>
      </c>
      <c r="E36" s="97" t="s">
        <v>209</v>
      </c>
      <c r="F36" s="90" t="s">
        <v>149</v>
      </c>
      <c r="G36" s="97" t="s">
        <v>150</v>
      </c>
      <c r="H36" s="99" t="n">
        <f aca="false">IFERROR(INDEX(Schedule!$E$2:$E$147,MATCH($G36,Schedule!$A$2:$A$147,0)),"")</f>
        <v>45017</v>
      </c>
      <c r="I36" s="99" t="n">
        <f aca="false">IFERROR(INDEX(Schedule!$F$2:$F$147,MATCH($G36,Schedule!$A$2:$A$147,0)),"")</f>
        <v>45077</v>
      </c>
      <c r="J36" s="92"/>
      <c r="K36" s="92"/>
      <c r="L36" s="92"/>
      <c r="M36" s="92"/>
      <c r="N36" s="92"/>
      <c r="O36" s="90" t="n">
        <v>1</v>
      </c>
      <c r="P36" s="100" t="n">
        <f aca="false">IFERROR((IF(OR(ISNUMBER(J36),UPPER(TRIM(J36))="N/A"),1,0)*IF($W36="N",0,INDEX('Rules of Credit'!$B$5:$F$8,MATCH($F36,'Rules of Credit'!$A$5:$A$8,0),1))+IF(OR(ISNUMBER(K36),UPPER(TRIM(K36))="N/A"),1,0)*INDEX('Rules of Credit'!$B$5:$F$8,MATCH($F36,'Rules of Credit'!$A$5:$A$8,0),2)+IF(OR(ISNUMBER(L36),UPPER(TRIM(L36))="N/A"),1,0)*INDEX('Rules of Credit'!$B$5:$F$8,MATCH($F36,'Rules of Credit'!$A$5:$A$8,0),3)+IF(OR(ISNUMBER(M36),UPPER(TRIM(M36))="N/A"),1,0)*IF($X36="N",0,INDEX('Rules of Credit'!$B$5:$F$8,MATCH($F36,'Rules of Credit'!$A$5:$A$8,0),4))+IF(OR(ISNUMBER(N36),UPPER(TRIM(N36))="N/A"),1,0)*INDEX('Rules of Credit'!$B$5:$F$8,MATCH($F36,'Rules of Credit'!$A$5:$A$8,0),5))/(IF($W36="N",0,INDEX('Rules of Credit'!$B$5:$F$8,MATCH($F36,'Rules of Credit'!$A$5:$A$8,0),1))+INDEX('Rules of Credit'!$B$5:$F$8,MATCH($F36,'Rules of Credit'!$A$5:$A$8,0),2)+INDEX('Rules of Credit'!$B$5:$F$8,MATCH($F36,'Rules of Credit'!$A$5:$A$8,0),3)+IF($X36="N",0,INDEX('Rules of Credit'!$B$5:$F$8,MATCH($F36,'Rules of Credit'!$A$5:$A$8,0),4))+INDEX('Rules of Credit'!$B$5:$F$8,MATCH($F36,'Rules of Credit'!$A$5:$A$8,0),5)),0)</f>
        <v>0</v>
      </c>
      <c r="Q36" s="100" t="n">
        <f aca="false">IF(OR($H36="",$I36=""),0,IF('Tracker Summary'!$C$3&lt;$H36,0,IF('Tracker Summary'!$C$3&gt;=$I36,1,('Tracker Summary'!$C$3-$H36)/($I36-$H36+1))))</f>
        <v>0</v>
      </c>
      <c r="R36" s="100" t="n">
        <f aca="false">P36-Q36</f>
        <v>0</v>
      </c>
      <c r="S36" s="97" t="str">
        <f aca="false">IF($I36="","Not scheduled",IF(P36&gt;=1,"Complete",IF('Tracker Summary'!$C$3&gt;$I36,"Overdue",IF(P36-Q36&lt;-0.1,"Behind",IF(AND(P36=0,'Tracker Summary'!$C$3&lt;$H36),"Not started","On track")))))</f>
        <v>Not started</v>
      </c>
      <c r="T36" s="90"/>
      <c r="U36" s="97" t="str">
        <f aca="false">IFERROR(INDEX(Schedule!$D$2:$D$147,MATCH($G36,Schedule!$A$2:$A$147,0)),"")</f>
        <v>Demolition &amp; Existing Conditions — Site demolition ahead of new work</v>
      </c>
      <c r="V36" s="99" t="n">
        <f aca="false">IFERROR(INDEX(Schedule!$F$2:$F$147,MATCH("02-P01",Schedule!$A$2:$A$147,0)),"")</f>
        <v>45016</v>
      </c>
      <c r="W36" s="97" t="s">
        <v>91</v>
      </c>
      <c r="X36" s="97" t="s">
        <v>91</v>
      </c>
      <c r="Y36" s="97" t="n">
        <v>0</v>
      </c>
      <c r="Z36" s="97" t="n">
        <v>0</v>
      </c>
      <c r="AA36" s="97" t="s">
        <v>210</v>
      </c>
      <c r="AB36" s="97" t="s">
        <v>211</v>
      </c>
      <c r="AC36" s="97" t="s">
        <v>92</v>
      </c>
      <c r="AD36" s="97" t="s">
        <v>93</v>
      </c>
      <c r="AE36" s="97" t="s">
        <v>212</v>
      </c>
      <c r="AF36" s="97"/>
      <c r="AG36" s="97" t="s">
        <v>212</v>
      </c>
      <c r="AH36" s="97" t="s">
        <v>213</v>
      </c>
    </row>
    <row r="37" customFormat="false" ht="15" hidden="false" customHeight="false" outlineLevel="0" collapsed="false">
      <c r="A37" s="97" t="s">
        <v>60</v>
      </c>
      <c r="B37" s="98" t="s">
        <v>19</v>
      </c>
      <c r="C37" s="97" t="s">
        <v>214</v>
      </c>
      <c r="D37" s="97" t="s">
        <v>215</v>
      </c>
      <c r="E37" s="97" t="s">
        <v>98</v>
      </c>
      <c r="F37" s="90" t="s">
        <v>216</v>
      </c>
      <c r="G37" s="97" t="s">
        <v>217</v>
      </c>
      <c r="H37" s="99" t="n">
        <f aca="false">IFERROR(INDEX(Schedule!$E$2:$E$147,MATCH($G37,Schedule!$A$2:$A$147,0)),"")</f>
        <v>45017</v>
      </c>
      <c r="I37" s="99" t="n">
        <f aca="false">IFERROR(INDEX(Schedule!$F$2:$F$147,MATCH($G37,Schedule!$A$2:$A$147,0)),"")</f>
        <v>45231</v>
      </c>
      <c r="J37" s="92"/>
      <c r="K37" s="92"/>
      <c r="L37" s="92"/>
      <c r="M37" s="92"/>
      <c r="N37" s="92"/>
      <c r="O37" s="90" t="n">
        <v>1</v>
      </c>
      <c r="P37" s="100" t="n">
        <f aca="false">IFERROR((IF(OR(ISNUMBER(J37),UPPER(TRIM(J37))="N/A"),1,0)*IF($W37="N",0,INDEX('Rules of Credit'!$B$5:$F$8,MATCH($F37,'Rules of Credit'!$A$5:$A$8,0),1))+IF(OR(ISNUMBER(K37),UPPER(TRIM(K37))="N/A"),1,0)*INDEX('Rules of Credit'!$B$5:$F$8,MATCH($F37,'Rules of Credit'!$A$5:$A$8,0),2)+IF(OR(ISNUMBER(L37),UPPER(TRIM(L37))="N/A"),1,0)*INDEX('Rules of Credit'!$B$5:$F$8,MATCH($F37,'Rules of Credit'!$A$5:$A$8,0),3)+IF(OR(ISNUMBER(M37),UPPER(TRIM(M37))="N/A"),1,0)*IF($X37="N",0,INDEX('Rules of Credit'!$B$5:$F$8,MATCH($F37,'Rules of Credit'!$A$5:$A$8,0),4))+IF(OR(ISNUMBER(N37),UPPER(TRIM(N37))="N/A"),1,0)*INDEX('Rules of Credit'!$B$5:$F$8,MATCH($F37,'Rules of Credit'!$A$5:$A$8,0),5))/(IF($W37="N",0,INDEX('Rules of Credit'!$B$5:$F$8,MATCH($F37,'Rules of Credit'!$A$5:$A$8,0),1))+INDEX('Rules of Credit'!$B$5:$F$8,MATCH($F37,'Rules of Credit'!$A$5:$A$8,0),2)+INDEX('Rules of Credit'!$B$5:$F$8,MATCH($F37,'Rules of Credit'!$A$5:$A$8,0),3)+IF($X37="N",0,INDEX('Rules of Credit'!$B$5:$F$8,MATCH($F37,'Rules of Credit'!$A$5:$A$8,0),4))+INDEX('Rules of Credit'!$B$5:$F$8,MATCH($F37,'Rules of Credit'!$A$5:$A$8,0),5)),0)</f>
        <v>0</v>
      </c>
      <c r="Q37" s="100" t="n">
        <f aca="false">IF(OR($H37="",$I37=""),0,IF('Tracker Summary'!$C$3&lt;$H37,0,IF('Tracker Summary'!$C$3&gt;=$I37,1,('Tracker Summary'!$C$3-$H37)/($I37-$H37+1))))</f>
        <v>0</v>
      </c>
      <c r="R37" s="100" t="n">
        <f aca="false">P37-Q37</f>
        <v>0</v>
      </c>
      <c r="S37" s="97" t="str">
        <f aca="false">IF($I37="","Not scheduled",IF(P37&gt;=1,"Complete",IF('Tracker Summary'!$C$3&gt;$I37,"Overdue",IF(P37-Q37&lt;-0.1,"Behind",IF(AND(P37=0,'Tracker Summary'!$C$3&lt;$H37),"Not started","On track")))))</f>
        <v>Not started</v>
      </c>
      <c r="T37" s="90"/>
      <c r="U37" s="97" t="str">
        <f aca="false">IFERROR(INDEX(Schedule!$D$2:$D$147,MATCH($G37,Schedule!$A$2:$A$147,0)),"")</f>
        <v>Demolition &amp; Existing Conditions — Yard piping, vaults and site utilities</v>
      </c>
      <c r="V37" s="99" t="n">
        <f aca="false">IFERROR(INDEX(Schedule!$F$2:$F$147,MATCH("02-P01",Schedule!$A$2:$A$147,0)),"")</f>
        <v>45016</v>
      </c>
      <c r="W37" s="97" t="s">
        <v>91</v>
      </c>
      <c r="X37" s="97" t="s">
        <v>91</v>
      </c>
      <c r="Y37" s="97" t="n">
        <v>0</v>
      </c>
      <c r="Z37" s="97" t="n">
        <v>0</v>
      </c>
      <c r="AA37" s="97"/>
      <c r="AB37" s="97"/>
      <c r="AC37" s="97" t="s">
        <v>92</v>
      </c>
      <c r="AD37" s="97" t="s">
        <v>93</v>
      </c>
      <c r="AE37" s="97" t="s">
        <v>218</v>
      </c>
      <c r="AF37" s="97"/>
      <c r="AG37" s="97" t="s">
        <v>219</v>
      </c>
      <c r="AH37" s="97" t="s">
        <v>95</v>
      </c>
    </row>
    <row r="38" customFormat="false" ht="15" hidden="false" customHeight="false" outlineLevel="0" collapsed="false">
      <c r="A38" s="97" t="s">
        <v>60</v>
      </c>
      <c r="B38" s="98" t="s">
        <v>19</v>
      </c>
      <c r="C38" s="97" t="s">
        <v>220</v>
      </c>
      <c r="D38" s="97" t="s">
        <v>221</v>
      </c>
      <c r="E38" s="97" t="s">
        <v>98</v>
      </c>
      <c r="F38" s="90" t="s">
        <v>216</v>
      </c>
      <c r="G38" s="97" t="s">
        <v>217</v>
      </c>
      <c r="H38" s="99" t="n">
        <f aca="false">IFERROR(INDEX(Schedule!$E$2:$E$147,MATCH($G38,Schedule!$A$2:$A$147,0)),"")</f>
        <v>45017</v>
      </c>
      <c r="I38" s="99" t="n">
        <f aca="false">IFERROR(INDEX(Schedule!$F$2:$F$147,MATCH($G38,Schedule!$A$2:$A$147,0)),"")</f>
        <v>45231</v>
      </c>
      <c r="J38" s="92"/>
      <c r="K38" s="92"/>
      <c r="L38" s="92"/>
      <c r="M38" s="92"/>
      <c r="N38" s="92"/>
      <c r="O38" s="90" t="n">
        <v>1</v>
      </c>
      <c r="P38" s="100" t="n">
        <f aca="false">IFERROR((IF(OR(ISNUMBER(J38),UPPER(TRIM(J38))="N/A"),1,0)*IF($W38="N",0,INDEX('Rules of Credit'!$B$5:$F$8,MATCH($F38,'Rules of Credit'!$A$5:$A$8,0),1))+IF(OR(ISNUMBER(K38),UPPER(TRIM(K38))="N/A"),1,0)*INDEX('Rules of Credit'!$B$5:$F$8,MATCH($F38,'Rules of Credit'!$A$5:$A$8,0),2)+IF(OR(ISNUMBER(L38),UPPER(TRIM(L38))="N/A"),1,0)*INDEX('Rules of Credit'!$B$5:$F$8,MATCH($F38,'Rules of Credit'!$A$5:$A$8,0),3)+IF(OR(ISNUMBER(M38),UPPER(TRIM(M38))="N/A"),1,0)*IF($X38="N",0,INDEX('Rules of Credit'!$B$5:$F$8,MATCH($F38,'Rules of Credit'!$A$5:$A$8,0),4))+IF(OR(ISNUMBER(N38),UPPER(TRIM(N38))="N/A"),1,0)*INDEX('Rules of Credit'!$B$5:$F$8,MATCH($F38,'Rules of Credit'!$A$5:$A$8,0),5))/(IF($W38="N",0,INDEX('Rules of Credit'!$B$5:$F$8,MATCH($F38,'Rules of Credit'!$A$5:$A$8,0),1))+INDEX('Rules of Credit'!$B$5:$F$8,MATCH($F38,'Rules of Credit'!$A$5:$A$8,0),2)+INDEX('Rules of Credit'!$B$5:$F$8,MATCH($F38,'Rules of Credit'!$A$5:$A$8,0),3)+IF($X38="N",0,INDEX('Rules of Credit'!$B$5:$F$8,MATCH($F38,'Rules of Credit'!$A$5:$A$8,0),4))+INDEX('Rules of Credit'!$B$5:$F$8,MATCH($F38,'Rules of Credit'!$A$5:$A$8,0),5)),0)</f>
        <v>0</v>
      </c>
      <c r="Q38" s="100" t="n">
        <f aca="false">IF(OR($H38="",$I38=""),0,IF('Tracker Summary'!$C$3&lt;$H38,0,IF('Tracker Summary'!$C$3&gt;=$I38,1,('Tracker Summary'!$C$3-$H38)/($I38-$H38+1))))</f>
        <v>0</v>
      </c>
      <c r="R38" s="100" t="n">
        <f aca="false">P38-Q38</f>
        <v>0</v>
      </c>
      <c r="S38" s="97" t="str">
        <f aca="false">IF($I38="","Not scheduled",IF(P38&gt;=1,"Complete",IF('Tracker Summary'!$C$3&gt;$I38,"Overdue",IF(P38-Q38&lt;-0.1,"Behind",IF(AND(P38=0,'Tracker Summary'!$C$3&lt;$H38),"Not started","On track")))))</f>
        <v>Not started</v>
      </c>
      <c r="T38" s="90"/>
      <c r="U38" s="97" t="str">
        <f aca="false">IFERROR(INDEX(Schedule!$D$2:$D$147,MATCH($G38,Schedule!$A$2:$A$147,0)),"")</f>
        <v>Demolition &amp; Existing Conditions — Yard piping, vaults and site utilities</v>
      </c>
      <c r="V38" s="99" t="n">
        <f aca="false">IFERROR(INDEX(Schedule!$F$2:$F$147,MATCH("02-P01",Schedule!$A$2:$A$147,0)),"")</f>
        <v>45016</v>
      </c>
      <c r="W38" s="97" t="s">
        <v>91</v>
      </c>
      <c r="X38" s="97" t="s">
        <v>91</v>
      </c>
      <c r="Y38" s="97" t="n">
        <v>0</v>
      </c>
      <c r="Z38" s="97" t="n">
        <v>0</v>
      </c>
      <c r="AA38" s="97"/>
      <c r="AB38" s="97"/>
      <c r="AC38" s="97" t="s">
        <v>92</v>
      </c>
      <c r="AD38" s="97" t="s">
        <v>93</v>
      </c>
      <c r="AE38" s="97" t="s">
        <v>222</v>
      </c>
      <c r="AF38" s="97" t="s">
        <v>152</v>
      </c>
      <c r="AG38" s="97" t="s">
        <v>223</v>
      </c>
      <c r="AH38" s="97" t="s">
        <v>95</v>
      </c>
    </row>
    <row r="39" customFormat="false" ht="15" hidden="false" customHeight="false" outlineLevel="0" collapsed="false">
      <c r="A39" s="97" t="s">
        <v>60</v>
      </c>
      <c r="B39" s="98" t="s">
        <v>19</v>
      </c>
      <c r="C39" s="97" t="s">
        <v>224</v>
      </c>
      <c r="D39" s="97" t="s">
        <v>225</v>
      </c>
      <c r="E39" s="97" t="s">
        <v>98</v>
      </c>
      <c r="F39" s="90" t="s">
        <v>149</v>
      </c>
      <c r="G39" s="97" t="s">
        <v>226</v>
      </c>
      <c r="H39" s="99" t="n">
        <f aca="false">IFERROR(INDEX(Schedule!$E$2:$E$147,MATCH($G39,Schedule!$A$2:$A$147,0)),"")</f>
        <v>45413</v>
      </c>
      <c r="I39" s="99" t="n">
        <f aca="false">IFERROR(INDEX(Schedule!$F$2:$F$147,MATCH($G39,Schedule!$A$2:$A$147,0)),"")</f>
        <v>45443</v>
      </c>
      <c r="J39" s="92"/>
      <c r="K39" s="92"/>
      <c r="L39" s="92"/>
      <c r="M39" s="92"/>
      <c r="N39" s="92"/>
      <c r="O39" s="90" t="n">
        <v>1</v>
      </c>
      <c r="P39" s="100" t="n">
        <f aca="false">IFERROR((IF(OR(ISNUMBER(J39),UPPER(TRIM(J39))="N/A"),1,0)*IF($W39="N",0,INDEX('Rules of Credit'!$B$5:$F$8,MATCH($F39,'Rules of Credit'!$A$5:$A$8,0),1))+IF(OR(ISNUMBER(K39),UPPER(TRIM(K39))="N/A"),1,0)*INDEX('Rules of Credit'!$B$5:$F$8,MATCH($F39,'Rules of Credit'!$A$5:$A$8,0),2)+IF(OR(ISNUMBER(L39),UPPER(TRIM(L39))="N/A"),1,0)*INDEX('Rules of Credit'!$B$5:$F$8,MATCH($F39,'Rules of Credit'!$A$5:$A$8,0),3)+IF(OR(ISNUMBER(M39),UPPER(TRIM(M39))="N/A"),1,0)*IF($X39="N",0,INDEX('Rules of Credit'!$B$5:$F$8,MATCH($F39,'Rules of Credit'!$A$5:$A$8,0),4))+IF(OR(ISNUMBER(N39),UPPER(TRIM(N39))="N/A"),1,0)*INDEX('Rules of Credit'!$B$5:$F$8,MATCH($F39,'Rules of Credit'!$A$5:$A$8,0),5))/(IF($W39="N",0,INDEX('Rules of Credit'!$B$5:$F$8,MATCH($F39,'Rules of Credit'!$A$5:$A$8,0),1))+INDEX('Rules of Credit'!$B$5:$F$8,MATCH($F39,'Rules of Credit'!$A$5:$A$8,0),2)+INDEX('Rules of Credit'!$B$5:$F$8,MATCH($F39,'Rules of Credit'!$A$5:$A$8,0),3)+IF($X39="N",0,INDEX('Rules of Credit'!$B$5:$F$8,MATCH($F39,'Rules of Credit'!$A$5:$A$8,0),4))+INDEX('Rules of Credit'!$B$5:$F$8,MATCH($F39,'Rules of Credit'!$A$5:$A$8,0),5)),0)</f>
        <v>0</v>
      </c>
      <c r="Q39" s="100" t="n">
        <f aca="false">IF(OR($H39="",$I39=""),0,IF('Tracker Summary'!$C$3&lt;$H39,0,IF('Tracker Summary'!$C$3&gt;=$I39,1,('Tracker Summary'!$C$3-$H39)/($I39-$H39+1))))</f>
        <v>0</v>
      </c>
      <c r="R39" s="100" t="n">
        <f aca="false">P39-Q39</f>
        <v>0</v>
      </c>
      <c r="S39" s="97" t="str">
        <f aca="false">IF($I39="","Not scheduled",IF(P39&gt;=1,"Complete",IF('Tracker Summary'!$C$3&gt;$I39,"Overdue",IF(P39-Q39&lt;-0.1,"Behind",IF(AND(P39=0,'Tracker Summary'!$C$3&lt;$H39),"Not started","On track")))))</f>
        <v>Not started</v>
      </c>
      <c r="T39" s="90"/>
      <c r="U39" s="97" t="str">
        <f aca="false">IFERROR(INDEX(Schedule!$D$2:$D$147,MATCH($G39,Schedule!$A$2:$A$147,0)),"")</f>
        <v>Demolition &amp; Existing Conditions — Existing generator, switchgear and fuel tank removal</v>
      </c>
      <c r="V39" s="99" t="n">
        <f aca="false">IFERROR(INDEX(Schedule!$F$2:$F$147,MATCH("02-P01",Schedule!$A$2:$A$147,0)),"")</f>
        <v>45016</v>
      </c>
      <c r="W39" s="97" t="s">
        <v>91</v>
      </c>
      <c r="X39" s="97" t="s">
        <v>91</v>
      </c>
      <c r="Y39" s="97" t="n">
        <v>0</v>
      </c>
      <c r="Z39" s="97" t="n">
        <v>0</v>
      </c>
      <c r="AA39" s="97" t="s">
        <v>227</v>
      </c>
      <c r="AB39" s="97" t="s">
        <v>228</v>
      </c>
      <c r="AC39" s="97" t="s">
        <v>92</v>
      </c>
      <c r="AD39" s="97" t="s">
        <v>93</v>
      </c>
      <c r="AE39" s="97" t="s">
        <v>229</v>
      </c>
      <c r="AF39" s="97" t="s">
        <v>152</v>
      </c>
      <c r="AG39" s="97" t="s">
        <v>230</v>
      </c>
      <c r="AH39" s="97" t="s">
        <v>95</v>
      </c>
    </row>
    <row r="40" customFormat="false" ht="15" hidden="false" customHeight="false" outlineLevel="0" collapsed="false">
      <c r="A40" s="101" t="s">
        <v>85</v>
      </c>
      <c r="B40" s="101" t="s">
        <v>21</v>
      </c>
      <c r="C40" s="101" t="s">
        <v>22</v>
      </c>
      <c r="D40" s="101" t="str">
        <f aca="false">COUNTIF(A41:A70,"Item")&amp;" items · "&amp;COUNTIF(S41:S70,"Overdue")&amp;" overdue · "&amp;COUNTIF(S41:S70,"Complete")&amp;" complete"</f>
        <v>30 items · 0 overdue · 0 complete</v>
      </c>
      <c r="E40" s="101"/>
      <c r="F40" s="101"/>
      <c r="G40" s="101"/>
      <c r="H40" s="102" t="n">
        <f aca="false">MIN(H41:H70)</f>
        <v>45017</v>
      </c>
      <c r="I40" s="102" t="n">
        <f aca="false">MAX(I41:I70)</f>
        <v>45481</v>
      </c>
      <c r="J40" s="102"/>
      <c r="K40" s="102"/>
      <c r="L40" s="102"/>
      <c r="M40" s="102"/>
      <c r="N40" s="102"/>
      <c r="O40" s="101" t="n">
        <f aca="false">SUM(O41:O70)</f>
        <v>30</v>
      </c>
      <c r="P40" s="103" t="n">
        <f aca="false">IFERROR(SUMPRODUCT(O41:O70,P41:P70)/SUM(O41:O70),0)</f>
        <v>0</v>
      </c>
      <c r="Q40" s="103" t="n">
        <f aca="false">IFERROR(SUMPRODUCT(O41:O70,Q41:Q70)/SUM(O41:O70),0)</f>
        <v>0</v>
      </c>
      <c r="R40" s="103" t="n">
        <f aca="false">P40-Q40</f>
        <v>0</v>
      </c>
      <c r="S40" s="101"/>
      <c r="T40" s="101"/>
      <c r="U40" s="101"/>
      <c r="V40" s="102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</row>
    <row r="41" customFormat="false" ht="15" hidden="false" customHeight="false" outlineLevel="0" collapsed="false">
      <c r="A41" s="104" t="s">
        <v>60</v>
      </c>
      <c r="B41" s="105" t="s">
        <v>21</v>
      </c>
      <c r="C41" s="104" t="s">
        <v>231</v>
      </c>
      <c r="D41" s="104" t="s">
        <v>232</v>
      </c>
      <c r="E41" s="104" t="s">
        <v>233</v>
      </c>
      <c r="F41" s="90" t="s">
        <v>234</v>
      </c>
      <c r="G41" s="104" t="s">
        <v>235</v>
      </c>
      <c r="H41" s="106" t="n">
        <f aca="false">IFERROR(INDEX(Schedule!$E$2:$E$147,MATCH($G41,Schedule!$A$2:$A$147,0)),"")</f>
        <v>45017</v>
      </c>
      <c r="I41" s="106" t="n">
        <f aca="false">IFERROR(INDEX(Schedule!$F$2:$F$147,MATCH($G41,Schedule!$A$2:$A$147,0)),"")</f>
        <v>45138</v>
      </c>
      <c r="J41" s="92"/>
      <c r="K41" s="92"/>
      <c r="L41" s="92"/>
      <c r="M41" s="92"/>
      <c r="N41" s="92"/>
      <c r="O41" s="90" t="n">
        <v>1</v>
      </c>
      <c r="P41" s="107" t="n">
        <f aca="false">IFERROR((IF(OR(ISNUMBER(J41),UPPER(TRIM(J41))="N/A"),1,0)*IF($W41="N",0,INDEX('Rules of Credit'!$B$5:$F$8,MATCH($F41,'Rules of Credit'!$A$5:$A$8,0),1))+IF(OR(ISNUMBER(K41),UPPER(TRIM(K41))="N/A"),1,0)*INDEX('Rules of Credit'!$B$5:$F$8,MATCH($F41,'Rules of Credit'!$A$5:$A$8,0),2)+IF(OR(ISNUMBER(L41),UPPER(TRIM(L41))="N/A"),1,0)*INDEX('Rules of Credit'!$B$5:$F$8,MATCH($F41,'Rules of Credit'!$A$5:$A$8,0),3)+IF(OR(ISNUMBER(M41),UPPER(TRIM(M41))="N/A"),1,0)*IF($X41="N",0,INDEX('Rules of Credit'!$B$5:$F$8,MATCH($F41,'Rules of Credit'!$A$5:$A$8,0),4))+IF(OR(ISNUMBER(N41),UPPER(TRIM(N41))="N/A"),1,0)*INDEX('Rules of Credit'!$B$5:$F$8,MATCH($F41,'Rules of Credit'!$A$5:$A$8,0),5))/(IF($W41="N",0,INDEX('Rules of Credit'!$B$5:$F$8,MATCH($F41,'Rules of Credit'!$A$5:$A$8,0),1))+INDEX('Rules of Credit'!$B$5:$F$8,MATCH($F41,'Rules of Credit'!$A$5:$A$8,0),2)+INDEX('Rules of Credit'!$B$5:$F$8,MATCH($F41,'Rules of Credit'!$A$5:$A$8,0),3)+IF($X41="N",0,INDEX('Rules of Credit'!$B$5:$F$8,MATCH($F41,'Rules of Credit'!$A$5:$A$8,0),4))+INDEX('Rules of Credit'!$B$5:$F$8,MATCH($F41,'Rules of Credit'!$A$5:$A$8,0),5)),0)</f>
        <v>0</v>
      </c>
      <c r="Q41" s="107" t="n">
        <f aca="false">IF(OR($H41="",$I41=""),0,IF('Tracker Summary'!$C$3&lt;$H41,0,IF('Tracker Summary'!$C$3&gt;=$I41,1,('Tracker Summary'!$C$3-$H41)/($I41-$H41+1))))</f>
        <v>0</v>
      </c>
      <c r="R41" s="107" t="n">
        <f aca="false">P41-Q41</f>
        <v>0</v>
      </c>
      <c r="S41" s="104" t="str">
        <f aca="false">IF($I41="","Not scheduled",IF(P41&gt;=1,"Complete",IF('Tracker Summary'!$C$3&gt;$I41,"Overdue",IF(P41-Q41&lt;-0.1,"Behind",IF(AND(P41=0,'Tracker Summary'!$C$3&lt;$H41),"Not started","On track")))))</f>
        <v>Not started</v>
      </c>
      <c r="T41" s="90"/>
      <c r="U41" s="104" t="str">
        <f aca="false">IFERROR(INDEX(Schedule!$D$2:$D$147,MATCH($G41,Schedule!$A$2:$A$147,0)),"")</f>
        <v>Concrete (Cast-in-Place &amp; Precast) — Blower Building</v>
      </c>
      <c r="V41" s="106" t="n">
        <f aca="false">IFERROR(INDEX(Schedule!$F$2:$F$147,MATCH("03-P01",Schedule!$A$2:$A$147,0)),"")</f>
        <v>45016</v>
      </c>
      <c r="W41" s="104" t="s">
        <v>99</v>
      </c>
      <c r="X41" s="104" t="s">
        <v>99</v>
      </c>
      <c r="Y41" s="104" t="n">
        <v>6</v>
      </c>
      <c r="Z41" s="104" t="n">
        <v>3</v>
      </c>
      <c r="AA41" s="104"/>
      <c r="AB41" s="104"/>
      <c r="AC41" s="104" t="s">
        <v>92</v>
      </c>
      <c r="AD41" s="104" t="s">
        <v>236</v>
      </c>
      <c r="AE41" s="104" t="s">
        <v>237</v>
      </c>
      <c r="AF41" s="104" t="s">
        <v>238</v>
      </c>
      <c r="AG41" s="104" t="s">
        <v>239</v>
      </c>
      <c r="AH41" s="104" t="s">
        <v>240</v>
      </c>
    </row>
    <row r="42" customFormat="false" ht="15" hidden="false" customHeight="false" outlineLevel="0" collapsed="false">
      <c r="A42" s="104" t="s">
        <v>60</v>
      </c>
      <c r="B42" s="105" t="s">
        <v>21</v>
      </c>
      <c r="C42" s="104" t="s">
        <v>241</v>
      </c>
      <c r="D42" s="104" t="s">
        <v>242</v>
      </c>
      <c r="E42" s="104" t="s">
        <v>233</v>
      </c>
      <c r="F42" s="90" t="s">
        <v>234</v>
      </c>
      <c r="G42" s="104" t="s">
        <v>235</v>
      </c>
      <c r="H42" s="106" t="n">
        <f aca="false">IFERROR(INDEX(Schedule!$E$2:$E$147,MATCH($G42,Schedule!$A$2:$A$147,0)),"")</f>
        <v>45017</v>
      </c>
      <c r="I42" s="106" t="n">
        <f aca="false">IFERROR(INDEX(Schedule!$F$2:$F$147,MATCH($G42,Schedule!$A$2:$A$147,0)),"")</f>
        <v>45138</v>
      </c>
      <c r="J42" s="92"/>
      <c r="K42" s="92"/>
      <c r="L42" s="92"/>
      <c r="M42" s="92"/>
      <c r="N42" s="92"/>
      <c r="O42" s="90" t="n">
        <v>1</v>
      </c>
      <c r="P42" s="107" t="n">
        <f aca="false">IFERROR((IF(OR(ISNUMBER(J42),UPPER(TRIM(J42))="N/A"),1,0)*IF($W42="N",0,INDEX('Rules of Credit'!$B$5:$F$8,MATCH($F42,'Rules of Credit'!$A$5:$A$8,0),1))+IF(OR(ISNUMBER(K42),UPPER(TRIM(K42))="N/A"),1,0)*INDEX('Rules of Credit'!$B$5:$F$8,MATCH($F42,'Rules of Credit'!$A$5:$A$8,0),2)+IF(OR(ISNUMBER(L42),UPPER(TRIM(L42))="N/A"),1,0)*INDEX('Rules of Credit'!$B$5:$F$8,MATCH($F42,'Rules of Credit'!$A$5:$A$8,0),3)+IF(OR(ISNUMBER(M42),UPPER(TRIM(M42))="N/A"),1,0)*IF($X42="N",0,INDEX('Rules of Credit'!$B$5:$F$8,MATCH($F42,'Rules of Credit'!$A$5:$A$8,0),4))+IF(OR(ISNUMBER(N42),UPPER(TRIM(N42))="N/A"),1,0)*INDEX('Rules of Credit'!$B$5:$F$8,MATCH($F42,'Rules of Credit'!$A$5:$A$8,0),5))/(IF($W42="N",0,INDEX('Rules of Credit'!$B$5:$F$8,MATCH($F42,'Rules of Credit'!$A$5:$A$8,0),1))+INDEX('Rules of Credit'!$B$5:$F$8,MATCH($F42,'Rules of Credit'!$A$5:$A$8,0),2)+INDEX('Rules of Credit'!$B$5:$F$8,MATCH($F42,'Rules of Credit'!$A$5:$A$8,0),3)+IF($X42="N",0,INDEX('Rules of Credit'!$B$5:$F$8,MATCH($F42,'Rules of Credit'!$A$5:$A$8,0),4))+INDEX('Rules of Credit'!$B$5:$F$8,MATCH($F42,'Rules of Credit'!$A$5:$A$8,0),5)),0)</f>
        <v>0</v>
      </c>
      <c r="Q42" s="107" t="n">
        <f aca="false">IF(OR($H42="",$I42=""),0,IF('Tracker Summary'!$C$3&lt;$H42,0,IF('Tracker Summary'!$C$3&gt;=$I42,1,('Tracker Summary'!$C$3-$H42)/($I42-$H42+1))))</f>
        <v>0</v>
      </c>
      <c r="R42" s="107" t="n">
        <f aca="false">P42-Q42</f>
        <v>0</v>
      </c>
      <c r="S42" s="104" t="str">
        <f aca="false">IF($I42="","Not scheduled",IF(P42&gt;=1,"Complete",IF('Tracker Summary'!$C$3&gt;$I42,"Overdue",IF(P42-Q42&lt;-0.1,"Behind",IF(AND(P42=0,'Tracker Summary'!$C$3&lt;$H42),"Not started","On track")))))</f>
        <v>Not started</v>
      </c>
      <c r="T42" s="90"/>
      <c r="U42" s="104" t="str">
        <f aca="false">IFERROR(INDEX(Schedule!$D$2:$D$147,MATCH($G42,Schedule!$A$2:$A$147,0)),"")</f>
        <v>Concrete (Cast-in-Place &amp; Precast) — Blower Building</v>
      </c>
      <c r="V42" s="106" t="n">
        <f aca="false">IFERROR(INDEX(Schedule!$F$2:$F$147,MATCH("03-P01",Schedule!$A$2:$A$147,0)),"")</f>
        <v>45016</v>
      </c>
      <c r="W42" s="104" t="s">
        <v>99</v>
      </c>
      <c r="X42" s="104" t="s">
        <v>99</v>
      </c>
      <c r="Y42" s="104" t="n">
        <v>5</v>
      </c>
      <c r="Z42" s="104" t="n">
        <v>3</v>
      </c>
      <c r="AA42" s="104"/>
      <c r="AB42" s="104" t="s">
        <v>243</v>
      </c>
      <c r="AC42" s="104" t="s">
        <v>92</v>
      </c>
      <c r="AD42" s="104" t="s">
        <v>236</v>
      </c>
      <c r="AE42" s="104" t="s">
        <v>244</v>
      </c>
      <c r="AF42" s="104" t="s">
        <v>238</v>
      </c>
      <c r="AG42" s="104" t="s">
        <v>245</v>
      </c>
      <c r="AH42" s="104" t="s">
        <v>240</v>
      </c>
    </row>
    <row r="43" customFormat="false" ht="15" hidden="false" customHeight="false" outlineLevel="0" collapsed="false">
      <c r="A43" s="104" t="s">
        <v>60</v>
      </c>
      <c r="B43" s="105" t="s">
        <v>21</v>
      </c>
      <c r="C43" s="104" t="s">
        <v>246</v>
      </c>
      <c r="D43" s="104" t="s">
        <v>247</v>
      </c>
      <c r="E43" s="104" t="s">
        <v>248</v>
      </c>
      <c r="F43" s="90" t="s">
        <v>234</v>
      </c>
      <c r="G43" s="104" t="s">
        <v>249</v>
      </c>
      <c r="H43" s="106" t="n">
        <f aca="false">IFERROR(INDEX(Schedule!$E$2:$E$147,MATCH($G43,Schedule!$A$2:$A$147,0)),"")</f>
        <v>45017</v>
      </c>
      <c r="I43" s="106" t="n">
        <f aca="false">IFERROR(INDEX(Schedule!$F$2:$F$147,MATCH($G43,Schedule!$A$2:$A$147,0)),"")</f>
        <v>45231</v>
      </c>
      <c r="J43" s="92"/>
      <c r="K43" s="92"/>
      <c r="L43" s="92"/>
      <c r="M43" s="92"/>
      <c r="N43" s="92"/>
      <c r="O43" s="90" t="n">
        <v>1</v>
      </c>
      <c r="P43" s="107" t="n">
        <f aca="false">IFERROR((IF(OR(ISNUMBER(J43),UPPER(TRIM(J43))="N/A"),1,0)*IF($W43="N",0,INDEX('Rules of Credit'!$B$5:$F$8,MATCH($F43,'Rules of Credit'!$A$5:$A$8,0),1))+IF(OR(ISNUMBER(K43),UPPER(TRIM(K43))="N/A"),1,0)*INDEX('Rules of Credit'!$B$5:$F$8,MATCH($F43,'Rules of Credit'!$A$5:$A$8,0),2)+IF(OR(ISNUMBER(L43),UPPER(TRIM(L43))="N/A"),1,0)*INDEX('Rules of Credit'!$B$5:$F$8,MATCH($F43,'Rules of Credit'!$A$5:$A$8,0),3)+IF(OR(ISNUMBER(M43),UPPER(TRIM(M43))="N/A"),1,0)*IF($X43="N",0,INDEX('Rules of Credit'!$B$5:$F$8,MATCH($F43,'Rules of Credit'!$A$5:$A$8,0),4))+IF(OR(ISNUMBER(N43),UPPER(TRIM(N43))="N/A"),1,0)*INDEX('Rules of Credit'!$B$5:$F$8,MATCH($F43,'Rules of Credit'!$A$5:$A$8,0),5))/(IF($W43="N",0,INDEX('Rules of Credit'!$B$5:$F$8,MATCH($F43,'Rules of Credit'!$A$5:$A$8,0),1))+INDEX('Rules of Credit'!$B$5:$F$8,MATCH($F43,'Rules of Credit'!$A$5:$A$8,0),2)+INDEX('Rules of Credit'!$B$5:$F$8,MATCH($F43,'Rules of Credit'!$A$5:$A$8,0),3)+IF($X43="N",0,INDEX('Rules of Credit'!$B$5:$F$8,MATCH($F43,'Rules of Credit'!$A$5:$A$8,0),4))+INDEX('Rules of Credit'!$B$5:$F$8,MATCH($F43,'Rules of Credit'!$A$5:$A$8,0),5)),0)</f>
        <v>0</v>
      </c>
      <c r="Q43" s="107" t="n">
        <f aca="false">IF(OR($H43="",$I43=""),0,IF('Tracker Summary'!$C$3&lt;$H43,0,IF('Tracker Summary'!$C$3&gt;=$I43,1,('Tracker Summary'!$C$3-$H43)/($I43-$H43+1))))</f>
        <v>0</v>
      </c>
      <c r="R43" s="107" t="n">
        <f aca="false">P43-Q43</f>
        <v>0</v>
      </c>
      <c r="S43" s="104" t="str">
        <f aca="false">IF($I43="","Not scheduled",IF(P43&gt;=1,"Complete",IF('Tracker Summary'!$C$3&gt;$I43,"Overdue",IF(P43-Q43&lt;-0.1,"Behind",IF(AND(P43=0,'Tracker Summary'!$C$3&lt;$H43),"Not started","On track")))))</f>
        <v>Not started</v>
      </c>
      <c r="T43" s="90"/>
      <c r="U43" s="104" t="str">
        <f aca="false">IFERROR(INDEX(Schedule!$D$2:$D$147,MATCH($G43,Schedule!$A$2:$A$147,0)),"")</f>
        <v>Concrete (Cast-in-Place &amp; Precast) — Sludge pumps and valving</v>
      </c>
      <c r="V43" s="106" t="n">
        <f aca="false">IFERROR(INDEX(Schedule!$F$2:$F$147,MATCH("03-P01",Schedule!$A$2:$A$147,0)),"")</f>
        <v>45016</v>
      </c>
      <c r="W43" s="104" t="s">
        <v>99</v>
      </c>
      <c r="X43" s="104" t="s">
        <v>99</v>
      </c>
      <c r="Y43" s="104" t="n">
        <v>3</v>
      </c>
      <c r="Z43" s="104" t="n">
        <v>1</v>
      </c>
      <c r="AA43" s="104" t="s">
        <v>250</v>
      </c>
      <c r="AB43" s="104" t="s">
        <v>251</v>
      </c>
      <c r="AC43" s="104" t="s">
        <v>92</v>
      </c>
      <c r="AD43" s="104" t="s">
        <v>236</v>
      </c>
      <c r="AE43" s="104" t="s">
        <v>252</v>
      </c>
      <c r="AF43" s="104" t="s">
        <v>238</v>
      </c>
      <c r="AG43" s="104" t="s">
        <v>253</v>
      </c>
      <c r="AH43" s="104" t="s">
        <v>240</v>
      </c>
    </row>
    <row r="44" customFormat="false" ht="15" hidden="false" customHeight="false" outlineLevel="0" collapsed="false">
      <c r="A44" s="104" t="s">
        <v>60</v>
      </c>
      <c r="B44" s="105" t="s">
        <v>21</v>
      </c>
      <c r="C44" s="104" t="s">
        <v>254</v>
      </c>
      <c r="D44" s="104" t="s">
        <v>255</v>
      </c>
      <c r="E44" s="104" t="s">
        <v>256</v>
      </c>
      <c r="F44" s="90" t="s">
        <v>234</v>
      </c>
      <c r="G44" s="104" t="s">
        <v>257</v>
      </c>
      <c r="H44" s="106" t="n">
        <f aca="false">IFERROR(INDEX(Schedule!$E$2:$E$147,MATCH($G44,Schedule!$A$2:$A$147,0)),"")</f>
        <v>45017</v>
      </c>
      <c r="I44" s="106" t="n">
        <f aca="false">IFERROR(INDEX(Schedule!$F$2:$F$147,MATCH($G44,Schedule!$A$2:$A$147,0)),"")</f>
        <v>45231</v>
      </c>
      <c r="J44" s="92"/>
      <c r="K44" s="92"/>
      <c r="L44" s="92"/>
      <c r="M44" s="92"/>
      <c r="N44" s="92"/>
      <c r="O44" s="90" t="n">
        <v>1</v>
      </c>
      <c r="P44" s="107" t="n">
        <f aca="false">IFERROR((IF(OR(ISNUMBER(J44),UPPER(TRIM(J44))="N/A"),1,0)*IF($W44="N",0,INDEX('Rules of Credit'!$B$5:$F$8,MATCH($F44,'Rules of Credit'!$A$5:$A$8,0),1))+IF(OR(ISNUMBER(K44),UPPER(TRIM(K44))="N/A"),1,0)*INDEX('Rules of Credit'!$B$5:$F$8,MATCH($F44,'Rules of Credit'!$A$5:$A$8,0),2)+IF(OR(ISNUMBER(L44),UPPER(TRIM(L44))="N/A"),1,0)*INDEX('Rules of Credit'!$B$5:$F$8,MATCH($F44,'Rules of Credit'!$A$5:$A$8,0),3)+IF(OR(ISNUMBER(M44),UPPER(TRIM(M44))="N/A"),1,0)*IF($X44="N",0,INDEX('Rules of Credit'!$B$5:$F$8,MATCH($F44,'Rules of Credit'!$A$5:$A$8,0),4))+IF(OR(ISNUMBER(N44),UPPER(TRIM(N44))="N/A"),1,0)*INDEX('Rules of Credit'!$B$5:$F$8,MATCH($F44,'Rules of Credit'!$A$5:$A$8,0),5))/(IF($W44="N",0,INDEX('Rules of Credit'!$B$5:$F$8,MATCH($F44,'Rules of Credit'!$A$5:$A$8,0),1))+INDEX('Rules of Credit'!$B$5:$F$8,MATCH($F44,'Rules of Credit'!$A$5:$A$8,0),2)+INDEX('Rules of Credit'!$B$5:$F$8,MATCH($F44,'Rules of Credit'!$A$5:$A$8,0),3)+IF($X44="N",0,INDEX('Rules of Credit'!$B$5:$F$8,MATCH($F44,'Rules of Credit'!$A$5:$A$8,0),4))+INDEX('Rules of Credit'!$B$5:$F$8,MATCH($F44,'Rules of Credit'!$A$5:$A$8,0),5)),0)</f>
        <v>0</v>
      </c>
      <c r="Q44" s="107" t="n">
        <f aca="false">IF(OR($H44="",$I44=""),0,IF('Tracker Summary'!$C$3&lt;$H44,0,IF('Tracker Summary'!$C$3&gt;=$I44,1,('Tracker Summary'!$C$3-$H44)/($I44-$H44+1))))</f>
        <v>0</v>
      </c>
      <c r="R44" s="107" t="n">
        <f aca="false">P44-Q44</f>
        <v>0</v>
      </c>
      <c r="S44" s="104" t="str">
        <f aca="false">IF($I44="","Not scheduled",IF(P44&gt;=1,"Complete",IF('Tracker Summary'!$C$3&gt;$I44,"Overdue",IF(P44-Q44&lt;-0.1,"Behind",IF(AND(P44=0,'Tracker Summary'!$C$3&lt;$H44),"Not started","On track")))))</f>
        <v>Not started</v>
      </c>
      <c r="T44" s="90"/>
      <c r="U44" s="104" t="str">
        <f aca="false">IFERROR(INDEX(Schedule!$D$2:$D$147,MATCH($G44,Schedule!$A$2:$A$147,0)),"")</f>
        <v>Concrete (Cast-in-Place &amp; Precast) — UV chamber and digester</v>
      </c>
      <c r="V44" s="106" t="n">
        <f aca="false">IFERROR(INDEX(Schedule!$F$2:$F$147,MATCH("03-P01",Schedule!$A$2:$A$147,0)),"")</f>
        <v>45016</v>
      </c>
      <c r="W44" s="104" t="s">
        <v>91</v>
      </c>
      <c r="X44" s="104" t="s">
        <v>91</v>
      </c>
      <c r="Y44" s="104" t="n">
        <v>0</v>
      </c>
      <c r="Z44" s="104" t="n">
        <v>0</v>
      </c>
      <c r="AA44" s="104"/>
      <c r="AB44" s="104" t="s">
        <v>258</v>
      </c>
      <c r="AC44" s="104" t="s">
        <v>92</v>
      </c>
      <c r="AD44" s="104" t="s">
        <v>93</v>
      </c>
      <c r="AE44" s="104" t="s">
        <v>259</v>
      </c>
      <c r="AF44" s="104"/>
      <c r="AG44" s="104" t="s">
        <v>259</v>
      </c>
      <c r="AH44" s="104" t="s">
        <v>213</v>
      </c>
    </row>
    <row r="45" customFormat="false" ht="15" hidden="false" customHeight="false" outlineLevel="0" collapsed="false">
      <c r="A45" s="104" t="s">
        <v>60</v>
      </c>
      <c r="B45" s="105" t="s">
        <v>21</v>
      </c>
      <c r="C45" s="104" t="s">
        <v>260</v>
      </c>
      <c r="D45" s="104" t="s">
        <v>261</v>
      </c>
      <c r="E45" s="104" t="s">
        <v>256</v>
      </c>
      <c r="F45" s="90" t="s">
        <v>234</v>
      </c>
      <c r="G45" s="104" t="s">
        <v>257</v>
      </c>
      <c r="H45" s="106" t="n">
        <f aca="false">IFERROR(INDEX(Schedule!$E$2:$E$147,MATCH($G45,Schedule!$A$2:$A$147,0)),"")</f>
        <v>45017</v>
      </c>
      <c r="I45" s="106" t="n">
        <f aca="false">IFERROR(INDEX(Schedule!$F$2:$F$147,MATCH($G45,Schedule!$A$2:$A$147,0)),"")</f>
        <v>45231</v>
      </c>
      <c r="J45" s="92"/>
      <c r="K45" s="92"/>
      <c r="L45" s="92"/>
      <c r="M45" s="92"/>
      <c r="N45" s="92"/>
      <c r="O45" s="90" t="n">
        <v>1</v>
      </c>
      <c r="P45" s="107" t="n">
        <f aca="false">IFERROR((IF(OR(ISNUMBER(J45),UPPER(TRIM(J45))="N/A"),1,0)*IF($W45="N",0,INDEX('Rules of Credit'!$B$5:$F$8,MATCH($F45,'Rules of Credit'!$A$5:$A$8,0),1))+IF(OR(ISNUMBER(K45),UPPER(TRIM(K45))="N/A"),1,0)*INDEX('Rules of Credit'!$B$5:$F$8,MATCH($F45,'Rules of Credit'!$A$5:$A$8,0),2)+IF(OR(ISNUMBER(L45),UPPER(TRIM(L45))="N/A"),1,0)*INDEX('Rules of Credit'!$B$5:$F$8,MATCH($F45,'Rules of Credit'!$A$5:$A$8,0),3)+IF(OR(ISNUMBER(M45),UPPER(TRIM(M45))="N/A"),1,0)*IF($X45="N",0,INDEX('Rules of Credit'!$B$5:$F$8,MATCH($F45,'Rules of Credit'!$A$5:$A$8,0),4))+IF(OR(ISNUMBER(N45),UPPER(TRIM(N45))="N/A"),1,0)*INDEX('Rules of Credit'!$B$5:$F$8,MATCH($F45,'Rules of Credit'!$A$5:$A$8,0),5))/(IF($W45="N",0,INDEX('Rules of Credit'!$B$5:$F$8,MATCH($F45,'Rules of Credit'!$A$5:$A$8,0),1))+INDEX('Rules of Credit'!$B$5:$F$8,MATCH($F45,'Rules of Credit'!$A$5:$A$8,0),2)+INDEX('Rules of Credit'!$B$5:$F$8,MATCH($F45,'Rules of Credit'!$A$5:$A$8,0),3)+IF($X45="N",0,INDEX('Rules of Credit'!$B$5:$F$8,MATCH($F45,'Rules of Credit'!$A$5:$A$8,0),4))+INDEX('Rules of Credit'!$B$5:$F$8,MATCH($F45,'Rules of Credit'!$A$5:$A$8,0),5)),0)</f>
        <v>0</v>
      </c>
      <c r="Q45" s="107" t="n">
        <f aca="false">IF(OR($H45="",$I45=""),0,IF('Tracker Summary'!$C$3&lt;$H45,0,IF('Tracker Summary'!$C$3&gt;=$I45,1,('Tracker Summary'!$C$3-$H45)/($I45-$H45+1))))</f>
        <v>0</v>
      </c>
      <c r="R45" s="107" t="n">
        <f aca="false">P45-Q45</f>
        <v>0</v>
      </c>
      <c r="S45" s="104" t="str">
        <f aca="false">IF($I45="","Not scheduled",IF(P45&gt;=1,"Complete",IF('Tracker Summary'!$C$3&gt;$I45,"Overdue",IF(P45-Q45&lt;-0.1,"Behind",IF(AND(P45=0,'Tracker Summary'!$C$3&lt;$H45),"Not started","On track")))))</f>
        <v>Not started</v>
      </c>
      <c r="T45" s="90"/>
      <c r="U45" s="104" t="str">
        <f aca="false">IFERROR(INDEX(Schedule!$D$2:$D$147,MATCH($G45,Schedule!$A$2:$A$147,0)),"")</f>
        <v>Concrete (Cast-in-Place &amp; Precast) — UV chamber and digester</v>
      </c>
      <c r="V45" s="106" t="n">
        <f aca="false">IFERROR(INDEX(Schedule!$F$2:$F$147,MATCH("03-P01",Schedule!$A$2:$A$147,0)),"")</f>
        <v>45016</v>
      </c>
      <c r="W45" s="104" t="s">
        <v>91</v>
      </c>
      <c r="X45" s="104" t="s">
        <v>91</v>
      </c>
      <c r="Y45" s="104" t="n">
        <v>0</v>
      </c>
      <c r="Z45" s="104" t="n">
        <v>0</v>
      </c>
      <c r="AA45" s="104" t="s">
        <v>262</v>
      </c>
      <c r="AB45" s="104" t="s">
        <v>263</v>
      </c>
      <c r="AC45" s="104" t="s">
        <v>120</v>
      </c>
      <c r="AD45" s="104" t="s">
        <v>93</v>
      </c>
      <c r="AE45" s="104" t="s">
        <v>264</v>
      </c>
      <c r="AF45" s="104"/>
      <c r="AG45" s="104" t="s">
        <v>265</v>
      </c>
      <c r="AH45" s="104" t="s">
        <v>213</v>
      </c>
    </row>
    <row r="46" customFormat="false" ht="15" hidden="false" customHeight="false" outlineLevel="0" collapsed="false">
      <c r="A46" s="104" t="s">
        <v>60</v>
      </c>
      <c r="B46" s="105" t="s">
        <v>21</v>
      </c>
      <c r="C46" s="104" t="s">
        <v>266</v>
      </c>
      <c r="D46" s="104" t="s">
        <v>267</v>
      </c>
      <c r="E46" s="104" t="s">
        <v>256</v>
      </c>
      <c r="F46" s="90" t="s">
        <v>234</v>
      </c>
      <c r="G46" s="104" t="s">
        <v>257</v>
      </c>
      <c r="H46" s="106" t="n">
        <f aca="false">IFERROR(INDEX(Schedule!$E$2:$E$147,MATCH($G46,Schedule!$A$2:$A$147,0)),"")</f>
        <v>45017</v>
      </c>
      <c r="I46" s="106" t="n">
        <f aca="false">IFERROR(INDEX(Schedule!$F$2:$F$147,MATCH($G46,Schedule!$A$2:$A$147,0)),"")</f>
        <v>45231</v>
      </c>
      <c r="J46" s="92"/>
      <c r="K46" s="92"/>
      <c r="L46" s="92"/>
      <c r="M46" s="92"/>
      <c r="N46" s="92"/>
      <c r="O46" s="90" t="n">
        <v>1</v>
      </c>
      <c r="P46" s="107" t="n">
        <f aca="false">IFERROR((IF(OR(ISNUMBER(J46),UPPER(TRIM(J46))="N/A"),1,0)*IF($W46="N",0,INDEX('Rules of Credit'!$B$5:$F$8,MATCH($F46,'Rules of Credit'!$A$5:$A$8,0),1))+IF(OR(ISNUMBER(K46),UPPER(TRIM(K46))="N/A"),1,0)*INDEX('Rules of Credit'!$B$5:$F$8,MATCH($F46,'Rules of Credit'!$A$5:$A$8,0),2)+IF(OR(ISNUMBER(L46),UPPER(TRIM(L46))="N/A"),1,0)*INDEX('Rules of Credit'!$B$5:$F$8,MATCH($F46,'Rules of Credit'!$A$5:$A$8,0),3)+IF(OR(ISNUMBER(M46),UPPER(TRIM(M46))="N/A"),1,0)*IF($X46="N",0,INDEX('Rules of Credit'!$B$5:$F$8,MATCH($F46,'Rules of Credit'!$A$5:$A$8,0),4))+IF(OR(ISNUMBER(N46),UPPER(TRIM(N46))="N/A"),1,0)*INDEX('Rules of Credit'!$B$5:$F$8,MATCH($F46,'Rules of Credit'!$A$5:$A$8,0),5))/(IF($W46="N",0,INDEX('Rules of Credit'!$B$5:$F$8,MATCH($F46,'Rules of Credit'!$A$5:$A$8,0),1))+INDEX('Rules of Credit'!$B$5:$F$8,MATCH($F46,'Rules of Credit'!$A$5:$A$8,0),2)+INDEX('Rules of Credit'!$B$5:$F$8,MATCH($F46,'Rules of Credit'!$A$5:$A$8,0),3)+IF($X46="N",0,INDEX('Rules of Credit'!$B$5:$F$8,MATCH($F46,'Rules of Credit'!$A$5:$A$8,0),4))+INDEX('Rules of Credit'!$B$5:$F$8,MATCH($F46,'Rules of Credit'!$A$5:$A$8,0),5)),0)</f>
        <v>0</v>
      </c>
      <c r="Q46" s="107" t="n">
        <f aca="false">IF(OR($H46="",$I46=""),0,IF('Tracker Summary'!$C$3&lt;$H46,0,IF('Tracker Summary'!$C$3&gt;=$I46,1,('Tracker Summary'!$C$3-$H46)/($I46-$H46+1))))</f>
        <v>0</v>
      </c>
      <c r="R46" s="107" t="n">
        <f aca="false">P46-Q46</f>
        <v>0</v>
      </c>
      <c r="S46" s="104" t="str">
        <f aca="false">IF($I46="","Not scheduled",IF(P46&gt;=1,"Complete",IF('Tracker Summary'!$C$3&gt;$I46,"Overdue",IF(P46-Q46&lt;-0.1,"Behind",IF(AND(P46=0,'Tracker Summary'!$C$3&lt;$H46),"Not started","On track")))))</f>
        <v>Not started</v>
      </c>
      <c r="T46" s="90"/>
      <c r="U46" s="104" t="str">
        <f aca="false">IFERROR(INDEX(Schedule!$D$2:$D$147,MATCH($G46,Schedule!$A$2:$A$147,0)),"")</f>
        <v>Concrete (Cast-in-Place &amp; Precast) — UV chamber and digester</v>
      </c>
      <c r="V46" s="106" t="n">
        <f aca="false">IFERROR(INDEX(Schedule!$F$2:$F$147,MATCH("03-P01",Schedule!$A$2:$A$147,0)),"")</f>
        <v>45016</v>
      </c>
      <c r="W46" s="104" t="s">
        <v>99</v>
      </c>
      <c r="X46" s="104" t="s">
        <v>99</v>
      </c>
      <c r="Y46" s="104" t="n">
        <v>6</v>
      </c>
      <c r="Z46" s="104" t="n">
        <v>2</v>
      </c>
      <c r="AA46" s="104" t="s">
        <v>268</v>
      </c>
      <c r="AB46" s="104" t="s">
        <v>269</v>
      </c>
      <c r="AC46" s="104" t="s">
        <v>120</v>
      </c>
      <c r="AD46" s="104" t="s">
        <v>236</v>
      </c>
      <c r="AE46" s="104" t="s">
        <v>270</v>
      </c>
      <c r="AF46" s="104" t="s">
        <v>238</v>
      </c>
      <c r="AG46" s="104" t="s">
        <v>271</v>
      </c>
      <c r="AH46" s="104" t="s">
        <v>240</v>
      </c>
    </row>
    <row r="47" customFormat="false" ht="15" hidden="false" customHeight="false" outlineLevel="0" collapsed="false">
      <c r="A47" s="104" t="s">
        <v>60</v>
      </c>
      <c r="B47" s="105" t="s">
        <v>21</v>
      </c>
      <c r="C47" s="104" t="s">
        <v>272</v>
      </c>
      <c r="D47" s="104" t="s">
        <v>273</v>
      </c>
      <c r="E47" s="104" t="s">
        <v>256</v>
      </c>
      <c r="F47" s="90" t="s">
        <v>234</v>
      </c>
      <c r="G47" s="104" t="s">
        <v>257</v>
      </c>
      <c r="H47" s="106" t="n">
        <f aca="false">IFERROR(INDEX(Schedule!$E$2:$E$147,MATCH($G47,Schedule!$A$2:$A$147,0)),"")</f>
        <v>45017</v>
      </c>
      <c r="I47" s="106" t="n">
        <f aca="false">IFERROR(INDEX(Schedule!$F$2:$F$147,MATCH($G47,Schedule!$A$2:$A$147,0)),"")</f>
        <v>45231</v>
      </c>
      <c r="J47" s="92"/>
      <c r="K47" s="92"/>
      <c r="L47" s="92"/>
      <c r="M47" s="92"/>
      <c r="N47" s="92"/>
      <c r="O47" s="90" t="n">
        <v>1</v>
      </c>
      <c r="P47" s="107" t="n">
        <f aca="false">IFERROR((IF(OR(ISNUMBER(J47),UPPER(TRIM(J47))="N/A"),1,0)*IF($W47="N",0,INDEX('Rules of Credit'!$B$5:$F$8,MATCH($F47,'Rules of Credit'!$A$5:$A$8,0),1))+IF(OR(ISNUMBER(K47),UPPER(TRIM(K47))="N/A"),1,0)*INDEX('Rules of Credit'!$B$5:$F$8,MATCH($F47,'Rules of Credit'!$A$5:$A$8,0),2)+IF(OR(ISNUMBER(L47),UPPER(TRIM(L47))="N/A"),1,0)*INDEX('Rules of Credit'!$B$5:$F$8,MATCH($F47,'Rules of Credit'!$A$5:$A$8,0),3)+IF(OR(ISNUMBER(M47),UPPER(TRIM(M47))="N/A"),1,0)*IF($X47="N",0,INDEX('Rules of Credit'!$B$5:$F$8,MATCH($F47,'Rules of Credit'!$A$5:$A$8,0),4))+IF(OR(ISNUMBER(N47),UPPER(TRIM(N47))="N/A"),1,0)*INDEX('Rules of Credit'!$B$5:$F$8,MATCH($F47,'Rules of Credit'!$A$5:$A$8,0),5))/(IF($W47="N",0,INDEX('Rules of Credit'!$B$5:$F$8,MATCH($F47,'Rules of Credit'!$A$5:$A$8,0),1))+INDEX('Rules of Credit'!$B$5:$F$8,MATCH($F47,'Rules of Credit'!$A$5:$A$8,0),2)+INDEX('Rules of Credit'!$B$5:$F$8,MATCH($F47,'Rules of Credit'!$A$5:$A$8,0),3)+IF($X47="N",0,INDEX('Rules of Credit'!$B$5:$F$8,MATCH($F47,'Rules of Credit'!$A$5:$A$8,0),4))+INDEX('Rules of Credit'!$B$5:$F$8,MATCH($F47,'Rules of Credit'!$A$5:$A$8,0),5)),0)</f>
        <v>0</v>
      </c>
      <c r="Q47" s="107" t="n">
        <f aca="false">IF(OR($H47="",$I47=""),0,IF('Tracker Summary'!$C$3&lt;$H47,0,IF('Tracker Summary'!$C$3&gt;=$I47,1,('Tracker Summary'!$C$3-$H47)/($I47-$H47+1))))</f>
        <v>0</v>
      </c>
      <c r="R47" s="107" t="n">
        <f aca="false">P47-Q47</f>
        <v>0</v>
      </c>
      <c r="S47" s="104" t="str">
        <f aca="false">IF($I47="","Not scheduled",IF(P47&gt;=1,"Complete",IF('Tracker Summary'!$C$3&gt;$I47,"Overdue",IF(P47-Q47&lt;-0.1,"Behind",IF(AND(P47=0,'Tracker Summary'!$C$3&lt;$H47),"Not started","On track")))))</f>
        <v>Not started</v>
      </c>
      <c r="T47" s="90"/>
      <c r="U47" s="104" t="str">
        <f aca="false">IFERROR(INDEX(Schedule!$D$2:$D$147,MATCH($G47,Schedule!$A$2:$A$147,0)),"")</f>
        <v>Concrete (Cast-in-Place &amp; Precast) — UV chamber and digester</v>
      </c>
      <c r="V47" s="106" t="n">
        <f aca="false">IFERROR(INDEX(Schedule!$F$2:$F$147,MATCH("03-P01",Schedule!$A$2:$A$147,0)),"")</f>
        <v>45016</v>
      </c>
      <c r="W47" s="104" t="s">
        <v>99</v>
      </c>
      <c r="X47" s="104" t="s">
        <v>99</v>
      </c>
      <c r="Y47" s="104" t="n">
        <v>6</v>
      </c>
      <c r="Z47" s="104" t="n">
        <v>2</v>
      </c>
      <c r="AA47" s="104" t="s">
        <v>274</v>
      </c>
      <c r="AB47" s="104" t="s">
        <v>263</v>
      </c>
      <c r="AC47" s="104" t="s">
        <v>120</v>
      </c>
      <c r="AD47" s="104" t="s">
        <v>236</v>
      </c>
      <c r="AE47" s="104" t="s">
        <v>270</v>
      </c>
      <c r="AF47" s="104" t="s">
        <v>238</v>
      </c>
      <c r="AG47" s="104" t="s">
        <v>271</v>
      </c>
      <c r="AH47" s="104" t="s">
        <v>240</v>
      </c>
    </row>
    <row r="48" customFormat="false" ht="15" hidden="false" customHeight="false" outlineLevel="0" collapsed="false">
      <c r="A48" s="104" t="s">
        <v>60</v>
      </c>
      <c r="B48" s="105" t="s">
        <v>21</v>
      </c>
      <c r="C48" s="104" t="s">
        <v>275</v>
      </c>
      <c r="D48" s="104" t="s">
        <v>276</v>
      </c>
      <c r="E48" s="104" t="s">
        <v>256</v>
      </c>
      <c r="F48" s="90" t="s">
        <v>234</v>
      </c>
      <c r="G48" s="104" t="s">
        <v>257</v>
      </c>
      <c r="H48" s="106" t="n">
        <f aca="false">IFERROR(INDEX(Schedule!$E$2:$E$147,MATCH($G48,Schedule!$A$2:$A$147,0)),"")</f>
        <v>45017</v>
      </c>
      <c r="I48" s="106" t="n">
        <f aca="false">IFERROR(INDEX(Schedule!$F$2:$F$147,MATCH($G48,Schedule!$A$2:$A$147,0)),"")</f>
        <v>45231</v>
      </c>
      <c r="J48" s="92"/>
      <c r="K48" s="92"/>
      <c r="L48" s="92"/>
      <c r="M48" s="92"/>
      <c r="N48" s="92"/>
      <c r="O48" s="90" t="n">
        <v>1</v>
      </c>
      <c r="P48" s="107" t="n">
        <f aca="false">IFERROR((IF(OR(ISNUMBER(J48),UPPER(TRIM(J48))="N/A"),1,0)*IF($W48="N",0,INDEX('Rules of Credit'!$B$5:$F$8,MATCH($F48,'Rules of Credit'!$A$5:$A$8,0),1))+IF(OR(ISNUMBER(K48),UPPER(TRIM(K48))="N/A"),1,0)*INDEX('Rules of Credit'!$B$5:$F$8,MATCH($F48,'Rules of Credit'!$A$5:$A$8,0),2)+IF(OR(ISNUMBER(L48),UPPER(TRIM(L48))="N/A"),1,0)*INDEX('Rules of Credit'!$B$5:$F$8,MATCH($F48,'Rules of Credit'!$A$5:$A$8,0),3)+IF(OR(ISNUMBER(M48),UPPER(TRIM(M48))="N/A"),1,0)*IF($X48="N",0,INDEX('Rules of Credit'!$B$5:$F$8,MATCH($F48,'Rules of Credit'!$A$5:$A$8,0),4))+IF(OR(ISNUMBER(N48),UPPER(TRIM(N48))="N/A"),1,0)*INDEX('Rules of Credit'!$B$5:$F$8,MATCH($F48,'Rules of Credit'!$A$5:$A$8,0),5))/(IF($W48="N",0,INDEX('Rules of Credit'!$B$5:$F$8,MATCH($F48,'Rules of Credit'!$A$5:$A$8,0),1))+INDEX('Rules of Credit'!$B$5:$F$8,MATCH($F48,'Rules of Credit'!$A$5:$A$8,0),2)+INDEX('Rules of Credit'!$B$5:$F$8,MATCH($F48,'Rules of Credit'!$A$5:$A$8,0),3)+IF($X48="N",0,INDEX('Rules of Credit'!$B$5:$F$8,MATCH($F48,'Rules of Credit'!$A$5:$A$8,0),4))+INDEX('Rules of Credit'!$B$5:$F$8,MATCH($F48,'Rules of Credit'!$A$5:$A$8,0),5)),0)</f>
        <v>0</v>
      </c>
      <c r="Q48" s="107" t="n">
        <f aca="false">IF(OR($H48="",$I48=""),0,IF('Tracker Summary'!$C$3&lt;$H48,0,IF('Tracker Summary'!$C$3&gt;=$I48,1,('Tracker Summary'!$C$3-$H48)/($I48-$H48+1))))</f>
        <v>0</v>
      </c>
      <c r="R48" s="107" t="n">
        <f aca="false">P48-Q48</f>
        <v>0</v>
      </c>
      <c r="S48" s="104" t="str">
        <f aca="false">IF($I48="","Not scheduled",IF(P48&gt;=1,"Complete",IF('Tracker Summary'!$C$3&gt;$I48,"Overdue",IF(P48-Q48&lt;-0.1,"Behind",IF(AND(P48=0,'Tracker Summary'!$C$3&lt;$H48),"Not started","On track")))))</f>
        <v>Not started</v>
      </c>
      <c r="T48" s="90"/>
      <c r="U48" s="104" t="str">
        <f aca="false">IFERROR(INDEX(Schedule!$D$2:$D$147,MATCH($G48,Schedule!$A$2:$A$147,0)),"")</f>
        <v>Concrete (Cast-in-Place &amp; Precast) — UV chamber and digester</v>
      </c>
      <c r="V48" s="106" t="n">
        <f aca="false">IFERROR(INDEX(Schedule!$F$2:$F$147,MATCH("03-P01",Schedule!$A$2:$A$147,0)),"")</f>
        <v>45016</v>
      </c>
      <c r="W48" s="104" t="s">
        <v>91</v>
      </c>
      <c r="X48" s="104" t="s">
        <v>99</v>
      </c>
      <c r="Y48" s="104" t="n">
        <v>0</v>
      </c>
      <c r="Z48" s="104" t="n">
        <v>6</v>
      </c>
      <c r="AA48" s="104" t="s">
        <v>277</v>
      </c>
      <c r="AB48" s="104" t="s">
        <v>278</v>
      </c>
      <c r="AC48" s="104" t="s">
        <v>92</v>
      </c>
      <c r="AD48" s="104" t="s">
        <v>93</v>
      </c>
      <c r="AE48" s="104"/>
      <c r="AF48" s="104" t="s">
        <v>279</v>
      </c>
      <c r="AG48" s="104" t="s">
        <v>280</v>
      </c>
      <c r="AH48" s="104" t="s">
        <v>109</v>
      </c>
    </row>
    <row r="49" customFormat="false" ht="15" hidden="false" customHeight="false" outlineLevel="0" collapsed="false">
      <c r="A49" s="104" t="s">
        <v>60</v>
      </c>
      <c r="B49" s="105" t="s">
        <v>21</v>
      </c>
      <c r="C49" s="104" t="s">
        <v>281</v>
      </c>
      <c r="D49" s="104" t="s">
        <v>282</v>
      </c>
      <c r="E49" s="104" t="s">
        <v>256</v>
      </c>
      <c r="F49" s="90" t="s">
        <v>234</v>
      </c>
      <c r="G49" s="104" t="s">
        <v>257</v>
      </c>
      <c r="H49" s="106" t="n">
        <f aca="false">IFERROR(INDEX(Schedule!$E$2:$E$147,MATCH($G49,Schedule!$A$2:$A$147,0)),"")</f>
        <v>45017</v>
      </c>
      <c r="I49" s="106" t="n">
        <f aca="false">IFERROR(INDEX(Schedule!$F$2:$F$147,MATCH($G49,Schedule!$A$2:$A$147,0)),"")</f>
        <v>45231</v>
      </c>
      <c r="J49" s="92"/>
      <c r="K49" s="92"/>
      <c r="L49" s="92"/>
      <c r="M49" s="92"/>
      <c r="N49" s="92"/>
      <c r="O49" s="90" t="n">
        <v>1</v>
      </c>
      <c r="P49" s="107" t="n">
        <f aca="false">IFERROR((IF(OR(ISNUMBER(J49),UPPER(TRIM(J49))="N/A"),1,0)*IF($W49="N",0,INDEX('Rules of Credit'!$B$5:$F$8,MATCH($F49,'Rules of Credit'!$A$5:$A$8,0),1))+IF(OR(ISNUMBER(K49),UPPER(TRIM(K49))="N/A"),1,0)*INDEX('Rules of Credit'!$B$5:$F$8,MATCH($F49,'Rules of Credit'!$A$5:$A$8,0),2)+IF(OR(ISNUMBER(L49),UPPER(TRIM(L49))="N/A"),1,0)*INDEX('Rules of Credit'!$B$5:$F$8,MATCH($F49,'Rules of Credit'!$A$5:$A$8,0),3)+IF(OR(ISNUMBER(M49),UPPER(TRIM(M49))="N/A"),1,0)*IF($X49="N",0,INDEX('Rules of Credit'!$B$5:$F$8,MATCH($F49,'Rules of Credit'!$A$5:$A$8,0),4))+IF(OR(ISNUMBER(N49),UPPER(TRIM(N49))="N/A"),1,0)*INDEX('Rules of Credit'!$B$5:$F$8,MATCH($F49,'Rules of Credit'!$A$5:$A$8,0),5))/(IF($W49="N",0,INDEX('Rules of Credit'!$B$5:$F$8,MATCH($F49,'Rules of Credit'!$A$5:$A$8,0),1))+INDEX('Rules of Credit'!$B$5:$F$8,MATCH($F49,'Rules of Credit'!$A$5:$A$8,0),2)+INDEX('Rules of Credit'!$B$5:$F$8,MATCH($F49,'Rules of Credit'!$A$5:$A$8,0),3)+IF($X49="N",0,INDEX('Rules of Credit'!$B$5:$F$8,MATCH($F49,'Rules of Credit'!$A$5:$A$8,0),4))+INDEX('Rules of Credit'!$B$5:$F$8,MATCH($F49,'Rules of Credit'!$A$5:$A$8,0),5)),0)</f>
        <v>0</v>
      </c>
      <c r="Q49" s="107" t="n">
        <f aca="false">IF(OR($H49="",$I49=""),0,IF('Tracker Summary'!$C$3&lt;$H49,0,IF('Tracker Summary'!$C$3&gt;=$I49,1,('Tracker Summary'!$C$3-$H49)/($I49-$H49+1))))</f>
        <v>0</v>
      </c>
      <c r="R49" s="107" t="n">
        <f aca="false">P49-Q49</f>
        <v>0</v>
      </c>
      <c r="S49" s="104" t="str">
        <f aca="false">IF($I49="","Not scheduled",IF(P49&gt;=1,"Complete",IF('Tracker Summary'!$C$3&gt;$I49,"Overdue",IF(P49-Q49&lt;-0.1,"Behind",IF(AND(P49=0,'Tracker Summary'!$C$3&lt;$H49),"Not started","On track")))))</f>
        <v>Not started</v>
      </c>
      <c r="T49" s="90"/>
      <c r="U49" s="104" t="str">
        <f aca="false">IFERROR(INDEX(Schedule!$D$2:$D$147,MATCH($G49,Schedule!$A$2:$A$147,0)),"")</f>
        <v>Concrete (Cast-in-Place &amp; Precast) — UV chamber and digester</v>
      </c>
      <c r="V49" s="106" t="n">
        <f aca="false">IFERROR(INDEX(Schedule!$F$2:$F$147,MATCH("03-P01",Schedule!$A$2:$A$147,0)),"")</f>
        <v>45016</v>
      </c>
      <c r="W49" s="104" t="s">
        <v>91</v>
      </c>
      <c r="X49" s="104" t="s">
        <v>99</v>
      </c>
      <c r="Y49" s="104" t="n">
        <v>0</v>
      </c>
      <c r="Z49" s="104" t="n">
        <v>4</v>
      </c>
      <c r="AA49" s="104" t="s">
        <v>277</v>
      </c>
      <c r="AB49" s="104" t="s">
        <v>283</v>
      </c>
      <c r="AC49" s="104" t="s">
        <v>92</v>
      </c>
      <c r="AD49" s="104" t="s">
        <v>93</v>
      </c>
      <c r="AE49" s="104"/>
      <c r="AF49" s="104" t="s">
        <v>284</v>
      </c>
      <c r="AG49" s="104" t="s">
        <v>284</v>
      </c>
      <c r="AH49" s="104" t="s">
        <v>109</v>
      </c>
    </row>
    <row r="50" customFormat="false" ht="15" hidden="false" customHeight="false" outlineLevel="0" collapsed="false">
      <c r="A50" s="104" t="s">
        <v>60</v>
      </c>
      <c r="B50" s="105" t="s">
        <v>21</v>
      </c>
      <c r="C50" s="104" t="s">
        <v>285</v>
      </c>
      <c r="D50" s="104" t="s">
        <v>286</v>
      </c>
      <c r="E50" s="104" t="s">
        <v>287</v>
      </c>
      <c r="F50" s="90" t="s">
        <v>216</v>
      </c>
      <c r="G50" s="104" t="s">
        <v>288</v>
      </c>
      <c r="H50" s="106" t="n">
        <f aca="false">IFERROR(INDEX(Schedule!$E$2:$E$147,MATCH($G50,Schedule!$A$2:$A$147,0)),"")</f>
        <v>45017</v>
      </c>
      <c r="I50" s="106" t="n">
        <f aca="false">IFERROR(INDEX(Schedule!$F$2:$F$147,MATCH($G50,Schedule!$A$2:$A$147,0)),"")</f>
        <v>45231</v>
      </c>
      <c r="J50" s="92"/>
      <c r="K50" s="92"/>
      <c r="L50" s="92"/>
      <c r="M50" s="92"/>
      <c r="N50" s="92"/>
      <c r="O50" s="90" t="n">
        <v>1</v>
      </c>
      <c r="P50" s="107" t="n">
        <f aca="false">IFERROR((IF(OR(ISNUMBER(J50),UPPER(TRIM(J50))="N/A"),1,0)*IF($W50="N",0,INDEX('Rules of Credit'!$B$5:$F$8,MATCH($F50,'Rules of Credit'!$A$5:$A$8,0),1))+IF(OR(ISNUMBER(K50),UPPER(TRIM(K50))="N/A"),1,0)*INDEX('Rules of Credit'!$B$5:$F$8,MATCH($F50,'Rules of Credit'!$A$5:$A$8,0),2)+IF(OR(ISNUMBER(L50),UPPER(TRIM(L50))="N/A"),1,0)*INDEX('Rules of Credit'!$B$5:$F$8,MATCH($F50,'Rules of Credit'!$A$5:$A$8,0),3)+IF(OR(ISNUMBER(M50),UPPER(TRIM(M50))="N/A"),1,0)*IF($X50="N",0,INDEX('Rules of Credit'!$B$5:$F$8,MATCH($F50,'Rules of Credit'!$A$5:$A$8,0),4))+IF(OR(ISNUMBER(N50),UPPER(TRIM(N50))="N/A"),1,0)*INDEX('Rules of Credit'!$B$5:$F$8,MATCH($F50,'Rules of Credit'!$A$5:$A$8,0),5))/(IF($W50="N",0,INDEX('Rules of Credit'!$B$5:$F$8,MATCH($F50,'Rules of Credit'!$A$5:$A$8,0),1))+INDEX('Rules of Credit'!$B$5:$F$8,MATCH($F50,'Rules of Credit'!$A$5:$A$8,0),2)+INDEX('Rules of Credit'!$B$5:$F$8,MATCH($F50,'Rules of Credit'!$A$5:$A$8,0),3)+IF($X50="N",0,INDEX('Rules of Credit'!$B$5:$F$8,MATCH($F50,'Rules of Credit'!$A$5:$A$8,0),4))+INDEX('Rules of Credit'!$B$5:$F$8,MATCH($F50,'Rules of Credit'!$A$5:$A$8,0),5)),0)</f>
        <v>0</v>
      </c>
      <c r="Q50" s="107" t="n">
        <f aca="false">IF(OR($H50="",$I50=""),0,IF('Tracker Summary'!$C$3&lt;$H50,0,IF('Tracker Summary'!$C$3&gt;=$I50,1,('Tracker Summary'!$C$3-$H50)/($I50-$H50+1))))</f>
        <v>0</v>
      </c>
      <c r="R50" s="107" t="n">
        <f aca="false">P50-Q50</f>
        <v>0</v>
      </c>
      <c r="S50" s="104" t="str">
        <f aca="false">IF($I50="","Not scheduled",IF(P50&gt;=1,"Complete",IF('Tracker Summary'!$C$3&gt;$I50,"Overdue",IF(P50-Q50&lt;-0.1,"Behind",IF(AND(P50=0,'Tracker Summary'!$C$3&lt;$H50),"Not started","On track")))))</f>
        <v>Not started</v>
      </c>
      <c r="T50" s="90"/>
      <c r="U50" s="104" t="str">
        <f aca="false">IFERROR(INDEX(Schedule!$D$2:$D$147,MATCH($G50,Schedule!$A$2:$A$147,0)),"")</f>
        <v>Concrete (Cast-in-Place &amp; Precast) — Yard piping, vaults and site utilities</v>
      </c>
      <c r="V50" s="106" t="n">
        <f aca="false">IFERROR(INDEX(Schedule!$F$2:$F$147,MATCH("03-P01",Schedule!$A$2:$A$147,0)),"")</f>
        <v>45016</v>
      </c>
      <c r="W50" s="104" t="s">
        <v>91</v>
      </c>
      <c r="X50" s="104" t="s">
        <v>91</v>
      </c>
      <c r="Y50" s="104" t="n">
        <v>0</v>
      </c>
      <c r="Z50" s="104" t="n">
        <v>0</v>
      </c>
      <c r="AA50" s="104" t="s">
        <v>289</v>
      </c>
      <c r="AB50" s="104" t="s">
        <v>290</v>
      </c>
      <c r="AC50" s="104" t="s">
        <v>92</v>
      </c>
      <c r="AD50" s="104" t="s">
        <v>93</v>
      </c>
      <c r="AE50" s="104" t="s">
        <v>291</v>
      </c>
      <c r="AF50" s="104"/>
      <c r="AG50" s="104" t="s">
        <v>292</v>
      </c>
      <c r="AH50" s="104" t="s">
        <v>95</v>
      </c>
    </row>
    <row r="51" customFormat="false" ht="15" hidden="false" customHeight="false" outlineLevel="0" collapsed="false">
      <c r="A51" s="104" t="s">
        <v>60</v>
      </c>
      <c r="B51" s="105" t="s">
        <v>21</v>
      </c>
      <c r="C51" s="104" t="s">
        <v>293</v>
      </c>
      <c r="D51" s="104" t="s">
        <v>294</v>
      </c>
      <c r="E51" s="104" t="s">
        <v>98</v>
      </c>
      <c r="F51" s="90" t="s">
        <v>234</v>
      </c>
      <c r="G51" s="104" t="s">
        <v>288</v>
      </c>
      <c r="H51" s="106" t="n">
        <f aca="false">IFERROR(INDEX(Schedule!$E$2:$E$147,MATCH($G51,Schedule!$A$2:$A$147,0)),"")</f>
        <v>45017</v>
      </c>
      <c r="I51" s="106" t="n">
        <f aca="false">IFERROR(INDEX(Schedule!$F$2:$F$147,MATCH($G51,Schedule!$A$2:$A$147,0)),"")</f>
        <v>45231</v>
      </c>
      <c r="J51" s="92"/>
      <c r="K51" s="92"/>
      <c r="L51" s="92"/>
      <c r="M51" s="92"/>
      <c r="N51" s="92"/>
      <c r="O51" s="90" t="n">
        <v>1</v>
      </c>
      <c r="P51" s="107" t="n">
        <f aca="false">IFERROR((IF(OR(ISNUMBER(J51),UPPER(TRIM(J51))="N/A"),1,0)*IF($W51="N",0,INDEX('Rules of Credit'!$B$5:$F$8,MATCH($F51,'Rules of Credit'!$A$5:$A$8,0),1))+IF(OR(ISNUMBER(K51),UPPER(TRIM(K51))="N/A"),1,0)*INDEX('Rules of Credit'!$B$5:$F$8,MATCH($F51,'Rules of Credit'!$A$5:$A$8,0),2)+IF(OR(ISNUMBER(L51),UPPER(TRIM(L51))="N/A"),1,0)*INDEX('Rules of Credit'!$B$5:$F$8,MATCH($F51,'Rules of Credit'!$A$5:$A$8,0),3)+IF(OR(ISNUMBER(M51),UPPER(TRIM(M51))="N/A"),1,0)*IF($X51="N",0,INDEX('Rules of Credit'!$B$5:$F$8,MATCH($F51,'Rules of Credit'!$A$5:$A$8,0),4))+IF(OR(ISNUMBER(N51),UPPER(TRIM(N51))="N/A"),1,0)*INDEX('Rules of Credit'!$B$5:$F$8,MATCH($F51,'Rules of Credit'!$A$5:$A$8,0),5))/(IF($W51="N",0,INDEX('Rules of Credit'!$B$5:$F$8,MATCH($F51,'Rules of Credit'!$A$5:$A$8,0),1))+INDEX('Rules of Credit'!$B$5:$F$8,MATCH($F51,'Rules of Credit'!$A$5:$A$8,0),2)+INDEX('Rules of Credit'!$B$5:$F$8,MATCH($F51,'Rules of Credit'!$A$5:$A$8,0),3)+IF($X51="N",0,INDEX('Rules of Credit'!$B$5:$F$8,MATCH($F51,'Rules of Credit'!$A$5:$A$8,0),4))+INDEX('Rules of Credit'!$B$5:$F$8,MATCH($F51,'Rules of Credit'!$A$5:$A$8,0),5)),0)</f>
        <v>0</v>
      </c>
      <c r="Q51" s="107" t="n">
        <f aca="false">IF(OR($H51="",$I51=""),0,IF('Tracker Summary'!$C$3&lt;$H51,0,IF('Tracker Summary'!$C$3&gt;=$I51,1,('Tracker Summary'!$C$3-$H51)/($I51-$H51+1))))</f>
        <v>0</v>
      </c>
      <c r="R51" s="107" t="n">
        <f aca="false">P51-Q51</f>
        <v>0</v>
      </c>
      <c r="S51" s="104" t="str">
        <f aca="false">IF($I51="","Not scheduled",IF(P51&gt;=1,"Complete",IF('Tracker Summary'!$C$3&gt;$I51,"Overdue",IF(P51-Q51&lt;-0.1,"Behind",IF(AND(P51=0,'Tracker Summary'!$C$3&lt;$H51),"Not started","On track")))))</f>
        <v>Not started</v>
      </c>
      <c r="T51" s="90"/>
      <c r="U51" s="104" t="str">
        <f aca="false">IFERROR(INDEX(Schedule!$D$2:$D$147,MATCH($G51,Schedule!$A$2:$A$147,0)),"")</f>
        <v>Concrete (Cast-in-Place &amp; Precast) — Yard piping, vaults and site utilities</v>
      </c>
      <c r="V51" s="106" t="n">
        <f aca="false">IFERROR(INDEX(Schedule!$F$2:$F$147,MATCH("03-P01",Schedule!$A$2:$A$147,0)),"")</f>
        <v>45016</v>
      </c>
      <c r="W51" s="104" t="s">
        <v>99</v>
      </c>
      <c r="X51" s="104" t="s">
        <v>91</v>
      </c>
      <c r="Y51" s="104" t="n">
        <v>1</v>
      </c>
      <c r="Z51" s="104" t="n">
        <v>0</v>
      </c>
      <c r="AA51" s="104" t="s">
        <v>295</v>
      </c>
      <c r="AB51" s="104" t="s">
        <v>296</v>
      </c>
      <c r="AC51" s="104" t="s">
        <v>92</v>
      </c>
      <c r="AD51" s="104" t="s">
        <v>236</v>
      </c>
      <c r="AE51" s="104"/>
      <c r="AF51" s="104" t="s">
        <v>297</v>
      </c>
      <c r="AG51" s="104" t="s">
        <v>297</v>
      </c>
      <c r="AH51" s="104" t="s">
        <v>240</v>
      </c>
    </row>
    <row r="52" customFormat="false" ht="15" hidden="false" customHeight="false" outlineLevel="0" collapsed="false">
      <c r="A52" s="104" t="s">
        <v>60</v>
      </c>
      <c r="B52" s="105" t="s">
        <v>21</v>
      </c>
      <c r="C52" s="104" t="s">
        <v>298</v>
      </c>
      <c r="D52" s="104" t="s">
        <v>299</v>
      </c>
      <c r="E52" s="104" t="s">
        <v>98</v>
      </c>
      <c r="F52" s="90" t="s">
        <v>234</v>
      </c>
      <c r="G52" s="104" t="s">
        <v>288</v>
      </c>
      <c r="H52" s="106" t="n">
        <f aca="false">IFERROR(INDEX(Schedule!$E$2:$E$147,MATCH($G52,Schedule!$A$2:$A$147,0)),"")</f>
        <v>45017</v>
      </c>
      <c r="I52" s="106" t="n">
        <f aca="false">IFERROR(INDEX(Schedule!$F$2:$F$147,MATCH($G52,Schedule!$A$2:$A$147,0)),"")</f>
        <v>45231</v>
      </c>
      <c r="J52" s="92"/>
      <c r="K52" s="92"/>
      <c r="L52" s="92"/>
      <c r="M52" s="92"/>
      <c r="N52" s="92"/>
      <c r="O52" s="90" t="n">
        <v>1</v>
      </c>
      <c r="P52" s="107" t="n">
        <f aca="false">IFERROR((IF(OR(ISNUMBER(J52),UPPER(TRIM(J52))="N/A"),1,0)*IF($W52="N",0,INDEX('Rules of Credit'!$B$5:$F$8,MATCH($F52,'Rules of Credit'!$A$5:$A$8,0),1))+IF(OR(ISNUMBER(K52),UPPER(TRIM(K52))="N/A"),1,0)*INDEX('Rules of Credit'!$B$5:$F$8,MATCH($F52,'Rules of Credit'!$A$5:$A$8,0),2)+IF(OR(ISNUMBER(L52),UPPER(TRIM(L52))="N/A"),1,0)*INDEX('Rules of Credit'!$B$5:$F$8,MATCH($F52,'Rules of Credit'!$A$5:$A$8,0),3)+IF(OR(ISNUMBER(M52),UPPER(TRIM(M52))="N/A"),1,0)*IF($X52="N",0,INDEX('Rules of Credit'!$B$5:$F$8,MATCH($F52,'Rules of Credit'!$A$5:$A$8,0),4))+IF(OR(ISNUMBER(N52),UPPER(TRIM(N52))="N/A"),1,0)*INDEX('Rules of Credit'!$B$5:$F$8,MATCH($F52,'Rules of Credit'!$A$5:$A$8,0),5))/(IF($W52="N",0,INDEX('Rules of Credit'!$B$5:$F$8,MATCH($F52,'Rules of Credit'!$A$5:$A$8,0),1))+INDEX('Rules of Credit'!$B$5:$F$8,MATCH($F52,'Rules of Credit'!$A$5:$A$8,0),2)+INDEX('Rules of Credit'!$B$5:$F$8,MATCH($F52,'Rules of Credit'!$A$5:$A$8,0),3)+IF($X52="N",0,INDEX('Rules of Credit'!$B$5:$F$8,MATCH($F52,'Rules of Credit'!$A$5:$A$8,0),4))+INDEX('Rules of Credit'!$B$5:$F$8,MATCH($F52,'Rules of Credit'!$A$5:$A$8,0),5)),0)</f>
        <v>0</v>
      </c>
      <c r="Q52" s="107" t="n">
        <f aca="false">IF(OR($H52="",$I52=""),0,IF('Tracker Summary'!$C$3&lt;$H52,0,IF('Tracker Summary'!$C$3&gt;=$I52,1,('Tracker Summary'!$C$3-$H52)/($I52-$H52+1))))</f>
        <v>0</v>
      </c>
      <c r="R52" s="107" t="n">
        <f aca="false">P52-Q52</f>
        <v>0</v>
      </c>
      <c r="S52" s="104" t="str">
        <f aca="false">IF($I52="","Not scheduled",IF(P52&gt;=1,"Complete",IF('Tracker Summary'!$C$3&gt;$I52,"Overdue",IF(P52-Q52&lt;-0.1,"Behind",IF(AND(P52=0,'Tracker Summary'!$C$3&lt;$H52),"Not started","On track")))))</f>
        <v>Not started</v>
      </c>
      <c r="T52" s="90"/>
      <c r="U52" s="104" t="str">
        <f aca="false">IFERROR(INDEX(Schedule!$D$2:$D$147,MATCH($G52,Schedule!$A$2:$A$147,0)),"")</f>
        <v>Concrete (Cast-in-Place &amp; Precast) — Yard piping, vaults and site utilities</v>
      </c>
      <c r="V52" s="106" t="n">
        <f aca="false">IFERROR(INDEX(Schedule!$F$2:$F$147,MATCH("03-P01",Schedule!$A$2:$A$147,0)),"")</f>
        <v>45016</v>
      </c>
      <c r="W52" s="104" t="s">
        <v>99</v>
      </c>
      <c r="X52" s="104" t="s">
        <v>91</v>
      </c>
      <c r="Y52" s="104" t="n">
        <v>1</v>
      </c>
      <c r="Z52" s="104" t="n">
        <v>0</v>
      </c>
      <c r="AA52" s="104"/>
      <c r="AB52" s="104" t="s">
        <v>300</v>
      </c>
      <c r="AC52" s="104" t="s">
        <v>92</v>
      </c>
      <c r="AD52" s="104" t="s">
        <v>236</v>
      </c>
      <c r="AE52" s="104"/>
      <c r="AF52" s="104" t="s">
        <v>297</v>
      </c>
      <c r="AG52" s="104" t="s">
        <v>297</v>
      </c>
      <c r="AH52" s="104" t="s">
        <v>240</v>
      </c>
    </row>
    <row r="53" customFormat="false" ht="15" hidden="false" customHeight="false" outlineLevel="0" collapsed="false">
      <c r="A53" s="104" t="s">
        <v>60</v>
      </c>
      <c r="B53" s="105" t="s">
        <v>21</v>
      </c>
      <c r="C53" s="104" t="s">
        <v>301</v>
      </c>
      <c r="D53" s="104" t="s">
        <v>302</v>
      </c>
      <c r="E53" s="104" t="s">
        <v>98</v>
      </c>
      <c r="F53" s="90" t="s">
        <v>234</v>
      </c>
      <c r="G53" s="104" t="s">
        <v>288</v>
      </c>
      <c r="H53" s="106" t="n">
        <f aca="false">IFERROR(INDEX(Schedule!$E$2:$E$147,MATCH($G53,Schedule!$A$2:$A$147,0)),"")</f>
        <v>45017</v>
      </c>
      <c r="I53" s="106" t="n">
        <f aca="false">IFERROR(INDEX(Schedule!$F$2:$F$147,MATCH($G53,Schedule!$A$2:$A$147,0)),"")</f>
        <v>45231</v>
      </c>
      <c r="J53" s="92"/>
      <c r="K53" s="92"/>
      <c r="L53" s="92"/>
      <c r="M53" s="92"/>
      <c r="N53" s="92"/>
      <c r="O53" s="90" t="n">
        <v>1</v>
      </c>
      <c r="P53" s="107" t="n">
        <f aca="false">IFERROR((IF(OR(ISNUMBER(J53),UPPER(TRIM(J53))="N/A"),1,0)*IF($W53="N",0,INDEX('Rules of Credit'!$B$5:$F$8,MATCH($F53,'Rules of Credit'!$A$5:$A$8,0),1))+IF(OR(ISNUMBER(K53),UPPER(TRIM(K53))="N/A"),1,0)*INDEX('Rules of Credit'!$B$5:$F$8,MATCH($F53,'Rules of Credit'!$A$5:$A$8,0),2)+IF(OR(ISNUMBER(L53),UPPER(TRIM(L53))="N/A"),1,0)*INDEX('Rules of Credit'!$B$5:$F$8,MATCH($F53,'Rules of Credit'!$A$5:$A$8,0),3)+IF(OR(ISNUMBER(M53),UPPER(TRIM(M53))="N/A"),1,0)*IF($X53="N",0,INDEX('Rules of Credit'!$B$5:$F$8,MATCH($F53,'Rules of Credit'!$A$5:$A$8,0),4))+IF(OR(ISNUMBER(N53),UPPER(TRIM(N53))="N/A"),1,0)*INDEX('Rules of Credit'!$B$5:$F$8,MATCH($F53,'Rules of Credit'!$A$5:$A$8,0),5))/(IF($W53="N",0,INDEX('Rules of Credit'!$B$5:$F$8,MATCH($F53,'Rules of Credit'!$A$5:$A$8,0),1))+INDEX('Rules of Credit'!$B$5:$F$8,MATCH($F53,'Rules of Credit'!$A$5:$A$8,0),2)+INDEX('Rules of Credit'!$B$5:$F$8,MATCH($F53,'Rules of Credit'!$A$5:$A$8,0),3)+IF($X53="N",0,INDEX('Rules of Credit'!$B$5:$F$8,MATCH($F53,'Rules of Credit'!$A$5:$A$8,0),4))+INDEX('Rules of Credit'!$B$5:$F$8,MATCH($F53,'Rules of Credit'!$A$5:$A$8,0),5)),0)</f>
        <v>0</v>
      </c>
      <c r="Q53" s="107" t="n">
        <f aca="false">IF(OR($H53="",$I53=""),0,IF('Tracker Summary'!$C$3&lt;$H53,0,IF('Tracker Summary'!$C$3&gt;=$I53,1,('Tracker Summary'!$C$3-$H53)/($I53-$H53+1))))</f>
        <v>0</v>
      </c>
      <c r="R53" s="107" t="n">
        <f aca="false">P53-Q53</f>
        <v>0</v>
      </c>
      <c r="S53" s="104" t="str">
        <f aca="false">IF($I53="","Not scheduled",IF(P53&gt;=1,"Complete",IF('Tracker Summary'!$C$3&gt;$I53,"Overdue",IF(P53-Q53&lt;-0.1,"Behind",IF(AND(P53=0,'Tracker Summary'!$C$3&lt;$H53),"Not started","On track")))))</f>
        <v>Not started</v>
      </c>
      <c r="T53" s="90"/>
      <c r="U53" s="104" t="str">
        <f aca="false">IFERROR(INDEX(Schedule!$D$2:$D$147,MATCH($G53,Schedule!$A$2:$A$147,0)),"")</f>
        <v>Concrete (Cast-in-Place &amp; Precast) — Yard piping, vaults and site utilities</v>
      </c>
      <c r="V53" s="106" t="n">
        <f aca="false">IFERROR(INDEX(Schedule!$F$2:$F$147,MATCH("03-P01",Schedule!$A$2:$A$147,0)),"")</f>
        <v>45016</v>
      </c>
      <c r="W53" s="104" t="s">
        <v>99</v>
      </c>
      <c r="X53" s="104" t="s">
        <v>91</v>
      </c>
      <c r="Y53" s="104" t="n">
        <v>1</v>
      </c>
      <c r="Z53" s="104" t="n">
        <v>0</v>
      </c>
      <c r="AA53" s="104" t="s">
        <v>303</v>
      </c>
      <c r="AB53" s="104" t="s">
        <v>304</v>
      </c>
      <c r="AC53" s="104" t="s">
        <v>92</v>
      </c>
      <c r="AD53" s="104" t="s">
        <v>236</v>
      </c>
      <c r="AE53" s="104"/>
      <c r="AF53" s="104" t="s">
        <v>297</v>
      </c>
      <c r="AG53" s="104" t="s">
        <v>297</v>
      </c>
      <c r="AH53" s="104" t="s">
        <v>240</v>
      </c>
    </row>
    <row r="54" customFormat="false" ht="15" hidden="false" customHeight="false" outlineLevel="0" collapsed="false">
      <c r="A54" s="104" t="s">
        <v>60</v>
      </c>
      <c r="B54" s="105" t="s">
        <v>21</v>
      </c>
      <c r="C54" s="104" t="s">
        <v>305</v>
      </c>
      <c r="D54" s="104" t="s">
        <v>306</v>
      </c>
      <c r="E54" s="104" t="s">
        <v>98</v>
      </c>
      <c r="F54" s="90" t="s">
        <v>234</v>
      </c>
      <c r="G54" s="104" t="s">
        <v>288</v>
      </c>
      <c r="H54" s="106" t="n">
        <f aca="false">IFERROR(INDEX(Schedule!$E$2:$E$147,MATCH($G54,Schedule!$A$2:$A$147,0)),"")</f>
        <v>45017</v>
      </c>
      <c r="I54" s="106" t="n">
        <f aca="false">IFERROR(INDEX(Schedule!$F$2:$F$147,MATCH($G54,Schedule!$A$2:$A$147,0)),"")</f>
        <v>45231</v>
      </c>
      <c r="J54" s="92"/>
      <c r="K54" s="92"/>
      <c r="L54" s="92"/>
      <c r="M54" s="92"/>
      <c r="N54" s="92"/>
      <c r="O54" s="90" t="n">
        <v>1</v>
      </c>
      <c r="P54" s="107" t="n">
        <f aca="false">IFERROR((IF(OR(ISNUMBER(J54),UPPER(TRIM(J54))="N/A"),1,0)*IF($W54="N",0,INDEX('Rules of Credit'!$B$5:$F$8,MATCH($F54,'Rules of Credit'!$A$5:$A$8,0),1))+IF(OR(ISNUMBER(K54),UPPER(TRIM(K54))="N/A"),1,0)*INDEX('Rules of Credit'!$B$5:$F$8,MATCH($F54,'Rules of Credit'!$A$5:$A$8,0),2)+IF(OR(ISNUMBER(L54),UPPER(TRIM(L54))="N/A"),1,0)*INDEX('Rules of Credit'!$B$5:$F$8,MATCH($F54,'Rules of Credit'!$A$5:$A$8,0),3)+IF(OR(ISNUMBER(M54),UPPER(TRIM(M54))="N/A"),1,0)*IF($X54="N",0,INDEX('Rules of Credit'!$B$5:$F$8,MATCH($F54,'Rules of Credit'!$A$5:$A$8,0),4))+IF(OR(ISNUMBER(N54),UPPER(TRIM(N54))="N/A"),1,0)*INDEX('Rules of Credit'!$B$5:$F$8,MATCH($F54,'Rules of Credit'!$A$5:$A$8,0),5))/(IF($W54="N",0,INDEX('Rules of Credit'!$B$5:$F$8,MATCH($F54,'Rules of Credit'!$A$5:$A$8,0),1))+INDEX('Rules of Credit'!$B$5:$F$8,MATCH($F54,'Rules of Credit'!$A$5:$A$8,0),2)+INDEX('Rules of Credit'!$B$5:$F$8,MATCH($F54,'Rules of Credit'!$A$5:$A$8,0),3)+IF($X54="N",0,INDEX('Rules of Credit'!$B$5:$F$8,MATCH($F54,'Rules of Credit'!$A$5:$A$8,0),4))+INDEX('Rules of Credit'!$B$5:$F$8,MATCH($F54,'Rules of Credit'!$A$5:$A$8,0),5)),0)</f>
        <v>0</v>
      </c>
      <c r="Q54" s="107" t="n">
        <f aca="false">IF(OR($H54="",$I54=""),0,IF('Tracker Summary'!$C$3&lt;$H54,0,IF('Tracker Summary'!$C$3&gt;=$I54,1,('Tracker Summary'!$C$3-$H54)/($I54-$H54+1))))</f>
        <v>0</v>
      </c>
      <c r="R54" s="107" t="n">
        <f aca="false">P54-Q54</f>
        <v>0</v>
      </c>
      <c r="S54" s="104" t="str">
        <f aca="false">IF($I54="","Not scheduled",IF(P54&gt;=1,"Complete",IF('Tracker Summary'!$C$3&gt;$I54,"Overdue",IF(P54-Q54&lt;-0.1,"Behind",IF(AND(P54=0,'Tracker Summary'!$C$3&lt;$H54),"Not started","On track")))))</f>
        <v>Not started</v>
      </c>
      <c r="T54" s="90"/>
      <c r="U54" s="104" t="str">
        <f aca="false">IFERROR(INDEX(Schedule!$D$2:$D$147,MATCH($G54,Schedule!$A$2:$A$147,0)),"")</f>
        <v>Concrete (Cast-in-Place &amp; Precast) — Yard piping, vaults and site utilities</v>
      </c>
      <c r="V54" s="106" t="n">
        <f aca="false">IFERROR(INDEX(Schedule!$F$2:$F$147,MATCH("03-P01",Schedule!$A$2:$A$147,0)),"")</f>
        <v>45016</v>
      </c>
      <c r="W54" s="104" t="s">
        <v>91</v>
      </c>
      <c r="X54" s="104" t="s">
        <v>91</v>
      </c>
      <c r="Y54" s="104" t="n">
        <v>0</v>
      </c>
      <c r="Z54" s="104" t="n">
        <v>0</v>
      </c>
      <c r="AA54" s="104"/>
      <c r="AB54" s="104" t="s">
        <v>307</v>
      </c>
      <c r="AC54" s="104" t="s">
        <v>92</v>
      </c>
      <c r="AD54" s="104" t="s">
        <v>93</v>
      </c>
      <c r="AE54" s="104"/>
      <c r="AF54" s="104" t="s">
        <v>139</v>
      </c>
      <c r="AG54" s="104" t="s">
        <v>139</v>
      </c>
      <c r="AH54" s="104" t="s">
        <v>109</v>
      </c>
    </row>
    <row r="55" customFormat="false" ht="15" hidden="false" customHeight="false" outlineLevel="0" collapsed="false">
      <c r="A55" s="104" t="s">
        <v>60</v>
      </c>
      <c r="B55" s="105" t="s">
        <v>21</v>
      </c>
      <c r="C55" s="104" t="s">
        <v>308</v>
      </c>
      <c r="D55" s="104" t="s">
        <v>309</v>
      </c>
      <c r="E55" s="104" t="s">
        <v>310</v>
      </c>
      <c r="F55" s="90" t="s">
        <v>234</v>
      </c>
      <c r="G55" s="104" t="s">
        <v>311</v>
      </c>
      <c r="H55" s="106" t="n">
        <f aca="false">IFERROR(INDEX(Schedule!$E$2:$E$147,MATCH($G55,Schedule!$A$2:$A$147,0)),"")</f>
        <v>45047</v>
      </c>
      <c r="I55" s="106" t="n">
        <f aca="false">IFERROR(INDEX(Schedule!$F$2:$F$147,MATCH($G55,Schedule!$A$2:$A$147,0)),"")</f>
        <v>45217</v>
      </c>
      <c r="J55" s="92"/>
      <c r="K55" s="92"/>
      <c r="L55" s="92"/>
      <c r="M55" s="92"/>
      <c r="N55" s="92"/>
      <c r="O55" s="90" t="n">
        <v>1</v>
      </c>
      <c r="P55" s="107" t="n">
        <f aca="false">IFERROR((IF(OR(ISNUMBER(J55),UPPER(TRIM(J55))="N/A"),1,0)*IF($W55="N",0,INDEX('Rules of Credit'!$B$5:$F$8,MATCH($F55,'Rules of Credit'!$A$5:$A$8,0),1))+IF(OR(ISNUMBER(K55),UPPER(TRIM(K55))="N/A"),1,0)*INDEX('Rules of Credit'!$B$5:$F$8,MATCH($F55,'Rules of Credit'!$A$5:$A$8,0),2)+IF(OR(ISNUMBER(L55),UPPER(TRIM(L55))="N/A"),1,0)*INDEX('Rules of Credit'!$B$5:$F$8,MATCH($F55,'Rules of Credit'!$A$5:$A$8,0),3)+IF(OR(ISNUMBER(M55),UPPER(TRIM(M55))="N/A"),1,0)*IF($X55="N",0,INDEX('Rules of Credit'!$B$5:$F$8,MATCH($F55,'Rules of Credit'!$A$5:$A$8,0),4))+IF(OR(ISNUMBER(N55),UPPER(TRIM(N55))="N/A"),1,0)*INDEX('Rules of Credit'!$B$5:$F$8,MATCH($F55,'Rules of Credit'!$A$5:$A$8,0),5))/(IF($W55="N",0,INDEX('Rules of Credit'!$B$5:$F$8,MATCH($F55,'Rules of Credit'!$A$5:$A$8,0),1))+INDEX('Rules of Credit'!$B$5:$F$8,MATCH($F55,'Rules of Credit'!$A$5:$A$8,0),2)+INDEX('Rules of Credit'!$B$5:$F$8,MATCH($F55,'Rules of Credit'!$A$5:$A$8,0),3)+IF($X55="N",0,INDEX('Rules of Credit'!$B$5:$F$8,MATCH($F55,'Rules of Credit'!$A$5:$A$8,0),4))+INDEX('Rules of Credit'!$B$5:$F$8,MATCH($F55,'Rules of Credit'!$A$5:$A$8,0),5)),0)</f>
        <v>0</v>
      </c>
      <c r="Q55" s="107" t="n">
        <f aca="false">IF(OR($H55="",$I55=""),0,IF('Tracker Summary'!$C$3&lt;$H55,0,IF('Tracker Summary'!$C$3&gt;=$I55,1,('Tracker Summary'!$C$3-$H55)/($I55-$H55+1))))</f>
        <v>0</v>
      </c>
      <c r="R55" s="107" t="n">
        <f aca="false">P55-Q55</f>
        <v>0</v>
      </c>
      <c r="S55" s="104" t="str">
        <f aca="false">IF($I55="","Not scheduled",IF(P55&gt;=1,"Complete",IF('Tracker Summary'!$C$3&gt;$I55,"Overdue",IF(P55-Q55&lt;-0.1,"Behind",IF(AND(P55=0,'Tracker Summary'!$C$3&lt;$H55),"Not started","On track")))))</f>
        <v>Not started</v>
      </c>
      <c r="T55" s="90"/>
      <c r="U55" s="104" t="str">
        <f aca="false">IFERROR(INDEX(Schedule!$D$2:$D$147,MATCH($G55,Schedule!$A$2:$A$147,0)),"")</f>
        <v>Concrete (Cast-in-Place &amp; Precast) — 2W air gap water system</v>
      </c>
      <c r="V55" s="106" t="n">
        <f aca="false">IFERROR(INDEX(Schedule!$F$2:$F$147,MATCH("03-P01",Schedule!$A$2:$A$147,0)),"")</f>
        <v>45016</v>
      </c>
      <c r="W55" s="104" t="s">
        <v>99</v>
      </c>
      <c r="X55" s="104" t="s">
        <v>91</v>
      </c>
      <c r="Y55" s="104" t="n">
        <v>1</v>
      </c>
      <c r="Z55" s="104" t="n">
        <v>0</v>
      </c>
      <c r="AA55" s="104" t="s">
        <v>312</v>
      </c>
      <c r="AB55" s="104" t="s">
        <v>313</v>
      </c>
      <c r="AC55" s="104" t="s">
        <v>92</v>
      </c>
      <c r="AD55" s="104" t="s">
        <v>236</v>
      </c>
      <c r="AE55" s="104"/>
      <c r="AF55" s="104" t="s">
        <v>297</v>
      </c>
      <c r="AG55" s="104" t="s">
        <v>297</v>
      </c>
      <c r="AH55" s="104" t="s">
        <v>240</v>
      </c>
    </row>
    <row r="56" customFormat="false" ht="15" hidden="false" customHeight="false" outlineLevel="0" collapsed="false">
      <c r="A56" s="104" t="s">
        <v>60</v>
      </c>
      <c r="B56" s="105" t="s">
        <v>21</v>
      </c>
      <c r="C56" s="104" t="s">
        <v>314</v>
      </c>
      <c r="D56" s="104" t="s">
        <v>315</v>
      </c>
      <c r="E56" s="104" t="s">
        <v>209</v>
      </c>
      <c r="F56" s="90" t="s">
        <v>234</v>
      </c>
      <c r="G56" s="104" t="s">
        <v>316</v>
      </c>
      <c r="H56" s="106" t="n">
        <f aca="false">IFERROR(INDEX(Schedule!$E$2:$E$147,MATCH($G56,Schedule!$A$2:$A$147,0)),"")</f>
        <v>45078</v>
      </c>
      <c r="I56" s="106" t="n">
        <f aca="false">IFERROR(INDEX(Schedule!$F$2:$F$147,MATCH($G56,Schedule!$A$2:$A$147,0)),"")</f>
        <v>45224</v>
      </c>
      <c r="J56" s="92"/>
      <c r="K56" s="92"/>
      <c r="L56" s="92"/>
      <c r="M56" s="92"/>
      <c r="N56" s="92"/>
      <c r="O56" s="90" t="n">
        <v>1</v>
      </c>
      <c r="P56" s="107" t="n">
        <f aca="false">IFERROR((IF(OR(ISNUMBER(J56),UPPER(TRIM(J56))="N/A"),1,0)*IF($W56="N",0,INDEX('Rules of Credit'!$B$5:$F$8,MATCH($F56,'Rules of Credit'!$A$5:$A$8,0),1))+IF(OR(ISNUMBER(K56),UPPER(TRIM(K56))="N/A"),1,0)*INDEX('Rules of Credit'!$B$5:$F$8,MATCH($F56,'Rules of Credit'!$A$5:$A$8,0),2)+IF(OR(ISNUMBER(L56),UPPER(TRIM(L56))="N/A"),1,0)*INDEX('Rules of Credit'!$B$5:$F$8,MATCH($F56,'Rules of Credit'!$A$5:$A$8,0),3)+IF(OR(ISNUMBER(M56),UPPER(TRIM(M56))="N/A"),1,0)*IF($X56="N",0,INDEX('Rules of Credit'!$B$5:$F$8,MATCH($F56,'Rules of Credit'!$A$5:$A$8,0),4))+IF(OR(ISNUMBER(N56),UPPER(TRIM(N56))="N/A"),1,0)*INDEX('Rules of Credit'!$B$5:$F$8,MATCH($F56,'Rules of Credit'!$A$5:$A$8,0),5))/(IF($W56="N",0,INDEX('Rules of Credit'!$B$5:$F$8,MATCH($F56,'Rules of Credit'!$A$5:$A$8,0),1))+INDEX('Rules of Credit'!$B$5:$F$8,MATCH($F56,'Rules of Credit'!$A$5:$A$8,0),2)+INDEX('Rules of Credit'!$B$5:$F$8,MATCH($F56,'Rules of Credit'!$A$5:$A$8,0),3)+IF($X56="N",0,INDEX('Rules of Credit'!$B$5:$F$8,MATCH($F56,'Rules of Credit'!$A$5:$A$8,0),4))+INDEX('Rules of Credit'!$B$5:$F$8,MATCH($F56,'Rules of Credit'!$A$5:$A$8,0),5)),0)</f>
        <v>0</v>
      </c>
      <c r="Q56" s="107" t="n">
        <f aca="false">IF(OR($H56="",$I56=""),0,IF('Tracker Summary'!$C$3&lt;$H56,0,IF('Tracker Summary'!$C$3&gt;=$I56,1,('Tracker Summary'!$C$3-$H56)/($I56-$H56+1))))</f>
        <v>0</v>
      </c>
      <c r="R56" s="107" t="n">
        <f aca="false">P56-Q56</f>
        <v>0</v>
      </c>
      <c r="S56" s="104" t="str">
        <f aca="false">IF($I56="","Not scheduled",IF(P56&gt;=1,"Complete",IF('Tracker Summary'!$C$3&gt;$I56,"Overdue",IF(P56-Q56&lt;-0.1,"Behind",IF(AND(P56=0,'Tracker Summary'!$C$3&lt;$H56),"Not started","On track")))))</f>
        <v>Not started</v>
      </c>
      <c r="T56" s="90"/>
      <c r="U56" s="104" t="str">
        <f aca="false">IFERROR(INDEX(Schedule!$D$2:$D$147,MATCH($G56,Schedule!$A$2:$A$147,0)),"")</f>
        <v>Concrete (Cast-in-Place &amp; Precast) — Influent pump station and flow splitter</v>
      </c>
      <c r="V56" s="106" t="n">
        <f aca="false">IFERROR(INDEX(Schedule!$F$2:$F$147,MATCH("03-P01",Schedule!$A$2:$A$147,0)),"")</f>
        <v>45016</v>
      </c>
      <c r="W56" s="104" t="s">
        <v>91</v>
      </c>
      <c r="X56" s="104" t="s">
        <v>91</v>
      </c>
      <c r="Y56" s="104" t="n">
        <v>0</v>
      </c>
      <c r="Z56" s="104" t="n">
        <v>0</v>
      </c>
      <c r="AA56" s="104" t="s">
        <v>317</v>
      </c>
      <c r="AB56" s="104" t="s">
        <v>318</v>
      </c>
      <c r="AC56" s="104" t="s">
        <v>92</v>
      </c>
      <c r="AD56" s="104" t="s">
        <v>93</v>
      </c>
      <c r="AE56" s="104" t="s">
        <v>319</v>
      </c>
      <c r="AF56" s="104"/>
      <c r="AG56" s="104" t="s">
        <v>319</v>
      </c>
      <c r="AH56" s="104" t="s">
        <v>213</v>
      </c>
    </row>
    <row r="57" customFormat="false" ht="15" hidden="false" customHeight="false" outlineLevel="0" collapsed="false">
      <c r="A57" s="104" t="s">
        <v>60</v>
      </c>
      <c r="B57" s="105" t="s">
        <v>21</v>
      </c>
      <c r="C57" s="104" t="s">
        <v>320</v>
      </c>
      <c r="D57" s="104" t="s">
        <v>321</v>
      </c>
      <c r="E57" s="104" t="s">
        <v>209</v>
      </c>
      <c r="F57" s="90" t="s">
        <v>234</v>
      </c>
      <c r="G57" s="104" t="s">
        <v>316</v>
      </c>
      <c r="H57" s="106" t="n">
        <f aca="false">IFERROR(INDEX(Schedule!$E$2:$E$147,MATCH($G57,Schedule!$A$2:$A$147,0)),"")</f>
        <v>45078</v>
      </c>
      <c r="I57" s="106" t="n">
        <f aca="false">IFERROR(INDEX(Schedule!$F$2:$F$147,MATCH($G57,Schedule!$A$2:$A$147,0)),"")</f>
        <v>45224</v>
      </c>
      <c r="J57" s="92"/>
      <c r="K57" s="92"/>
      <c r="L57" s="92"/>
      <c r="M57" s="92"/>
      <c r="N57" s="92"/>
      <c r="O57" s="90" t="n">
        <v>1</v>
      </c>
      <c r="P57" s="107" t="n">
        <f aca="false">IFERROR((IF(OR(ISNUMBER(J57),UPPER(TRIM(J57))="N/A"),1,0)*IF($W57="N",0,INDEX('Rules of Credit'!$B$5:$F$8,MATCH($F57,'Rules of Credit'!$A$5:$A$8,0),1))+IF(OR(ISNUMBER(K57),UPPER(TRIM(K57))="N/A"),1,0)*INDEX('Rules of Credit'!$B$5:$F$8,MATCH($F57,'Rules of Credit'!$A$5:$A$8,0),2)+IF(OR(ISNUMBER(L57),UPPER(TRIM(L57))="N/A"),1,0)*INDEX('Rules of Credit'!$B$5:$F$8,MATCH($F57,'Rules of Credit'!$A$5:$A$8,0),3)+IF(OR(ISNUMBER(M57),UPPER(TRIM(M57))="N/A"),1,0)*IF($X57="N",0,INDEX('Rules of Credit'!$B$5:$F$8,MATCH($F57,'Rules of Credit'!$A$5:$A$8,0),4))+IF(OR(ISNUMBER(N57),UPPER(TRIM(N57))="N/A"),1,0)*INDEX('Rules of Credit'!$B$5:$F$8,MATCH($F57,'Rules of Credit'!$A$5:$A$8,0),5))/(IF($W57="N",0,INDEX('Rules of Credit'!$B$5:$F$8,MATCH($F57,'Rules of Credit'!$A$5:$A$8,0),1))+INDEX('Rules of Credit'!$B$5:$F$8,MATCH($F57,'Rules of Credit'!$A$5:$A$8,0),2)+INDEX('Rules of Credit'!$B$5:$F$8,MATCH($F57,'Rules of Credit'!$A$5:$A$8,0),3)+IF($X57="N",0,INDEX('Rules of Credit'!$B$5:$F$8,MATCH($F57,'Rules of Credit'!$A$5:$A$8,0),4))+INDEX('Rules of Credit'!$B$5:$F$8,MATCH($F57,'Rules of Credit'!$A$5:$A$8,0),5)),0)</f>
        <v>0</v>
      </c>
      <c r="Q57" s="107" t="n">
        <f aca="false">IF(OR($H57="",$I57=""),0,IF('Tracker Summary'!$C$3&lt;$H57,0,IF('Tracker Summary'!$C$3&gt;=$I57,1,('Tracker Summary'!$C$3-$H57)/($I57-$H57+1))))</f>
        <v>0</v>
      </c>
      <c r="R57" s="107" t="n">
        <f aca="false">P57-Q57</f>
        <v>0</v>
      </c>
      <c r="S57" s="104" t="str">
        <f aca="false">IF($I57="","Not scheduled",IF(P57&gt;=1,"Complete",IF('Tracker Summary'!$C$3&gt;$I57,"Overdue",IF(P57-Q57&lt;-0.1,"Behind",IF(AND(P57=0,'Tracker Summary'!$C$3&lt;$H57),"Not started","On track")))))</f>
        <v>Not started</v>
      </c>
      <c r="T57" s="90"/>
      <c r="U57" s="104" t="str">
        <f aca="false">IFERROR(INDEX(Schedule!$D$2:$D$147,MATCH($G57,Schedule!$A$2:$A$147,0)),"")</f>
        <v>Concrete (Cast-in-Place &amp; Precast) — Influent pump station and flow splitter</v>
      </c>
      <c r="V57" s="106" t="n">
        <f aca="false">IFERROR(INDEX(Schedule!$F$2:$F$147,MATCH("03-P01",Schedule!$A$2:$A$147,0)),"")</f>
        <v>45016</v>
      </c>
      <c r="W57" s="104" t="s">
        <v>91</v>
      </c>
      <c r="X57" s="104" t="s">
        <v>91</v>
      </c>
      <c r="Y57" s="104" t="n">
        <v>0</v>
      </c>
      <c r="Z57" s="104" t="n">
        <v>0</v>
      </c>
      <c r="AA57" s="104" t="s">
        <v>322</v>
      </c>
      <c r="AB57" s="104" t="s">
        <v>323</v>
      </c>
      <c r="AC57" s="104" t="s">
        <v>92</v>
      </c>
      <c r="AD57" s="104" t="s">
        <v>93</v>
      </c>
      <c r="AE57" s="104" t="s">
        <v>212</v>
      </c>
      <c r="AF57" s="104"/>
      <c r="AG57" s="104" t="s">
        <v>212</v>
      </c>
      <c r="AH57" s="104" t="s">
        <v>213</v>
      </c>
    </row>
    <row r="58" customFormat="false" ht="15" hidden="false" customHeight="false" outlineLevel="0" collapsed="false">
      <c r="A58" s="104" t="s">
        <v>60</v>
      </c>
      <c r="B58" s="105" t="s">
        <v>21</v>
      </c>
      <c r="C58" s="104" t="s">
        <v>324</v>
      </c>
      <c r="D58" s="104" t="s">
        <v>325</v>
      </c>
      <c r="E58" s="104" t="s">
        <v>209</v>
      </c>
      <c r="F58" s="90" t="s">
        <v>234</v>
      </c>
      <c r="G58" s="104" t="s">
        <v>316</v>
      </c>
      <c r="H58" s="106" t="n">
        <f aca="false">IFERROR(INDEX(Schedule!$E$2:$E$147,MATCH($G58,Schedule!$A$2:$A$147,0)),"")</f>
        <v>45078</v>
      </c>
      <c r="I58" s="106" t="n">
        <f aca="false">IFERROR(INDEX(Schedule!$F$2:$F$147,MATCH($G58,Schedule!$A$2:$A$147,0)),"")</f>
        <v>45224</v>
      </c>
      <c r="J58" s="92"/>
      <c r="K58" s="92"/>
      <c r="L58" s="92"/>
      <c r="M58" s="92"/>
      <c r="N58" s="92"/>
      <c r="O58" s="90" t="n">
        <v>1</v>
      </c>
      <c r="P58" s="107" t="n">
        <f aca="false">IFERROR((IF(OR(ISNUMBER(J58),UPPER(TRIM(J58))="N/A"),1,0)*IF($W58="N",0,INDEX('Rules of Credit'!$B$5:$F$8,MATCH($F58,'Rules of Credit'!$A$5:$A$8,0),1))+IF(OR(ISNUMBER(K58),UPPER(TRIM(K58))="N/A"),1,0)*INDEX('Rules of Credit'!$B$5:$F$8,MATCH($F58,'Rules of Credit'!$A$5:$A$8,0),2)+IF(OR(ISNUMBER(L58),UPPER(TRIM(L58))="N/A"),1,0)*INDEX('Rules of Credit'!$B$5:$F$8,MATCH($F58,'Rules of Credit'!$A$5:$A$8,0),3)+IF(OR(ISNUMBER(M58),UPPER(TRIM(M58))="N/A"),1,0)*IF($X58="N",0,INDEX('Rules of Credit'!$B$5:$F$8,MATCH($F58,'Rules of Credit'!$A$5:$A$8,0),4))+IF(OR(ISNUMBER(N58),UPPER(TRIM(N58))="N/A"),1,0)*INDEX('Rules of Credit'!$B$5:$F$8,MATCH($F58,'Rules of Credit'!$A$5:$A$8,0),5))/(IF($W58="N",0,INDEX('Rules of Credit'!$B$5:$F$8,MATCH($F58,'Rules of Credit'!$A$5:$A$8,0),1))+INDEX('Rules of Credit'!$B$5:$F$8,MATCH($F58,'Rules of Credit'!$A$5:$A$8,0),2)+INDEX('Rules of Credit'!$B$5:$F$8,MATCH($F58,'Rules of Credit'!$A$5:$A$8,0),3)+IF($X58="N",0,INDEX('Rules of Credit'!$B$5:$F$8,MATCH($F58,'Rules of Credit'!$A$5:$A$8,0),4))+INDEX('Rules of Credit'!$B$5:$F$8,MATCH($F58,'Rules of Credit'!$A$5:$A$8,0),5)),0)</f>
        <v>0</v>
      </c>
      <c r="Q58" s="107" t="n">
        <f aca="false">IF(OR($H58="",$I58=""),0,IF('Tracker Summary'!$C$3&lt;$H58,0,IF('Tracker Summary'!$C$3&gt;=$I58,1,('Tracker Summary'!$C$3-$H58)/($I58-$H58+1))))</f>
        <v>0</v>
      </c>
      <c r="R58" s="107" t="n">
        <f aca="false">P58-Q58</f>
        <v>0</v>
      </c>
      <c r="S58" s="104" t="str">
        <f aca="false">IF($I58="","Not scheduled",IF(P58&gt;=1,"Complete",IF('Tracker Summary'!$C$3&gt;$I58,"Overdue",IF(P58-Q58&lt;-0.1,"Behind",IF(AND(P58=0,'Tracker Summary'!$C$3&lt;$H58),"Not started","On track")))))</f>
        <v>Not started</v>
      </c>
      <c r="T58" s="90"/>
      <c r="U58" s="104" t="str">
        <f aca="false">IFERROR(INDEX(Schedule!$D$2:$D$147,MATCH($G58,Schedule!$A$2:$A$147,0)),"")</f>
        <v>Concrete (Cast-in-Place &amp; Precast) — Influent pump station and flow splitter</v>
      </c>
      <c r="V58" s="106" t="n">
        <f aca="false">IFERROR(INDEX(Schedule!$F$2:$F$147,MATCH("03-P01",Schedule!$A$2:$A$147,0)),"")</f>
        <v>45016</v>
      </c>
      <c r="W58" s="104" t="s">
        <v>91</v>
      </c>
      <c r="X58" s="104" t="s">
        <v>91</v>
      </c>
      <c r="Y58" s="104" t="n">
        <v>0</v>
      </c>
      <c r="Z58" s="104" t="n">
        <v>0</v>
      </c>
      <c r="AA58" s="104" t="s">
        <v>326</v>
      </c>
      <c r="AB58" s="104" t="s">
        <v>327</v>
      </c>
      <c r="AC58" s="104" t="s">
        <v>92</v>
      </c>
      <c r="AD58" s="104" t="s">
        <v>93</v>
      </c>
      <c r="AE58" s="104" t="s">
        <v>212</v>
      </c>
      <c r="AF58" s="104"/>
      <c r="AG58" s="104" t="s">
        <v>212</v>
      </c>
      <c r="AH58" s="104" t="s">
        <v>213</v>
      </c>
    </row>
    <row r="59" customFormat="false" ht="15" hidden="false" customHeight="false" outlineLevel="0" collapsed="false">
      <c r="A59" s="104" t="s">
        <v>60</v>
      </c>
      <c r="B59" s="105" t="s">
        <v>21</v>
      </c>
      <c r="C59" s="104" t="s">
        <v>328</v>
      </c>
      <c r="D59" s="104" t="s">
        <v>329</v>
      </c>
      <c r="E59" s="104" t="s">
        <v>209</v>
      </c>
      <c r="F59" s="90" t="s">
        <v>234</v>
      </c>
      <c r="G59" s="104" t="s">
        <v>316</v>
      </c>
      <c r="H59" s="106" t="n">
        <f aca="false">IFERROR(INDEX(Schedule!$E$2:$E$147,MATCH($G59,Schedule!$A$2:$A$147,0)),"")</f>
        <v>45078</v>
      </c>
      <c r="I59" s="106" t="n">
        <f aca="false">IFERROR(INDEX(Schedule!$F$2:$F$147,MATCH($G59,Schedule!$A$2:$A$147,0)),"")</f>
        <v>45224</v>
      </c>
      <c r="J59" s="92"/>
      <c r="K59" s="92"/>
      <c r="L59" s="92"/>
      <c r="M59" s="92"/>
      <c r="N59" s="92"/>
      <c r="O59" s="90" t="n">
        <v>1</v>
      </c>
      <c r="P59" s="107" t="n">
        <f aca="false">IFERROR((IF(OR(ISNUMBER(J59),UPPER(TRIM(J59))="N/A"),1,0)*IF($W59="N",0,INDEX('Rules of Credit'!$B$5:$F$8,MATCH($F59,'Rules of Credit'!$A$5:$A$8,0),1))+IF(OR(ISNUMBER(K59),UPPER(TRIM(K59))="N/A"),1,0)*INDEX('Rules of Credit'!$B$5:$F$8,MATCH($F59,'Rules of Credit'!$A$5:$A$8,0),2)+IF(OR(ISNUMBER(L59),UPPER(TRIM(L59))="N/A"),1,0)*INDEX('Rules of Credit'!$B$5:$F$8,MATCH($F59,'Rules of Credit'!$A$5:$A$8,0),3)+IF(OR(ISNUMBER(M59),UPPER(TRIM(M59))="N/A"),1,0)*IF($X59="N",0,INDEX('Rules of Credit'!$B$5:$F$8,MATCH($F59,'Rules of Credit'!$A$5:$A$8,0),4))+IF(OR(ISNUMBER(N59),UPPER(TRIM(N59))="N/A"),1,0)*INDEX('Rules of Credit'!$B$5:$F$8,MATCH($F59,'Rules of Credit'!$A$5:$A$8,0),5))/(IF($W59="N",0,INDEX('Rules of Credit'!$B$5:$F$8,MATCH($F59,'Rules of Credit'!$A$5:$A$8,0),1))+INDEX('Rules of Credit'!$B$5:$F$8,MATCH($F59,'Rules of Credit'!$A$5:$A$8,0),2)+INDEX('Rules of Credit'!$B$5:$F$8,MATCH($F59,'Rules of Credit'!$A$5:$A$8,0),3)+IF($X59="N",0,INDEX('Rules of Credit'!$B$5:$F$8,MATCH($F59,'Rules of Credit'!$A$5:$A$8,0),4))+INDEX('Rules of Credit'!$B$5:$F$8,MATCH($F59,'Rules of Credit'!$A$5:$A$8,0),5)),0)</f>
        <v>0</v>
      </c>
      <c r="Q59" s="107" t="n">
        <f aca="false">IF(OR($H59="",$I59=""),0,IF('Tracker Summary'!$C$3&lt;$H59,0,IF('Tracker Summary'!$C$3&gt;=$I59,1,('Tracker Summary'!$C$3-$H59)/($I59-$H59+1))))</f>
        <v>0</v>
      </c>
      <c r="R59" s="107" t="n">
        <f aca="false">P59-Q59</f>
        <v>0</v>
      </c>
      <c r="S59" s="104" t="str">
        <f aca="false">IF($I59="","Not scheduled",IF(P59&gt;=1,"Complete",IF('Tracker Summary'!$C$3&gt;$I59,"Overdue",IF(P59-Q59&lt;-0.1,"Behind",IF(AND(P59=0,'Tracker Summary'!$C$3&lt;$H59),"Not started","On track")))))</f>
        <v>Not started</v>
      </c>
      <c r="T59" s="90"/>
      <c r="U59" s="104" t="str">
        <f aca="false">IFERROR(INDEX(Schedule!$D$2:$D$147,MATCH($G59,Schedule!$A$2:$A$147,0)),"")</f>
        <v>Concrete (Cast-in-Place &amp; Precast) — Influent pump station and flow splitter</v>
      </c>
      <c r="V59" s="106" t="n">
        <f aca="false">IFERROR(INDEX(Schedule!$F$2:$F$147,MATCH("03-P01",Schedule!$A$2:$A$147,0)),"")</f>
        <v>45016</v>
      </c>
      <c r="W59" s="104" t="s">
        <v>91</v>
      </c>
      <c r="X59" s="104" t="s">
        <v>91</v>
      </c>
      <c r="Y59" s="104" t="n">
        <v>0</v>
      </c>
      <c r="Z59" s="104" t="n">
        <v>0</v>
      </c>
      <c r="AA59" s="104" t="s">
        <v>330</v>
      </c>
      <c r="AB59" s="104" t="s">
        <v>331</v>
      </c>
      <c r="AC59" s="104" t="s">
        <v>92</v>
      </c>
      <c r="AD59" s="104" t="s">
        <v>93</v>
      </c>
      <c r="AE59" s="104" t="s">
        <v>212</v>
      </c>
      <c r="AF59" s="104"/>
      <c r="AG59" s="104" t="s">
        <v>212</v>
      </c>
      <c r="AH59" s="104" t="s">
        <v>213</v>
      </c>
    </row>
    <row r="60" customFormat="false" ht="15" hidden="false" customHeight="false" outlineLevel="0" collapsed="false">
      <c r="A60" s="104" t="s">
        <v>60</v>
      </c>
      <c r="B60" s="105" t="s">
        <v>21</v>
      </c>
      <c r="C60" s="104" t="s">
        <v>332</v>
      </c>
      <c r="D60" s="104" t="s">
        <v>333</v>
      </c>
      <c r="E60" s="104" t="s">
        <v>334</v>
      </c>
      <c r="F60" s="90" t="s">
        <v>234</v>
      </c>
      <c r="G60" s="104" t="s">
        <v>316</v>
      </c>
      <c r="H60" s="106" t="n">
        <f aca="false">IFERROR(INDEX(Schedule!$E$2:$E$147,MATCH($G60,Schedule!$A$2:$A$147,0)),"")</f>
        <v>45078</v>
      </c>
      <c r="I60" s="106" t="n">
        <f aca="false">IFERROR(INDEX(Schedule!$F$2:$F$147,MATCH($G60,Schedule!$A$2:$A$147,0)),"")</f>
        <v>45224</v>
      </c>
      <c r="J60" s="92"/>
      <c r="K60" s="92"/>
      <c r="L60" s="92"/>
      <c r="M60" s="92"/>
      <c r="N60" s="92"/>
      <c r="O60" s="90" t="n">
        <v>1</v>
      </c>
      <c r="P60" s="107" t="n">
        <f aca="false">IFERROR((IF(OR(ISNUMBER(J60),UPPER(TRIM(J60))="N/A"),1,0)*IF($W60="N",0,INDEX('Rules of Credit'!$B$5:$F$8,MATCH($F60,'Rules of Credit'!$A$5:$A$8,0),1))+IF(OR(ISNUMBER(K60),UPPER(TRIM(K60))="N/A"),1,0)*INDEX('Rules of Credit'!$B$5:$F$8,MATCH($F60,'Rules of Credit'!$A$5:$A$8,0),2)+IF(OR(ISNUMBER(L60),UPPER(TRIM(L60))="N/A"),1,0)*INDEX('Rules of Credit'!$B$5:$F$8,MATCH($F60,'Rules of Credit'!$A$5:$A$8,0),3)+IF(OR(ISNUMBER(M60),UPPER(TRIM(M60))="N/A"),1,0)*IF($X60="N",0,INDEX('Rules of Credit'!$B$5:$F$8,MATCH($F60,'Rules of Credit'!$A$5:$A$8,0),4))+IF(OR(ISNUMBER(N60),UPPER(TRIM(N60))="N/A"),1,0)*INDEX('Rules of Credit'!$B$5:$F$8,MATCH($F60,'Rules of Credit'!$A$5:$A$8,0),5))/(IF($W60="N",0,INDEX('Rules of Credit'!$B$5:$F$8,MATCH($F60,'Rules of Credit'!$A$5:$A$8,0),1))+INDEX('Rules of Credit'!$B$5:$F$8,MATCH($F60,'Rules of Credit'!$A$5:$A$8,0),2)+INDEX('Rules of Credit'!$B$5:$F$8,MATCH($F60,'Rules of Credit'!$A$5:$A$8,0),3)+IF($X60="N",0,INDEX('Rules of Credit'!$B$5:$F$8,MATCH($F60,'Rules of Credit'!$A$5:$A$8,0),4))+INDEX('Rules of Credit'!$B$5:$F$8,MATCH($F60,'Rules of Credit'!$A$5:$A$8,0),5)),0)</f>
        <v>0</v>
      </c>
      <c r="Q60" s="107" t="n">
        <f aca="false">IF(OR($H60="",$I60=""),0,IF('Tracker Summary'!$C$3&lt;$H60,0,IF('Tracker Summary'!$C$3&gt;=$I60,1,('Tracker Summary'!$C$3-$H60)/($I60-$H60+1))))</f>
        <v>0</v>
      </c>
      <c r="R60" s="107" t="n">
        <f aca="false">P60-Q60</f>
        <v>0</v>
      </c>
      <c r="S60" s="104" t="str">
        <f aca="false">IF($I60="","Not scheduled",IF(P60&gt;=1,"Complete",IF('Tracker Summary'!$C$3&gt;$I60,"Overdue",IF(P60-Q60&lt;-0.1,"Behind",IF(AND(P60=0,'Tracker Summary'!$C$3&lt;$H60),"Not started","On track")))))</f>
        <v>Not started</v>
      </c>
      <c r="T60" s="90"/>
      <c r="U60" s="104" t="str">
        <f aca="false">IFERROR(INDEX(Schedule!$D$2:$D$147,MATCH($G60,Schedule!$A$2:$A$147,0)),"")</f>
        <v>Concrete (Cast-in-Place &amp; Precast) — Influent pump station and flow splitter</v>
      </c>
      <c r="V60" s="106" t="n">
        <f aca="false">IFERROR(INDEX(Schedule!$F$2:$F$147,MATCH("03-P01",Schedule!$A$2:$A$147,0)),"")</f>
        <v>45016</v>
      </c>
      <c r="W60" s="104" t="s">
        <v>91</v>
      </c>
      <c r="X60" s="104" t="s">
        <v>91</v>
      </c>
      <c r="Y60" s="104" t="n">
        <v>0</v>
      </c>
      <c r="Z60" s="104" t="n">
        <v>0</v>
      </c>
      <c r="AA60" s="104" t="s">
        <v>335</v>
      </c>
      <c r="AB60" s="104" t="s">
        <v>336</v>
      </c>
      <c r="AC60" s="104" t="s">
        <v>92</v>
      </c>
      <c r="AD60" s="104" t="s">
        <v>93</v>
      </c>
      <c r="AE60" s="104" t="s">
        <v>337</v>
      </c>
      <c r="AF60" s="104"/>
      <c r="AG60" s="104" t="s">
        <v>337</v>
      </c>
      <c r="AH60" s="104" t="s">
        <v>213</v>
      </c>
    </row>
    <row r="61" customFormat="false" ht="15" hidden="false" customHeight="false" outlineLevel="0" collapsed="false">
      <c r="A61" s="104" t="s">
        <v>60</v>
      </c>
      <c r="B61" s="105" t="s">
        <v>21</v>
      </c>
      <c r="C61" s="104" t="s">
        <v>338</v>
      </c>
      <c r="D61" s="104" t="s">
        <v>339</v>
      </c>
      <c r="E61" s="104" t="s">
        <v>340</v>
      </c>
      <c r="F61" s="90" t="s">
        <v>234</v>
      </c>
      <c r="G61" s="104" t="s">
        <v>316</v>
      </c>
      <c r="H61" s="106" t="n">
        <f aca="false">IFERROR(INDEX(Schedule!$E$2:$E$147,MATCH($G61,Schedule!$A$2:$A$147,0)),"")</f>
        <v>45078</v>
      </c>
      <c r="I61" s="106" t="n">
        <f aca="false">IFERROR(INDEX(Schedule!$F$2:$F$147,MATCH($G61,Schedule!$A$2:$A$147,0)),"")</f>
        <v>45224</v>
      </c>
      <c r="J61" s="92"/>
      <c r="K61" s="92"/>
      <c r="L61" s="92"/>
      <c r="M61" s="92"/>
      <c r="N61" s="92"/>
      <c r="O61" s="90" t="n">
        <v>1</v>
      </c>
      <c r="P61" s="107" t="n">
        <f aca="false">IFERROR((IF(OR(ISNUMBER(J61),UPPER(TRIM(J61))="N/A"),1,0)*IF($W61="N",0,INDEX('Rules of Credit'!$B$5:$F$8,MATCH($F61,'Rules of Credit'!$A$5:$A$8,0),1))+IF(OR(ISNUMBER(K61),UPPER(TRIM(K61))="N/A"),1,0)*INDEX('Rules of Credit'!$B$5:$F$8,MATCH($F61,'Rules of Credit'!$A$5:$A$8,0),2)+IF(OR(ISNUMBER(L61),UPPER(TRIM(L61))="N/A"),1,0)*INDEX('Rules of Credit'!$B$5:$F$8,MATCH($F61,'Rules of Credit'!$A$5:$A$8,0),3)+IF(OR(ISNUMBER(M61),UPPER(TRIM(M61))="N/A"),1,0)*IF($X61="N",0,INDEX('Rules of Credit'!$B$5:$F$8,MATCH($F61,'Rules of Credit'!$A$5:$A$8,0),4))+IF(OR(ISNUMBER(N61),UPPER(TRIM(N61))="N/A"),1,0)*INDEX('Rules of Credit'!$B$5:$F$8,MATCH($F61,'Rules of Credit'!$A$5:$A$8,0),5))/(IF($W61="N",0,INDEX('Rules of Credit'!$B$5:$F$8,MATCH($F61,'Rules of Credit'!$A$5:$A$8,0),1))+INDEX('Rules of Credit'!$B$5:$F$8,MATCH($F61,'Rules of Credit'!$A$5:$A$8,0),2)+INDEX('Rules of Credit'!$B$5:$F$8,MATCH($F61,'Rules of Credit'!$A$5:$A$8,0),3)+IF($X61="N",0,INDEX('Rules of Credit'!$B$5:$F$8,MATCH($F61,'Rules of Credit'!$A$5:$A$8,0),4))+INDEX('Rules of Credit'!$B$5:$F$8,MATCH($F61,'Rules of Credit'!$A$5:$A$8,0),5)),0)</f>
        <v>0</v>
      </c>
      <c r="Q61" s="107" t="n">
        <f aca="false">IF(OR($H61="",$I61=""),0,IF('Tracker Summary'!$C$3&lt;$H61,0,IF('Tracker Summary'!$C$3&gt;=$I61,1,('Tracker Summary'!$C$3-$H61)/($I61-$H61+1))))</f>
        <v>0</v>
      </c>
      <c r="R61" s="107" t="n">
        <f aca="false">P61-Q61</f>
        <v>0</v>
      </c>
      <c r="S61" s="104" t="str">
        <f aca="false">IF($I61="","Not scheduled",IF(P61&gt;=1,"Complete",IF('Tracker Summary'!$C$3&gt;$I61,"Overdue",IF(P61-Q61&lt;-0.1,"Behind",IF(AND(P61=0,'Tracker Summary'!$C$3&lt;$H61),"Not started","On track")))))</f>
        <v>Not started</v>
      </c>
      <c r="T61" s="90"/>
      <c r="U61" s="104" t="str">
        <f aca="false">IFERROR(INDEX(Schedule!$D$2:$D$147,MATCH($G61,Schedule!$A$2:$A$147,0)),"")</f>
        <v>Concrete (Cast-in-Place &amp; Precast) — Influent pump station and flow splitter</v>
      </c>
      <c r="V61" s="106" t="n">
        <f aca="false">IFERROR(INDEX(Schedule!$F$2:$F$147,MATCH("03-P01",Schedule!$A$2:$A$147,0)),"")</f>
        <v>45016</v>
      </c>
      <c r="W61" s="104" t="s">
        <v>99</v>
      </c>
      <c r="X61" s="104" t="s">
        <v>99</v>
      </c>
      <c r="Y61" s="104" t="n">
        <v>4</v>
      </c>
      <c r="Z61" s="104" t="n">
        <v>2</v>
      </c>
      <c r="AA61" s="104"/>
      <c r="AB61" s="104"/>
      <c r="AC61" s="104" t="s">
        <v>120</v>
      </c>
      <c r="AD61" s="104" t="s">
        <v>236</v>
      </c>
      <c r="AE61" s="104" t="s">
        <v>341</v>
      </c>
      <c r="AF61" s="104" t="s">
        <v>238</v>
      </c>
      <c r="AG61" s="104" t="s">
        <v>342</v>
      </c>
      <c r="AH61" s="104" t="s">
        <v>240</v>
      </c>
    </row>
    <row r="62" customFormat="false" ht="15" hidden="false" customHeight="false" outlineLevel="0" collapsed="false">
      <c r="A62" s="104" t="s">
        <v>60</v>
      </c>
      <c r="B62" s="105" t="s">
        <v>21</v>
      </c>
      <c r="C62" s="104" t="s">
        <v>343</v>
      </c>
      <c r="D62" s="104" t="s">
        <v>344</v>
      </c>
      <c r="E62" s="104" t="s">
        <v>340</v>
      </c>
      <c r="F62" s="90" t="s">
        <v>234</v>
      </c>
      <c r="G62" s="104" t="s">
        <v>316</v>
      </c>
      <c r="H62" s="106" t="n">
        <f aca="false">IFERROR(INDEX(Schedule!$E$2:$E$147,MATCH($G62,Schedule!$A$2:$A$147,0)),"")</f>
        <v>45078</v>
      </c>
      <c r="I62" s="106" t="n">
        <f aca="false">IFERROR(INDEX(Schedule!$F$2:$F$147,MATCH($G62,Schedule!$A$2:$A$147,0)),"")</f>
        <v>45224</v>
      </c>
      <c r="J62" s="92"/>
      <c r="K62" s="92"/>
      <c r="L62" s="92"/>
      <c r="M62" s="92"/>
      <c r="N62" s="92"/>
      <c r="O62" s="90" t="n">
        <v>1</v>
      </c>
      <c r="P62" s="107" t="n">
        <f aca="false">IFERROR((IF(OR(ISNUMBER(J62),UPPER(TRIM(J62))="N/A"),1,0)*IF($W62="N",0,INDEX('Rules of Credit'!$B$5:$F$8,MATCH($F62,'Rules of Credit'!$A$5:$A$8,0),1))+IF(OR(ISNUMBER(K62),UPPER(TRIM(K62))="N/A"),1,0)*INDEX('Rules of Credit'!$B$5:$F$8,MATCH($F62,'Rules of Credit'!$A$5:$A$8,0),2)+IF(OR(ISNUMBER(L62),UPPER(TRIM(L62))="N/A"),1,0)*INDEX('Rules of Credit'!$B$5:$F$8,MATCH($F62,'Rules of Credit'!$A$5:$A$8,0),3)+IF(OR(ISNUMBER(M62),UPPER(TRIM(M62))="N/A"),1,0)*IF($X62="N",0,INDEX('Rules of Credit'!$B$5:$F$8,MATCH($F62,'Rules of Credit'!$A$5:$A$8,0),4))+IF(OR(ISNUMBER(N62),UPPER(TRIM(N62))="N/A"),1,0)*INDEX('Rules of Credit'!$B$5:$F$8,MATCH($F62,'Rules of Credit'!$A$5:$A$8,0),5))/(IF($W62="N",0,INDEX('Rules of Credit'!$B$5:$F$8,MATCH($F62,'Rules of Credit'!$A$5:$A$8,0),1))+INDEX('Rules of Credit'!$B$5:$F$8,MATCH($F62,'Rules of Credit'!$A$5:$A$8,0),2)+INDEX('Rules of Credit'!$B$5:$F$8,MATCH($F62,'Rules of Credit'!$A$5:$A$8,0),3)+IF($X62="N",0,INDEX('Rules of Credit'!$B$5:$F$8,MATCH($F62,'Rules of Credit'!$A$5:$A$8,0),4))+INDEX('Rules of Credit'!$B$5:$F$8,MATCH($F62,'Rules of Credit'!$A$5:$A$8,0),5)),0)</f>
        <v>0</v>
      </c>
      <c r="Q62" s="107" t="n">
        <f aca="false">IF(OR($H62="",$I62=""),0,IF('Tracker Summary'!$C$3&lt;$H62,0,IF('Tracker Summary'!$C$3&gt;=$I62,1,('Tracker Summary'!$C$3-$H62)/($I62-$H62+1))))</f>
        <v>0</v>
      </c>
      <c r="R62" s="107" t="n">
        <f aca="false">P62-Q62</f>
        <v>0</v>
      </c>
      <c r="S62" s="104" t="str">
        <f aca="false">IF($I62="","Not scheduled",IF(P62&gt;=1,"Complete",IF('Tracker Summary'!$C$3&gt;$I62,"Overdue",IF(P62-Q62&lt;-0.1,"Behind",IF(AND(P62=0,'Tracker Summary'!$C$3&lt;$H62),"Not started","On track")))))</f>
        <v>Not started</v>
      </c>
      <c r="T62" s="90"/>
      <c r="U62" s="104" t="str">
        <f aca="false">IFERROR(INDEX(Schedule!$D$2:$D$147,MATCH($G62,Schedule!$A$2:$A$147,0)),"")</f>
        <v>Concrete (Cast-in-Place &amp; Precast) — Influent pump station and flow splitter</v>
      </c>
      <c r="V62" s="106" t="n">
        <f aca="false">IFERROR(INDEX(Schedule!$F$2:$F$147,MATCH("03-P01",Schedule!$A$2:$A$147,0)),"")</f>
        <v>45016</v>
      </c>
      <c r="W62" s="104" t="s">
        <v>99</v>
      </c>
      <c r="X62" s="104" t="s">
        <v>91</v>
      </c>
      <c r="Y62" s="104" t="n">
        <v>2</v>
      </c>
      <c r="Z62" s="104" t="n">
        <v>0</v>
      </c>
      <c r="AA62" s="104"/>
      <c r="AB62" s="104" t="s">
        <v>345</v>
      </c>
      <c r="AC62" s="104" t="s">
        <v>120</v>
      </c>
      <c r="AD62" s="104" t="s">
        <v>236</v>
      </c>
      <c r="AE62" s="104" t="s">
        <v>346</v>
      </c>
      <c r="AF62" s="104" t="s">
        <v>297</v>
      </c>
      <c r="AG62" s="104" t="s">
        <v>347</v>
      </c>
      <c r="AH62" s="104" t="s">
        <v>240</v>
      </c>
    </row>
    <row r="63" customFormat="false" ht="15" hidden="false" customHeight="false" outlineLevel="0" collapsed="false">
      <c r="A63" s="104" t="s">
        <v>60</v>
      </c>
      <c r="B63" s="105" t="s">
        <v>21</v>
      </c>
      <c r="C63" s="104" t="s">
        <v>348</v>
      </c>
      <c r="D63" s="104" t="s">
        <v>349</v>
      </c>
      <c r="E63" s="104" t="s">
        <v>340</v>
      </c>
      <c r="F63" s="90" t="s">
        <v>234</v>
      </c>
      <c r="G63" s="104" t="s">
        <v>316</v>
      </c>
      <c r="H63" s="106" t="n">
        <f aca="false">IFERROR(INDEX(Schedule!$E$2:$E$147,MATCH($G63,Schedule!$A$2:$A$147,0)),"")</f>
        <v>45078</v>
      </c>
      <c r="I63" s="106" t="n">
        <f aca="false">IFERROR(INDEX(Schedule!$F$2:$F$147,MATCH($G63,Schedule!$A$2:$A$147,0)),"")</f>
        <v>45224</v>
      </c>
      <c r="J63" s="92"/>
      <c r="K63" s="92"/>
      <c r="L63" s="92"/>
      <c r="M63" s="92"/>
      <c r="N63" s="92"/>
      <c r="O63" s="90" t="n">
        <v>1</v>
      </c>
      <c r="P63" s="107" t="n">
        <f aca="false">IFERROR((IF(OR(ISNUMBER(J63),UPPER(TRIM(J63))="N/A"),1,0)*IF($W63="N",0,INDEX('Rules of Credit'!$B$5:$F$8,MATCH($F63,'Rules of Credit'!$A$5:$A$8,0),1))+IF(OR(ISNUMBER(K63),UPPER(TRIM(K63))="N/A"),1,0)*INDEX('Rules of Credit'!$B$5:$F$8,MATCH($F63,'Rules of Credit'!$A$5:$A$8,0),2)+IF(OR(ISNUMBER(L63),UPPER(TRIM(L63))="N/A"),1,0)*INDEX('Rules of Credit'!$B$5:$F$8,MATCH($F63,'Rules of Credit'!$A$5:$A$8,0),3)+IF(OR(ISNUMBER(M63),UPPER(TRIM(M63))="N/A"),1,0)*IF($X63="N",0,INDEX('Rules of Credit'!$B$5:$F$8,MATCH($F63,'Rules of Credit'!$A$5:$A$8,0),4))+IF(OR(ISNUMBER(N63),UPPER(TRIM(N63))="N/A"),1,0)*INDEX('Rules of Credit'!$B$5:$F$8,MATCH($F63,'Rules of Credit'!$A$5:$A$8,0),5))/(IF($W63="N",0,INDEX('Rules of Credit'!$B$5:$F$8,MATCH($F63,'Rules of Credit'!$A$5:$A$8,0),1))+INDEX('Rules of Credit'!$B$5:$F$8,MATCH($F63,'Rules of Credit'!$A$5:$A$8,0),2)+INDEX('Rules of Credit'!$B$5:$F$8,MATCH($F63,'Rules of Credit'!$A$5:$A$8,0),3)+IF($X63="N",0,INDEX('Rules of Credit'!$B$5:$F$8,MATCH($F63,'Rules of Credit'!$A$5:$A$8,0),4))+INDEX('Rules of Credit'!$B$5:$F$8,MATCH($F63,'Rules of Credit'!$A$5:$A$8,0),5)),0)</f>
        <v>0</v>
      </c>
      <c r="Q63" s="107" t="n">
        <f aca="false">IF(OR($H63="",$I63=""),0,IF('Tracker Summary'!$C$3&lt;$H63,0,IF('Tracker Summary'!$C$3&gt;=$I63,1,('Tracker Summary'!$C$3-$H63)/($I63-$H63+1))))</f>
        <v>0</v>
      </c>
      <c r="R63" s="107" t="n">
        <f aca="false">P63-Q63</f>
        <v>0</v>
      </c>
      <c r="S63" s="104" t="str">
        <f aca="false">IF($I63="","Not scheduled",IF(P63&gt;=1,"Complete",IF('Tracker Summary'!$C$3&gt;$I63,"Overdue",IF(P63-Q63&lt;-0.1,"Behind",IF(AND(P63=0,'Tracker Summary'!$C$3&lt;$H63),"Not started","On track")))))</f>
        <v>Not started</v>
      </c>
      <c r="T63" s="90"/>
      <c r="U63" s="104" t="str">
        <f aca="false">IFERROR(INDEX(Schedule!$D$2:$D$147,MATCH($G63,Schedule!$A$2:$A$147,0)),"")</f>
        <v>Concrete (Cast-in-Place &amp; Precast) — Influent pump station and flow splitter</v>
      </c>
      <c r="V63" s="106" t="n">
        <f aca="false">IFERROR(INDEX(Schedule!$F$2:$F$147,MATCH("03-P01",Schedule!$A$2:$A$147,0)),"")</f>
        <v>45016</v>
      </c>
      <c r="W63" s="104" t="s">
        <v>115</v>
      </c>
      <c r="X63" s="104" t="s">
        <v>115</v>
      </c>
      <c r="Y63" s="104" t="n">
        <v>0</v>
      </c>
      <c r="Z63" s="104" t="n">
        <v>0</v>
      </c>
      <c r="AA63" s="104" t="s">
        <v>350</v>
      </c>
      <c r="AB63" s="104" t="s">
        <v>351</v>
      </c>
      <c r="AC63" s="104" t="s">
        <v>92</v>
      </c>
      <c r="AD63" s="104" t="s">
        <v>236</v>
      </c>
      <c r="AE63" s="104" t="s">
        <v>346</v>
      </c>
      <c r="AF63" s="104"/>
      <c r="AG63" s="104" t="s">
        <v>346</v>
      </c>
      <c r="AH63" s="104" t="s">
        <v>240</v>
      </c>
    </row>
    <row r="64" customFormat="false" ht="15" hidden="false" customHeight="false" outlineLevel="0" collapsed="false">
      <c r="A64" s="104" t="s">
        <v>60</v>
      </c>
      <c r="B64" s="105" t="s">
        <v>21</v>
      </c>
      <c r="C64" s="104" t="s">
        <v>352</v>
      </c>
      <c r="D64" s="104" t="s">
        <v>353</v>
      </c>
      <c r="E64" s="104" t="s">
        <v>354</v>
      </c>
      <c r="F64" s="90" t="s">
        <v>234</v>
      </c>
      <c r="G64" s="104" t="s">
        <v>316</v>
      </c>
      <c r="H64" s="106" t="n">
        <f aca="false">IFERROR(INDEX(Schedule!$E$2:$E$147,MATCH($G64,Schedule!$A$2:$A$147,0)),"")</f>
        <v>45078</v>
      </c>
      <c r="I64" s="106" t="n">
        <f aca="false">IFERROR(INDEX(Schedule!$F$2:$F$147,MATCH($G64,Schedule!$A$2:$A$147,0)),"")</f>
        <v>45224</v>
      </c>
      <c r="J64" s="92"/>
      <c r="K64" s="92"/>
      <c r="L64" s="92"/>
      <c r="M64" s="92"/>
      <c r="N64" s="92"/>
      <c r="O64" s="90" t="n">
        <v>1</v>
      </c>
      <c r="P64" s="107" t="n">
        <f aca="false">IFERROR((IF(OR(ISNUMBER(J64),UPPER(TRIM(J64))="N/A"),1,0)*IF($W64="N",0,INDEX('Rules of Credit'!$B$5:$F$8,MATCH($F64,'Rules of Credit'!$A$5:$A$8,0),1))+IF(OR(ISNUMBER(K64),UPPER(TRIM(K64))="N/A"),1,0)*INDEX('Rules of Credit'!$B$5:$F$8,MATCH($F64,'Rules of Credit'!$A$5:$A$8,0),2)+IF(OR(ISNUMBER(L64),UPPER(TRIM(L64))="N/A"),1,0)*INDEX('Rules of Credit'!$B$5:$F$8,MATCH($F64,'Rules of Credit'!$A$5:$A$8,0),3)+IF(OR(ISNUMBER(M64),UPPER(TRIM(M64))="N/A"),1,0)*IF($X64="N",0,INDEX('Rules of Credit'!$B$5:$F$8,MATCH($F64,'Rules of Credit'!$A$5:$A$8,0),4))+IF(OR(ISNUMBER(N64),UPPER(TRIM(N64))="N/A"),1,0)*INDEX('Rules of Credit'!$B$5:$F$8,MATCH($F64,'Rules of Credit'!$A$5:$A$8,0),5))/(IF($W64="N",0,INDEX('Rules of Credit'!$B$5:$F$8,MATCH($F64,'Rules of Credit'!$A$5:$A$8,0),1))+INDEX('Rules of Credit'!$B$5:$F$8,MATCH($F64,'Rules of Credit'!$A$5:$A$8,0),2)+INDEX('Rules of Credit'!$B$5:$F$8,MATCH($F64,'Rules of Credit'!$A$5:$A$8,0),3)+IF($X64="N",0,INDEX('Rules of Credit'!$B$5:$F$8,MATCH($F64,'Rules of Credit'!$A$5:$A$8,0),4))+INDEX('Rules of Credit'!$B$5:$F$8,MATCH($F64,'Rules of Credit'!$A$5:$A$8,0),5)),0)</f>
        <v>0</v>
      </c>
      <c r="Q64" s="107" t="n">
        <f aca="false">IF(OR($H64="",$I64=""),0,IF('Tracker Summary'!$C$3&lt;$H64,0,IF('Tracker Summary'!$C$3&gt;=$I64,1,('Tracker Summary'!$C$3-$H64)/($I64-$H64+1))))</f>
        <v>0</v>
      </c>
      <c r="R64" s="107" t="n">
        <f aca="false">P64-Q64</f>
        <v>0</v>
      </c>
      <c r="S64" s="104" t="str">
        <f aca="false">IF($I64="","Not scheduled",IF(P64&gt;=1,"Complete",IF('Tracker Summary'!$C$3&gt;$I64,"Overdue",IF(P64-Q64&lt;-0.1,"Behind",IF(AND(P64=0,'Tracker Summary'!$C$3&lt;$H64),"Not started","On track")))))</f>
        <v>Not started</v>
      </c>
      <c r="T64" s="90"/>
      <c r="U64" s="104" t="str">
        <f aca="false">IFERROR(INDEX(Schedule!$D$2:$D$147,MATCH($G64,Schedule!$A$2:$A$147,0)),"")</f>
        <v>Concrete (Cast-in-Place &amp; Precast) — Influent pump station and flow splitter</v>
      </c>
      <c r="V64" s="106" t="n">
        <f aca="false">IFERROR(INDEX(Schedule!$F$2:$F$147,MATCH("03-P01",Schedule!$A$2:$A$147,0)),"")</f>
        <v>45016</v>
      </c>
      <c r="W64" s="104" t="s">
        <v>99</v>
      </c>
      <c r="X64" s="104" t="s">
        <v>99</v>
      </c>
      <c r="Y64" s="104" t="n">
        <v>3</v>
      </c>
      <c r="Z64" s="104" t="n">
        <v>1</v>
      </c>
      <c r="AA64" s="104" t="s">
        <v>355</v>
      </c>
      <c r="AB64" s="104" t="s">
        <v>318</v>
      </c>
      <c r="AC64" s="104" t="s">
        <v>92</v>
      </c>
      <c r="AD64" s="104" t="s">
        <v>236</v>
      </c>
      <c r="AE64" s="104" t="s">
        <v>346</v>
      </c>
      <c r="AF64" s="104" t="s">
        <v>238</v>
      </c>
      <c r="AG64" s="104" t="s">
        <v>356</v>
      </c>
      <c r="AH64" s="104" t="s">
        <v>240</v>
      </c>
    </row>
    <row r="65" customFormat="false" ht="15" hidden="false" customHeight="false" outlineLevel="0" collapsed="false">
      <c r="A65" s="104" t="s">
        <v>60</v>
      </c>
      <c r="B65" s="105" t="s">
        <v>21</v>
      </c>
      <c r="C65" s="104" t="s">
        <v>357</v>
      </c>
      <c r="D65" s="104" t="s">
        <v>358</v>
      </c>
      <c r="E65" s="104" t="s">
        <v>334</v>
      </c>
      <c r="F65" s="90" t="s">
        <v>234</v>
      </c>
      <c r="G65" s="104" t="s">
        <v>316</v>
      </c>
      <c r="H65" s="106" t="n">
        <f aca="false">IFERROR(INDEX(Schedule!$E$2:$E$147,MATCH($G65,Schedule!$A$2:$A$147,0)),"")</f>
        <v>45078</v>
      </c>
      <c r="I65" s="106" t="n">
        <f aca="false">IFERROR(INDEX(Schedule!$F$2:$F$147,MATCH($G65,Schedule!$A$2:$A$147,0)),"")</f>
        <v>45224</v>
      </c>
      <c r="J65" s="92"/>
      <c r="K65" s="92"/>
      <c r="L65" s="92"/>
      <c r="M65" s="92"/>
      <c r="N65" s="92"/>
      <c r="O65" s="90" t="n">
        <v>1</v>
      </c>
      <c r="P65" s="107" t="n">
        <f aca="false">IFERROR((IF(OR(ISNUMBER(J65),UPPER(TRIM(J65))="N/A"),1,0)*IF($W65="N",0,INDEX('Rules of Credit'!$B$5:$F$8,MATCH($F65,'Rules of Credit'!$A$5:$A$8,0),1))+IF(OR(ISNUMBER(K65),UPPER(TRIM(K65))="N/A"),1,0)*INDEX('Rules of Credit'!$B$5:$F$8,MATCH($F65,'Rules of Credit'!$A$5:$A$8,0),2)+IF(OR(ISNUMBER(L65),UPPER(TRIM(L65))="N/A"),1,0)*INDEX('Rules of Credit'!$B$5:$F$8,MATCH($F65,'Rules of Credit'!$A$5:$A$8,0),3)+IF(OR(ISNUMBER(M65),UPPER(TRIM(M65))="N/A"),1,0)*IF($X65="N",0,INDEX('Rules of Credit'!$B$5:$F$8,MATCH($F65,'Rules of Credit'!$A$5:$A$8,0),4))+IF(OR(ISNUMBER(N65),UPPER(TRIM(N65))="N/A"),1,0)*INDEX('Rules of Credit'!$B$5:$F$8,MATCH($F65,'Rules of Credit'!$A$5:$A$8,0),5))/(IF($W65="N",0,INDEX('Rules of Credit'!$B$5:$F$8,MATCH($F65,'Rules of Credit'!$A$5:$A$8,0),1))+INDEX('Rules of Credit'!$B$5:$F$8,MATCH($F65,'Rules of Credit'!$A$5:$A$8,0),2)+INDEX('Rules of Credit'!$B$5:$F$8,MATCH($F65,'Rules of Credit'!$A$5:$A$8,0),3)+IF($X65="N",0,INDEX('Rules of Credit'!$B$5:$F$8,MATCH($F65,'Rules of Credit'!$A$5:$A$8,0),4))+INDEX('Rules of Credit'!$B$5:$F$8,MATCH($F65,'Rules of Credit'!$A$5:$A$8,0),5)),0)</f>
        <v>0</v>
      </c>
      <c r="Q65" s="107" t="n">
        <f aca="false">IF(OR($H65="",$I65=""),0,IF('Tracker Summary'!$C$3&lt;$H65,0,IF('Tracker Summary'!$C$3&gt;=$I65,1,('Tracker Summary'!$C$3-$H65)/($I65-$H65+1))))</f>
        <v>0</v>
      </c>
      <c r="R65" s="107" t="n">
        <f aca="false">P65-Q65</f>
        <v>0</v>
      </c>
      <c r="S65" s="104" t="str">
        <f aca="false">IF($I65="","Not scheduled",IF(P65&gt;=1,"Complete",IF('Tracker Summary'!$C$3&gt;$I65,"Overdue",IF(P65-Q65&lt;-0.1,"Behind",IF(AND(P65=0,'Tracker Summary'!$C$3&lt;$H65),"Not started","On track")))))</f>
        <v>Not started</v>
      </c>
      <c r="T65" s="90"/>
      <c r="U65" s="104" t="str">
        <f aca="false">IFERROR(INDEX(Schedule!$D$2:$D$147,MATCH($G65,Schedule!$A$2:$A$147,0)),"")</f>
        <v>Concrete (Cast-in-Place &amp; Precast) — Influent pump station and flow splitter</v>
      </c>
      <c r="V65" s="106" t="n">
        <f aca="false">IFERROR(INDEX(Schedule!$F$2:$F$147,MATCH("03-P01",Schedule!$A$2:$A$147,0)),"")</f>
        <v>45016</v>
      </c>
      <c r="W65" s="104" t="s">
        <v>99</v>
      </c>
      <c r="X65" s="104" t="s">
        <v>91</v>
      </c>
      <c r="Y65" s="104" t="n">
        <v>1</v>
      </c>
      <c r="Z65" s="104" t="n">
        <v>0</v>
      </c>
      <c r="AA65" s="104" t="s">
        <v>359</v>
      </c>
      <c r="AB65" s="104" t="s">
        <v>360</v>
      </c>
      <c r="AC65" s="104" t="s">
        <v>120</v>
      </c>
      <c r="AD65" s="104" t="s">
        <v>236</v>
      </c>
      <c r="AE65" s="104"/>
      <c r="AF65" s="104" t="s">
        <v>297</v>
      </c>
      <c r="AG65" s="104" t="s">
        <v>297</v>
      </c>
      <c r="AH65" s="104" t="s">
        <v>240</v>
      </c>
    </row>
    <row r="66" customFormat="false" ht="15" hidden="false" customHeight="false" outlineLevel="0" collapsed="false">
      <c r="A66" s="104" t="s">
        <v>60</v>
      </c>
      <c r="B66" s="105" t="s">
        <v>21</v>
      </c>
      <c r="C66" s="104" t="s">
        <v>361</v>
      </c>
      <c r="D66" s="104" t="s">
        <v>362</v>
      </c>
      <c r="E66" s="104" t="s">
        <v>334</v>
      </c>
      <c r="F66" s="90" t="s">
        <v>234</v>
      </c>
      <c r="G66" s="104" t="s">
        <v>316</v>
      </c>
      <c r="H66" s="106" t="n">
        <f aca="false">IFERROR(INDEX(Schedule!$E$2:$E$147,MATCH($G66,Schedule!$A$2:$A$147,0)),"")</f>
        <v>45078</v>
      </c>
      <c r="I66" s="106" t="n">
        <f aca="false">IFERROR(INDEX(Schedule!$F$2:$F$147,MATCH($G66,Schedule!$A$2:$A$147,0)),"")</f>
        <v>45224</v>
      </c>
      <c r="J66" s="92"/>
      <c r="K66" s="92"/>
      <c r="L66" s="92"/>
      <c r="M66" s="92"/>
      <c r="N66" s="92"/>
      <c r="O66" s="90" t="n">
        <v>1</v>
      </c>
      <c r="P66" s="107" t="n">
        <f aca="false">IFERROR((IF(OR(ISNUMBER(J66),UPPER(TRIM(J66))="N/A"),1,0)*IF($W66="N",0,INDEX('Rules of Credit'!$B$5:$F$8,MATCH($F66,'Rules of Credit'!$A$5:$A$8,0),1))+IF(OR(ISNUMBER(K66),UPPER(TRIM(K66))="N/A"),1,0)*INDEX('Rules of Credit'!$B$5:$F$8,MATCH($F66,'Rules of Credit'!$A$5:$A$8,0),2)+IF(OR(ISNUMBER(L66),UPPER(TRIM(L66))="N/A"),1,0)*INDEX('Rules of Credit'!$B$5:$F$8,MATCH($F66,'Rules of Credit'!$A$5:$A$8,0),3)+IF(OR(ISNUMBER(M66),UPPER(TRIM(M66))="N/A"),1,0)*IF($X66="N",0,INDEX('Rules of Credit'!$B$5:$F$8,MATCH($F66,'Rules of Credit'!$A$5:$A$8,0),4))+IF(OR(ISNUMBER(N66),UPPER(TRIM(N66))="N/A"),1,0)*INDEX('Rules of Credit'!$B$5:$F$8,MATCH($F66,'Rules of Credit'!$A$5:$A$8,0),5))/(IF($W66="N",0,INDEX('Rules of Credit'!$B$5:$F$8,MATCH($F66,'Rules of Credit'!$A$5:$A$8,0),1))+INDEX('Rules of Credit'!$B$5:$F$8,MATCH($F66,'Rules of Credit'!$A$5:$A$8,0),2)+INDEX('Rules of Credit'!$B$5:$F$8,MATCH($F66,'Rules of Credit'!$A$5:$A$8,0),3)+IF($X66="N",0,INDEX('Rules of Credit'!$B$5:$F$8,MATCH($F66,'Rules of Credit'!$A$5:$A$8,0),4))+INDEX('Rules of Credit'!$B$5:$F$8,MATCH($F66,'Rules of Credit'!$A$5:$A$8,0),5)),0)</f>
        <v>0</v>
      </c>
      <c r="Q66" s="107" t="n">
        <f aca="false">IF(OR($H66="",$I66=""),0,IF('Tracker Summary'!$C$3&lt;$H66,0,IF('Tracker Summary'!$C$3&gt;=$I66,1,('Tracker Summary'!$C$3-$H66)/($I66-$H66+1))))</f>
        <v>0</v>
      </c>
      <c r="R66" s="107" t="n">
        <f aca="false">P66-Q66</f>
        <v>0</v>
      </c>
      <c r="S66" s="104" t="str">
        <f aca="false">IF($I66="","Not scheduled",IF(P66&gt;=1,"Complete",IF('Tracker Summary'!$C$3&gt;$I66,"Overdue",IF(P66-Q66&lt;-0.1,"Behind",IF(AND(P66=0,'Tracker Summary'!$C$3&lt;$H66),"Not started","On track")))))</f>
        <v>Not started</v>
      </c>
      <c r="T66" s="90"/>
      <c r="U66" s="104" t="str">
        <f aca="false">IFERROR(INDEX(Schedule!$D$2:$D$147,MATCH($G66,Schedule!$A$2:$A$147,0)),"")</f>
        <v>Concrete (Cast-in-Place &amp; Precast) — Influent pump station and flow splitter</v>
      </c>
      <c r="V66" s="106" t="n">
        <f aca="false">IFERROR(INDEX(Schedule!$F$2:$F$147,MATCH("03-P01",Schedule!$A$2:$A$147,0)),"")</f>
        <v>45016</v>
      </c>
      <c r="W66" s="104" t="s">
        <v>99</v>
      </c>
      <c r="X66" s="104" t="s">
        <v>91</v>
      </c>
      <c r="Y66" s="104" t="n">
        <v>1</v>
      </c>
      <c r="Z66" s="104" t="n">
        <v>0</v>
      </c>
      <c r="AA66" s="104" t="s">
        <v>350</v>
      </c>
      <c r="AB66" s="104" t="s">
        <v>363</v>
      </c>
      <c r="AC66" s="104" t="s">
        <v>120</v>
      </c>
      <c r="AD66" s="104" t="s">
        <v>236</v>
      </c>
      <c r="AE66" s="104"/>
      <c r="AF66" s="104" t="s">
        <v>297</v>
      </c>
      <c r="AG66" s="104" t="s">
        <v>297</v>
      </c>
      <c r="AH66" s="104" t="s">
        <v>240</v>
      </c>
    </row>
    <row r="67" customFormat="false" ht="15" hidden="false" customHeight="false" outlineLevel="0" collapsed="false">
      <c r="A67" s="104" t="s">
        <v>60</v>
      </c>
      <c r="B67" s="105" t="s">
        <v>21</v>
      </c>
      <c r="C67" s="104" t="s">
        <v>364</v>
      </c>
      <c r="D67" s="104" t="s">
        <v>365</v>
      </c>
      <c r="E67" s="104" t="s">
        <v>334</v>
      </c>
      <c r="F67" s="90" t="s">
        <v>234</v>
      </c>
      <c r="G67" s="104" t="s">
        <v>316</v>
      </c>
      <c r="H67" s="106" t="n">
        <f aca="false">IFERROR(INDEX(Schedule!$E$2:$E$147,MATCH($G67,Schedule!$A$2:$A$147,0)),"")</f>
        <v>45078</v>
      </c>
      <c r="I67" s="106" t="n">
        <f aca="false">IFERROR(INDEX(Schedule!$F$2:$F$147,MATCH($G67,Schedule!$A$2:$A$147,0)),"")</f>
        <v>45224</v>
      </c>
      <c r="J67" s="92"/>
      <c r="K67" s="92"/>
      <c r="L67" s="92"/>
      <c r="M67" s="92"/>
      <c r="N67" s="92"/>
      <c r="O67" s="90" t="n">
        <v>1</v>
      </c>
      <c r="P67" s="107" t="n">
        <f aca="false">IFERROR((IF(OR(ISNUMBER(J67),UPPER(TRIM(J67))="N/A"),1,0)*IF($W67="N",0,INDEX('Rules of Credit'!$B$5:$F$8,MATCH($F67,'Rules of Credit'!$A$5:$A$8,0),1))+IF(OR(ISNUMBER(K67),UPPER(TRIM(K67))="N/A"),1,0)*INDEX('Rules of Credit'!$B$5:$F$8,MATCH($F67,'Rules of Credit'!$A$5:$A$8,0),2)+IF(OR(ISNUMBER(L67),UPPER(TRIM(L67))="N/A"),1,0)*INDEX('Rules of Credit'!$B$5:$F$8,MATCH($F67,'Rules of Credit'!$A$5:$A$8,0),3)+IF(OR(ISNUMBER(M67),UPPER(TRIM(M67))="N/A"),1,0)*IF($X67="N",0,INDEX('Rules of Credit'!$B$5:$F$8,MATCH($F67,'Rules of Credit'!$A$5:$A$8,0),4))+IF(OR(ISNUMBER(N67),UPPER(TRIM(N67))="N/A"),1,0)*INDEX('Rules of Credit'!$B$5:$F$8,MATCH($F67,'Rules of Credit'!$A$5:$A$8,0),5))/(IF($W67="N",0,INDEX('Rules of Credit'!$B$5:$F$8,MATCH($F67,'Rules of Credit'!$A$5:$A$8,0),1))+INDEX('Rules of Credit'!$B$5:$F$8,MATCH($F67,'Rules of Credit'!$A$5:$A$8,0),2)+INDEX('Rules of Credit'!$B$5:$F$8,MATCH($F67,'Rules of Credit'!$A$5:$A$8,0),3)+IF($X67="N",0,INDEX('Rules of Credit'!$B$5:$F$8,MATCH($F67,'Rules of Credit'!$A$5:$A$8,0),4))+INDEX('Rules of Credit'!$B$5:$F$8,MATCH($F67,'Rules of Credit'!$A$5:$A$8,0),5)),0)</f>
        <v>0</v>
      </c>
      <c r="Q67" s="107" t="n">
        <f aca="false">IF(OR($H67="",$I67=""),0,IF('Tracker Summary'!$C$3&lt;$H67,0,IF('Tracker Summary'!$C$3&gt;=$I67,1,('Tracker Summary'!$C$3-$H67)/($I67-$H67+1))))</f>
        <v>0</v>
      </c>
      <c r="R67" s="107" t="n">
        <f aca="false">P67-Q67</f>
        <v>0</v>
      </c>
      <c r="S67" s="104" t="str">
        <f aca="false">IF($I67="","Not scheduled",IF(P67&gt;=1,"Complete",IF('Tracker Summary'!$C$3&gt;$I67,"Overdue",IF(P67-Q67&lt;-0.1,"Behind",IF(AND(P67=0,'Tracker Summary'!$C$3&lt;$H67),"Not started","On track")))))</f>
        <v>Not started</v>
      </c>
      <c r="T67" s="90"/>
      <c r="U67" s="104" t="str">
        <f aca="false">IFERROR(INDEX(Schedule!$D$2:$D$147,MATCH($G67,Schedule!$A$2:$A$147,0)),"")</f>
        <v>Concrete (Cast-in-Place &amp; Precast) — Influent pump station and flow splitter</v>
      </c>
      <c r="V67" s="106" t="n">
        <f aca="false">IFERROR(INDEX(Schedule!$F$2:$F$147,MATCH("03-P01",Schedule!$A$2:$A$147,0)),"")</f>
        <v>45016</v>
      </c>
      <c r="W67" s="104" t="s">
        <v>99</v>
      </c>
      <c r="X67" s="104" t="s">
        <v>91</v>
      </c>
      <c r="Y67" s="104" t="n">
        <v>1</v>
      </c>
      <c r="Z67" s="104" t="n">
        <v>0</v>
      </c>
      <c r="AA67" s="104" t="s">
        <v>366</v>
      </c>
      <c r="AB67" s="104" t="s">
        <v>367</v>
      </c>
      <c r="AC67" s="104" t="s">
        <v>92</v>
      </c>
      <c r="AD67" s="104" t="s">
        <v>236</v>
      </c>
      <c r="AE67" s="104"/>
      <c r="AF67" s="104" t="s">
        <v>297</v>
      </c>
      <c r="AG67" s="104" t="s">
        <v>297</v>
      </c>
      <c r="AH67" s="104" t="s">
        <v>240</v>
      </c>
    </row>
    <row r="68" customFormat="false" ht="15" hidden="false" customHeight="false" outlineLevel="0" collapsed="false">
      <c r="A68" s="104" t="s">
        <v>60</v>
      </c>
      <c r="B68" s="105" t="s">
        <v>21</v>
      </c>
      <c r="C68" s="104" t="s">
        <v>368</v>
      </c>
      <c r="D68" s="104" t="s">
        <v>369</v>
      </c>
      <c r="E68" s="104" t="s">
        <v>334</v>
      </c>
      <c r="F68" s="90" t="s">
        <v>234</v>
      </c>
      <c r="G68" s="104" t="s">
        <v>316</v>
      </c>
      <c r="H68" s="106" t="n">
        <f aca="false">IFERROR(INDEX(Schedule!$E$2:$E$147,MATCH($G68,Schedule!$A$2:$A$147,0)),"")</f>
        <v>45078</v>
      </c>
      <c r="I68" s="106" t="n">
        <f aca="false">IFERROR(INDEX(Schedule!$F$2:$F$147,MATCH($G68,Schedule!$A$2:$A$147,0)),"")</f>
        <v>45224</v>
      </c>
      <c r="J68" s="92"/>
      <c r="K68" s="92"/>
      <c r="L68" s="92"/>
      <c r="M68" s="92"/>
      <c r="N68" s="92"/>
      <c r="O68" s="90" t="n">
        <v>1</v>
      </c>
      <c r="P68" s="107" t="n">
        <f aca="false">IFERROR((IF(OR(ISNUMBER(J68),UPPER(TRIM(J68))="N/A"),1,0)*IF($W68="N",0,INDEX('Rules of Credit'!$B$5:$F$8,MATCH($F68,'Rules of Credit'!$A$5:$A$8,0),1))+IF(OR(ISNUMBER(K68),UPPER(TRIM(K68))="N/A"),1,0)*INDEX('Rules of Credit'!$B$5:$F$8,MATCH($F68,'Rules of Credit'!$A$5:$A$8,0),2)+IF(OR(ISNUMBER(L68),UPPER(TRIM(L68))="N/A"),1,0)*INDEX('Rules of Credit'!$B$5:$F$8,MATCH($F68,'Rules of Credit'!$A$5:$A$8,0),3)+IF(OR(ISNUMBER(M68),UPPER(TRIM(M68))="N/A"),1,0)*IF($X68="N",0,INDEX('Rules of Credit'!$B$5:$F$8,MATCH($F68,'Rules of Credit'!$A$5:$A$8,0),4))+IF(OR(ISNUMBER(N68),UPPER(TRIM(N68))="N/A"),1,0)*INDEX('Rules of Credit'!$B$5:$F$8,MATCH($F68,'Rules of Credit'!$A$5:$A$8,0),5))/(IF($W68="N",0,INDEX('Rules of Credit'!$B$5:$F$8,MATCH($F68,'Rules of Credit'!$A$5:$A$8,0),1))+INDEX('Rules of Credit'!$B$5:$F$8,MATCH($F68,'Rules of Credit'!$A$5:$A$8,0),2)+INDEX('Rules of Credit'!$B$5:$F$8,MATCH($F68,'Rules of Credit'!$A$5:$A$8,0),3)+IF($X68="N",0,INDEX('Rules of Credit'!$B$5:$F$8,MATCH($F68,'Rules of Credit'!$A$5:$A$8,0),4))+INDEX('Rules of Credit'!$B$5:$F$8,MATCH($F68,'Rules of Credit'!$A$5:$A$8,0),5)),0)</f>
        <v>0</v>
      </c>
      <c r="Q68" s="107" t="n">
        <f aca="false">IF(OR($H68="",$I68=""),0,IF('Tracker Summary'!$C$3&lt;$H68,0,IF('Tracker Summary'!$C$3&gt;=$I68,1,('Tracker Summary'!$C$3-$H68)/($I68-$H68+1))))</f>
        <v>0</v>
      </c>
      <c r="R68" s="107" t="n">
        <f aca="false">P68-Q68</f>
        <v>0</v>
      </c>
      <c r="S68" s="104" t="str">
        <f aca="false">IF($I68="","Not scheduled",IF(P68&gt;=1,"Complete",IF('Tracker Summary'!$C$3&gt;$I68,"Overdue",IF(P68-Q68&lt;-0.1,"Behind",IF(AND(P68=0,'Tracker Summary'!$C$3&lt;$H68),"Not started","On track")))))</f>
        <v>Not started</v>
      </c>
      <c r="T68" s="90"/>
      <c r="U68" s="104" t="str">
        <f aca="false">IFERROR(INDEX(Schedule!$D$2:$D$147,MATCH($G68,Schedule!$A$2:$A$147,0)),"")</f>
        <v>Concrete (Cast-in-Place &amp; Precast) — Influent pump station and flow splitter</v>
      </c>
      <c r="V68" s="106" t="n">
        <f aca="false">IFERROR(INDEX(Schedule!$F$2:$F$147,MATCH("03-P01",Schedule!$A$2:$A$147,0)),"")</f>
        <v>45016</v>
      </c>
      <c r="W68" s="104" t="s">
        <v>91</v>
      </c>
      <c r="X68" s="104" t="s">
        <v>99</v>
      </c>
      <c r="Y68" s="104" t="n">
        <v>0</v>
      </c>
      <c r="Z68" s="104" t="n">
        <v>6</v>
      </c>
      <c r="AA68" s="104" t="s">
        <v>370</v>
      </c>
      <c r="AB68" s="104" t="s">
        <v>371</v>
      </c>
      <c r="AC68" s="104" t="s">
        <v>92</v>
      </c>
      <c r="AD68" s="104" t="s">
        <v>93</v>
      </c>
      <c r="AE68" s="104"/>
      <c r="AF68" s="104" t="s">
        <v>372</v>
      </c>
      <c r="AG68" s="104" t="s">
        <v>373</v>
      </c>
      <c r="AH68" s="104" t="s">
        <v>109</v>
      </c>
    </row>
    <row r="69" customFormat="false" ht="15" hidden="false" customHeight="false" outlineLevel="0" collapsed="false">
      <c r="A69" s="104" t="s">
        <v>60</v>
      </c>
      <c r="B69" s="105" t="s">
        <v>21</v>
      </c>
      <c r="C69" s="104" t="s">
        <v>374</v>
      </c>
      <c r="D69" s="104" t="s">
        <v>375</v>
      </c>
      <c r="E69" s="104" t="s">
        <v>376</v>
      </c>
      <c r="F69" s="90" t="s">
        <v>234</v>
      </c>
      <c r="G69" s="104" t="s">
        <v>377</v>
      </c>
      <c r="H69" s="106" t="n">
        <f aca="false">IFERROR(INDEX(Schedule!$E$2:$E$147,MATCH($G69,Schedule!$A$2:$A$147,0)),"")</f>
        <v>45139</v>
      </c>
      <c r="I69" s="106" t="n">
        <f aca="false">IFERROR(INDEX(Schedule!$F$2:$F$147,MATCH($G69,Schedule!$A$2:$A$147,0)),"")</f>
        <v>45481</v>
      </c>
      <c r="J69" s="92"/>
      <c r="K69" s="92"/>
      <c r="L69" s="92"/>
      <c r="M69" s="92"/>
      <c r="N69" s="92"/>
      <c r="O69" s="90" t="n">
        <v>1</v>
      </c>
      <c r="P69" s="107" t="n">
        <f aca="false">IFERROR((IF(OR(ISNUMBER(J69),UPPER(TRIM(J69))="N/A"),1,0)*IF($W69="N",0,INDEX('Rules of Credit'!$B$5:$F$8,MATCH($F69,'Rules of Credit'!$A$5:$A$8,0),1))+IF(OR(ISNUMBER(K69),UPPER(TRIM(K69))="N/A"),1,0)*INDEX('Rules of Credit'!$B$5:$F$8,MATCH($F69,'Rules of Credit'!$A$5:$A$8,0),2)+IF(OR(ISNUMBER(L69),UPPER(TRIM(L69))="N/A"),1,0)*INDEX('Rules of Credit'!$B$5:$F$8,MATCH($F69,'Rules of Credit'!$A$5:$A$8,0),3)+IF(OR(ISNUMBER(M69),UPPER(TRIM(M69))="N/A"),1,0)*IF($X69="N",0,INDEX('Rules of Credit'!$B$5:$F$8,MATCH($F69,'Rules of Credit'!$A$5:$A$8,0),4))+IF(OR(ISNUMBER(N69),UPPER(TRIM(N69))="N/A"),1,0)*INDEX('Rules of Credit'!$B$5:$F$8,MATCH($F69,'Rules of Credit'!$A$5:$A$8,0),5))/(IF($W69="N",0,INDEX('Rules of Credit'!$B$5:$F$8,MATCH($F69,'Rules of Credit'!$A$5:$A$8,0),1))+INDEX('Rules of Credit'!$B$5:$F$8,MATCH($F69,'Rules of Credit'!$A$5:$A$8,0),2)+INDEX('Rules of Credit'!$B$5:$F$8,MATCH($F69,'Rules of Credit'!$A$5:$A$8,0),3)+IF($X69="N",0,INDEX('Rules of Credit'!$B$5:$F$8,MATCH($F69,'Rules of Credit'!$A$5:$A$8,0),4))+INDEX('Rules of Credit'!$B$5:$F$8,MATCH($F69,'Rules of Credit'!$A$5:$A$8,0),5)),0)</f>
        <v>0</v>
      </c>
      <c r="Q69" s="107" t="n">
        <f aca="false">IF(OR($H69="",$I69=""),0,IF('Tracker Summary'!$C$3&lt;$H69,0,IF('Tracker Summary'!$C$3&gt;=$I69,1,('Tracker Summary'!$C$3-$H69)/($I69-$H69+1))))</f>
        <v>0</v>
      </c>
      <c r="R69" s="107" t="n">
        <f aca="false">P69-Q69</f>
        <v>0</v>
      </c>
      <c r="S69" s="104" t="str">
        <f aca="false">IF($I69="","Not scheduled",IF(P69&gt;=1,"Complete",IF('Tracker Summary'!$C$3&gt;$I69,"Overdue",IF(P69-Q69&lt;-0.1,"Behind",IF(AND(P69=0,'Tracker Summary'!$C$3&lt;$H69),"Not started","On track")))))</f>
        <v>Not started</v>
      </c>
      <c r="T69" s="90"/>
      <c r="U69" s="104" t="str">
        <f aca="false">IFERROR(INDEX(Schedule!$D$2:$D$147,MATCH($G69,Schedule!$A$2:$A$147,0)),"")</f>
        <v>Concrete (Cast-in-Place &amp; Precast) — Train 3</v>
      </c>
      <c r="V69" s="106" t="n">
        <f aca="false">IFERROR(INDEX(Schedule!$F$2:$F$147,MATCH("03-P01",Schedule!$A$2:$A$147,0)),"")</f>
        <v>45016</v>
      </c>
      <c r="W69" s="104" t="s">
        <v>99</v>
      </c>
      <c r="X69" s="104" t="s">
        <v>99</v>
      </c>
      <c r="Y69" s="104" t="n">
        <v>5</v>
      </c>
      <c r="Z69" s="104" t="n">
        <v>2</v>
      </c>
      <c r="AA69" s="104" t="s">
        <v>378</v>
      </c>
      <c r="AB69" s="104" t="s">
        <v>379</v>
      </c>
      <c r="AC69" s="104" t="s">
        <v>120</v>
      </c>
      <c r="AD69" s="104" t="s">
        <v>236</v>
      </c>
      <c r="AE69" s="104" t="s">
        <v>380</v>
      </c>
      <c r="AF69" s="104" t="s">
        <v>238</v>
      </c>
      <c r="AG69" s="104" t="s">
        <v>381</v>
      </c>
      <c r="AH69" s="104" t="s">
        <v>240</v>
      </c>
    </row>
    <row r="70" customFormat="false" ht="15" hidden="false" customHeight="false" outlineLevel="0" collapsed="false">
      <c r="A70" s="104" t="s">
        <v>60</v>
      </c>
      <c r="B70" s="105" t="s">
        <v>21</v>
      </c>
      <c r="C70" s="104" t="s">
        <v>382</v>
      </c>
      <c r="D70" s="104" t="s">
        <v>383</v>
      </c>
      <c r="E70" s="104" t="s">
        <v>384</v>
      </c>
      <c r="F70" s="90" t="s">
        <v>234</v>
      </c>
      <c r="G70" s="104" t="s">
        <v>385</v>
      </c>
      <c r="H70" s="106" t="n">
        <f aca="false">IFERROR(INDEX(Schedule!$E$2:$E$147,MATCH($G70,Schedule!$A$2:$A$147,0)),"")</f>
        <v>45352</v>
      </c>
      <c r="I70" s="106" t="n">
        <f aca="false">IFERROR(INDEX(Schedule!$F$2:$F$147,MATCH($G70,Schedule!$A$2:$A$147,0)),"")</f>
        <v>45412</v>
      </c>
      <c r="J70" s="92"/>
      <c r="K70" s="92"/>
      <c r="L70" s="92"/>
      <c r="M70" s="92"/>
      <c r="N70" s="92"/>
      <c r="O70" s="90" t="n">
        <v>1</v>
      </c>
      <c r="P70" s="107" t="n">
        <f aca="false">IFERROR((IF(OR(ISNUMBER(J70),UPPER(TRIM(J70))="N/A"),1,0)*IF($W70="N",0,INDEX('Rules of Credit'!$B$5:$F$8,MATCH($F70,'Rules of Credit'!$A$5:$A$8,0),1))+IF(OR(ISNUMBER(K70),UPPER(TRIM(K70))="N/A"),1,0)*INDEX('Rules of Credit'!$B$5:$F$8,MATCH($F70,'Rules of Credit'!$A$5:$A$8,0),2)+IF(OR(ISNUMBER(L70),UPPER(TRIM(L70))="N/A"),1,0)*INDEX('Rules of Credit'!$B$5:$F$8,MATCH($F70,'Rules of Credit'!$A$5:$A$8,0),3)+IF(OR(ISNUMBER(M70),UPPER(TRIM(M70))="N/A"),1,0)*IF($X70="N",0,INDEX('Rules of Credit'!$B$5:$F$8,MATCH($F70,'Rules of Credit'!$A$5:$A$8,0),4))+IF(OR(ISNUMBER(N70),UPPER(TRIM(N70))="N/A"),1,0)*INDEX('Rules of Credit'!$B$5:$F$8,MATCH($F70,'Rules of Credit'!$A$5:$A$8,0),5))/(IF($W70="N",0,INDEX('Rules of Credit'!$B$5:$F$8,MATCH($F70,'Rules of Credit'!$A$5:$A$8,0),1))+INDEX('Rules of Credit'!$B$5:$F$8,MATCH($F70,'Rules of Credit'!$A$5:$A$8,0),2)+INDEX('Rules of Credit'!$B$5:$F$8,MATCH($F70,'Rules of Credit'!$A$5:$A$8,0),3)+IF($X70="N",0,INDEX('Rules of Credit'!$B$5:$F$8,MATCH($F70,'Rules of Credit'!$A$5:$A$8,0),4))+INDEX('Rules of Credit'!$B$5:$F$8,MATCH($F70,'Rules of Credit'!$A$5:$A$8,0),5)),0)</f>
        <v>0</v>
      </c>
      <c r="Q70" s="107" t="n">
        <f aca="false">IF(OR($H70="",$I70=""),0,IF('Tracker Summary'!$C$3&lt;$H70,0,IF('Tracker Summary'!$C$3&gt;=$I70,1,('Tracker Summary'!$C$3-$H70)/($I70-$H70+1))))</f>
        <v>0</v>
      </c>
      <c r="R70" s="107" t="n">
        <f aca="false">P70-Q70</f>
        <v>0</v>
      </c>
      <c r="S70" s="104" t="str">
        <f aca="false">IF($I70="","Not scheduled",IF(P70&gt;=1,"Complete",IF('Tracker Summary'!$C$3&gt;$I70,"Overdue",IF(P70-Q70&lt;-0.1,"Behind",IF(AND(P70=0,'Tracker Summary'!$C$3&lt;$H70),"Not started","On track")))))</f>
        <v>Not started</v>
      </c>
      <c r="T70" s="90"/>
      <c r="U70" s="104" t="str">
        <f aca="false">IFERROR(INDEX(Schedule!$D$2:$D$147,MATCH($G70,Schedule!$A$2:$A$147,0)),"")</f>
        <v>Concrete (Cast-in-Place &amp; Precast) — Permanent standby generator</v>
      </c>
      <c r="V70" s="106" t="n">
        <f aca="false">IFERROR(INDEX(Schedule!$F$2:$F$147,MATCH("03-P01",Schedule!$A$2:$A$147,0)),"")</f>
        <v>45016</v>
      </c>
      <c r="W70" s="104" t="s">
        <v>99</v>
      </c>
      <c r="X70" s="104" t="s">
        <v>99</v>
      </c>
      <c r="Y70" s="104" t="n">
        <v>3</v>
      </c>
      <c r="Z70" s="104" t="n">
        <v>1</v>
      </c>
      <c r="AA70" s="104"/>
      <c r="AB70" s="104" t="s">
        <v>386</v>
      </c>
      <c r="AC70" s="104" t="s">
        <v>120</v>
      </c>
      <c r="AD70" s="104" t="s">
        <v>236</v>
      </c>
      <c r="AE70" s="104" t="s">
        <v>346</v>
      </c>
      <c r="AF70" s="104" t="s">
        <v>238</v>
      </c>
      <c r="AG70" s="104" t="s">
        <v>356</v>
      </c>
      <c r="AH70" s="104" t="s">
        <v>240</v>
      </c>
    </row>
    <row r="71" customFormat="false" ht="15" hidden="false" customHeight="false" outlineLevel="0" collapsed="false">
      <c r="A71" s="108" t="s">
        <v>85</v>
      </c>
      <c r="B71" s="108" t="s">
        <v>23</v>
      </c>
      <c r="C71" s="108" t="s">
        <v>24</v>
      </c>
      <c r="D71" s="108" t="str">
        <f aca="false">COUNTIF(A72:A77,"Item")&amp;" items · "&amp;COUNTIF(S72:S77,"Overdue")&amp;" overdue · "&amp;COUNTIF(S72:S77,"Complete")&amp;" complete"</f>
        <v>6 items · 0 overdue · 0 complete</v>
      </c>
      <c r="E71" s="108"/>
      <c r="F71" s="108"/>
      <c r="G71" s="108"/>
      <c r="H71" s="109" t="n">
        <f aca="false">MIN(H72:H77)</f>
        <v>45017</v>
      </c>
      <c r="I71" s="109" t="n">
        <f aca="false">MAX(I72:I77)</f>
        <v>45481</v>
      </c>
      <c r="J71" s="109"/>
      <c r="K71" s="109"/>
      <c r="L71" s="109"/>
      <c r="M71" s="109"/>
      <c r="N71" s="109"/>
      <c r="O71" s="108" t="n">
        <f aca="false">SUM(O72:O77)</f>
        <v>6</v>
      </c>
      <c r="P71" s="110" t="n">
        <f aca="false">IFERROR(SUMPRODUCT(O72:O77,P72:P77)/SUM(O72:O77),0)</f>
        <v>0</v>
      </c>
      <c r="Q71" s="110" t="n">
        <f aca="false">IFERROR(SUMPRODUCT(O72:O77,Q72:Q77)/SUM(O72:O77),0)</f>
        <v>0</v>
      </c>
      <c r="R71" s="110" t="n">
        <f aca="false">P71-Q71</f>
        <v>0</v>
      </c>
      <c r="S71" s="108"/>
      <c r="T71" s="108"/>
      <c r="U71" s="108"/>
      <c r="V71" s="109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</row>
    <row r="72" customFormat="false" ht="15" hidden="false" customHeight="false" outlineLevel="0" collapsed="false">
      <c r="A72" s="111" t="s">
        <v>60</v>
      </c>
      <c r="B72" s="112" t="s">
        <v>23</v>
      </c>
      <c r="C72" s="111" t="s">
        <v>387</v>
      </c>
      <c r="D72" s="111" t="s">
        <v>388</v>
      </c>
      <c r="E72" s="111" t="s">
        <v>256</v>
      </c>
      <c r="F72" s="90" t="s">
        <v>234</v>
      </c>
      <c r="G72" s="111" t="s">
        <v>389</v>
      </c>
      <c r="H72" s="113" t="n">
        <f aca="false">IFERROR(INDEX(Schedule!$E$2:$E$147,MATCH($G72,Schedule!$A$2:$A$147,0)),"")</f>
        <v>45017</v>
      </c>
      <c r="I72" s="113" t="n">
        <f aca="false">IFERROR(INDEX(Schedule!$F$2:$F$147,MATCH($G72,Schedule!$A$2:$A$147,0)),"")</f>
        <v>45231</v>
      </c>
      <c r="J72" s="92"/>
      <c r="K72" s="92"/>
      <c r="L72" s="92"/>
      <c r="M72" s="92"/>
      <c r="N72" s="92"/>
      <c r="O72" s="90" t="n">
        <v>1</v>
      </c>
      <c r="P72" s="114" t="n">
        <f aca="false">IFERROR((IF(OR(ISNUMBER(J72),UPPER(TRIM(J72))="N/A"),1,0)*IF($W72="N",0,INDEX('Rules of Credit'!$B$5:$F$8,MATCH($F72,'Rules of Credit'!$A$5:$A$8,0),1))+IF(OR(ISNUMBER(K72),UPPER(TRIM(K72))="N/A"),1,0)*INDEX('Rules of Credit'!$B$5:$F$8,MATCH($F72,'Rules of Credit'!$A$5:$A$8,0),2)+IF(OR(ISNUMBER(L72),UPPER(TRIM(L72))="N/A"),1,0)*INDEX('Rules of Credit'!$B$5:$F$8,MATCH($F72,'Rules of Credit'!$A$5:$A$8,0),3)+IF(OR(ISNUMBER(M72),UPPER(TRIM(M72))="N/A"),1,0)*IF($X72="N",0,INDEX('Rules of Credit'!$B$5:$F$8,MATCH($F72,'Rules of Credit'!$A$5:$A$8,0),4))+IF(OR(ISNUMBER(N72),UPPER(TRIM(N72))="N/A"),1,0)*INDEX('Rules of Credit'!$B$5:$F$8,MATCH($F72,'Rules of Credit'!$A$5:$A$8,0),5))/(IF($W72="N",0,INDEX('Rules of Credit'!$B$5:$F$8,MATCH($F72,'Rules of Credit'!$A$5:$A$8,0),1))+INDEX('Rules of Credit'!$B$5:$F$8,MATCH($F72,'Rules of Credit'!$A$5:$A$8,0),2)+INDEX('Rules of Credit'!$B$5:$F$8,MATCH($F72,'Rules of Credit'!$A$5:$A$8,0),3)+IF($X72="N",0,INDEX('Rules of Credit'!$B$5:$F$8,MATCH($F72,'Rules of Credit'!$A$5:$A$8,0),4))+INDEX('Rules of Credit'!$B$5:$F$8,MATCH($F72,'Rules of Credit'!$A$5:$A$8,0),5)),0)</f>
        <v>0</v>
      </c>
      <c r="Q72" s="114" t="n">
        <f aca="false">IF(OR($H72="",$I72=""),0,IF('Tracker Summary'!$C$3&lt;$H72,0,IF('Tracker Summary'!$C$3&gt;=$I72,1,('Tracker Summary'!$C$3-$H72)/($I72-$H72+1))))</f>
        <v>0</v>
      </c>
      <c r="R72" s="114" t="n">
        <f aca="false">P72-Q72</f>
        <v>0</v>
      </c>
      <c r="S72" s="111" t="str">
        <f aca="false">IF($I72="","Not scheduled",IF(P72&gt;=1,"Complete",IF('Tracker Summary'!$C$3&gt;$I72,"Overdue",IF(P72-Q72&lt;-0.1,"Behind",IF(AND(P72=0,'Tracker Summary'!$C$3&lt;$H72),"Not started","On track")))))</f>
        <v>Not started</v>
      </c>
      <c r="T72" s="90"/>
      <c r="U72" s="111" t="str">
        <f aca="false">IFERROR(INDEX(Schedule!$D$2:$D$147,MATCH($G72,Schedule!$A$2:$A$147,0)),"")</f>
        <v>Metals (Grating, Railings, Ladders, Stairs) — UV chamber and digester</v>
      </c>
      <c r="V72" s="113" t="n">
        <f aca="false">IFERROR(INDEX(Schedule!$F$2:$F$147,MATCH("05-P01",Schedule!$A$2:$A$147,0)),"")</f>
        <v>45016</v>
      </c>
      <c r="W72" s="111" t="s">
        <v>91</v>
      </c>
      <c r="X72" s="111" t="s">
        <v>91</v>
      </c>
      <c r="Y72" s="111" t="n">
        <v>0</v>
      </c>
      <c r="Z72" s="111" t="n">
        <v>0</v>
      </c>
      <c r="AA72" s="111" t="s">
        <v>390</v>
      </c>
      <c r="AB72" s="111" t="s">
        <v>391</v>
      </c>
      <c r="AC72" s="111" t="s">
        <v>92</v>
      </c>
      <c r="AD72" s="111" t="s">
        <v>93</v>
      </c>
      <c r="AE72" s="111" t="s">
        <v>392</v>
      </c>
      <c r="AF72" s="111"/>
      <c r="AG72" s="111" t="s">
        <v>392</v>
      </c>
      <c r="AH72" s="111" t="s">
        <v>213</v>
      </c>
    </row>
    <row r="73" customFormat="false" ht="15" hidden="false" customHeight="false" outlineLevel="0" collapsed="false">
      <c r="A73" s="111" t="s">
        <v>60</v>
      </c>
      <c r="B73" s="112" t="s">
        <v>23</v>
      </c>
      <c r="C73" s="111" t="s">
        <v>393</v>
      </c>
      <c r="D73" s="111" t="s">
        <v>394</v>
      </c>
      <c r="E73" s="111" t="s">
        <v>256</v>
      </c>
      <c r="F73" s="90" t="s">
        <v>234</v>
      </c>
      <c r="G73" s="111" t="s">
        <v>389</v>
      </c>
      <c r="H73" s="113" t="n">
        <f aca="false">IFERROR(INDEX(Schedule!$E$2:$E$147,MATCH($G73,Schedule!$A$2:$A$147,0)),"")</f>
        <v>45017</v>
      </c>
      <c r="I73" s="113" t="n">
        <f aca="false">IFERROR(INDEX(Schedule!$F$2:$F$147,MATCH($G73,Schedule!$A$2:$A$147,0)),"")</f>
        <v>45231</v>
      </c>
      <c r="J73" s="92"/>
      <c r="K73" s="92"/>
      <c r="L73" s="92"/>
      <c r="M73" s="92"/>
      <c r="N73" s="92"/>
      <c r="O73" s="90" t="n">
        <v>1</v>
      </c>
      <c r="P73" s="114" t="n">
        <f aca="false">IFERROR((IF(OR(ISNUMBER(J73),UPPER(TRIM(J73))="N/A"),1,0)*IF($W73="N",0,INDEX('Rules of Credit'!$B$5:$F$8,MATCH($F73,'Rules of Credit'!$A$5:$A$8,0),1))+IF(OR(ISNUMBER(K73),UPPER(TRIM(K73))="N/A"),1,0)*INDEX('Rules of Credit'!$B$5:$F$8,MATCH($F73,'Rules of Credit'!$A$5:$A$8,0),2)+IF(OR(ISNUMBER(L73),UPPER(TRIM(L73))="N/A"),1,0)*INDEX('Rules of Credit'!$B$5:$F$8,MATCH($F73,'Rules of Credit'!$A$5:$A$8,0),3)+IF(OR(ISNUMBER(M73),UPPER(TRIM(M73))="N/A"),1,0)*IF($X73="N",0,INDEX('Rules of Credit'!$B$5:$F$8,MATCH($F73,'Rules of Credit'!$A$5:$A$8,0),4))+IF(OR(ISNUMBER(N73),UPPER(TRIM(N73))="N/A"),1,0)*INDEX('Rules of Credit'!$B$5:$F$8,MATCH($F73,'Rules of Credit'!$A$5:$A$8,0),5))/(IF($W73="N",0,INDEX('Rules of Credit'!$B$5:$F$8,MATCH($F73,'Rules of Credit'!$A$5:$A$8,0),1))+INDEX('Rules of Credit'!$B$5:$F$8,MATCH($F73,'Rules of Credit'!$A$5:$A$8,0),2)+INDEX('Rules of Credit'!$B$5:$F$8,MATCH($F73,'Rules of Credit'!$A$5:$A$8,0),3)+IF($X73="N",0,INDEX('Rules of Credit'!$B$5:$F$8,MATCH($F73,'Rules of Credit'!$A$5:$A$8,0),4))+INDEX('Rules of Credit'!$B$5:$F$8,MATCH($F73,'Rules of Credit'!$A$5:$A$8,0),5)),0)</f>
        <v>0</v>
      </c>
      <c r="Q73" s="114" t="n">
        <f aca="false">IF(OR($H73="",$I73=""),0,IF('Tracker Summary'!$C$3&lt;$H73,0,IF('Tracker Summary'!$C$3&gt;=$I73,1,('Tracker Summary'!$C$3-$H73)/($I73-$H73+1))))</f>
        <v>0</v>
      </c>
      <c r="R73" s="114" t="n">
        <f aca="false">P73-Q73</f>
        <v>0</v>
      </c>
      <c r="S73" s="111" t="str">
        <f aca="false">IF($I73="","Not scheduled",IF(P73&gt;=1,"Complete",IF('Tracker Summary'!$C$3&gt;$I73,"Overdue",IF(P73-Q73&lt;-0.1,"Behind",IF(AND(P73=0,'Tracker Summary'!$C$3&lt;$H73),"Not started","On track")))))</f>
        <v>Not started</v>
      </c>
      <c r="T73" s="90"/>
      <c r="U73" s="111" t="str">
        <f aca="false">IFERROR(INDEX(Schedule!$D$2:$D$147,MATCH($G73,Schedule!$A$2:$A$147,0)),"")</f>
        <v>Metals (Grating, Railings, Ladders, Stairs) — UV chamber and digester</v>
      </c>
      <c r="V73" s="113" t="n">
        <f aca="false">IFERROR(INDEX(Schedule!$F$2:$F$147,MATCH("05-P01",Schedule!$A$2:$A$147,0)),"")</f>
        <v>45016</v>
      </c>
      <c r="W73" s="111" t="s">
        <v>99</v>
      </c>
      <c r="X73" s="111" t="s">
        <v>99</v>
      </c>
      <c r="Y73" s="111" t="n">
        <v>4</v>
      </c>
      <c r="Z73" s="111" t="n">
        <v>2</v>
      </c>
      <c r="AA73" s="111"/>
      <c r="AB73" s="111"/>
      <c r="AC73" s="111" t="s">
        <v>92</v>
      </c>
      <c r="AD73" s="111" t="s">
        <v>236</v>
      </c>
      <c r="AE73" s="111" t="s">
        <v>395</v>
      </c>
      <c r="AF73" s="111" t="s">
        <v>396</v>
      </c>
      <c r="AG73" s="111" t="s">
        <v>397</v>
      </c>
      <c r="AH73" s="111" t="s">
        <v>240</v>
      </c>
    </row>
    <row r="74" customFormat="false" ht="15" hidden="false" customHeight="false" outlineLevel="0" collapsed="false">
      <c r="A74" s="111" t="s">
        <v>60</v>
      </c>
      <c r="B74" s="112" t="s">
        <v>23</v>
      </c>
      <c r="C74" s="111" t="s">
        <v>398</v>
      </c>
      <c r="D74" s="111" t="s">
        <v>399</v>
      </c>
      <c r="E74" s="111" t="s">
        <v>256</v>
      </c>
      <c r="F74" s="90" t="s">
        <v>234</v>
      </c>
      <c r="G74" s="111" t="s">
        <v>389</v>
      </c>
      <c r="H74" s="113" t="n">
        <f aca="false">IFERROR(INDEX(Schedule!$E$2:$E$147,MATCH($G74,Schedule!$A$2:$A$147,0)),"")</f>
        <v>45017</v>
      </c>
      <c r="I74" s="113" t="n">
        <f aca="false">IFERROR(INDEX(Schedule!$F$2:$F$147,MATCH($G74,Schedule!$A$2:$A$147,0)),"")</f>
        <v>45231</v>
      </c>
      <c r="J74" s="92"/>
      <c r="K74" s="92"/>
      <c r="L74" s="92"/>
      <c r="M74" s="92"/>
      <c r="N74" s="92"/>
      <c r="O74" s="90" t="n">
        <v>1</v>
      </c>
      <c r="P74" s="114" t="n">
        <f aca="false">IFERROR((IF(OR(ISNUMBER(J74),UPPER(TRIM(J74))="N/A"),1,0)*IF($W74="N",0,INDEX('Rules of Credit'!$B$5:$F$8,MATCH($F74,'Rules of Credit'!$A$5:$A$8,0),1))+IF(OR(ISNUMBER(K74),UPPER(TRIM(K74))="N/A"),1,0)*INDEX('Rules of Credit'!$B$5:$F$8,MATCH($F74,'Rules of Credit'!$A$5:$A$8,0),2)+IF(OR(ISNUMBER(L74),UPPER(TRIM(L74))="N/A"),1,0)*INDEX('Rules of Credit'!$B$5:$F$8,MATCH($F74,'Rules of Credit'!$A$5:$A$8,0),3)+IF(OR(ISNUMBER(M74),UPPER(TRIM(M74))="N/A"),1,0)*IF($X74="N",0,INDEX('Rules of Credit'!$B$5:$F$8,MATCH($F74,'Rules of Credit'!$A$5:$A$8,0),4))+IF(OR(ISNUMBER(N74),UPPER(TRIM(N74))="N/A"),1,0)*INDEX('Rules of Credit'!$B$5:$F$8,MATCH($F74,'Rules of Credit'!$A$5:$A$8,0),5))/(IF($W74="N",0,INDEX('Rules of Credit'!$B$5:$F$8,MATCH($F74,'Rules of Credit'!$A$5:$A$8,0),1))+INDEX('Rules of Credit'!$B$5:$F$8,MATCH($F74,'Rules of Credit'!$A$5:$A$8,0),2)+INDEX('Rules of Credit'!$B$5:$F$8,MATCH($F74,'Rules of Credit'!$A$5:$A$8,0),3)+IF($X74="N",0,INDEX('Rules of Credit'!$B$5:$F$8,MATCH($F74,'Rules of Credit'!$A$5:$A$8,0),4))+INDEX('Rules of Credit'!$B$5:$F$8,MATCH($F74,'Rules of Credit'!$A$5:$A$8,0),5)),0)</f>
        <v>0</v>
      </c>
      <c r="Q74" s="114" t="n">
        <f aca="false">IF(OR($H74="",$I74=""),0,IF('Tracker Summary'!$C$3&lt;$H74,0,IF('Tracker Summary'!$C$3&gt;=$I74,1,('Tracker Summary'!$C$3-$H74)/($I74-$H74+1))))</f>
        <v>0</v>
      </c>
      <c r="R74" s="114" t="n">
        <f aca="false">P74-Q74</f>
        <v>0</v>
      </c>
      <c r="S74" s="111" t="str">
        <f aca="false">IF($I74="","Not scheduled",IF(P74&gt;=1,"Complete",IF('Tracker Summary'!$C$3&gt;$I74,"Overdue",IF(P74-Q74&lt;-0.1,"Behind",IF(AND(P74=0,'Tracker Summary'!$C$3&lt;$H74),"Not started","On track")))))</f>
        <v>Not started</v>
      </c>
      <c r="T74" s="90"/>
      <c r="U74" s="111" t="str">
        <f aca="false">IFERROR(INDEX(Schedule!$D$2:$D$147,MATCH($G74,Schedule!$A$2:$A$147,0)),"")</f>
        <v>Metals (Grating, Railings, Ladders, Stairs) — UV chamber and digester</v>
      </c>
      <c r="V74" s="113" t="n">
        <f aca="false">IFERROR(INDEX(Schedule!$F$2:$F$147,MATCH("05-P01",Schedule!$A$2:$A$147,0)),"")</f>
        <v>45016</v>
      </c>
      <c r="W74" s="111" t="s">
        <v>99</v>
      </c>
      <c r="X74" s="111" t="s">
        <v>91</v>
      </c>
      <c r="Y74" s="111" t="n">
        <v>3</v>
      </c>
      <c r="Z74" s="111" t="n">
        <v>0</v>
      </c>
      <c r="AA74" s="111" t="s">
        <v>400</v>
      </c>
      <c r="AB74" s="111" t="s">
        <v>391</v>
      </c>
      <c r="AC74" s="111" t="s">
        <v>120</v>
      </c>
      <c r="AD74" s="111" t="s">
        <v>236</v>
      </c>
      <c r="AE74" s="111" t="s">
        <v>401</v>
      </c>
      <c r="AF74" s="111" t="s">
        <v>402</v>
      </c>
      <c r="AG74" s="111" t="s">
        <v>403</v>
      </c>
      <c r="AH74" s="111" t="s">
        <v>240</v>
      </c>
    </row>
    <row r="75" customFormat="false" ht="15" hidden="false" customHeight="false" outlineLevel="0" collapsed="false">
      <c r="A75" s="111" t="s">
        <v>60</v>
      </c>
      <c r="B75" s="112" t="s">
        <v>23</v>
      </c>
      <c r="C75" s="111" t="s">
        <v>404</v>
      </c>
      <c r="D75" s="111" t="s">
        <v>405</v>
      </c>
      <c r="E75" s="111" t="s">
        <v>256</v>
      </c>
      <c r="F75" s="90" t="s">
        <v>234</v>
      </c>
      <c r="G75" s="111" t="s">
        <v>389</v>
      </c>
      <c r="H75" s="113" t="n">
        <f aca="false">IFERROR(INDEX(Schedule!$E$2:$E$147,MATCH($G75,Schedule!$A$2:$A$147,0)),"")</f>
        <v>45017</v>
      </c>
      <c r="I75" s="113" t="n">
        <f aca="false">IFERROR(INDEX(Schedule!$F$2:$F$147,MATCH($G75,Schedule!$A$2:$A$147,0)),"")</f>
        <v>45231</v>
      </c>
      <c r="J75" s="92"/>
      <c r="K75" s="92"/>
      <c r="L75" s="92"/>
      <c r="M75" s="92"/>
      <c r="N75" s="92"/>
      <c r="O75" s="90" t="n">
        <v>1</v>
      </c>
      <c r="P75" s="114" t="n">
        <f aca="false">IFERROR((IF(OR(ISNUMBER(J75),UPPER(TRIM(J75))="N/A"),1,0)*IF($W75="N",0,INDEX('Rules of Credit'!$B$5:$F$8,MATCH($F75,'Rules of Credit'!$A$5:$A$8,0),1))+IF(OR(ISNUMBER(K75),UPPER(TRIM(K75))="N/A"),1,0)*INDEX('Rules of Credit'!$B$5:$F$8,MATCH($F75,'Rules of Credit'!$A$5:$A$8,0),2)+IF(OR(ISNUMBER(L75),UPPER(TRIM(L75))="N/A"),1,0)*INDEX('Rules of Credit'!$B$5:$F$8,MATCH($F75,'Rules of Credit'!$A$5:$A$8,0),3)+IF(OR(ISNUMBER(M75),UPPER(TRIM(M75))="N/A"),1,0)*IF($X75="N",0,INDEX('Rules of Credit'!$B$5:$F$8,MATCH($F75,'Rules of Credit'!$A$5:$A$8,0),4))+IF(OR(ISNUMBER(N75),UPPER(TRIM(N75))="N/A"),1,0)*INDEX('Rules of Credit'!$B$5:$F$8,MATCH($F75,'Rules of Credit'!$A$5:$A$8,0),5))/(IF($W75="N",0,INDEX('Rules of Credit'!$B$5:$F$8,MATCH($F75,'Rules of Credit'!$A$5:$A$8,0),1))+INDEX('Rules of Credit'!$B$5:$F$8,MATCH($F75,'Rules of Credit'!$A$5:$A$8,0),2)+INDEX('Rules of Credit'!$B$5:$F$8,MATCH($F75,'Rules of Credit'!$A$5:$A$8,0),3)+IF($X75="N",0,INDEX('Rules of Credit'!$B$5:$F$8,MATCH($F75,'Rules of Credit'!$A$5:$A$8,0),4))+INDEX('Rules of Credit'!$B$5:$F$8,MATCH($F75,'Rules of Credit'!$A$5:$A$8,0),5)),0)</f>
        <v>0</v>
      </c>
      <c r="Q75" s="114" t="n">
        <f aca="false">IF(OR($H75="",$I75=""),0,IF('Tracker Summary'!$C$3&lt;$H75,0,IF('Tracker Summary'!$C$3&gt;=$I75,1,('Tracker Summary'!$C$3-$H75)/($I75-$H75+1))))</f>
        <v>0</v>
      </c>
      <c r="R75" s="114" t="n">
        <f aca="false">P75-Q75</f>
        <v>0</v>
      </c>
      <c r="S75" s="111" t="str">
        <f aca="false">IF($I75="","Not scheduled",IF(P75&gt;=1,"Complete",IF('Tracker Summary'!$C$3&gt;$I75,"Overdue",IF(P75-Q75&lt;-0.1,"Behind",IF(AND(P75=0,'Tracker Summary'!$C$3&lt;$H75),"Not started","On track")))))</f>
        <v>Not started</v>
      </c>
      <c r="T75" s="90"/>
      <c r="U75" s="111" t="str">
        <f aca="false">IFERROR(INDEX(Schedule!$D$2:$D$147,MATCH($G75,Schedule!$A$2:$A$147,0)),"")</f>
        <v>Metals (Grating, Railings, Ladders, Stairs) — UV chamber and digester</v>
      </c>
      <c r="V75" s="113" t="n">
        <f aca="false">IFERROR(INDEX(Schedule!$F$2:$F$147,MATCH("05-P01",Schedule!$A$2:$A$147,0)),"")</f>
        <v>45016</v>
      </c>
      <c r="W75" s="111" t="s">
        <v>99</v>
      </c>
      <c r="X75" s="111" t="s">
        <v>91</v>
      </c>
      <c r="Y75" s="111" t="n">
        <v>5</v>
      </c>
      <c r="Z75" s="111" t="n">
        <v>0</v>
      </c>
      <c r="AA75" s="111" t="s">
        <v>400</v>
      </c>
      <c r="AB75" s="111" t="s">
        <v>406</v>
      </c>
      <c r="AC75" s="111" t="s">
        <v>120</v>
      </c>
      <c r="AD75" s="111" t="s">
        <v>236</v>
      </c>
      <c r="AE75" s="111" t="s">
        <v>401</v>
      </c>
      <c r="AF75" s="111" t="s">
        <v>407</v>
      </c>
      <c r="AG75" s="111" t="s">
        <v>408</v>
      </c>
      <c r="AH75" s="111" t="s">
        <v>240</v>
      </c>
    </row>
    <row r="76" customFormat="false" ht="15" hidden="false" customHeight="false" outlineLevel="0" collapsed="false">
      <c r="A76" s="111" t="s">
        <v>60</v>
      </c>
      <c r="B76" s="112" t="s">
        <v>23</v>
      </c>
      <c r="C76" s="111" t="s">
        <v>409</v>
      </c>
      <c r="D76" s="111" t="s">
        <v>410</v>
      </c>
      <c r="E76" s="111" t="s">
        <v>376</v>
      </c>
      <c r="F76" s="90" t="s">
        <v>234</v>
      </c>
      <c r="G76" s="111" t="s">
        <v>411</v>
      </c>
      <c r="H76" s="113" t="n">
        <f aca="false">IFERROR(INDEX(Schedule!$E$2:$E$147,MATCH($G76,Schedule!$A$2:$A$147,0)),"")</f>
        <v>45139</v>
      </c>
      <c r="I76" s="113" t="n">
        <f aca="false">IFERROR(INDEX(Schedule!$F$2:$F$147,MATCH($G76,Schedule!$A$2:$A$147,0)),"")</f>
        <v>45481</v>
      </c>
      <c r="J76" s="92"/>
      <c r="K76" s="92"/>
      <c r="L76" s="92"/>
      <c r="M76" s="92"/>
      <c r="N76" s="92"/>
      <c r="O76" s="90" t="n">
        <v>1</v>
      </c>
      <c r="P76" s="114" t="n">
        <f aca="false">IFERROR((IF(OR(ISNUMBER(J76),UPPER(TRIM(J76))="N/A"),1,0)*IF($W76="N",0,INDEX('Rules of Credit'!$B$5:$F$8,MATCH($F76,'Rules of Credit'!$A$5:$A$8,0),1))+IF(OR(ISNUMBER(K76),UPPER(TRIM(K76))="N/A"),1,0)*INDEX('Rules of Credit'!$B$5:$F$8,MATCH($F76,'Rules of Credit'!$A$5:$A$8,0),2)+IF(OR(ISNUMBER(L76),UPPER(TRIM(L76))="N/A"),1,0)*INDEX('Rules of Credit'!$B$5:$F$8,MATCH($F76,'Rules of Credit'!$A$5:$A$8,0),3)+IF(OR(ISNUMBER(M76),UPPER(TRIM(M76))="N/A"),1,0)*IF($X76="N",0,INDEX('Rules of Credit'!$B$5:$F$8,MATCH($F76,'Rules of Credit'!$A$5:$A$8,0),4))+IF(OR(ISNUMBER(N76),UPPER(TRIM(N76))="N/A"),1,0)*INDEX('Rules of Credit'!$B$5:$F$8,MATCH($F76,'Rules of Credit'!$A$5:$A$8,0),5))/(IF($W76="N",0,INDEX('Rules of Credit'!$B$5:$F$8,MATCH($F76,'Rules of Credit'!$A$5:$A$8,0),1))+INDEX('Rules of Credit'!$B$5:$F$8,MATCH($F76,'Rules of Credit'!$A$5:$A$8,0),2)+INDEX('Rules of Credit'!$B$5:$F$8,MATCH($F76,'Rules of Credit'!$A$5:$A$8,0),3)+IF($X76="N",0,INDEX('Rules of Credit'!$B$5:$F$8,MATCH($F76,'Rules of Credit'!$A$5:$A$8,0),4))+INDEX('Rules of Credit'!$B$5:$F$8,MATCH($F76,'Rules of Credit'!$A$5:$A$8,0),5)),0)</f>
        <v>0</v>
      </c>
      <c r="Q76" s="114" t="n">
        <f aca="false">IF(OR($H76="",$I76=""),0,IF('Tracker Summary'!$C$3&lt;$H76,0,IF('Tracker Summary'!$C$3&gt;=$I76,1,('Tracker Summary'!$C$3-$H76)/($I76-$H76+1))))</f>
        <v>0</v>
      </c>
      <c r="R76" s="114" t="n">
        <f aca="false">P76-Q76</f>
        <v>0</v>
      </c>
      <c r="S76" s="111" t="str">
        <f aca="false">IF($I76="","Not scheduled",IF(P76&gt;=1,"Complete",IF('Tracker Summary'!$C$3&gt;$I76,"Overdue",IF(P76-Q76&lt;-0.1,"Behind",IF(AND(P76=0,'Tracker Summary'!$C$3&lt;$H76),"Not started","On track")))))</f>
        <v>Not started</v>
      </c>
      <c r="T76" s="90"/>
      <c r="U76" s="111" t="str">
        <f aca="false">IFERROR(INDEX(Schedule!$D$2:$D$147,MATCH($G76,Schedule!$A$2:$A$147,0)),"")</f>
        <v>Metals (Grating, Railings, Ladders, Stairs) — Train 3</v>
      </c>
      <c r="V76" s="113" t="n">
        <f aca="false">IFERROR(INDEX(Schedule!$F$2:$F$147,MATCH("05-P01",Schedule!$A$2:$A$147,0)),"")</f>
        <v>45016</v>
      </c>
      <c r="W76" s="111" t="s">
        <v>99</v>
      </c>
      <c r="X76" s="111" t="s">
        <v>91</v>
      </c>
      <c r="Y76" s="111" t="n">
        <v>4</v>
      </c>
      <c r="Z76" s="111" t="n">
        <v>0</v>
      </c>
      <c r="AA76" s="111" t="s">
        <v>412</v>
      </c>
      <c r="AB76" s="111" t="s">
        <v>413</v>
      </c>
      <c r="AC76" s="111" t="s">
        <v>120</v>
      </c>
      <c r="AD76" s="111" t="s">
        <v>414</v>
      </c>
      <c r="AE76" s="111" t="s">
        <v>415</v>
      </c>
      <c r="AF76" s="111" t="s">
        <v>407</v>
      </c>
      <c r="AG76" s="111" t="s">
        <v>416</v>
      </c>
      <c r="AH76" s="111" t="s">
        <v>240</v>
      </c>
    </row>
    <row r="77" customFormat="false" ht="15" hidden="false" customHeight="false" outlineLevel="0" collapsed="false">
      <c r="A77" s="111" t="s">
        <v>60</v>
      </c>
      <c r="B77" s="112" t="s">
        <v>23</v>
      </c>
      <c r="C77" s="111" t="s">
        <v>417</v>
      </c>
      <c r="D77" s="111" t="s">
        <v>418</v>
      </c>
      <c r="E77" s="111" t="s">
        <v>419</v>
      </c>
      <c r="F77" s="90" t="s">
        <v>234</v>
      </c>
      <c r="G77" s="111" t="s">
        <v>411</v>
      </c>
      <c r="H77" s="113" t="n">
        <f aca="false">IFERROR(INDEX(Schedule!$E$2:$E$147,MATCH($G77,Schedule!$A$2:$A$147,0)),"")</f>
        <v>45139</v>
      </c>
      <c r="I77" s="113" t="n">
        <f aca="false">IFERROR(INDEX(Schedule!$F$2:$F$147,MATCH($G77,Schedule!$A$2:$A$147,0)),"")</f>
        <v>45481</v>
      </c>
      <c r="J77" s="92"/>
      <c r="K77" s="92"/>
      <c r="L77" s="92"/>
      <c r="M77" s="92"/>
      <c r="N77" s="92"/>
      <c r="O77" s="90" t="n">
        <v>1</v>
      </c>
      <c r="P77" s="114" t="n">
        <f aca="false">IFERROR((IF(OR(ISNUMBER(J77),UPPER(TRIM(J77))="N/A"),1,0)*IF($W77="N",0,INDEX('Rules of Credit'!$B$5:$F$8,MATCH($F77,'Rules of Credit'!$A$5:$A$8,0),1))+IF(OR(ISNUMBER(K77),UPPER(TRIM(K77))="N/A"),1,0)*INDEX('Rules of Credit'!$B$5:$F$8,MATCH($F77,'Rules of Credit'!$A$5:$A$8,0),2)+IF(OR(ISNUMBER(L77),UPPER(TRIM(L77))="N/A"),1,0)*INDEX('Rules of Credit'!$B$5:$F$8,MATCH($F77,'Rules of Credit'!$A$5:$A$8,0),3)+IF(OR(ISNUMBER(M77),UPPER(TRIM(M77))="N/A"),1,0)*IF($X77="N",0,INDEX('Rules of Credit'!$B$5:$F$8,MATCH($F77,'Rules of Credit'!$A$5:$A$8,0),4))+IF(OR(ISNUMBER(N77),UPPER(TRIM(N77))="N/A"),1,0)*INDEX('Rules of Credit'!$B$5:$F$8,MATCH($F77,'Rules of Credit'!$A$5:$A$8,0),5))/(IF($W77="N",0,INDEX('Rules of Credit'!$B$5:$F$8,MATCH($F77,'Rules of Credit'!$A$5:$A$8,0),1))+INDEX('Rules of Credit'!$B$5:$F$8,MATCH($F77,'Rules of Credit'!$A$5:$A$8,0),2)+INDEX('Rules of Credit'!$B$5:$F$8,MATCH($F77,'Rules of Credit'!$A$5:$A$8,0),3)+IF($X77="N",0,INDEX('Rules of Credit'!$B$5:$F$8,MATCH($F77,'Rules of Credit'!$A$5:$A$8,0),4))+INDEX('Rules of Credit'!$B$5:$F$8,MATCH($F77,'Rules of Credit'!$A$5:$A$8,0),5)),0)</f>
        <v>0</v>
      </c>
      <c r="Q77" s="114" t="n">
        <f aca="false">IF(OR($H77="",$I77=""),0,IF('Tracker Summary'!$C$3&lt;$H77,0,IF('Tracker Summary'!$C$3&gt;=$I77,1,('Tracker Summary'!$C$3-$H77)/($I77-$H77+1))))</f>
        <v>0</v>
      </c>
      <c r="R77" s="114" t="n">
        <f aca="false">P77-Q77</f>
        <v>0</v>
      </c>
      <c r="S77" s="111" t="str">
        <f aca="false">IF($I77="","Not scheduled",IF(P77&gt;=1,"Complete",IF('Tracker Summary'!$C$3&gt;$I77,"Overdue",IF(P77-Q77&lt;-0.1,"Behind",IF(AND(P77=0,'Tracker Summary'!$C$3&lt;$H77),"Not started","On track")))))</f>
        <v>Not started</v>
      </c>
      <c r="T77" s="90"/>
      <c r="U77" s="111" t="str">
        <f aca="false">IFERROR(INDEX(Schedule!$D$2:$D$147,MATCH($G77,Schedule!$A$2:$A$147,0)),"")</f>
        <v>Metals (Grating, Railings, Ladders, Stairs) — Train 3</v>
      </c>
      <c r="V77" s="113" t="n">
        <f aca="false">IFERROR(INDEX(Schedule!$F$2:$F$147,MATCH("05-P01",Schedule!$A$2:$A$147,0)),"")</f>
        <v>45016</v>
      </c>
      <c r="W77" s="111" t="s">
        <v>99</v>
      </c>
      <c r="X77" s="111" t="s">
        <v>91</v>
      </c>
      <c r="Y77" s="111" t="n">
        <v>5</v>
      </c>
      <c r="Z77" s="111" t="n">
        <v>0</v>
      </c>
      <c r="AA77" s="111"/>
      <c r="AB77" s="111" t="s">
        <v>420</v>
      </c>
      <c r="AC77" s="111" t="s">
        <v>120</v>
      </c>
      <c r="AD77" s="111" t="s">
        <v>421</v>
      </c>
      <c r="AE77" s="111" t="s">
        <v>422</v>
      </c>
      <c r="AF77" s="111" t="s">
        <v>423</v>
      </c>
      <c r="AG77" s="111" t="s">
        <v>424</v>
      </c>
      <c r="AH77" s="111" t="s">
        <v>240</v>
      </c>
    </row>
    <row r="78" customFormat="false" ht="15" hidden="false" customHeight="false" outlineLevel="0" collapsed="false">
      <c r="A78" s="115" t="s">
        <v>85</v>
      </c>
      <c r="B78" s="115" t="s">
        <v>25</v>
      </c>
      <c r="C78" s="115" t="s">
        <v>26</v>
      </c>
      <c r="D78" s="115" t="str">
        <f aca="false">COUNTIF(A79:A82,"Item")&amp;" items · "&amp;COUNTIF(S79:S82,"Overdue")&amp;" overdue · "&amp;COUNTIF(S79:S82,"Complete")&amp;" complete"</f>
        <v>4 items · 0 overdue · 0 complete</v>
      </c>
      <c r="E78" s="115"/>
      <c r="F78" s="115"/>
      <c r="G78" s="115"/>
      <c r="H78" s="116" t="n">
        <f aca="false">MIN(H79:H82)</f>
        <v>45017</v>
      </c>
      <c r="I78" s="116" t="n">
        <f aca="false">MAX(I79:I82)</f>
        <v>45138</v>
      </c>
      <c r="J78" s="116"/>
      <c r="K78" s="116"/>
      <c r="L78" s="116"/>
      <c r="M78" s="116"/>
      <c r="N78" s="116"/>
      <c r="O78" s="115" t="n">
        <f aca="false">SUM(O79:O82)</f>
        <v>4</v>
      </c>
      <c r="P78" s="117" t="n">
        <f aca="false">IFERROR(SUMPRODUCT(O79:O82,P79:P82)/SUM(O79:O82),0)</f>
        <v>0</v>
      </c>
      <c r="Q78" s="117" t="n">
        <f aca="false">IFERROR(SUMPRODUCT(O79:O82,Q79:Q82)/SUM(O79:O82),0)</f>
        <v>0</v>
      </c>
      <c r="R78" s="117" t="n">
        <f aca="false">P78-Q78</f>
        <v>0</v>
      </c>
      <c r="S78" s="115"/>
      <c r="T78" s="115"/>
      <c r="U78" s="115"/>
      <c r="V78" s="116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</row>
    <row r="79" customFormat="false" ht="15" hidden="false" customHeight="false" outlineLevel="0" collapsed="false">
      <c r="A79" s="118" t="s">
        <v>60</v>
      </c>
      <c r="B79" s="119" t="s">
        <v>25</v>
      </c>
      <c r="C79" s="118" t="s">
        <v>425</v>
      </c>
      <c r="D79" s="118" t="s">
        <v>426</v>
      </c>
      <c r="E79" s="118" t="s">
        <v>233</v>
      </c>
      <c r="F79" s="90" t="s">
        <v>234</v>
      </c>
      <c r="G79" s="118" t="s">
        <v>427</v>
      </c>
      <c r="H79" s="120" t="n">
        <f aca="false">IFERROR(INDEX(Schedule!$E$2:$E$147,MATCH($G79,Schedule!$A$2:$A$147,0)),"")</f>
        <v>45017</v>
      </c>
      <c r="I79" s="120" t="n">
        <f aca="false">IFERROR(INDEX(Schedule!$F$2:$F$147,MATCH($G79,Schedule!$A$2:$A$147,0)),"")</f>
        <v>45138</v>
      </c>
      <c r="J79" s="92"/>
      <c r="K79" s="92"/>
      <c r="L79" s="92"/>
      <c r="M79" s="92"/>
      <c r="N79" s="92"/>
      <c r="O79" s="90" t="n">
        <v>1</v>
      </c>
      <c r="P79" s="121" t="n">
        <f aca="false">IFERROR((IF(OR(ISNUMBER(J79),UPPER(TRIM(J79))="N/A"),1,0)*IF($W79="N",0,INDEX('Rules of Credit'!$B$5:$F$8,MATCH($F79,'Rules of Credit'!$A$5:$A$8,0),1))+IF(OR(ISNUMBER(K79),UPPER(TRIM(K79))="N/A"),1,0)*INDEX('Rules of Credit'!$B$5:$F$8,MATCH($F79,'Rules of Credit'!$A$5:$A$8,0),2)+IF(OR(ISNUMBER(L79),UPPER(TRIM(L79))="N/A"),1,0)*INDEX('Rules of Credit'!$B$5:$F$8,MATCH($F79,'Rules of Credit'!$A$5:$A$8,0),3)+IF(OR(ISNUMBER(M79),UPPER(TRIM(M79))="N/A"),1,0)*IF($X79="N",0,INDEX('Rules of Credit'!$B$5:$F$8,MATCH($F79,'Rules of Credit'!$A$5:$A$8,0),4))+IF(OR(ISNUMBER(N79),UPPER(TRIM(N79))="N/A"),1,0)*INDEX('Rules of Credit'!$B$5:$F$8,MATCH($F79,'Rules of Credit'!$A$5:$A$8,0),5))/(IF($W79="N",0,INDEX('Rules of Credit'!$B$5:$F$8,MATCH($F79,'Rules of Credit'!$A$5:$A$8,0),1))+INDEX('Rules of Credit'!$B$5:$F$8,MATCH($F79,'Rules of Credit'!$A$5:$A$8,0),2)+INDEX('Rules of Credit'!$B$5:$F$8,MATCH($F79,'Rules of Credit'!$A$5:$A$8,0),3)+IF($X79="N",0,INDEX('Rules of Credit'!$B$5:$F$8,MATCH($F79,'Rules of Credit'!$A$5:$A$8,0),4))+INDEX('Rules of Credit'!$B$5:$F$8,MATCH($F79,'Rules of Credit'!$A$5:$A$8,0),5)),0)</f>
        <v>0</v>
      </c>
      <c r="Q79" s="121" t="n">
        <f aca="false">IF(OR($H79="",$I79=""),0,IF('Tracker Summary'!$C$3&lt;$H79,0,IF('Tracker Summary'!$C$3&gt;=$I79,1,('Tracker Summary'!$C$3-$H79)/($I79-$H79+1))))</f>
        <v>0</v>
      </c>
      <c r="R79" s="121" t="n">
        <f aca="false">P79-Q79</f>
        <v>0</v>
      </c>
      <c r="S79" s="118" t="str">
        <f aca="false">IF($I79="","Not scheduled",IF(P79&gt;=1,"Complete",IF('Tracker Summary'!$C$3&gt;$I79,"Overdue",IF(P79-Q79&lt;-0.1,"Behind",IF(AND(P79=0,'Tracker Summary'!$C$3&lt;$H79),"Not started","On track")))))</f>
        <v>Not started</v>
      </c>
      <c r="T79" s="90"/>
      <c r="U79" s="118" t="str">
        <f aca="false">IFERROR(INDEX(Schedule!$D$2:$D$147,MATCH($G79,Schedule!$A$2:$A$147,0)),"")</f>
        <v>Doors, Frames &amp; Hardware — Blower Building</v>
      </c>
      <c r="V79" s="120" t="n">
        <f aca="false">IFERROR(INDEX(Schedule!$F$2:$F$147,MATCH("08-P01",Schedule!$A$2:$A$147,0)),"")</f>
        <v>45016</v>
      </c>
      <c r="W79" s="118" t="s">
        <v>99</v>
      </c>
      <c r="X79" s="118" t="s">
        <v>99</v>
      </c>
      <c r="Y79" s="118" t="n">
        <v>4</v>
      </c>
      <c r="Z79" s="118" t="n">
        <v>3</v>
      </c>
      <c r="AA79" s="118"/>
      <c r="AB79" s="118"/>
      <c r="AC79" s="118" t="s">
        <v>120</v>
      </c>
      <c r="AD79" s="118" t="s">
        <v>236</v>
      </c>
      <c r="AE79" s="118" t="s">
        <v>428</v>
      </c>
      <c r="AF79" s="118" t="s">
        <v>429</v>
      </c>
      <c r="AG79" s="118" t="s">
        <v>430</v>
      </c>
      <c r="AH79" s="118" t="s">
        <v>240</v>
      </c>
    </row>
    <row r="80" customFormat="false" ht="15" hidden="false" customHeight="false" outlineLevel="0" collapsed="false">
      <c r="A80" s="118" t="s">
        <v>60</v>
      </c>
      <c r="B80" s="119" t="s">
        <v>25</v>
      </c>
      <c r="C80" s="118" t="s">
        <v>431</v>
      </c>
      <c r="D80" s="118" t="s">
        <v>432</v>
      </c>
      <c r="E80" s="118" t="s">
        <v>233</v>
      </c>
      <c r="F80" s="90" t="s">
        <v>234</v>
      </c>
      <c r="G80" s="118" t="s">
        <v>427</v>
      </c>
      <c r="H80" s="120" t="n">
        <f aca="false">IFERROR(INDEX(Schedule!$E$2:$E$147,MATCH($G80,Schedule!$A$2:$A$147,0)),"")</f>
        <v>45017</v>
      </c>
      <c r="I80" s="120" t="n">
        <f aca="false">IFERROR(INDEX(Schedule!$F$2:$F$147,MATCH($G80,Schedule!$A$2:$A$147,0)),"")</f>
        <v>45138</v>
      </c>
      <c r="J80" s="92"/>
      <c r="K80" s="92"/>
      <c r="L80" s="92"/>
      <c r="M80" s="92"/>
      <c r="N80" s="92"/>
      <c r="O80" s="90" t="n">
        <v>1</v>
      </c>
      <c r="P80" s="121" t="n">
        <f aca="false">IFERROR((IF(OR(ISNUMBER(J80),UPPER(TRIM(J80))="N/A"),1,0)*IF($W80="N",0,INDEX('Rules of Credit'!$B$5:$F$8,MATCH($F80,'Rules of Credit'!$A$5:$A$8,0),1))+IF(OR(ISNUMBER(K80),UPPER(TRIM(K80))="N/A"),1,0)*INDEX('Rules of Credit'!$B$5:$F$8,MATCH($F80,'Rules of Credit'!$A$5:$A$8,0),2)+IF(OR(ISNUMBER(L80),UPPER(TRIM(L80))="N/A"),1,0)*INDEX('Rules of Credit'!$B$5:$F$8,MATCH($F80,'Rules of Credit'!$A$5:$A$8,0),3)+IF(OR(ISNUMBER(M80),UPPER(TRIM(M80))="N/A"),1,0)*IF($X80="N",0,INDEX('Rules of Credit'!$B$5:$F$8,MATCH($F80,'Rules of Credit'!$A$5:$A$8,0),4))+IF(OR(ISNUMBER(N80),UPPER(TRIM(N80))="N/A"),1,0)*INDEX('Rules of Credit'!$B$5:$F$8,MATCH($F80,'Rules of Credit'!$A$5:$A$8,0),5))/(IF($W80="N",0,INDEX('Rules of Credit'!$B$5:$F$8,MATCH($F80,'Rules of Credit'!$A$5:$A$8,0),1))+INDEX('Rules of Credit'!$B$5:$F$8,MATCH($F80,'Rules of Credit'!$A$5:$A$8,0),2)+INDEX('Rules of Credit'!$B$5:$F$8,MATCH($F80,'Rules of Credit'!$A$5:$A$8,0),3)+IF($X80="N",0,INDEX('Rules of Credit'!$B$5:$F$8,MATCH($F80,'Rules of Credit'!$A$5:$A$8,0),4))+INDEX('Rules of Credit'!$B$5:$F$8,MATCH($F80,'Rules of Credit'!$A$5:$A$8,0),5)),0)</f>
        <v>0</v>
      </c>
      <c r="Q80" s="121" t="n">
        <f aca="false">IF(OR($H80="",$I80=""),0,IF('Tracker Summary'!$C$3&lt;$H80,0,IF('Tracker Summary'!$C$3&gt;=$I80,1,('Tracker Summary'!$C$3-$H80)/($I80-$H80+1))))</f>
        <v>0</v>
      </c>
      <c r="R80" s="121" t="n">
        <f aca="false">P80-Q80</f>
        <v>0</v>
      </c>
      <c r="S80" s="118" t="str">
        <f aca="false">IF($I80="","Not scheduled",IF(P80&gt;=1,"Complete",IF('Tracker Summary'!$C$3&gt;$I80,"Overdue",IF(P80-Q80&lt;-0.1,"Behind",IF(AND(P80=0,'Tracker Summary'!$C$3&lt;$H80),"Not started","On track")))))</f>
        <v>Not started</v>
      </c>
      <c r="T80" s="90"/>
      <c r="U80" s="118" t="str">
        <f aca="false">IFERROR(INDEX(Schedule!$D$2:$D$147,MATCH($G80,Schedule!$A$2:$A$147,0)),"")</f>
        <v>Doors, Frames &amp; Hardware — Blower Building</v>
      </c>
      <c r="V80" s="120" t="n">
        <f aca="false">IFERROR(INDEX(Schedule!$F$2:$F$147,MATCH("08-P01",Schedule!$A$2:$A$147,0)),"")</f>
        <v>45016</v>
      </c>
      <c r="W80" s="118" t="s">
        <v>99</v>
      </c>
      <c r="X80" s="118" t="s">
        <v>99</v>
      </c>
      <c r="Y80" s="118" t="n">
        <v>4</v>
      </c>
      <c r="Z80" s="118" t="n">
        <v>3</v>
      </c>
      <c r="AA80" s="118"/>
      <c r="AB80" s="118"/>
      <c r="AC80" s="118" t="s">
        <v>120</v>
      </c>
      <c r="AD80" s="118" t="s">
        <v>236</v>
      </c>
      <c r="AE80" s="118" t="s">
        <v>428</v>
      </c>
      <c r="AF80" s="118" t="s">
        <v>429</v>
      </c>
      <c r="AG80" s="118" t="s">
        <v>430</v>
      </c>
      <c r="AH80" s="118" t="s">
        <v>240</v>
      </c>
    </row>
    <row r="81" customFormat="false" ht="15" hidden="false" customHeight="false" outlineLevel="0" collapsed="false">
      <c r="A81" s="118" t="s">
        <v>60</v>
      </c>
      <c r="B81" s="119" t="s">
        <v>25</v>
      </c>
      <c r="C81" s="118" t="s">
        <v>433</v>
      </c>
      <c r="D81" s="118" t="s">
        <v>434</v>
      </c>
      <c r="E81" s="118" t="s">
        <v>233</v>
      </c>
      <c r="F81" s="90" t="s">
        <v>234</v>
      </c>
      <c r="G81" s="118" t="s">
        <v>427</v>
      </c>
      <c r="H81" s="120" t="n">
        <f aca="false">IFERROR(INDEX(Schedule!$E$2:$E$147,MATCH($G81,Schedule!$A$2:$A$147,0)),"")</f>
        <v>45017</v>
      </c>
      <c r="I81" s="120" t="n">
        <f aca="false">IFERROR(INDEX(Schedule!$F$2:$F$147,MATCH($G81,Schedule!$A$2:$A$147,0)),"")</f>
        <v>45138</v>
      </c>
      <c r="J81" s="92"/>
      <c r="K81" s="92"/>
      <c r="L81" s="92"/>
      <c r="M81" s="92"/>
      <c r="N81" s="92"/>
      <c r="O81" s="90" t="n">
        <v>1</v>
      </c>
      <c r="P81" s="121" t="n">
        <f aca="false">IFERROR((IF(OR(ISNUMBER(J81),UPPER(TRIM(J81))="N/A"),1,0)*IF($W81="N",0,INDEX('Rules of Credit'!$B$5:$F$8,MATCH($F81,'Rules of Credit'!$A$5:$A$8,0),1))+IF(OR(ISNUMBER(K81),UPPER(TRIM(K81))="N/A"),1,0)*INDEX('Rules of Credit'!$B$5:$F$8,MATCH($F81,'Rules of Credit'!$A$5:$A$8,0),2)+IF(OR(ISNUMBER(L81),UPPER(TRIM(L81))="N/A"),1,0)*INDEX('Rules of Credit'!$B$5:$F$8,MATCH($F81,'Rules of Credit'!$A$5:$A$8,0),3)+IF(OR(ISNUMBER(M81),UPPER(TRIM(M81))="N/A"),1,0)*IF($X81="N",0,INDEX('Rules of Credit'!$B$5:$F$8,MATCH($F81,'Rules of Credit'!$A$5:$A$8,0),4))+IF(OR(ISNUMBER(N81),UPPER(TRIM(N81))="N/A"),1,0)*INDEX('Rules of Credit'!$B$5:$F$8,MATCH($F81,'Rules of Credit'!$A$5:$A$8,0),5))/(IF($W81="N",0,INDEX('Rules of Credit'!$B$5:$F$8,MATCH($F81,'Rules of Credit'!$A$5:$A$8,0),1))+INDEX('Rules of Credit'!$B$5:$F$8,MATCH($F81,'Rules of Credit'!$A$5:$A$8,0),2)+INDEX('Rules of Credit'!$B$5:$F$8,MATCH($F81,'Rules of Credit'!$A$5:$A$8,0),3)+IF($X81="N",0,INDEX('Rules of Credit'!$B$5:$F$8,MATCH($F81,'Rules of Credit'!$A$5:$A$8,0),4))+INDEX('Rules of Credit'!$B$5:$F$8,MATCH($F81,'Rules of Credit'!$A$5:$A$8,0),5)),0)</f>
        <v>0</v>
      </c>
      <c r="Q81" s="121" t="n">
        <f aca="false">IF(OR($H81="",$I81=""),0,IF('Tracker Summary'!$C$3&lt;$H81,0,IF('Tracker Summary'!$C$3&gt;=$I81,1,('Tracker Summary'!$C$3-$H81)/($I81-$H81+1))))</f>
        <v>0</v>
      </c>
      <c r="R81" s="121" t="n">
        <f aca="false">P81-Q81</f>
        <v>0</v>
      </c>
      <c r="S81" s="118" t="str">
        <f aca="false">IF($I81="","Not scheduled",IF(P81&gt;=1,"Complete",IF('Tracker Summary'!$C$3&gt;$I81,"Overdue",IF(P81-Q81&lt;-0.1,"Behind",IF(AND(P81=0,'Tracker Summary'!$C$3&lt;$H81),"Not started","On track")))))</f>
        <v>Not started</v>
      </c>
      <c r="T81" s="90"/>
      <c r="U81" s="118" t="str">
        <f aca="false">IFERROR(INDEX(Schedule!$D$2:$D$147,MATCH($G81,Schedule!$A$2:$A$147,0)),"")</f>
        <v>Doors, Frames &amp; Hardware — Blower Building</v>
      </c>
      <c r="V81" s="120" t="n">
        <f aca="false">IFERROR(INDEX(Schedule!$F$2:$F$147,MATCH("08-P01",Schedule!$A$2:$A$147,0)),"")</f>
        <v>45016</v>
      </c>
      <c r="W81" s="118" t="s">
        <v>99</v>
      </c>
      <c r="X81" s="118" t="s">
        <v>99</v>
      </c>
      <c r="Y81" s="118" t="n">
        <v>4</v>
      </c>
      <c r="Z81" s="118" t="n">
        <v>3</v>
      </c>
      <c r="AA81" s="118"/>
      <c r="AB81" s="118"/>
      <c r="AC81" s="118" t="s">
        <v>120</v>
      </c>
      <c r="AD81" s="118" t="s">
        <v>236</v>
      </c>
      <c r="AE81" s="118" t="s">
        <v>428</v>
      </c>
      <c r="AF81" s="118" t="s">
        <v>429</v>
      </c>
      <c r="AG81" s="118" t="s">
        <v>430</v>
      </c>
      <c r="AH81" s="118" t="s">
        <v>240</v>
      </c>
    </row>
    <row r="82" customFormat="false" ht="15" hidden="false" customHeight="false" outlineLevel="0" collapsed="false">
      <c r="A82" s="118" t="s">
        <v>60</v>
      </c>
      <c r="B82" s="119" t="s">
        <v>25</v>
      </c>
      <c r="C82" s="118" t="s">
        <v>435</v>
      </c>
      <c r="D82" s="118" t="s">
        <v>436</v>
      </c>
      <c r="E82" s="118" t="s">
        <v>233</v>
      </c>
      <c r="F82" s="90" t="s">
        <v>234</v>
      </c>
      <c r="G82" s="118" t="s">
        <v>427</v>
      </c>
      <c r="H82" s="120" t="n">
        <f aca="false">IFERROR(INDEX(Schedule!$E$2:$E$147,MATCH($G82,Schedule!$A$2:$A$147,0)),"")</f>
        <v>45017</v>
      </c>
      <c r="I82" s="120" t="n">
        <f aca="false">IFERROR(INDEX(Schedule!$F$2:$F$147,MATCH($G82,Schedule!$A$2:$A$147,0)),"")</f>
        <v>45138</v>
      </c>
      <c r="J82" s="92"/>
      <c r="K82" s="92"/>
      <c r="L82" s="92"/>
      <c r="M82" s="92"/>
      <c r="N82" s="92"/>
      <c r="O82" s="90" t="n">
        <v>1</v>
      </c>
      <c r="P82" s="121" t="n">
        <f aca="false">IFERROR((IF(OR(ISNUMBER(J82),UPPER(TRIM(J82))="N/A"),1,0)*IF($W82="N",0,INDEX('Rules of Credit'!$B$5:$F$8,MATCH($F82,'Rules of Credit'!$A$5:$A$8,0),1))+IF(OR(ISNUMBER(K82),UPPER(TRIM(K82))="N/A"),1,0)*INDEX('Rules of Credit'!$B$5:$F$8,MATCH($F82,'Rules of Credit'!$A$5:$A$8,0),2)+IF(OR(ISNUMBER(L82),UPPER(TRIM(L82))="N/A"),1,0)*INDEX('Rules of Credit'!$B$5:$F$8,MATCH($F82,'Rules of Credit'!$A$5:$A$8,0),3)+IF(OR(ISNUMBER(M82),UPPER(TRIM(M82))="N/A"),1,0)*IF($X82="N",0,INDEX('Rules of Credit'!$B$5:$F$8,MATCH($F82,'Rules of Credit'!$A$5:$A$8,0),4))+IF(OR(ISNUMBER(N82),UPPER(TRIM(N82))="N/A"),1,0)*INDEX('Rules of Credit'!$B$5:$F$8,MATCH($F82,'Rules of Credit'!$A$5:$A$8,0),5))/(IF($W82="N",0,INDEX('Rules of Credit'!$B$5:$F$8,MATCH($F82,'Rules of Credit'!$A$5:$A$8,0),1))+INDEX('Rules of Credit'!$B$5:$F$8,MATCH($F82,'Rules of Credit'!$A$5:$A$8,0),2)+INDEX('Rules of Credit'!$B$5:$F$8,MATCH($F82,'Rules of Credit'!$A$5:$A$8,0),3)+IF($X82="N",0,INDEX('Rules of Credit'!$B$5:$F$8,MATCH($F82,'Rules of Credit'!$A$5:$A$8,0),4))+INDEX('Rules of Credit'!$B$5:$F$8,MATCH($F82,'Rules of Credit'!$A$5:$A$8,0),5)),0)</f>
        <v>0</v>
      </c>
      <c r="Q82" s="121" t="n">
        <f aca="false">IF(OR($H82="",$I82=""),0,IF('Tracker Summary'!$C$3&lt;$H82,0,IF('Tracker Summary'!$C$3&gt;=$I82,1,('Tracker Summary'!$C$3-$H82)/($I82-$H82+1))))</f>
        <v>0</v>
      </c>
      <c r="R82" s="121" t="n">
        <f aca="false">P82-Q82</f>
        <v>0</v>
      </c>
      <c r="S82" s="118" t="str">
        <f aca="false">IF($I82="","Not scheduled",IF(P82&gt;=1,"Complete",IF('Tracker Summary'!$C$3&gt;$I82,"Overdue",IF(P82-Q82&lt;-0.1,"Behind",IF(AND(P82=0,'Tracker Summary'!$C$3&lt;$H82),"Not started","On track")))))</f>
        <v>Not started</v>
      </c>
      <c r="T82" s="90"/>
      <c r="U82" s="118" t="str">
        <f aca="false">IFERROR(INDEX(Schedule!$D$2:$D$147,MATCH($G82,Schedule!$A$2:$A$147,0)),"")</f>
        <v>Doors, Frames &amp; Hardware — Blower Building</v>
      </c>
      <c r="V82" s="120" t="n">
        <f aca="false">IFERROR(INDEX(Schedule!$F$2:$F$147,MATCH("08-P01",Schedule!$A$2:$A$147,0)),"")</f>
        <v>45016</v>
      </c>
      <c r="W82" s="118" t="s">
        <v>99</v>
      </c>
      <c r="X82" s="118" t="s">
        <v>91</v>
      </c>
      <c r="Y82" s="118" t="n">
        <v>1</v>
      </c>
      <c r="Z82" s="118" t="n">
        <v>0</v>
      </c>
      <c r="AA82" s="118"/>
      <c r="AB82" s="118" t="s">
        <v>437</v>
      </c>
      <c r="AC82" s="118" t="s">
        <v>92</v>
      </c>
      <c r="AD82" s="118" t="s">
        <v>236</v>
      </c>
      <c r="AE82" s="118"/>
      <c r="AF82" s="118" t="s">
        <v>438</v>
      </c>
      <c r="AG82" s="118" t="s">
        <v>438</v>
      </c>
      <c r="AH82" s="118" t="s">
        <v>240</v>
      </c>
    </row>
    <row r="83" customFormat="false" ht="15" hidden="false" customHeight="false" outlineLevel="0" collapsed="false">
      <c r="A83" s="122" t="s">
        <v>85</v>
      </c>
      <c r="B83" s="122" t="s">
        <v>27</v>
      </c>
      <c r="C83" s="122" t="s">
        <v>28</v>
      </c>
      <c r="D83" s="122" t="str">
        <f aca="false">COUNTIF(A84:A84,"Item")&amp;" items · "&amp;COUNTIF(S84:S84,"Overdue")&amp;" overdue · "&amp;COUNTIF(S84:S84,"Complete")&amp;" complete"</f>
        <v>1 items · 0 overdue · 0 complete</v>
      </c>
      <c r="E83" s="122"/>
      <c r="F83" s="122"/>
      <c r="G83" s="122"/>
      <c r="H83" s="123" t="n">
        <f aca="false">MIN(H84:H84)</f>
        <v>45078</v>
      </c>
      <c r="I83" s="123" t="n">
        <f aca="false">MAX(I84:I84)</f>
        <v>45224</v>
      </c>
      <c r="J83" s="123"/>
      <c r="K83" s="123"/>
      <c r="L83" s="123"/>
      <c r="M83" s="123"/>
      <c r="N83" s="123"/>
      <c r="O83" s="122" t="n">
        <f aca="false">SUM(O84:O84)</f>
        <v>1</v>
      </c>
      <c r="P83" s="124" t="n">
        <f aca="false">IFERROR(SUMPRODUCT(O84:O84,P84:P84)/SUM(O84:O84),0)</f>
        <v>0</v>
      </c>
      <c r="Q83" s="124" t="n">
        <f aca="false">IFERROR(SUMPRODUCT(O84:O84,Q84:Q84)/SUM(O84:O84),0)</f>
        <v>0</v>
      </c>
      <c r="R83" s="124" t="n">
        <f aca="false">P83-Q83</f>
        <v>0</v>
      </c>
      <c r="S83" s="122"/>
      <c r="T83" s="122"/>
      <c r="U83" s="122"/>
      <c r="V83" s="123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</row>
    <row r="84" customFormat="false" ht="15" hidden="false" customHeight="false" outlineLevel="0" collapsed="false">
      <c r="A84" s="125" t="s">
        <v>60</v>
      </c>
      <c r="B84" s="126" t="s">
        <v>27</v>
      </c>
      <c r="C84" s="125" t="s">
        <v>439</v>
      </c>
      <c r="D84" s="125" t="s">
        <v>440</v>
      </c>
      <c r="E84" s="125" t="s">
        <v>334</v>
      </c>
      <c r="F84" s="90" t="s">
        <v>234</v>
      </c>
      <c r="G84" s="125" t="s">
        <v>441</v>
      </c>
      <c r="H84" s="127" t="n">
        <f aca="false">IFERROR(INDEX(Schedule!$E$2:$E$147,MATCH($G84,Schedule!$A$2:$A$147,0)),"")</f>
        <v>45078</v>
      </c>
      <c r="I84" s="127" t="n">
        <f aca="false">IFERROR(INDEX(Schedule!$F$2:$F$147,MATCH($G84,Schedule!$A$2:$A$147,0)),"")</f>
        <v>45224</v>
      </c>
      <c r="J84" s="92"/>
      <c r="K84" s="92"/>
      <c r="L84" s="92"/>
      <c r="M84" s="92"/>
      <c r="N84" s="92"/>
      <c r="O84" s="90" t="n">
        <v>1</v>
      </c>
      <c r="P84" s="128" t="n">
        <f aca="false">IFERROR((IF(OR(ISNUMBER(J84),UPPER(TRIM(J84))="N/A"),1,0)*IF($W84="N",0,INDEX('Rules of Credit'!$B$5:$F$8,MATCH($F84,'Rules of Credit'!$A$5:$A$8,0),1))+IF(OR(ISNUMBER(K84),UPPER(TRIM(K84))="N/A"),1,0)*INDEX('Rules of Credit'!$B$5:$F$8,MATCH($F84,'Rules of Credit'!$A$5:$A$8,0),2)+IF(OR(ISNUMBER(L84),UPPER(TRIM(L84))="N/A"),1,0)*INDEX('Rules of Credit'!$B$5:$F$8,MATCH($F84,'Rules of Credit'!$A$5:$A$8,0),3)+IF(OR(ISNUMBER(M84),UPPER(TRIM(M84))="N/A"),1,0)*IF($X84="N",0,INDEX('Rules of Credit'!$B$5:$F$8,MATCH($F84,'Rules of Credit'!$A$5:$A$8,0),4))+IF(OR(ISNUMBER(N84),UPPER(TRIM(N84))="N/A"),1,0)*INDEX('Rules of Credit'!$B$5:$F$8,MATCH($F84,'Rules of Credit'!$A$5:$A$8,0),5))/(IF($W84="N",0,INDEX('Rules of Credit'!$B$5:$F$8,MATCH($F84,'Rules of Credit'!$A$5:$A$8,0),1))+INDEX('Rules of Credit'!$B$5:$F$8,MATCH($F84,'Rules of Credit'!$A$5:$A$8,0),2)+INDEX('Rules of Credit'!$B$5:$F$8,MATCH($F84,'Rules of Credit'!$A$5:$A$8,0),3)+IF($X84="N",0,INDEX('Rules of Credit'!$B$5:$F$8,MATCH($F84,'Rules of Credit'!$A$5:$A$8,0),4))+INDEX('Rules of Credit'!$B$5:$F$8,MATCH($F84,'Rules of Credit'!$A$5:$A$8,0),5)),0)</f>
        <v>0</v>
      </c>
      <c r="Q84" s="128" t="n">
        <f aca="false">IF(OR($H84="",$I84=""),0,IF('Tracker Summary'!$C$3&lt;$H84,0,IF('Tracker Summary'!$C$3&gt;=$I84,1,('Tracker Summary'!$C$3-$H84)/($I84-$H84+1))))</f>
        <v>0</v>
      </c>
      <c r="R84" s="128" t="n">
        <f aca="false">P84-Q84</f>
        <v>0</v>
      </c>
      <c r="S84" s="125" t="str">
        <f aca="false">IF($I84="","Not scheduled",IF(P84&gt;=1,"Complete",IF('Tracker Summary'!$C$3&gt;$I84,"Overdue",IF(P84-Q84&lt;-0.1,"Behind",IF(AND(P84=0,'Tracker Summary'!$C$3&lt;$H84),"Not started","On track")))))</f>
        <v>Not started</v>
      </c>
      <c r="T84" s="90"/>
      <c r="U84" s="125" t="str">
        <f aca="false">IFERROR(INDEX(Schedule!$D$2:$D$147,MATCH($G84,Schedule!$A$2:$A$147,0)),"")</f>
        <v>Painting &amp; Coatings — Influent pump station and flow splitter</v>
      </c>
      <c r="V84" s="127" t="n">
        <f aca="false">IFERROR(INDEX(Schedule!$F$2:$F$147,MATCH("09-P01",Schedule!$A$2:$A$147,0)),"")</f>
        <v>45077</v>
      </c>
      <c r="W84" s="125" t="s">
        <v>99</v>
      </c>
      <c r="X84" s="125" t="s">
        <v>99</v>
      </c>
      <c r="Y84" s="125" t="n">
        <v>2</v>
      </c>
      <c r="Z84" s="125" t="n">
        <v>1</v>
      </c>
      <c r="AA84" s="125"/>
      <c r="AB84" s="125" t="s">
        <v>442</v>
      </c>
      <c r="AC84" s="125" t="s">
        <v>92</v>
      </c>
      <c r="AD84" s="125" t="s">
        <v>236</v>
      </c>
      <c r="AE84" s="125"/>
      <c r="AF84" s="125" t="s">
        <v>443</v>
      </c>
      <c r="AG84" s="125" t="s">
        <v>443</v>
      </c>
      <c r="AH84" s="125" t="s">
        <v>240</v>
      </c>
    </row>
    <row r="85" customFormat="false" ht="15" hidden="false" customHeight="false" outlineLevel="0" collapsed="false">
      <c r="A85" s="129" t="s">
        <v>85</v>
      </c>
      <c r="B85" s="129" t="s">
        <v>29</v>
      </c>
      <c r="C85" s="129" t="s">
        <v>30</v>
      </c>
      <c r="D85" s="129" t="str">
        <f aca="false">COUNTIF(A86:A88,"Item")&amp;" items · "&amp;COUNTIF(S86:S88,"Overdue")&amp;" overdue · "&amp;COUNTIF(S86:S88,"Complete")&amp;" complete"</f>
        <v>3 items · 0 overdue · 0 complete</v>
      </c>
      <c r="E85" s="129"/>
      <c r="F85" s="129"/>
      <c r="G85" s="129"/>
      <c r="H85" s="130" t="n">
        <f aca="false">MIN(H86:H88)</f>
        <v>45017</v>
      </c>
      <c r="I85" s="130" t="n">
        <f aca="false">MAX(I86:I88)</f>
        <v>45481</v>
      </c>
      <c r="J85" s="130"/>
      <c r="K85" s="130"/>
      <c r="L85" s="130"/>
      <c r="M85" s="130"/>
      <c r="N85" s="130"/>
      <c r="O85" s="129" t="n">
        <f aca="false">SUM(O86:O88)</f>
        <v>3</v>
      </c>
      <c r="P85" s="131" t="n">
        <f aca="false">IFERROR(SUMPRODUCT(O86:O88,P86:P88)/SUM(O86:O88),0)</f>
        <v>0</v>
      </c>
      <c r="Q85" s="131" t="n">
        <f aca="false">IFERROR(SUMPRODUCT(O86:O88,Q86:Q88)/SUM(O86:O88),0)</f>
        <v>0</v>
      </c>
      <c r="R85" s="131" t="n">
        <f aca="false">P85-Q85</f>
        <v>0</v>
      </c>
      <c r="S85" s="129"/>
      <c r="T85" s="129"/>
      <c r="U85" s="129"/>
      <c r="V85" s="130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</row>
    <row r="86" customFormat="false" ht="15" hidden="false" customHeight="false" outlineLevel="0" collapsed="false">
      <c r="A86" s="132" t="s">
        <v>60</v>
      </c>
      <c r="B86" s="133" t="s">
        <v>29</v>
      </c>
      <c r="C86" s="132" t="s">
        <v>444</v>
      </c>
      <c r="D86" s="132" t="s">
        <v>445</v>
      </c>
      <c r="E86" s="132" t="s">
        <v>233</v>
      </c>
      <c r="F86" s="90" t="s">
        <v>234</v>
      </c>
      <c r="G86" s="132" t="s">
        <v>446</v>
      </c>
      <c r="H86" s="134" t="n">
        <f aca="false">IFERROR(INDEX(Schedule!$E$2:$E$147,MATCH($G86,Schedule!$A$2:$A$147,0)),"")</f>
        <v>45017</v>
      </c>
      <c r="I86" s="134" t="n">
        <f aca="false">IFERROR(INDEX(Schedule!$F$2:$F$147,MATCH($G86,Schedule!$A$2:$A$147,0)),"")</f>
        <v>45138</v>
      </c>
      <c r="J86" s="92"/>
      <c r="K86" s="92"/>
      <c r="L86" s="92"/>
      <c r="M86" s="92"/>
      <c r="N86" s="92"/>
      <c r="O86" s="90" t="n">
        <v>1</v>
      </c>
      <c r="P86" s="135" t="n">
        <f aca="false">IFERROR((IF(OR(ISNUMBER(J86),UPPER(TRIM(J86))="N/A"),1,0)*IF($W86="N",0,INDEX('Rules of Credit'!$B$5:$F$8,MATCH($F86,'Rules of Credit'!$A$5:$A$8,0),1))+IF(OR(ISNUMBER(K86),UPPER(TRIM(K86))="N/A"),1,0)*INDEX('Rules of Credit'!$B$5:$F$8,MATCH($F86,'Rules of Credit'!$A$5:$A$8,0),2)+IF(OR(ISNUMBER(L86),UPPER(TRIM(L86))="N/A"),1,0)*INDEX('Rules of Credit'!$B$5:$F$8,MATCH($F86,'Rules of Credit'!$A$5:$A$8,0),3)+IF(OR(ISNUMBER(M86),UPPER(TRIM(M86))="N/A"),1,0)*IF($X86="N",0,INDEX('Rules of Credit'!$B$5:$F$8,MATCH($F86,'Rules of Credit'!$A$5:$A$8,0),4))+IF(OR(ISNUMBER(N86),UPPER(TRIM(N86))="N/A"),1,0)*INDEX('Rules of Credit'!$B$5:$F$8,MATCH($F86,'Rules of Credit'!$A$5:$A$8,0),5))/(IF($W86="N",0,INDEX('Rules of Credit'!$B$5:$F$8,MATCH($F86,'Rules of Credit'!$A$5:$A$8,0),1))+INDEX('Rules of Credit'!$B$5:$F$8,MATCH($F86,'Rules of Credit'!$A$5:$A$8,0),2)+INDEX('Rules of Credit'!$B$5:$F$8,MATCH($F86,'Rules of Credit'!$A$5:$A$8,0),3)+IF($X86="N",0,INDEX('Rules of Credit'!$B$5:$F$8,MATCH($F86,'Rules of Credit'!$A$5:$A$8,0),4))+INDEX('Rules of Credit'!$B$5:$F$8,MATCH($F86,'Rules of Credit'!$A$5:$A$8,0),5)),0)</f>
        <v>0</v>
      </c>
      <c r="Q86" s="135" t="n">
        <f aca="false">IF(OR($H86="",$I86=""),0,IF('Tracker Summary'!$C$3&lt;$H86,0,IF('Tracker Summary'!$C$3&gt;=$I86,1,('Tracker Summary'!$C$3-$H86)/($I86-$H86+1))))</f>
        <v>0</v>
      </c>
      <c r="R86" s="135" t="n">
        <f aca="false">P86-Q86</f>
        <v>0</v>
      </c>
      <c r="S86" s="132" t="str">
        <f aca="false">IF($I86="","Not scheduled",IF(P86&gt;=1,"Complete",IF('Tracker Summary'!$C$3&gt;$I86,"Overdue",IF(P86-Q86&lt;-0.1,"Behind",IF(AND(P86=0,'Tracker Summary'!$C$3&lt;$H86),"Not started","On track")))))</f>
        <v>Not started</v>
      </c>
      <c r="T86" s="90"/>
      <c r="U86" s="132" t="str">
        <f aca="false">IFERROR(INDEX(Schedule!$D$2:$D$147,MATCH($G86,Schedule!$A$2:$A$147,0)),"")</f>
        <v>Specialties — Blower Building</v>
      </c>
      <c r="V86" s="134" t="n">
        <f aca="false">IFERROR(INDEX(Schedule!$F$2:$F$147,MATCH("10-P01",Schedule!$A$2:$A$147,0)),"")</f>
        <v>45016</v>
      </c>
      <c r="W86" s="132" t="s">
        <v>99</v>
      </c>
      <c r="X86" s="132" t="s">
        <v>99</v>
      </c>
      <c r="Y86" s="132" t="n">
        <v>2</v>
      </c>
      <c r="Z86" s="132" t="n">
        <v>1</v>
      </c>
      <c r="AA86" s="132"/>
      <c r="AB86" s="132"/>
      <c r="AC86" s="132" t="s">
        <v>92</v>
      </c>
      <c r="AD86" s="132" t="s">
        <v>236</v>
      </c>
      <c r="AE86" s="132" t="s">
        <v>447</v>
      </c>
      <c r="AF86" s="132" t="s">
        <v>448</v>
      </c>
      <c r="AG86" s="132" t="s">
        <v>449</v>
      </c>
      <c r="AH86" s="132" t="s">
        <v>240</v>
      </c>
    </row>
    <row r="87" customFormat="false" ht="15" hidden="false" customHeight="false" outlineLevel="0" collapsed="false">
      <c r="A87" s="132" t="s">
        <v>60</v>
      </c>
      <c r="B87" s="133" t="s">
        <v>29</v>
      </c>
      <c r="C87" s="132" t="s">
        <v>450</v>
      </c>
      <c r="D87" s="132" t="s">
        <v>451</v>
      </c>
      <c r="E87" s="132" t="s">
        <v>98</v>
      </c>
      <c r="F87" s="90" t="s">
        <v>234</v>
      </c>
      <c r="G87" s="132" t="s">
        <v>452</v>
      </c>
      <c r="H87" s="134" t="n">
        <f aca="false">IFERROR(INDEX(Schedule!$E$2:$E$147,MATCH($G87,Schedule!$A$2:$A$147,0)),"")</f>
        <v>45017</v>
      </c>
      <c r="I87" s="134" t="n">
        <f aca="false">IFERROR(INDEX(Schedule!$F$2:$F$147,MATCH($G87,Schedule!$A$2:$A$147,0)),"")</f>
        <v>45231</v>
      </c>
      <c r="J87" s="92"/>
      <c r="K87" s="92"/>
      <c r="L87" s="92"/>
      <c r="M87" s="92"/>
      <c r="N87" s="92"/>
      <c r="O87" s="90" t="n">
        <v>1</v>
      </c>
      <c r="P87" s="135" t="n">
        <f aca="false">IFERROR((IF(OR(ISNUMBER(J87),UPPER(TRIM(J87))="N/A"),1,0)*IF($W87="N",0,INDEX('Rules of Credit'!$B$5:$F$8,MATCH($F87,'Rules of Credit'!$A$5:$A$8,0),1))+IF(OR(ISNUMBER(K87),UPPER(TRIM(K87))="N/A"),1,0)*INDEX('Rules of Credit'!$B$5:$F$8,MATCH($F87,'Rules of Credit'!$A$5:$A$8,0),2)+IF(OR(ISNUMBER(L87),UPPER(TRIM(L87))="N/A"),1,0)*INDEX('Rules of Credit'!$B$5:$F$8,MATCH($F87,'Rules of Credit'!$A$5:$A$8,0),3)+IF(OR(ISNUMBER(M87),UPPER(TRIM(M87))="N/A"),1,0)*IF($X87="N",0,INDEX('Rules of Credit'!$B$5:$F$8,MATCH($F87,'Rules of Credit'!$A$5:$A$8,0),4))+IF(OR(ISNUMBER(N87),UPPER(TRIM(N87))="N/A"),1,0)*INDEX('Rules of Credit'!$B$5:$F$8,MATCH($F87,'Rules of Credit'!$A$5:$A$8,0),5))/(IF($W87="N",0,INDEX('Rules of Credit'!$B$5:$F$8,MATCH($F87,'Rules of Credit'!$A$5:$A$8,0),1))+INDEX('Rules of Credit'!$B$5:$F$8,MATCH($F87,'Rules of Credit'!$A$5:$A$8,0),2)+INDEX('Rules of Credit'!$B$5:$F$8,MATCH($F87,'Rules of Credit'!$A$5:$A$8,0),3)+IF($X87="N",0,INDEX('Rules of Credit'!$B$5:$F$8,MATCH($F87,'Rules of Credit'!$A$5:$A$8,0),4))+INDEX('Rules of Credit'!$B$5:$F$8,MATCH($F87,'Rules of Credit'!$A$5:$A$8,0),5)),0)</f>
        <v>0</v>
      </c>
      <c r="Q87" s="135" t="n">
        <f aca="false">IF(OR($H87="",$I87=""),0,IF('Tracker Summary'!$C$3&lt;$H87,0,IF('Tracker Summary'!$C$3&gt;=$I87,1,('Tracker Summary'!$C$3-$H87)/($I87-$H87+1))))</f>
        <v>0</v>
      </c>
      <c r="R87" s="135" t="n">
        <f aca="false">P87-Q87</f>
        <v>0</v>
      </c>
      <c r="S87" s="132" t="str">
        <f aca="false">IF($I87="","Not scheduled",IF(P87&gt;=1,"Complete",IF('Tracker Summary'!$C$3&gt;$I87,"Overdue",IF(P87-Q87&lt;-0.1,"Behind",IF(AND(P87=0,'Tracker Summary'!$C$3&lt;$H87),"Not started","On track")))))</f>
        <v>Not started</v>
      </c>
      <c r="T87" s="90"/>
      <c r="U87" s="132" t="str">
        <f aca="false">IFERROR(INDEX(Schedule!$D$2:$D$147,MATCH($G87,Schedule!$A$2:$A$147,0)),"")</f>
        <v>Specialties — Yard piping, vaults and site utilities</v>
      </c>
      <c r="V87" s="134" t="n">
        <f aca="false">IFERROR(INDEX(Schedule!$F$2:$F$147,MATCH("10-P01",Schedule!$A$2:$A$147,0)),"")</f>
        <v>45016</v>
      </c>
      <c r="W87" s="132" t="s">
        <v>91</v>
      </c>
      <c r="X87" s="132" t="s">
        <v>91</v>
      </c>
      <c r="Y87" s="132" t="n">
        <v>0</v>
      </c>
      <c r="Z87" s="132" t="n">
        <v>0</v>
      </c>
      <c r="AA87" s="132"/>
      <c r="AB87" s="132" t="s">
        <v>453</v>
      </c>
      <c r="AC87" s="132" t="s">
        <v>92</v>
      </c>
      <c r="AD87" s="132" t="s">
        <v>93</v>
      </c>
      <c r="AE87" s="132" t="s">
        <v>454</v>
      </c>
      <c r="AF87" s="132"/>
      <c r="AG87" s="132" t="s">
        <v>455</v>
      </c>
      <c r="AH87" s="132" t="s">
        <v>95</v>
      </c>
    </row>
    <row r="88" customFormat="false" ht="15" hidden="false" customHeight="false" outlineLevel="0" collapsed="false">
      <c r="A88" s="132" t="s">
        <v>60</v>
      </c>
      <c r="B88" s="133" t="s">
        <v>29</v>
      </c>
      <c r="C88" s="132" t="s">
        <v>456</v>
      </c>
      <c r="D88" s="132" t="s">
        <v>457</v>
      </c>
      <c r="E88" s="132" t="s">
        <v>376</v>
      </c>
      <c r="F88" s="90" t="s">
        <v>234</v>
      </c>
      <c r="G88" s="132" t="s">
        <v>458</v>
      </c>
      <c r="H88" s="134" t="n">
        <f aca="false">IFERROR(INDEX(Schedule!$E$2:$E$147,MATCH($G88,Schedule!$A$2:$A$147,0)),"")</f>
        <v>45139</v>
      </c>
      <c r="I88" s="134" t="n">
        <f aca="false">IFERROR(INDEX(Schedule!$F$2:$F$147,MATCH($G88,Schedule!$A$2:$A$147,0)),"")</f>
        <v>45481</v>
      </c>
      <c r="J88" s="92"/>
      <c r="K88" s="92"/>
      <c r="L88" s="92"/>
      <c r="M88" s="92"/>
      <c r="N88" s="92"/>
      <c r="O88" s="90" t="n">
        <v>1</v>
      </c>
      <c r="P88" s="135" t="n">
        <f aca="false">IFERROR((IF(OR(ISNUMBER(J88),UPPER(TRIM(J88))="N/A"),1,0)*IF($W88="N",0,INDEX('Rules of Credit'!$B$5:$F$8,MATCH($F88,'Rules of Credit'!$A$5:$A$8,0),1))+IF(OR(ISNUMBER(K88),UPPER(TRIM(K88))="N/A"),1,0)*INDEX('Rules of Credit'!$B$5:$F$8,MATCH($F88,'Rules of Credit'!$A$5:$A$8,0),2)+IF(OR(ISNUMBER(L88),UPPER(TRIM(L88))="N/A"),1,0)*INDEX('Rules of Credit'!$B$5:$F$8,MATCH($F88,'Rules of Credit'!$A$5:$A$8,0),3)+IF(OR(ISNUMBER(M88),UPPER(TRIM(M88))="N/A"),1,0)*IF($X88="N",0,INDEX('Rules of Credit'!$B$5:$F$8,MATCH($F88,'Rules of Credit'!$A$5:$A$8,0),4))+IF(OR(ISNUMBER(N88),UPPER(TRIM(N88))="N/A"),1,0)*INDEX('Rules of Credit'!$B$5:$F$8,MATCH($F88,'Rules of Credit'!$A$5:$A$8,0),5))/(IF($W88="N",0,INDEX('Rules of Credit'!$B$5:$F$8,MATCH($F88,'Rules of Credit'!$A$5:$A$8,0),1))+INDEX('Rules of Credit'!$B$5:$F$8,MATCH($F88,'Rules of Credit'!$A$5:$A$8,0),2)+INDEX('Rules of Credit'!$B$5:$F$8,MATCH($F88,'Rules of Credit'!$A$5:$A$8,0),3)+IF($X88="N",0,INDEX('Rules of Credit'!$B$5:$F$8,MATCH($F88,'Rules of Credit'!$A$5:$A$8,0),4))+INDEX('Rules of Credit'!$B$5:$F$8,MATCH($F88,'Rules of Credit'!$A$5:$A$8,0),5)),0)</f>
        <v>0</v>
      </c>
      <c r="Q88" s="135" t="n">
        <f aca="false">IF(OR($H88="",$I88=""),0,IF('Tracker Summary'!$C$3&lt;$H88,0,IF('Tracker Summary'!$C$3&gt;=$I88,1,('Tracker Summary'!$C$3-$H88)/($I88-$H88+1))))</f>
        <v>0</v>
      </c>
      <c r="R88" s="135" t="n">
        <f aca="false">P88-Q88</f>
        <v>0</v>
      </c>
      <c r="S88" s="132" t="str">
        <f aca="false">IF($I88="","Not scheduled",IF(P88&gt;=1,"Complete",IF('Tracker Summary'!$C$3&gt;$I88,"Overdue",IF(P88-Q88&lt;-0.1,"Behind",IF(AND(P88=0,'Tracker Summary'!$C$3&lt;$H88),"Not started","On track")))))</f>
        <v>Not started</v>
      </c>
      <c r="T88" s="90"/>
      <c r="U88" s="132" t="str">
        <f aca="false">IFERROR(INDEX(Schedule!$D$2:$D$147,MATCH($G88,Schedule!$A$2:$A$147,0)),"")</f>
        <v>Specialties — Train 3</v>
      </c>
      <c r="V88" s="134" t="n">
        <f aca="false">IFERROR(INDEX(Schedule!$F$2:$F$147,MATCH("10-P01",Schedule!$A$2:$A$147,0)),"")</f>
        <v>45016</v>
      </c>
      <c r="W88" s="132" t="s">
        <v>99</v>
      </c>
      <c r="X88" s="132" t="s">
        <v>99</v>
      </c>
      <c r="Y88" s="132" t="n">
        <v>2</v>
      </c>
      <c r="Z88" s="132" t="n">
        <v>2</v>
      </c>
      <c r="AA88" s="132"/>
      <c r="AB88" s="132" t="s">
        <v>459</v>
      </c>
      <c r="AC88" s="132" t="s">
        <v>120</v>
      </c>
      <c r="AD88" s="132" t="s">
        <v>460</v>
      </c>
      <c r="AE88" s="132" t="s">
        <v>461</v>
      </c>
      <c r="AF88" s="132" t="s">
        <v>462</v>
      </c>
      <c r="AG88" s="132" t="s">
        <v>463</v>
      </c>
      <c r="AH88" s="132" t="s">
        <v>213</v>
      </c>
    </row>
    <row r="89" customFormat="false" ht="15" hidden="false" customHeight="false" outlineLevel="0" collapsed="false">
      <c r="A89" s="136" t="s">
        <v>85</v>
      </c>
      <c r="B89" s="136" t="s">
        <v>31</v>
      </c>
      <c r="C89" s="136" t="s">
        <v>32</v>
      </c>
      <c r="D89" s="136" t="str">
        <f aca="false">COUNTIF(A90:A96,"Item")&amp;" items · "&amp;COUNTIF(S90:S96,"Overdue")&amp;" overdue · "&amp;COUNTIF(S90:S96,"Complete")&amp;" complete"</f>
        <v>7 items · 0 overdue · 0 complete</v>
      </c>
      <c r="E89" s="136"/>
      <c r="F89" s="136"/>
      <c r="G89" s="136"/>
      <c r="H89" s="137" t="n">
        <f aca="false">MIN(H90:H96)</f>
        <v>45017</v>
      </c>
      <c r="I89" s="137" t="n">
        <f aca="false">MAX(I90:I96)</f>
        <v>45443</v>
      </c>
      <c r="J89" s="137"/>
      <c r="K89" s="137"/>
      <c r="L89" s="137"/>
      <c r="M89" s="137"/>
      <c r="N89" s="137"/>
      <c r="O89" s="136" t="n">
        <f aca="false">SUM(O90:O96)</f>
        <v>7</v>
      </c>
      <c r="P89" s="138" t="n">
        <f aca="false">IFERROR(SUMPRODUCT(O90:O96,P90:P96)/SUM(O90:O96),0)</f>
        <v>0</v>
      </c>
      <c r="Q89" s="138" t="n">
        <f aca="false">IFERROR(SUMPRODUCT(O90:O96,Q90:Q96)/SUM(O90:O96),0)</f>
        <v>0</v>
      </c>
      <c r="R89" s="138" t="n">
        <f aca="false">P89-Q89</f>
        <v>0</v>
      </c>
      <c r="S89" s="136"/>
      <c r="T89" s="136"/>
      <c r="U89" s="136"/>
      <c r="V89" s="137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</row>
    <row r="90" customFormat="false" ht="15" hidden="false" customHeight="false" outlineLevel="0" collapsed="false">
      <c r="A90" s="139" t="s">
        <v>60</v>
      </c>
      <c r="B90" s="140" t="s">
        <v>31</v>
      </c>
      <c r="C90" s="139" t="s">
        <v>464</v>
      </c>
      <c r="D90" s="139" t="s">
        <v>465</v>
      </c>
      <c r="E90" s="139" t="s">
        <v>233</v>
      </c>
      <c r="F90" s="90" t="s">
        <v>234</v>
      </c>
      <c r="G90" s="139" t="s">
        <v>466</v>
      </c>
      <c r="H90" s="141" t="n">
        <f aca="false">IFERROR(INDEX(Schedule!$E$2:$E$147,MATCH($G90,Schedule!$A$2:$A$147,0)),"")</f>
        <v>45017</v>
      </c>
      <c r="I90" s="141" t="n">
        <f aca="false">IFERROR(INDEX(Schedule!$F$2:$F$147,MATCH($G90,Schedule!$A$2:$A$147,0)),"")</f>
        <v>45138</v>
      </c>
      <c r="J90" s="92"/>
      <c r="K90" s="92"/>
      <c r="L90" s="92"/>
      <c r="M90" s="92"/>
      <c r="N90" s="92"/>
      <c r="O90" s="90" t="n">
        <v>1</v>
      </c>
      <c r="P90" s="142" t="n">
        <f aca="false">IFERROR((IF(OR(ISNUMBER(J90),UPPER(TRIM(J90))="N/A"),1,0)*IF($W90="N",0,INDEX('Rules of Credit'!$B$5:$F$8,MATCH($F90,'Rules of Credit'!$A$5:$A$8,0),1))+IF(OR(ISNUMBER(K90),UPPER(TRIM(K90))="N/A"),1,0)*INDEX('Rules of Credit'!$B$5:$F$8,MATCH($F90,'Rules of Credit'!$A$5:$A$8,0),2)+IF(OR(ISNUMBER(L90),UPPER(TRIM(L90))="N/A"),1,0)*INDEX('Rules of Credit'!$B$5:$F$8,MATCH($F90,'Rules of Credit'!$A$5:$A$8,0),3)+IF(OR(ISNUMBER(M90),UPPER(TRIM(M90))="N/A"),1,0)*IF($X90="N",0,INDEX('Rules of Credit'!$B$5:$F$8,MATCH($F90,'Rules of Credit'!$A$5:$A$8,0),4))+IF(OR(ISNUMBER(N90),UPPER(TRIM(N90))="N/A"),1,0)*INDEX('Rules of Credit'!$B$5:$F$8,MATCH($F90,'Rules of Credit'!$A$5:$A$8,0),5))/(IF($W90="N",0,INDEX('Rules of Credit'!$B$5:$F$8,MATCH($F90,'Rules of Credit'!$A$5:$A$8,0),1))+INDEX('Rules of Credit'!$B$5:$F$8,MATCH($F90,'Rules of Credit'!$A$5:$A$8,0),2)+INDEX('Rules of Credit'!$B$5:$F$8,MATCH($F90,'Rules of Credit'!$A$5:$A$8,0),3)+IF($X90="N",0,INDEX('Rules of Credit'!$B$5:$F$8,MATCH($F90,'Rules of Credit'!$A$5:$A$8,0),4))+INDEX('Rules of Credit'!$B$5:$F$8,MATCH($F90,'Rules of Credit'!$A$5:$A$8,0),5)),0)</f>
        <v>0</v>
      </c>
      <c r="Q90" s="142" t="n">
        <f aca="false">IF(OR($H90="",$I90=""),0,IF('Tracker Summary'!$C$3&lt;$H90,0,IF('Tracker Summary'!$C$3&gt;=$I90,1,('Tracker Summary'!$C$3-$H90)/($I90-$H90+1))))</f>
        <v>0</v>
      </c>
      <c r="R90" s="142" t="n">
        <f aca="false">P90-Q90</f>
        <v>0</v>
      </c>
      <c r="S90" s="139" t="str">
        <f aca="false">IF($I90="","Not scheduled",IF(P90&gt;=1,"Complete",IF('Tracker Summary'!$C$3&gt;$I90,"Overdue",IF(P90-Q90&lt;-0.1,"Behind",IF(AND(P90=0,'Tracker Summary'!$C$3&lt;$H90),"Not started","On track")))))</f>
        <v>Not started</v>
      </c>
      <c r="T90" s="90"/>
      <c r="U90" s="139" t="str">
        <f aca="false">IFERROR(INDEX(Schedule!$D$2:$D$147,MATCH($G90,Schedule!$A$2:$A$147,0)),"")</f>
        <v>Pre-Engineered Metal Building — Blower Building</v>
      </c>
      <c r="V90" s="141" t="n">
        <f aca="false">IFERROR(INDEX(Schedule!$F$2:$F$147,MATCH("13-P01",Schedule!$A$2:$A$147,0)),"")</f>
        <v>45016</v>
      </c>
      <c r="W90" s="139" t="s">
        <v>99</v>
      </c>
      <c r="X90" s="139" t="s">
        <v>99</v>
      </c>
      <c r="Y90" s="139" t="n">
        <v>15</v>
      </c>
      <c r="Z90" s="139" t="n">
        <v>13</v>
      </c>
      <c r="AA90" s="139"/>
      <c r="AB90" s="139" t="s">
        <v>467</v>
      </c>
      <c r="AC90" s="139" t="s">
        <v>120</v>
      </c>
      <c r="AD90" s="139" t="s">
        <v>468</v>
      </c>
      <c r="AE90" s="139" t="s">
        <v>469</v>
      </c>
      <c r="AF90" s="139" t="s">
        <v>470</v>
      </c>
      <c r="AG90" s="139" t="s">
        <v>471</v>
      </c>
      <c r="AH90" s="139" t="s">
        <v>472</v>
      </c>
    </row>
    <row r="91" customFormat="false" ht="15" hidden="false" customHeight="false" outlineLevel="0" collapsed="false">
      <c r="A91" s="139" t="s">
        <v>60</v>
      </c>
      <c r="B91" s="140" t="s">
        <v>31</v>
      </c>
      <c r="C91" s="139" t="s">
        <v>473</v>
      </c>
      <c r="D91" s="139" t="s">
        <v>474</v>
      </c>
      <c r="E91" s="139" t="s">
        <v>475</v>
      </c>
      <c r="F91" s="90" t="s">
        <v>149</v>
      </c>
      <c r="G91" s="139" t="s">
        <v>476</v>
      </c>
      <c r="H91" s="141" t="n">
        <f aca="false">IFERROR(INDEX(Schedule!$E$2:$E$147,MATCH($G91,Schedule!$A$2:$A$147,0)),"")</f>
        <v>45017</v>
      </c>
      <c r="I91" s="141" t="n">
        <f aca="false">IFERROR(INDEX(Schedule!$F$2:$F$147,MATCH($G91,Schedule!$A$2:$A$147,0)),"")</f>
        <v>45077</v>
      </c>
      <c r="J91" s="92"/>
      <c r="K91" s="92"/>
      <c r="L91" s="92"/>
      <c r="M91" s="92"/>
      <c r="N91" s="92"/>
      <c r="O91" s="90" t="n">
        <v>1</v>
      </c>
      <c r="P91" s="142" t="n">
        <f aca="false">IFERROR((IF(OR(ISNUMBER(J91),UPPER(TRIM(J91))="N/A"),1,0)*IF($W91="N",0,INDEX('Rules of Credit'!$B$5:$F$8,MATCH($F91,'Rules of Credit'!$A$5:$A$8,0),1))+IF(OR(ISNUMBER(K91),UPPER(TRIM(K91))="N/A"),1,0)*INDEX('Rules of Credit'!$B$5:$F$8,MATCH($F91,'Rules of Credit'!$A$5:$A$8,0),2)+IF(OR(ISNUMBER(L91),UPPER(TRIM(L91))="N/A"),1,0)*INDEX('Rules of Credit'!$B$5:$F$8,MATCH($F91,'Rules of Credit'!$A$5:$A$8,0),3)+IF(OR(ISNUMBER(M91),UPPER(TRIM(M91))="N/A"),1,0)*IF($X91="N",0,INDEX('Rules of Credit'!$B$5:$F$8,MATCH($F91,'Rules of Credit'!$A$5:$A$8,0),4))+IF(OR(ISNUMBER(N91),UPPER(TRIM(N91))="N/A"),1,0)*INDEX('Rules of Credit'!$B$5:$F$8,MATCH($F91,'Rules of Credit'!$A$5:$A$8,0),5))/(IF($W91="N",0,INDEX('Rules of Credit'!$B$5:$F$8,MATCH($F91,'Rules of Credit'!$A$5:$A$8,0),1))+INDEX('Rules of Credit'!$B$5:$F$8,MATCH($F91,'Rules of Credit'!$A$5:$A$8,0),2)+INDEX('Rules of Credit'!$B$5:$F$8,MATCH($F91,'Rules of Credit'!$A$5:$A$8,0),3)+IF($X91="N",0,INDEX('Rules of Credit'!$B$5:$F$8,MATCH($F91,'Rules of Credit'!$A$5:$A$8,0),4))+INDEX('Rules of Credit'!$B$5:$F$8,MATCH($F91,'Rules of Credit'!$A$5:$A$8,0),5)),0)</f>
        <v>0</v>
      </c>
      <c r="Q91" s="142" t="n">
        <f aca="false">IF(OR($H91="",$I91=""),0,IF('Tracker Summary'!$C$3&lt;$H91,0,IF('Tracker Summary'!$C$3&gt;=$I91,1,('Tracker Summary'!$C$3-$H91)/($I91-$H91+1))))</f>
        <v>0</v>
      </c>
      <c r="R91" s="142" t="n">
        <f aca="false">P91-Q91</f>
        <v>0</v>
      </c>
      <c r="S91" s="139" t="str">
        <f aca="false">IF($I91="","Not scheduled",IF(P91&gt;=1,"Complete",IF('Tracker Summary'!$C$3&gt;$I91,"Overdue",IF(P91-Q91&lt;-0.1,"Behind",IF(AND(P91=0,'Tracker Summary'!$C$3&lt;$H91),"Not started","On track")))))</f>
        <v>Not started</v>
      </c>
      <c r="T91" s="90"/>
      <c r="U91" s="139" t="str">
        <f aca="false">IFERROR(INDEX(Schedule!$D$2:$D$147,MATCH($G91,Schedule!$A$2:$A$147,0)),"")</f>
        <v>Pre-Engineered Metal Building — Site demolition ahead of new work</v>
      </c>
      <c r="V91" s="141" t="n">
        <f aca="false">IFERROR(INDEX(Schedule!$F$2:$F$147,MATCH("13-P01",Schedule!$A$2:$A$147,0)),"")</f>
        <v>45016</v>
      </c>
      <c r="W91" s="139" t="s">
        <v>91</v>
      </c>
      <c r="X91" s="139" t="s">
        <v>91</v>
      </c>
      <c r="Y91" s="139" t="n">
        <v>0</v>
      </c>
      <c r="Z91" s="139" t="n">
        <v>0</v>
      </c>
      <c r="AA91" s="139" t="s">
        <v>477</v>
      </c>
      <c r="AB91" s="139" t="s">
        <v>228</v>
      </c>
      <c r="AC91" s="139" t="s">
        <v>92</v>
      </c>
      <c r="AD91" s="139" t="s">
        <v>236</v>
      </c>
      <c r="AE91" s="139" t="s">
        <v>478</v>
      </c>
      <c r="AF91" s="139" t="s">
        <v>479</v>
      </c>
      <c r="AG91" s="139" t="s">
        <v>480</v>
      </c>
      <c r="AH91" s="139" t="s">
        <v>240</v>
      </c>
    </row>
    <row r="92" customFormat="false" ht="15" hidden="false" customHeight="false" outlineLevel="0" collapsed="false">
      <c r="A92" s="139" t="s">
        <v>60</v>
      </c>
      <c r="B92" s="140" t="s">
        <v>31</v>
      </c>
      <c r="C92" s="139" t="s">
        <v>481</v>
      </c>
      <c r="D92" s="139" t="s">
        <v>482</v>
      </c>
      <c r="E92" s="139" t="s">
        <v>475</v>
      </c>
      <c r="F92" s="90" t="s">
        <v>149</v>
      </c>
      <c r="G92" s="139" t="s">
        <v>476</v>
      </c>
      <c r="H92" s="141" t="n">
        <f aca="false">IFERROR(INDEX(Schedule!$E$2:$E$147,MATCH($G92,Schedule!$A$2:$A$147,0)),"")</f>
        <v>45017</v>
      </c>
      <c r="I92" s="141" t="n">
        <f aca="false">IFERROR(INDEX(Schedule!$F$2:$F$147,MATCH($G92,Schedule!$A$2:$A$147,0)),"")</f>
        <v>45077</v>
      </c>
      <c r="J92" s="92"/>
      <c r="K92" s="92"/>
      <c r="L92" s="92"/>
      <c r="M92" s="92"/>
      <c r="N92" s="92"/>
      <c r="O92" s="90" t="n">
        <v>1</v>
      </c>
      <c r="P92" s="142" t="n">
        <f aca="false">IFERROR((IF(OR(ISNUMBER(J92),UPPER(TRIM(J92))="N/A"),1,0)*IF($W92="N",0,INDEX('Rules of Credit'!$B$5:$F$8,MATCH($F92,'Rules of Credit'!$A$5:$A$8,0),1))+IF(OR(ISNUMBER(K92),UPPER(TRIM(K92))="N/A"),1,0)*INDEX('Rules of Credit'!$B$5:$F$8,MATCH($F92,'Rules of Credit'!$A$5:$A$8,0),2)+IF(OR(ISNUMBER(L92),UPPER(TRIM(L92))="N/A"),1,0)*INDEX('Rules of Credit'!$B$5:$F$8,MATCH($F92,'Rules of Credit'!$A$5:$A$8,0),3)+IF(OR(ISNUMBER(M92),UPPER(TRIM(M92))="N/A"),1,0)*IF($X92="N",0,INDEX('Rules of Credit'!$B$5:$F$8,MATCH($F92,'Rules of Credit'!$A$5:$A$8,0),4))+IF(OR(ISNUMBER(N92),UPPER(TRIM(N92))="N/A"),1,0)*INDEX('Rules of Credit'!$B$5:$F$8,MATCH($F92,'Rules of Credit'!$A$5:$A$8,0),5))/(IF($W92="N",0,INDEX('Rules of Credit'!$B$5:$F$8,MATCH($F92,'Rules of Credit'!$A$5:$A$8,0),1))+INDEX('Rules of Credit'!$B$5:$F$8,MATCH($F92,'Rules of Credit'!$A$5:$A$8,0),2)+INDEX('Rules of Credit'!$B$5:$F$8,MATCH($F92,'Rules of Credit'!$A$5:$A$8,0),3)+IF($X92="N",0,INDEX('Rules of Credit'!$B$5:$F$8,MATCH($F92,'Rules of Credit'!$A$5:$A$8,0),4))+INDEX('Rules of Credit'!$B$5:$F$8,MATCH($F92,'Rules of Credit'!$A$5:$A$8,0),5)),0)</f>
        <v>0</v>
      </c>
      <c r="Q92" s="142" t="n">
        <f aca="false">IF(OR($H92="",$I92=""),0,IF('Tracker Summary'!$C$3&lt;$H92,0,IF('Tracker Summary'!$C$3&gt;=$I92,1,('Tracker Summary'!$C$3-$H92)/($I92-$H92+1))))</f>
        <v>0</v>
      </c>
      <c r="R92" s="142" t="n">
        <f aca="false">P92-Q92</f>
        <v>0</v>
      </c>
      <c r="S92" s="139" t="str">
        <f aca="false">IF($I92="","Not scheduled",IF(P92&gt;=1,"Complete",IF('Tracker Summary'!$C$3&gt;$I92,"Overdue",IF(P92-Q92&lt;-0.1,"Behind",IF(AND(P92=0,'Tracker Summary'!$C$3&lt;$H92),"Not started","On track")))))</f>
        <v>Not started</v>
      </c>
      <c r="T92" s="90"/>
      <c r="U92" s="139" t="str">
        <f aca="false">IFERROR(INDEX(Schedule!$D$2:$D$147,MATCH($G92,Schedule!$A$2:$A$147,0)),"")</f>
        <v>Pre-Engineered Metal Building — Site demolition ahead of new work</v>
      </c>
      <c r="V92" s="141" t="n">
        <f aca="false">IFERROR(INDEX(Schedule!$F$2:$F$147,MATCH("13-P01",Schedule!$A$2:$A$147,0)),"")</f>
        <v>45016</v>
      </c>
      <c r="W92" s="139" t="s">
        <v>91</v>
      </c>
      <c r="X92" s="139" t="s">
        <v>91</v>
      </c>
      <c r="Y92" s="139" t="n">
        <v>0</v>
      </c>
      <c r="Z92" s="139" t="n">
        <v>0</v>
      </c>
      <c r="AA92" s="139" t="s">
        <v>477</v>
      </c>
      <c r="AB92" s="139" t="s">
        <v>228</v>
      </c>
      <c r="AC92" s="139" t="s">
        <v>92</v>
      </c>
      <c r="AD92" s="139" t="s">
        <v>236</v>
      </c>
      <c r="AE92" s="139" t="s">
        <v>478</v>
      </c>
      <c r="AF92" s="139" t="s">
        <v>479</v>
      </c>
      <c r="AG92" s="139" t="s">
        <v>480</v>
      </c>
      <c r="AH92" s="139" t="s">
        <v>240</v>
      </c>
    </row>
    <row r="93" customFormat="false" ht="15" hidden="false" customHeight="false" outlineLevel="0" collapsed="false">
      <c r="A93" s="139" t="s">
        <v>60</v>
      </c>
      <c r="B93" s="140" t="s">
        <v>31</v>
      </c>
      <c r="C93" s="139" t="s">
        <v>483</v>
      </c>
      <c r="D93" s="139" t="s">
        <v>484</v>
      </c>
      <c r="E93" s="139" t="s">
        <v>485</v>
      </c>
      <c r="F93" s="90" t="s">
        <v>234</v>
      </c>
      <c r="G93" s="139" t="s">
        <v>486</v>
      </c>
      <c r="H93" s="141" t="n">
        <f aca="false">IFERROR(INDEX(Schedule!$E$2:$E$147,MATCH($G93,Schedule!$A$2:$A$147,0)),"")</f>
        <v>45017</v>
      </c>
      <c r="I93" s="141" t="n">
        <f aca="false">IFERROR(INDEX(Schedule!$F$2:$F$147,MATCH($G93,Schedule!$A$2:$A$147,0)),"")</f>
        <v>45331</v>
      </c>
      <c r="J93" s="92"/>
      <c r="K93" s="92"/>
      <c r="L93" s="92"/>
      <c r="M93" s="92"/>
      <c r="N93" s="92"/>
      <c r="O93" s="90" t="n">
        <v>1</v>
      </c>
      <c r="P93" s="142" t="n">
        <f aca="false">IFERROR((IF(OR(ISNUMBER(J93),UPPER(TRIM(J93))="N/A"),1,0)*IF($W93="N",0,INDEX('Rules of Credit'!$B$5:$F$8,MATCH($F93,'Rules of Credit'!$A$5:$A$8,0),1))+IF(OR(ISNUMBER(K93),UPPER(TRIM(K93))="N/A"),1,0)*INDEX('Rules of Credit'!$B$5:$F$8,MATCH($F93,'Rules of Credit'!$A$5:$A$8,0),2)+IF(OR(ISNUMBER(L93),UPPER(TRIM(L93))="N/A"),1,0)*INDEX('Rules of Credit'!$B$5:$F$8,MATCH($F93,'Rules of Credit'!$A$5:$A$8,0),3)+IF(OR(ISNUMBER(M93),UPPER(TRIM(M93))="N/A"),1,0)*IF($X93="N",0,INDEX('Rules of Credit'!$B$5:$F$8,MATCH($F93,'Rules of Credit'!$A$5:$A$8,0),4))+IF(OR(ISNUMBER(N93),UPPER(TRIM(N93))="N/A"),1,0)*INDEX('Rules of Credit'!$B$5:$F$8,MATCH($F93,'Rules of Credit'!$A$5:$A$8,0),5))/(IF($W93="N",0,INDEX('Rules of Credit'!$B$5:$F$8,MATCH($F93,'Rules of Credit'!$A$5:$A$8,0),1))+INDEX('Rules of Credit'!$B$5:$F$8,MATCH($F93,'Rules of Credit'!$A$5:$A$8,0),2)+INDEX('Rules of Credit'!$B$5:$F$8,MATCH($F93,'Rules of Credit'!$A$5:$A$8,0),3)+IF($X93="N",0,INDEX('Rules of Credit'!$B$5:$F$8,MATCH($F93,'Rules of Credit'!$A$5:$A$8,0),4))+INDEX('Rules of Credit'!$B$5:$F$8,MATCH($F93,'Rules of Credit'!$A$5:$A$8,0),5)),0)</f>
        <v>0</v>
      </c>
      <c r="Q93" s="142" t="n">
        <f aca="false">IF(OR($H93="",$I93=""),0,IF('Tracker Summary'!$C$3&lt;$H93,0,IF('Tracker Summary'!$C$3&gt;=$I93,1,('Tracker Summary'!$C$3-$H93)/($I93-$H93+1))))</f>
        <v>0</v>
      </c>
      <c r="R93" s="142" t="n">
        <f aca="false">P93-Q93</f>
        <v>0</v>
      </c>
      <c r="S93" s="139" t="str">
        <f aca="false">IF($I93="","Not scheduled",IF(P93&gt;=1,"Complete",IF('Tracker Summary'!$C$3&gt;$I93,"Overdue",IF(P93-Q93&lt;-0.1,"Behind",IF(AND(P93=0,'Tracker Summary'!$C$3&lt;$H93),"Not started","On track")))))</f>
        <v>Not started</v>
      </c>
      <c r="T93" s="90"/>
      <c r="U93" s="139" t="str">
        <f aca="false">IFERROR(INDEX(Schedule!$D$2:$D$147,MATCH($G93,Schedule!$A$2:$A$147,0)),"")</f>
        <v>Pre-Engineered Metal Building — Existing dewatering / treatment building</v>
      </c>
      <c r="V93" s="141" t="n">
        <f aca="false">IFERROR(INDEX(Schedule!$F$2:$F$147,MATCH("13-P01",Schedule!$A$2:$A$147,0)),"")</f>
        <v>45016</v>
      </c>
      <c r="W93" s="139" t="s">
        <v>115</v>
      </c>
      <c r="X93" s="139" t="s">
        <v>115</v>
      </c>
      <c r="Y93" s="139" t="n">
        <v>0</v>
      </c>
      <c r="Z93" s="139" t="n">
        <v>0</v>
      </c>
      <c r="AA93" s="139" t="s">
        <v>487</v>
      </c>
      <c r="AB93" s="139" t="s">
        <v>488</v>
      </c>
      <c r="AC93" s="139" t="s">
        <v>92</v>
      </c>
      <c r="AD93" s="139" t="s">
        <v>236</v>
      </c>
      <c r="AE93" s="139" t="s">
        <v>478</v>
      </c>
      <c r="AF93" s="139" t="s">
        <v>479</v>
      </c>
      <c r="AG93" s="139" t="s">
        <v>480</v>
      </c>
      <c r="AH93" s="139" t="s">
        <v>240</v>
      </c>
    </row>
    <row r="94" customFormat="false" ht="15" hidden="false" customHeight="false" outlineLevel="0" collapsed="false">
      <c r="A94" s="139" t="s">
        <v>60</v>
      </c>
      <c r="B94" s="140" t="s">
        <v>31</v>
      </c>
      <c r="C94" s="139" t="s">
        <v>489</v>
      </c>
      <c r="D94" s="139" t="s">
        <v>490</v>
      </c>
      <c r="E94" s="139" t="s">
        <v>485</v>
      </c>
      <c r="F94" s="90" t="s">
        <v>234</v>
      </c>
      <c r="G94" s="139" t="s">
        <v>486</v>
      </c>
      <c r="H94" s="141" t="n">
        <f aca="false">IFERROR(INDEX(Schedule!$E$2:$E$147,MATCH($G94,Schedule!$A$2:$A$147,0)),"")</f>
        <v>45017</v>
      </c>
      <c r="I94" s="141" t="n">
        <f aca="false">IFERROR(INDEX(Schedule!$F$2:$F$147,MATCH($G94,Schedule!$A$2:$A$147,0)),"")</f>
        <v>45331</v>
      </c>
      <c r="J94" s="92"/>
      <c r="K94" s="92"/>
      <c r="L94" s="92"/>
      <c r="M94" s="92"/>
      <c r="N94" s="92"/>
      <c r="O94" s="90" t="n">
        <v>1</v>
      </c>
      <c r="P94" s="142" t="n">
        <f aca="false">IFERROR((IF(OR(ISNUMBER(J94),UPPER(TRIM(J94))="N/A"),1,0)*IF($W94="N",0,INDEX('Rules of Credit'!$B$5:$F$8,MATCH($F94,'Rules of Credit'!$A$5:$A$8,0),1))+IF(OR(ISNUMBER(K94),UPPER(TRIM(K94))="N/A"),1,0)*INDEX('Rules of Credit'!$B$5:$F$8,MATCH($F94,'Rules of Credit'!$A$5:$A$8,0),2)+IF(OR(ISNUMBER(L94),UPPER(TRIM(L94))="N/A"),1,0)*INDEX('Rules of Credit'!$B$5:$F$8,MATCH($F94,'Rules of Credit'!$A$5:$A$8,0),3)+IF(OR(ISNUMBER(M94),UPPER(TRIM(M94))="N/A"),1,0)*IF($X94="N",0,INDEX('Rules of Credit'!$B$5:$F$8,MATCH($F94,'Rules of Credit'!$A$5:$A$8,0),4))+IF(OR(ISNUMBER(N94),UPPER(TRIM(N94))="N/A"),1,0)*INDEX('Rules of Credit'!$B$5:$F$8,MATCH($F94,'Rules of Credit'!$A$5:$A$8,0),5))/(IF($W94="N",0,INDEX('Rules of Credit'!$B$5:$F$8,MATCH($F94,'Rules of Credit'!$A$5:$A$8,0),1))+INDEX('Rules of Credit'!$B$5:$F$8,MATCH($F94,'Rules of Credit'!$A$5:$A$8,0),2)+INDEX('Rules of Credit'!$B$5:$F$8,MATCH($F94,'Rules of Credit'!$A$5:$A$8,0),3)+IF($X94="N",0,INDEX('Rules of Credit'!$B$5:$F$8,MATCH($F94,'Rules of Credit'!$A$5:$A$8,0),4))+INDEX('Rules of Credit'!$B$5:$F$8,MATCH($F94,'Rules of Credit'!$A$5:$A$8,0),5)),0)</f>
        <v>0</v>
      </c>
      <c r="Q94" s="142" t="n">
        <f aca="false">IF(OR($H94="",$I94=""),0,IF('Tracker Summary'!$C$3&lt;$H94,0,IF('Tracker Summary'!$C$3&gt;=$I94,1,('Tracker Summary'!$C$3-$H94)/($I94-$H94+1))))</f>
        <v>0</v>
      </c>
      <c r="R94" s="142" t="n">
        <f aca="false">P94-Q94</f>
        <v>0</v>
      </c>
      <c r="S94" s="139" t="str">
        <f aca="false">IF($I94="","Not scheduled",IF(P94&gt;=1,"Complete",IF('Tracker Summary'!$C$3&gt;$I94,"Overdue",IF(P94-Q94&lt;-0.1,"Behind",IF(AND(P94=0,'Tracker Summary'!$C$3&lt;$H94),"Not started","On track")))))</f>
        <v>Not started</v>
      </c>
      <c r="T94" s="90"/>
      <c r="U94" s="139" t="str">
        <f aca="false">IFERROR(INDEX(Schedule!$D$2:$D$147,MATCH($G94,Schedule!$A$2:$A$147,0)),"")</f>
        <v>Pre-Engineered Metal Building — Existing dewatering / treatment building</v>
      </c>
      <c r="V94" s="141" t="n">
        <f aca="false">IFERROR(INDEX(Schedule!$F$2:$F$147,MATCH("13-P01",Schedule!$A$2:$A$147,0)),"")</f>
        <v>45016</v>
      </c>
      <c r="W94" s="139" t="s">
        <v>115</v>
      </c>
      <c r="X94" s="139" t="s">
        <v>115</v>
      </c>
      <c r="Y94" s="139" t="n">
        <v>0</v>
      </c>
      <c r="Z94" s="139" t="n">
        <v>0</v>
      </c>
      <c r="AA94" s="139" t="s">
        <v>491</v>
      </c>
      <c r="AB94" s="139" t="s">
        <v>492</v>
      </c>
      <c r="AC94" s="139" t="s">
        <v>92</v>
      </c>
      <c r="AD94" s="139" t="s">
        <v>236</v>
      </c>
      <c r="AE94" s="139" t="s">
        <v>478</v>
      </c>
      <c r="AF94" s="139" t="s">
        <v>479</v>
      </c>
      <c r="AG94" s="139" t="s">
        <v>480</v>
      </c>
      <c r="AH94" s="139" t="s">
        <v>240</v>
      </c>
    </row>
    <row r="95" customFormat="false" ht="15" hidden="false" customHeight="false" outlineLevel="0" collapsed="false">
      <c r="A95" s="139" t="s">
        <v>60</v>
      </c>
      <c r="B95" s="140" t="s">
        <v>31</v>
      </c>
      <c r="C95" s="139" t="s">
        <v>493</v>
      </c>
      <c r="D95" s="139" t="s">
        <v>494</v>
      </c>
      <c r="E95" s="139" t="s">
        <v>495</v>
      </c>
      <c r="F95" s="90" t="s">
        <v>149</v>
      </c>
      <c r="G95" s="139" t="s">
        <v>496</v>
      </c>
      <c r="H95" s="141" t="n">
        <f aca="false">IFERROR(INDEX(Schedule!$E$2:$E$147,MATCH($G95,Schedule!$A$2:$A$147,0)),"")</f>
        <v>45413</v>
      </c>
      <c r="I95" s="141" t="n">
        <f aca="false">IFERROR(INDEX(Schedule!$F$2:$F$147,MATCH($G95,Schedule!$A$2:$A$147,0)),"")</f>
        <v>45443</v>
      </c>
      <c r="J95" s="92"/>
      <c r="K95" s="92"/>
      <c r="L95" s="92"/>
      <c r="M95" s="92"/>
      <c r="N95" s="92"/>
      <c r="O95" s="90" t="n">
        <v>1</v>
      </c>
      <c r="P95" s="142" t="n">
        <f aca="false">IFERROR((IF(OR(ISNUMBER(J95),UPPER(TRIM(J95))="N/A"),1,0)*IF($W95="N",0,INDEX('Rules of Credit'!$B$5:$F$8,MATCH($F95,'Rules of Credit'!$A$5:$A$8,0),1))+IF(OR(ISNUMBER(K95),UPPER(TRIM(K95))="N/A"),1,0)*INDEX('Rules of Credit'!$B$5:$F$8,MATCH($F95,'Rules of Credit'!$A$5:$A$8,0),2)+IF(OR(ISNUMBER(L95),UPPER(TRIM(L95))="N/A"),1,0)*INDEX('Rules of Credit'!$B$5:$F$8,MATCH($F95,'Rules of Credit'!$A$5:$A$8,0),3)+IF(OR(ISNUMBER(M95),UPPER(TRIM(M95))="N/A"),1,0)*IF($X95="N",0,INDEX('Rules of Credit'!$B$5:$F$8,MATCH($F95,'Rules of Credit'!$A$5:$A$8,0),4))+IF(OR(ISNUMBER(N95),UPPER(TRIM(N95))="N/A"),1,0)*INDEX('Rules of Credit'!$B$5:$F$8,MATCH($F95,'Rules of Credit'!$A$5:$A$8,0),5))/(IF($W95="N",0,INDEX('Rules of Credit'!$B$5:$F$8,MATCH($F95,'Rules of Credit'!$A$5:$A$8,0),1))+INDEX('Rules of Credit'!$B$5:$F$8,MATCH($F95,'Rules of Credit'!$A$5:$A$8,0),2)+INDEX('Rules of Credit'!$B$5:$F$8,MATCH($F95,'Rules of Credit'!$A$5:$A$8,0),3)+IF($X95="N",0,INDEX('Rules of Credit'!$B$5:$F$8,MATCH($F95,'Rules of Credit'!$A$5:$A$8,0),4))+INDEX('Rules of Credit'!$B$5:$F$8,MATCH($F95,'Rules of Credit'!$A$5:$A$8,0),5)),0)</f>
        <v>0</v>
      </c>
      <c r="Q95" s="142" t="n">
        <f aca="false">IF(OR($H95="",$I95=""),0,IF('Tracker Summary'!$C$3&lt;$H95,0,IF('Tracker Summary'!$C$3&gt;=$I95,1,('Tracker Summary'!$C$3-$H95)/($I95-$H95+1))))</f>
        <v>0</v>
      </c>
      <c r="R95" s="142" t="n">
        <f aca="false">P95-Q95</f>
        <v>0</v>
      </c>
      <c r="S95" s="139" t="str">
        <f aca="false">IF($I95="","Not scheduled",IF(P95&gt;=1,"Complete",IF('Tracker Summary'!$C$3&gt;$I95,"Overdue",IF(P95-Q95&lt;-0.1,"Behind",IF(AND(P95=0,'Tracker Summary'!$C$3&lt;$H95),"Not started","On track")))))</f>
        <v>Not started</v>
      </c>
      <c r="T95" s="90"/>
      <c r="U95" s="139" t="str">
        <f aca="false">IFERROR(INDEX(Schedule!$D$2:$D$147,MATCH($G95,Schedule!$A$2:$A$147,0)),"")</f>
        <v>Pre-Engineered Metal Building — Existing generator, switchgear and fuel tank removal</v>
      </c>
      <c r="V95" s="141" t="n">
        <f aca="false">IFERROR(INDEX(Schedule!$F$2:$F$147,MATCH("13-P01",Schedule!$A$2:$A$147,0)),"")</f>
        <v>45016</v>
      </c>
      <c r="W95" s="139" t="s">
        <v>115</v>
      </c>
      <c r="X95" s="139" t="s">
        <v>115</v>
      </c>
      <c r="Y95" s="139" t="n">
        <v>0</v>
      </c>
      <c r="Z95" s="139" t="n">
        <v>0</v>
      </c>
      <c r="AA95" s="139" t="s">
        <v>497</v>
      </c>
      <c r="AB95" s="139" t="s">
        <v>228</v>
      </c>
      <c r="AC95" s="139" t="s">
        <v>498</v>
      </c>
      <c r="AD95" s="139" t="s">
        <v>499</v>
      </c>
      <c r="AE95" s="139" t="s">
        <v>500</v>
      </c>
      <c r="AF95" s="139"/>
      <c r="AG95" s="139" t="s">
        <v>500</v>
      </c>
      <c r="AH95" s="139" t="s">
        <v>501</v>
      </c>
    </row>
    <row r="96" customFormat="false" ht="15" hidden="false" customHeight="false" outlineLevel="0" collapsed="false">
      <c r="A96" s="139" t="s">
        <v>60</v>
      </c>
      <c r="B96" s="140" t="s">
        <v>31</v>
      </c>
      <c r="C96" s="139" t="s">
        <v>502</v>
      </c>
      <c r="D96" s="139" t="s">
        <v>503</v>
      </c>
      <c r="E96" s="139" t="s">
        <v>475</v>
      </c>
      <c r="F96" s="90" t="s">
        <v>149</v>
      </c>
      <c r="G96" s="139" t="s">
        <v>496</v>
      </c>
      <c r="H96" s="141" t="n">
        <f aca="false">IFERROR(INDEX(Schedule!$E$2:$E$147,MATCH($G96,Schedule!$A$2:$A$147,0)),"")</f>
        <v>45413</v>
      </c>
      <c r="I96" s="141" t="n">
        <f aca="false">IFERROR(INDEX(Schedule!$F$2:$F$147,MATCH($G96,Schedule!$A$2:$A$147,0)),"")</f>
        <v>45443</v>
      </c>
      <c r="J96" s="92"/>
      <c r="K96" s="92"/>
      <c r="L96" s="92"/>
      <c r="M96" s="92"/>
      <c r="N96" s="92"/>
      <c r="O96" s="90" t="n">
        <v>1</v>
      </c>
      <c r="P96" s="142" t="n">
        <f aca="false">IFERROR((IF(OR(ISNUMBER(J96),UPPER(TRIM(J96))="N/A"),1,0)*IF($W96="N",0,INDEX('Rules of Credit'!$B$5:$F$8,MATCH($F96,'Rules of Credit'!$A$5:$A$8,0),1))+IF(OR(ISNUMBER(K96),UPPER(TRIM(K96))="N/A"),1,0)*INDEX('Rules of Credit'!$B$5:$F$8,MATCH($F96,'Rules of Credit'!$A$5:$A$8,0),2)+IF(OR(ISNUMBER(L96),UPPER(TRIM(L96))="N/A"),1,0)*INDEX('Rules of Credit'!$B$5:$F$8,MATCH($F96,'Rules of Credit'!$A$5:$A$8,0),3)+IF(OR(ISNUMBER(M96),UPPER(TRIM(M96))="N/A"),1,0)*IF($X96="N",0,INDEX('Rules of Credit'!$B$5:$F$8,MATCH($F96,'Rules of Credit'!$A$5:$A$8,0),4))+IF(OR(ISNUMBER(N96),UPPER(TRIM(N96))="N/A"),1,0)*INDEX('Rules of Credit'!$B$5:$F$8,MATCH($F96,'Rules of Credit'!$A$5:$A$8,0),5))/(IF($W96="N",0,INDEX('Rules of Credit'!$B$5:$F$8,MATCH($F96,'Rules of Credit'!$A$5:$A$8,0),1))+INDEX('Rules of Credit'!$B$5:$F$8,MATCH($F96,'Rules of Credit'!$A$5:$A$8,0),2)+INDEX('Rules of Credit'!$B$5:$F$8,MATCH($F96,'Rules of Credit'!$A$5:$A$8,0),3)+IF($X96="N",0,INDEX('Rules of Credit'!$B$5:$F$8,MATCH($F96,'Rules of Credit'!$A$5:$A$8,0),4))+INDEX('Rules of Credit'!$B$5:$F$8,MATCH($F96,'Rules of Credit'!$A$5:$A$8,0),5)),0)</f>
        <v>0</v>
      </c>
      <c r="Q96" s="142" t="n">
        <f aca="false">IF(OR($H96="",$I96=""),0,IF('Tracker Summary'!$C$3&lt;$H96,0,IF('Tracker Summary'!$C$3&gt;=$I96,1,('Tracker Summary'!$C$3-$H96)/($I96-$H96+1))))</f>
        <v>0</v>
      </c>
      <c r="R96" s="142" t="n">
        <f aca="false">P96-Q96</f>
        <v>0</v>
      </c>
      <c r="S96" s="139" t="str">
        <f aca="false">IF($I96="","Not scheduled",IF(P96&gt;=1,"Complete",IF('Tracker Summary'!$C$3&gt;$I96,"Overdue",IF(P96-Q96&lt;-0.1,"Behind",IF(AND(P96=0,'Tracker Summary'!$C$3&lt;$H96),"Not started","On track")))))</f>
        <v>Not started</v>
      </c>
      <c r="T96" s="90"/>
      <c r="U96" s="139" t="str">
        <f aca="false">IFERROR(INDEX(Schedule!$D$2:$D$147,MATCH($G96,Schedule!$A$2:$A$147,0)),"")</f>
        <v>Pre-Engineered Metal Building — Existing generator, switchgear and fuel tank removal</v>
      </c>
      <c r="V96" s="141" t="n">
        <f aca="false">IFERROR(INDEX(Schedule!$F$2:$F$147,MATCH("13-P01",Schedule!$A$2:$A$147,0)),"")</f>
        <v>45016</v>
      </c>
      <c r="W96" s="139" t="s">
        <v>115</v>
      </c>
      <c r="X96" s="139" t="s">
        <v>115</v>
      </c>
      <c r="Y96" s="139" t="n">
        <v>0</v>
      </c>
      <c r="Z96" s="139" t="n">
        <v>0</v>
      </c>
      <c r="AA96" s="139" t="s">
        <v>477</v>
      </c>
      <c r="AB96" s="139" t="s">
        <v>504</v>
      </c>
      <c r="AC96" s="139" t="s">
        <v>92</v>
      </c>
      <c r="AD96" s="139" t="s">
        <v>236</v>
      </c>
      <c r="AE96" s="139" t="s">
        <v>478</v>
      </c>
      <c r="AF96" s="139" t="s">
        <v>479</v>
      </c>
      <c r="AG96" s="139" t="s">
        <v>480</v>
      </c>
      <c r="AH96" s="139" t="s">
        <v>240</v>
      </c>
    </row>
    <row r="97" customFormat="false" ht="15" hidden="false" customHeight="false" outlineLevel="0" collapsed="false">
      <c r="A97" s="143" t="s">
        <v>85</v>
      </c>
      <c r="B97" s="143" t="s">
        <v>33</v>
      </c>
      <c r="C97" s="143" t="s">
        <v>34</v>
      </c>
      <c r="D97" s="143" t="str">
        <f aca="false">COUNTIF(A98:A122,"Item")&amp;" items · "&amp;COUNTIF(S98:S122,"Overdue")&amp;" overdue · "&amp;COUNTIF(S98:S122,"Complete")&amp;" complete"</f>
        <v>25 items · 0 overdue · 0 complete</v>
      </c>
      <c r="E97" s="143"/>
      <c r="F97" s="143"/>
      <c r="G97" s="143"/>
      <c r="H97" s="144" t="n">
        <f aca="false">MIN(H98:H122)</f>
        <v>45017</v>
      </c>
      <c r="I97" s="144" t="n">
        <f aca="false">MAX(I98:I122)</f>
        <v>45331</v>
      </c>
      <c r="J97" s="144"/>
      <c r="K97" s="144"/>
      <c r="L97" s="144"/>
      <c r="M97" s="144"/>
      <c r="N97" s="144"/>
      <c r="O97" s="143" t="n">
        <f aca="false">SUM(O98:O122)</f>
        <v>25</v>
      </c>
      <c r="P97" s="145" t="n">
        <f aca="false">IFERROR(SUMPRODUCT(O98:O122,P98:P122)/SUM(O98:O122),0)</f>
        <v>0</v>
      </c>
      <c r="Q97" s="145" t="n">
        <f aca="false">IFERROR(SUMPRODUCT(O98:O122,Q98:Q122)/SUM(O98:O122),0)</f>
        <v>0</v>
      </c>
      <c r="R97" s="145" t="n">
        <f aca="false">P97-Q97</f>
        <v>0</v>
      </c>
      <c r="S97" s="143"/>
      <c r="T97" s="143"/>
      <c r="U97" s="143"/>
      <c r="V97" s="144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</row>
    <row r="98" customFormat="false" ht="15" hidden="false" customHeight="false" outlineLevel="0" collapsed="false">
      <c r="A98" s="146" t="s">
        <v>60</v>
      </c>
      <c r="B98" s="147" t="s">
        <v>33</v>
      </c>
      <c r="C98" s="146" t="s">
        <v>505</v>
      </c>
      <c r="D98" s="146" t="s">
        <v>506</v>
      </c>
      <c r="E98" s="146" t="s">
        <v>507</v>
      </c>
      <c r="F98" s="90" t="s">
        <v>234</v>
      </c>
      <c r="G98" s="146" t="s">
        <v>508</v>
      </c>
      <c r="H98" s="148" t="n">
        <f aca="false">IFERROR(INDEX(Schedule!$E$2:$E$147,MATCH($G98,Schedule!$A$2:$A$147,0)),"")</f>
        <v>45017</v>
      </c>
      <c r="I98" s="148" t="n">
        <f aca="false">IFERROR(INDEX(Schedule!$F$2:$F$147,MATCH($G98,Schedule!$A$2:$A$147,0)),"")</f>
        <v>45231</v>
      </c>
      <c r="J98" s="92"/>
      <c r="K98" s="92"/>
      <c r="L98" s="92"/>
      <c r="M98" s="92"/>
      <c r="N98" s="92"/>
      <c r="O98" s="90" t="n">
        <v>1</v>
      </c>
      <c r="P98" s="149" t="n">
        <f aca="false">IFERROR((IF(OR(ISNUMBER(J98),UPPER(TRIM(J98))="N/A"),1,0)*IF($W98="N",0,INDEX('Rules of Credit'!$B$5:$F$8,MATCH($F98,'Rules of Credit'!$A$5:$A$8,0),1))+IF(OR(ISNUMBER(K98),UPPER(TRIM(K98))="N/A"),1,0)*INDEX('Rules of Credit'!$B$5:$F$8,MATCH($F98,'Rules of Credit'!$A$5:$A$8,0),2)+IF(OR(ISNUMBER(L98),UPPER(TRIM(L98))="N/A"),1,0)*INDEX('Rules of Credit'!$B$5:$F$8,MATCH($F98,'Rules of Credit'!$A$5:$A$8,0),3)+IF(OR(ISNUMBER(M98),UPPER(TRIM(M98))="N/A"),1,0)*IF($X98="N",0,INDEX('Rules of Credit'!$B$5:$F$8,MATCH($F98,'Rules of Credit'!$A$5:$A$8,0),4))+IF(OR(ISNUMBER(N98),UPPER(TRIM(N98))="N/A"),1,0)*INDEX('Rules of Credit'!$B$5:$F$8,MATCH($F98,'Rules of Credit'!$A$5:$A$8,0),5))/(IF($W98="N",0,INDEX('Rules of Credit'!$B$5:$F$8,MATCH($F98,'Rules of Credit'!$A$5:$A$8,0),1))+INDEX('Rules of Credit'!$B$5:$F$8,MATCH($F98,'Rules of Credit'!$A$5:$A$8,0),2)+INDEX('Rules of Credit'!$B$5:$F$8,MATCH($F98,'Rules of Credit'!$A$5:$A$8,0),3)+IF($X98="N",0,INDEX('Rules of Credit'!$B$5:$F$8,MATCH($F98,'Rules of Credit'!$A$5:$A$8,0),4))+INDEX('Rules of Credit'!$B$5:$F$8,MATCH($F98,'Rules of Credit'!$A$5:$A$8,0),5)),0)</f>
        <v>0</v>
      </c>
      <c r="Q98" s="149" t="n">
        <f aca="false">IF(OR($H98="",$I98=""),0,IF('Tracker Summary'!$C$3&lt;$H98,0,IF('Tracker Summary'!$C$3&gt;=$I98,1,('Tracker Summary'!$C$3-$H98)/($I98-$H98+1))))</f>
        <v>0</v>
      </c>
      <c r="R98" s="149" t="n">
        <f aca="false">P98-Q98</f>
        <v>0</v>
      </c>
      <c r="S98" s="146" t="str">
        <f aca="false">IF($I98="","Not scheduled",IF(P98&gt;=1,"Complete",IF('Tracker Summary'!$C$3&gt;$I98,"Overdue",IF(P98-Q98&lt;-0.1,"Behind",IF(AND(P98=0,'Tracker Summary'!$C$3&lt;$H98),"Not started","On track")))))</f>
        <v>Not started</v>
      </c>
      <c r="T98" s="90"/>
      <c r="U98" s="146" t="str">
        <f aca="false">IFERROR(INDEX(Schedule!$D$2:$D$147,MATCH($G98,Schedule!$A$2:$A$147,0)),"")</f>
        <v>Plumbing &amp; Process Pumps — Sludge pumps and valving</v>
      </c>
      <c r="V98" s="148" t="n">
        <f aca="false">IFERROR(INDEX(Schedule!$F$2:$F$147,MATCH("22-P01",Schedule!$A$2:$A$147,0)),"")</f>
        <v>45016</v>
      </c>
      <c r="W98" s="146" t="s">
        <v>99</v>
      </c>
      <c r="X98" s="146" t="s">
        <v>99</v>
      </c>
      <c r="Y98" s="146" t="n">
        <v>3</v>
      </c>
      <c r="Z98" s="146" t="n">
        <v>3</v>
      </c>
      <c r="AA98" s="146" t="s">
        <v>509</v>
      </c>
      <c r="AB98" s="146" t="s">
        <v>510</v>
      </c>
      <c r="AC98" s="146" t="s">
        <v>92</v>
      </c>
      <c r="AD98" s="146" t="s">
        <v>511</v>
      </c>
      <c r="AE98" s="146" t="s">
        <v>512</v>
      </c>
      <c r="AF98" s="146" t="s">
        <v>513</v>
      </c>
      <c r="AG98" s="146" t="s">
        <v>514</v>
      </c>
      <c r="AH98" s="146" t="s">
        <v>213</v>
      </c>
    </row>
    <row r="99" customFormat="false" ht="15" hidden="false" customHeight="false" outlineLevel="0" collapsed="false">
      <c r="A99" s="146" t="s">
        <v>60</v>
      </c>
      <c r="B99" s="147" t="s">
        <v>33</v>
      </c>
      <c r="C99" s="146" t="s">
        <v>515</v>
      </c>
      <c r="D99" s="146" t="s">
        <v>516</v>
      </c>
      <c r="E99" s="146" t="s">
        <v>507</v>
      </c>
      <c r="F99" s="90" t="s">
        <v>234</v>
      </c>
      <c r="G99" s="146" t="s">
        <v>508</v>
      </c>
      <c r="H99" s="148" t="n">
        <f aca="false">IFERROR(INDEX(Schedule!$E$2:$E$147,MATCH($G99,Schedule!$A$2:$A$147,0)),"")</f>
        <v>45017</v>
      </c>
      <c r="I99" s="148" t="n">
        <f aca="false">IFERROR(INDEX(Schedule!$F$2:$F$147,MATCH($G99,Schedule!$A$2:$A$147,0)),"")</f>
        <v>45231</v>
      </c>
      <c r="J99" s="92"/>
      <c r="K99" s="92"/>
      <c r="L99" s="92"/>
      <c r="M99" s="92"/>
      <c r="N99" s="92"/>
      <c r="O99" s="90" t="n">
        <v>1</v>
      </c>
      <c r="P99" s="149" t="n">
        <f aca="false">IFERROR((IF(OR(ISNUMBER(J99),UPPER(TRIM(J99))="N/A"),1,0)*IF($W99="N",0,INDEX('Rules of Credit'!$B$5:$F$8,MATCH($F99,'Rules of Credit'!$A$5:$A$8,0),1))+IF(OR(ISNUMBER(K99),UPPER(TRIM(K99))="N/A"),1,0)*INDEX('Rules of Credit'!$B$5:$F$8,MATCH($F99,'Rules of Credit'!$A$5:$A$8,0),2)+IF(OR(ISNUMBER(L99),UPPER(TRIM(L99))="N/A"),1,0)*INDEX('Rules of Credit'!$B$5:$F$8,MATCH($F99,'Rules of Credit'!$A$5:$A$8,0),3)+IF(OR(ISNUMBER(M99),UPPER(TRIM(M99))="N/A"),1,0)*IF($X99="N",0,INDEX('Rules of Credit'!$B$5:$F$8,MATCH($F99,'Rules of Credit'!$A$5:$A$8,0),4))+IF(OR(ISNUMBER(N99),UPPER(TRIM(N99))="N/A"),1,0)*INDEX('Rules of Credit'!$B$5:$F$8,MATCH($F99,'Rules of Credit'!$A$5:$A$8,0),5))/(IF($W99="N",0,INDEX('Rules of Credit'!$B$5:$F$8,MATCH($F99,'Rules of Credit'!$A$5:$A$8,0),1))+INDEX('Rules of Credit'!$B$5:$F$8,MATCH($F99,'Rules of Credit'!$A$5:$A$8,0),2)+INDEX('Rules of Credit'!$B$5:$F$8,MATCH($F99,'Rules of Credit'!$A$5:$A$8,0),3)+IF($X99="N",0,INDEX('Rules of Credit'!$B$5:$F$8,MATCH($F99,'Rules of Credit'!$A$5:$A$8,0),4))+INDEX('Rules of Credit'!$B$5:$F$8,MATCH($F99,'Rules of Credit'!$A$5:$A$8,0),5)),0)</f>
        <v>0</v>
      </c>
      <c r="Q99" s="149" t="n">
        <f aca="false">IF(OR($H99="",$I99=""),0,IF('Tracker Summary'!$C$3&lt;$H99,0,IF('Tracker Summary'!$C$3&gt;=$I99,1,('Tracker Summary'!$C$3-$H99)/($I99-$H99+1))))</f>
        <v>0</v>
      </c>
      <c r="R99" s="149" t="n">
        <f aca="false">P99-Q99</f>
        <v>0</v>
      </c>
      <c r="S99" s="146" t="str">
        <f aca="false">IF($I99="","Not scheduled",IF(P99&gt;=1,"Complete",IF('Tracker Summary'!$C$3&gt;$I99,"Overdue",IF(P99-Q99&lt;-0.1,"Behind",IF(AND(P99=0,'Tracker Summary'!$C$3&lt;$H99),"Not started","On track")))))</f>
        <v>Not started</v>
      </c>
      <c r="T99" s="90"/>
      <c r="U99" s="146" t="str">
        <f aca="false">IFERROR(INDEX(Schedule!$D$2:$D$147,MATCH($G99,Schedule!$A$2:$A$147,0)),"")</f>
        <v>Plumbing &amp; Process Pumps — Sludge pumps and valving</v>
      </c>
      <c r="V99" s="148" t="n">
        <f aca="false">IFERROR(INDEX(Schedule!$F$2:$F$147,MATCH("22-P01",Schedule!$A$2:$A$147,0)),"")</f>
        <v>45016</v>
      </c>
      <c r="W99" s="146" t="s">
        <v>99</v>
      </c>
      <c r="X99" s="146" t="s">
        <v>99</v>
      </c>
      <c r="Y99" s="146" t="n">
        <v>3</v>
      </c>
      <c r="Z99" s="146" t="n">
        <v>3</v>
      </c>
      <c r="AA99" s="146" t="s">
        <v>517</v>
      </c>
      <c r="AB99" s="146" t="s">
        <v>518</v>
      </c>
      <c r="AC99" s="146" t="s">
        <v>92</v>
      </c>
      <c r="AD99" s="146" t="s">
        <v>511</v>
      </c>
      <c r="AE99" s="146" t="s">
        <v>512</v>
      </c>
      <c r="AF99" s="146" t="s">
        <v>513</v>
      </c>
      <c r="AG99" s="146" t="s">
        <v>514</v>
      </c>
      <c r="AH99" s="146" t="s">
        <v>213</v>
      </c>
    </row>
    <row r="100" customFormat="false" ht="15" hidden="false" customHeight="false" outlineLevel="0" collapsed="false">
      <c r="A100" s="146" t="s">
        <v>60</v>
      </c>
      <c r="B100" s="147" t="s">
        <v>33</v>
      </c>
      <c r="C100" s="146" t="s">
        <v>519</v>
      </c>
      <c r="D100" s="146" t="s">
        <v>520</v>
      </c>
      <c r="E100" s="146" t="s">
        <v>507</v>
      </c>
      <c r="F100" s="90" t="s">
        <v>234</v>
      </c>
      <c r="G100" s="146" t="s">
        <v>508</v>
      </c>
      <c r="H100" s="148" t="n">
        <f aca="false">IFERROR(INDEX(Schedule!$E$2:$E$147,MATCH($G100,Schedule!$A$2:$A$147,0)),"")</f>
        <v>45017</v>
      </c>
      <c r="I100" s="148" t="n">
        <f aca="false">IFERROR(INDEX(Schedule!$F$2:$F$147,MATCH($G100,Schedule!$A$2:$A$147,0)),"")</f>
        <v>45231</v>
      </c>
      <c r="J100" s="92"/>
      <c r="K100" s="92"/>
      <c r="L100" s="92"/>
      <c r="M100" s="92"/>
      <c r="N100" s="92"/>
      <c r="O100" s="90" t="n">
        <v>1</v>
      </c>
      <c r="P100" s="149" t="n">
        <f aca="false">IFERROR((IF(OR(ISNUMBER(J100),UPPER(TRIM(J100))="N/A"),1,0)*IF($W100="N",0,INDEX('Rules of Credit'!$B$5:$F$8,MATCH($F100,'Rules of Credit'!$A$5:$A$8,0),1))+IF(OR(ISNUMBER(K100),UPPER(TRIM(K100))="N/A"),1,0)*INDEX('Rules of Credit'!$B$5:$F$8,MATCH($F100,'Rules of Credit'!$A$5:$A$8,0),2)+IF(OR(ISNUMBER(L100),UPPER(TRIM(L100))="N/A"),1,0)*INDEX('Rules of Credit'!$B$5:$F$8,MATCH($F100,'Rules of Credit'!$A$5:$A$8,0),3)+IF(OR(ISNUMBER(M100),UPPER(TRIM(M100))="N/A"),1,0)*IF($X100="N",0,INDEX('Rules of Credit'!$B$5:$F$8,MATCH($F100,'Rules of Credit'!$A$5:$A$8,0),4))+IF(OR(ISNUMBER(N100),UPPER(TRIM(N100))="N/A"),1,0)*INDEX('Rules of Credit'!$B$5:$F$8,MATCH($F100,'Rules of Credit'!$A$5:$A$8,0),5))/(IF($W100="N",0,INDEX('Rules of Credit'!$B$5:$F$8,MATCH($F100,'Rules of Credit'!$A$5:$A$8,0),1))+INDEX('Rules of Credit'!$B$5:$F$8,MATCH($F100,'Rules of Credit'!$A$5:$A$8,0),2)+INDEX('Rules of Credit'!$B$5:$F$8,MATCH($F100,'Rules of Credit'!$A$5:$A$8,0),3)+IF($X100="N",0,INDEX('Rules of Credit'!$B$5:$F$8,MATCH($F100,'Rules of Credit'!$A$5:$A$8,0),4))+INDEX('Rules of Credit'!$B$5:$F$8,MATCH($F100,'Rules of Credit'!$A$5:$A$8,0),5)),0)</f>
        <v>0</v>
      </c>
      <c r="Q100" s="149" t="n">
        <f aca="false">IF(OR($H100="",$I100=""),0,IF('Tracker Summary'!$C$3&lt;$H100,0,IF('Tracker Summary'!$C$3&gt;=$I100,1,('Tracker Summary'!$C$3-$H100)/($I100-$H100+1))))</f>
        <v>0</v>
      </c>
      <c r="R100" s="149" t="n">
        <f aca="false">P100-Q100</f>
        <v>0</v>
      </c>
      <c r="S100" s="146" t="str">
        <f aca="false">IF($I100="","Not scheduled",IF(P100&gt;=1,"Complete",IF('Tracker Summary'!$C$3&gt;$I100,"Overdue",IF(P100-Q100&lt;-0.1,"Behind",IF(AND(P100=0,'Tracker Summary'!$C$3&lt;$H100),"Not started","On track")))))</f>
        <v>Not started</v>
      </c>
      <c r="T100" s="90"/>
      <c r="U100" s="146" t="str">
        <f aca="false">IFERROR(INDEX(Schedule!$D$2:$D$147,MATCH($G100,Schedule!$A$2:$A$147,0)),"")</f>
        <v>Plumbing &amp; Process Pumps — Sludge pumps and valving</v>
      </c>
      <c r="V100" s="148" t="n">
        <f aca="false">IFERROR(INDEX(Schedule!$F$2:$F$147,MATCH("22-P01",Schedule!$A$2:$A$147,0)),"")</f>
        <v>45016</v>
      </c>
      <c r="W100" s="146" t="s">
        <v>99</v>
      </c>
      <c r="X100" s="146" t="s">
        <v>99</v>
      </c>
      <c r="Y100" s="146" t="n">
        <v>4</v>
      </c>
      <c r="Z100" s="146" t="n">
        <v>6</v>
      </c>
      <c r="AA100" s="146" t="s">
        <v>521</v>
      </c>
      <c r="AB100" s="146" t="s">
        <v>522</v>
      </c>
      <c r="AC100" s="146" t="s">
        <v>120</v>
      </c>
      <c r="AD100" s="146" t="s">
        <v>511</v>
      </c>
      <c r="AE100" s="146" t="s">
        <v>512</v>
      </c>
      <c r="AF100" s="146" t="s">
        <v>523</v>
      </c>
      <c r="AG100" s="146" t="s">
        <v>524</v>
      </c>
      <c r="AH100" s="146" t="s">
        <v>213</v>
      </c>
    </row>
    <row r="101" customFormat="false" ht="15" hidden="false" customHeight="false" outlineLevel="0" collapsed="false">
      <c r="A101" s="146" t="s">
        <v>60</v>
      </c>
      <c r="B101" s="147" t="s">
        <v>33</v>
      </c>
      <c r="C101" s="146" t="s">
        <v>525</v>
      </c>
      <c r="D101" s="146" t="s">
        <v>526</v>
      </c>
      <c r="E101" s="146" t="s">
        <v>507</v>
      </c>
      <c r="F101" s="90" t="s">
        <v>234</v>
      </c>
      <c r="G101" s="146" t="s">
        <v>508</v>
      </c>
      <c r="H101" s="148" t="n">
        <f aca="false">IFERROR(INDEX(Schedule!$E$2:$E$147,MATCH($G101,Schedule!$A$2:$A$147,0)),"")</f>
        <v>45017</v>
      </c>
      <c r="I101" s="148" t="n">
        <f aca="false">IFERROR(INDEX(Schedule!$F$2:$F$147,MATCH($G101,Schedule!$A$2:$A$147,0)),"")</f>
        <v>45231</v>
      </c>
      <c r="J101" s="92"/>
      <c r="K101" s="92"/>
      <c r="L101" s="92"/>
      <c r="M101" s="92"/>
      <c r="N101" s="92"/>
      <c r="O101" s="90" t="n">
        <v>1</v>
      </c>
      <c r="P101" s="149" t="n">
        <f aca="false">IFERROR((IF(OR(ISNUMBER(J101),UPPER(TRIM(J101))="N/A"),1,0)*IF($W101="N",0,INDEX('Rules of Credit'!$B$5:$F$8,MATCH($F101,'Rules of Credit'!$A$5:$A$8,0),1))+IF(OR(ISNUMBER(K101),UPPER(TRIM(K101))="N/A"),1,0)*INDEX('Rules of Credit'!$B$5:$F$8,MATCH($F101,'Rules of Credit'!$A$5:$A$8,0),2)+IF(OR(ISNUMBER(L101),UPPER(TRIM(L101))="N/A"),1,0)*INDEX('Rules of Credit'!$B$5:$F$8,MATCH($F101,'Rules of Credit'!$A$5:$A$8,0),3)+IF(OR(ISNUMBER(M101),UPPER(TRIM(M101))="N/A"),1,0)*IF($X101="N",0,INDEX('Rules of Credit'!$B$5:$F$8,MATCH($F101,'Rules of Credit'!$A$5:$A$8,0),4))+IF(OR(ISNUMBER(N101),UPPER(TRIM(N101))="N/A"),1,0)*INDEX('Rules of Credit'!$B$5:$F$8,MATCH($F101,'Rules of Credit'!$A$5:$A$8,0),5))/(IF($W101="N",0,INDEX('Rules of Credit'!$B$5:$F$8,MATCH($F101,'Rules of Credit'!$A$5:$A$8,0),1))+INDEX('Rules of Credit'!$B$5:$F$8,MATCH($F101,'Rules of Credit'!$A$5:$A$8,0),2)+INDEX('Rules of Credit'!$B$5:$F$8,MATCH($F101,'Rules of Credit'!$A$5:$A$8,0),3)+IF($X101="N",0,INDEX('Rules of Credit'!$B$5:$F$8,MATCH($F101,'Rules of Credit'!$A$5:$A$8,0),4))+INDEX('Rules of Credit'!$B$5:$F$8,MATCH($F101,'Rules of Credit'!$A$5:$A$8,0),5)),0)</f>
        <v>0</v>
      </c>
      <c r="Q101" s="149" t="n">
        <f aca="false">IF(OR($H101="",$I101=""),0,IF('Tracker Summary'!$C$3&lt;$H101,0,IF('Tracker Summary'!$C$3&gt;=$I101,1,('Tracker Summary'!$C$3-$H101)/($I101-$H101+1))))</f>
        <v>0</v>
      </c>
      <c r="R101" s="149" t="n">
        <f aca="false">P101-Q101</f>
        <v>0</v>
      </c>
      <c r="S101" s="146" t="str">
        <f aca="false">IF($I101="","Not scheduled",IF(P101&gt;=1,"Complete",IF('Tracker Summary'!$C$3&gt;$I101,"Overdue",IF(P101-Q101&lt;-0.1,"Behind",IF(AND(P101=0,'Tracker Summary'!$C$3&lt;$H101),"Not started","On track")))))</f>
        <v>Not started</v>
      </c>
      <c r="T101" s="90"/>
      <c r="U101" s="146" t="str">
        <f aca="false">IFERROR(INDEX(Schedule!$D$2:$D$147,MATCH($G101,Schedule!$A$2:$A$147,0)),"")</f>
        <v>Plumbing &amp; Process Pumps — Sludge pumps and valving</v>
      </c>
      <c r="V101" s="148" t="n">
        <f aca="false">IFERROR(INDEX(Schedule!$F$2:$F$147,MATCH("22-P01",Schedule!$A$2:$A$147,0)),"")</f>
        <v>45016</v>
      </c>
      <c r="W101" s="146" t="s">
        <v>99</v>
      </c>
      <c r="X101" s="146" t="s">
        <v>91</v>
      </c>
      <c r="Y101" s="146" t="n">
        <v>1</v>
      </c>
      <c r="Z101" s="146" t="n">
        <v>0</v>
      </c>
      <c r="AA101" s="146" t="s">
        <v>527</v>
      </c>
      <c r="AB101" s="146" t="s">
        <v>528</v>
      </c>
      <c r="AC101" s="146" t="s">
        <v>92</v>
      </c>
      <c r="AD101" s="146" t="s">
        <v>511</v>
      </c>
      <c r="AE101" s="146"/>
      <c r="AF101" s="146" t="s">
        <v>513</v>
      </c>
      <c r="AG101" s="146" t="s">
        <v>513</v>
      </c>
      <c r="AH101" s="146" t="s">
        <v>213</v>
      </c>
    </row>
    <row r="102" customFormat="false" ht="15" hidden="false" customHeight="false" outlineLevel="0" collapsed="false">
      <c r="A102" s="146" t="s">
        <v>60</v>
      </c>
      <c r="B102" s="147" t="s">
        <v>33</v>
      </c>
      <c r="C102" s="146" t="s">
        <v>529</v>
      </c>
      <c r="D102" s="146" t="s">
        <v>530</v>
      </c>
      <c r="E102" s="146" t="s">
        <v>507</v>
      </c>
      <c r="F102" s="90" t="s">
        <v>234</v>
      </c>
      <c r="G102" s="146" t="s">
        <v>508</v>
      </c>
      <c r="H102" s="148" t="n">
        <f aca="false">IFERROR(INDEX(Schedule!$E$2:$E$147,MATCH($G102,Schedule!$A$2:$A$147,0)),"")</f>
        <v>45017</v>
      </c>
      <c r="I102" s="148" t="n">
        <f aca="false">IFERROR(INDEX(Schedule!$F$2:$F$147,MATCH($G102,Schedule!$A$2:$A$147,0)),"")</f>
        <v>45231</v>
      </c>
      <c r="J102" s="92"/>
      <c r="K102" s="92"/>
      <c r="L102" s="92"/>
      <c r="M102" s="92"/>
      <c r="N102" s="92"/>
      <c r="O102" s="90" t="n">
        <v>1</v>
      </c>
      <c r="P102" s="149" t="n">
        <f aca="false">IFERROR((IF(OR(ISNUMBER(J102),UPPER(TRIM(J102))="N/A"),1,0)*IF($W102="N",0,INDEX('Rules of Credit'!$B$5:$F$8,MATCH($F102,'Rules of Credit'!$A$5:$A$8,0),1))+IF(OR(ISNUMBER(K102),UPPER(TRIM(K102))="N/A"),1,0)*INDEX('Rules of Credit'!$B$5:$F$8,MATCH($F102,'Rules of Credit'!$A$5:$A$8,0),2)+IF(OR(ISNUMBER(L102),UPPER(TRIM(L102))="N/A"),1,0)*INDEX('Rules of Credit'!$B$5:$F$8,MATCH($F102,'Rules of Credit'!$A$5:$A$8,0),3)+IF(OR(ISNUMBER(M102),UPPER(TRIM(M102))="N/A"),1,0)*IF($X102="N",0,INDEX('Rules of Credit'!$B$5:$F$8,MATCH($F102,'Rules of Credit'!$A$5:$A$8,0),4))+IF(OR(ISNUMBER(N102),UPPER(TRIM(N102))="N/A"),1,0)*INDEX('Rules of Credit'!$B$5:$F$8,MATCH($F102,'Rules of Credit'!$A$5:$A$8,0),5))/(IF($W102="N",0,INDEX('Rules of Credit'!$B$5:$F$8,MATCH($F102,'Rules of Credit'!$A$5:$A$8,0),1))+INDEX('Rules of Credit'!$B$5:$F$8,MATCH($F102,'Rules of Credit'!$A$5:$A$8,0),2)+INDEX('Rules of Credit'!$B$5:$F$8,MATCH($F102,'Rules of Credit'!$A$5:$A$8,0),3)+IF($X102="N",0,INDEX('Rules of Credit'!$B$5:$F$8,MATCH($F102,'Rules of Credit'!$A$5:$A$8,0),4))+INDEX('Rules of Credit'!$B$5:$F$8,MATCH($F102,'Rules of Credit'!$A$5:$A$8,0),5)),0)</f>
        <v>0</v>
      </c>
      <c r="Q102" s="149" t="n">
        <f aca="false">IF(OR($H102="",$I102=""),0,IF('Tracker Summary'!$C$3&lt;$H102,0,IF('Tracker Summary'!$C$3&gt;=$I102,1,('Tracker Summary'!$C$3-$H102)/($I102-$H102+1))))</f>
        <v>0</v>
      </c>
      <c r="R102" s="149" t="n">
        <f aca="false">P102-Q102</f>
        <v>0</v>
      </c>
      <c r="S102" s="146" t="str">
        <f aca="false">IF($I102="","Not scheduled",IF(P102&gt;=1,"Complete",IF('Tracker Summary'!$C$3&gt;$I102,"Overdue",IF(P102-Q102&lt;-0.1,"Behind",IF(AND(P102=0,'Tracker Summary'!$C$3&lt;$H102),"Not started","On track")))))</f>
        <v>Not started</v>
      </c>
      <c r="T102" s="90"/>
      <c r="U102" s="146" t="str">
        <f aca="false">IFERROR(INDEX(Schedule!$D$2:$D$147,MATCH($G102,Schedule!$A$2:$A$147,0)),"")</f>
        <v>Plumbing &amp; Process Pumps — Sludge pumps and valving</v>
      </c>
      <c r="V102" s="148" t="n">
        <f aca="false">IFERROR(INDEX(Schedule!$F$2:$F$147,MATCH("22-P01",Schedule!$A$2:$A$147,0)),"")</f>
        <v>45016</v>
      </c>
      <c r="W102" s="146" t="s">
        <v>99</v>
      </c>
      <c r="X102" s="146" t="s">
        <v>99</v>
      </c>
      <c r="Y102" s="146" t="n">
        <v>12</v>
      </c>
      <c r="Z102" s="146" t="n">
        <v>7</v>
      </c>
      <c r="AA102" s="146" t="s">
        <v>531</v>
      </c>
      <c r="AB102" s="146" t="s">
        <v>532</v>
      </c>
      <c r="AC102" s="146" t="s">
        <v>92</v>
      </c>
      <c r="AD102" s="146" t="s">
        <v>93</v>
      </c>
      <c r="AE102" s="146"/>
      <c r="AF102" s="146" t="s">
        <v>533</v>
      </c>
      <c r="AG102" s="146" t="s">
        <v>534</v>
      </c>
      <c r="AH102" s="146" t="s">
        <v>109</v>
      </c>
    </row>
    <row r="103" customFormat="false" ht="15" hidden="false" customHeight="false" outlineLevel="0" collapsed="false">
      <c r="A103" s="146" t="s">
        <v>60</v>
      </c>
      <c r="B103" s="147" t="s">
        <v>33</v>
      </c>
      <c r="C103" s="146" t="s">
        <v>535</v>
      </c>
      <c r="D103" s="146" t="s">
        <v>536</v>
      </c>
      <c r="E103" s="146" t="s">
        <v>537</v>
      </c>
      <c r="F103" s="90" t="s">
        <v>234</v>
      </c>
      <c r="G103" s="146" t="s">
        <v>538</v>
      </c>
      <c r="H103" s="148" t="n">
        <f aca="false">IFERROR(INDEX(Schedule!$E$2:$E$147,MATCH($G103,Schedule!$A$2:$A$147,0)),"")</f>
        <v>45017</v>
      </c>
      <c r="I103" s="148" t="n">
        <f aca="false">IFERROR(INDEX(Schedule!$F$2:$F$147,MATCH($G103,Schedule!$A$2:$A$147,0)),"")</f>
        <v>45331</v>
      </c>
      <c r="J103" s="92"/>
      <c r="K103" s="92"/>
      <c r="L103" s="92"/>
      <c r="M103" s="92"/>
      <c r="N103" s="92"/>
      <c r="O103" s="90" t="n">
        <v>1</v>
      </c>
      <c r="P103" s="149" t="n">
        <f aca="false">IFERROR((IF(OR(ISNUMBER(J103),UPPER(TRIM(J103))="N/A"),1,0)*IF($W103="N",0,INDEX('Rules of Credit'!$B$5:$F$8,MATCH($F103,'Rules of Credit'!$A$5:$A$8,0),1))+IF(OR(ISNUMBER(K103),UPPER(TRIM(K103))="N/A"),1,0)*INDEX('Rules of Credit'!$B$5:$F$8,MATCH($F103,'Rules of Credit'!$A$5:$A$8,0),2)+IF(OR(ISNUMBER(L103),UPPER(TRIM(L103))="N/A"),1,0)*INDEX('Rules of Credit'!$B$5:$F$8,MATCH($F103,'Rules of Credit'!$A$5:$A$8,0),3)+IF(OR(ISNUMBER(M103),UPPER(TRIM(M103))="N/A"),1,0)*IF($X103="N",0,INDEX('Rules of Credit'!$B$5:$F$8,MATCH($F103,'Rules of Credit'!$A$5:$A$8,0),4))+IF(OR(ISNUMBER(N103),UPPER(TRIM(N103))="N/A"),1,0)*INDEX('Rules of Credit'!$B$5:$F$8,MATCH($F103,'Rules of Credit'!$A$5:$A$8,0),5))/(IF($W103="N",0,INDEX('Rules of Credit'!$B$5:$F$8,MATCH($F103,'Rules of Credit'!$A$5:$A$8,0),1))+INDEX('Rules of Credit'!$B$5:$F$8,MATCH($F103,'Rules of Credit'!$A$5:$A$8,0),2)+INDEX('Rules of Credit'!$B$5:$F$8,MATCH($F103,'Rules of Credit'!$A$5:$A$8,0),3)+IF($X103="N",0,INDEX('Rules of Credit'!$B$5:$F$8,MATCH($F103,'Rules of Credit'!$A$5:$A$8,0),4))+INDEX('Rules of Credit'!$B$5:$F$8,MATCH($F103,'Rules of Credit'!$A$5:$A$8,0),5)),0)</f>
        <v>0</v>
      </c>
      <c r="Q103" s="149" t="n">
        <f aca="false">IF(OR($H103="",$I103=""),0,IF('Tracker Summary'!$C$3&lt;$H103,0,IF('Tracker Summary'!$C$3&gt;=$I103,1,('Tracker Summary'!$C$3-$H103)/($I103-$H103+1))))</f>
        <v>0</v>
      </c>
      <c r="R103" s="149" t="n">
        <f aca="false">P103-Q103</f>
        <v>0</v>
      </c>
      <c r="S103" s="146" t="str">
        <f aca="false">IF($I103="","Not scheduled",IF(P103&gt;=1,"Complete",IF('Tracker Summary'!$C$3&gt;$I103,"Overdue",IF(P103-Q103&lt;-0.1,"Behind",IF(AND(P103=0,'Tracker Summary'!$C$3&lt;$H103),"Not started","On track")))))</f>
        <v>Not started</v>
      </c>
      <c r="T103" s="90"/>
      <c r="U103" s="146" t="str">
        <f aca="false">IFERROR(INDEX(Schedule!$D$2:$D$147,MATCH($G103,Schedule!$A$2:$A$147,0)),"")</f>
        <v>Plumbing &amp; Process Pumps — Existing dewatering / treatment building</v>
      </c>
      <c r="V103" s="148" t="n">
        <f aca="false">IFERROR(INDEX(Schedule!$F$2:$F$147,MATCH("22-P01",Schedule!$A$2:$A$147,0)),"")</f>
        <v>45016</v>
      </c>
      <c r="W103" s="146" t="s">
        <v>115</v>
      </c>
      <c r="X103" s="146" t="s">
        <v>115</v>
      </c>
      <c r="Y103" s="146" t="n">
        <v>0</v>
      </c>
      <c r="Z103" s="146" t="n">
        <v>0</v>
      </c>
      <c r="AA103" s="146" t="s">
        <v>539</v>
      </c>
      <c r="AB103" s="146" t="s">
        <v>540</v>
      </c>
      <c r="AC103" s="146" t="s">
        <v>541</v>
      </c>
      <c r="AD103" s="146" t="s">
        <v>542</v>
      </c>
      <c r="AE103" s="146" t="s">
        <v>543</v>
      </c>
      <c r="AF103" s="146"/>
      <c r="AG103" s="146" t="s">
        <v>543</v>
      </c>
      <c r="AH103" s="146" t="s">
        <v>501</v>
      </c>
    </row>
    <row r="104" customFormat="false" ht="15" hidden="false" customHeight="false" outlineLevel="0" collapsed="false">
      <c r="A104" s="146" t="s">
        <v>60</v>
      </c>
      <c r="B104" s="147" t="s">
        <v>33</v>
      </c>
      <c r="C104" s="146" t="s">
        <v>544</v>
      </c>
      <c r="D104" s="146" t="s">
        <v>545</v>
      </c>
      <c r="E104" s="146" t="s">
        <v>537</v>
      </c>
      <c r="F104" s="90" t="s">
        <v>234</v>
      </c>
      <c r="G104" s="146" t="s">
        <v>538</v>
      </c>
      <c r="H104" s="148" t="n">
        <f aca="false">IFERROR(INDEX(Schedule!$E$2:$E$147,MATCH($G104,Schedule!$A$2:$A$147,0)),"")</f>
        <v>45017</v>
      </c>
      <c r="I104" s="148" t="n">
        <f aca="false">IFERROR(INDEX(Schedule!$F$2:$F$147,MATCH($G104,Schedule!$A$2:$A$147,0)),"")</f>
        <v>45331</v>
      </c>
      <c r="J104" s="92"/>
      <c r="K104" s="92"/>
      <c r="L104" s="92"/>
      <c r="M104" s="92"/>
      <c r="N104" s="92"/>
      <c r="O104" s="90" t="n">
        <v>1</v>
      </c>
      <c r="P104" s="149" t="n">
        <f aca="false">IFERROR((IF(OR(ISNUMBER(J104),UPPER(TRIM(J104))="N/A"),1,0)*IF($W104="N",0,INDEX('Rules of Credit'!$B$5:$F$8,MATCH($F104,'Rules of Credit'!$A$5:$A$8,0),1))+IF(OR(ISNUMBER(K104),UPPER(TRIM(K104))="N/A"),1,0)*INDEX('Rules of Credit'!$B$5:$F$8,MATCH($F104,'Rules of Credit'!$A$5:$A$8,0),2)+IF(OR(ISNUMBER(L104),UPPER(TRIM(L104))="N/A"),1,0)*INDEX('Rules of Credit'!$B$5:$F$8,MATCH($F104,'Rules of Credit'!$A$5:$A$8,0),3)+IF(OR(ISNUMBER(M104),UPPER(TRIM(M104))="N/A"),1,0)*IF($X104="N",0,INDEX('Rules of Credit'!$B$5:$F$8,MATCH($F104,'Rules of Credit'!$A$5:$A$8,0),4))+IF(OR(ISNUMBER(N104),UPPER(TRIM(N104))="N/A"),1,0)*INDEX('Rules of Credit'!$B$5:$F$8,MATCH($F104,'Rules of Credit'!$A$5:$A$8,0),5))/(IF($W104="N",0,INDEX('Rules of Credit'!$B$5:$F$8,MATCH($F104,'Rules of Credit'!$A$5:$A$8,0),1))+INDEX('Rules of Credit'!$B$5:$F$8,MATCH($F104,'Rules of Credit'!$A$5:$A$8,0),2)+INDEX('Rules of Credit'!$B$5:$F$8,MATCH($F104,'Rules of Credit'!$A$5:$A$8,0),3)+IF($X104="N",0,INDEX('Rules of Credit'!$B$5:$F$8,MATCH($F104,'Rules of Credit'!$A$5:$A$8,0),4))+INDEX('Rules of Credit'!$B$5:$F$8,MATCH($F104,'Rules of Credit'!$A$5:$A$8,0),5)),0)</f>
        <v>0</v>
      </c>
      <c r="Q104" s="149" t="n">
        <f aca="false">IF(OR($H104="",$I104=""),0,IF('Tracker Summary'!$C$3&lt;$H104,0,IF('Tracker Summary'!$C$3&gt;=$I104,1,('Tracker Summary'!$C$3-$H104)/($I104-$H104+1))))</f>
        <v>0</v>
      </c>
      <c r="R104" s="149" t="n">
        <f aca="false">P104-Q104</f>
        <v>0</v>
      </c>
      <c r="S104" s="146" t="str">
        <f aca="false">IF($I104="","Not scheduled",IF(P104&gt;=1,"Complete",IF('Tracker Summary'!$C$3&gt;$I104,"Overdue",IF(P104-Q104&lt;-0.1,"Behind",IF(AND(P104=0,'Tracker Summary'!$C$3&lt;$H104),"Not started","On track")))))</f>
        <v>Not started</v>
      </c>
      <c r="T104" s="90"/>
      <c r="U104" s="146" t="str">
        <f aca="false">IFERROR(INDEX(Schedule!$D$2:$D$147,MATCH($G104,Schedule!$A$2:$A$147,0)),"")</f>
        <v>Plumbing &amp; Process Pumps — Existing dewatering / treatment building</v>
      </c>
      <c r="V104" s="148" t="n">
        <f aca="false">IFERROR(INDEX(Schedule!$F$2:$F$147,MATCH("22-P01",Schedule!$A$2:$A$147,0)),"")</f>
        <v>45016</v>
      </c>
      <c r="W104" s="146" t="s">
        <v>115</v>
      </c>
      <c r="X104" s="146" t="s">
        <v>115</v>
      </c>
      <c r="Y104" s="146" t="n">
        <v>0</v>
      </c>
      <c r="Z104" s="146" t="n">
        <v>0</v>
      </c>
      <c r="AA104" s="146" t="s">
        <v>546</v>
      </c>
      <c r="AB104" s="146" t="s">
        <v>547</v>
      </c>
      <c r="AC104" s="146" t="s">
        <v>541</v>
      </c>
      <c r="AD104" s="146" t="s">
        <v>542</v>
      </c>
      <c r="AE104" s="146" t="s">
        <v>543</v>
      </c>
      <c r="AF104" s="146"/>
      <c r="AG104" s="146" t="s">
        <v>543</v>
      </c>
      <c r="AH104" s="146" t="s">
        <v>501</v>
      </c>
    </row>
    <row r="105" customFormat="false" ht="15" hidden="false" customHeight="false" outlineLevel="0" collapsed="false">
      <c r="A105" s="146" t="s">
        <v>60</v>
      </c>
      <c r="B105" s="147" t="s">
        <v>33</v>
      </c>
      <c r="C105" s="146" t="s">
        <v>548</v>
      </c>
      <c r="D105" s="146" t="s">
        <v>549</v>
      </c>
      <c r="E105" s="146" t="s">
        <v>537</v>
      </c>
      <c r="F105" s="90" t="s">
        <v>234</v>
      </c>
      <c r="G105" s="146" t="s">
        <v>538</v>
      </c>
      <c r="H105" s="148" t="n">
        <f aca="false">IFERROR(INDEX(Schedule!$E$2:$E$147,MATCH($G105,Schedule!$A$2:$A$147,0)),"")</f>
        <v>45017</v>
      </c>
      <c r="I105" s="148" t="n">
        <f aca="false">IFERROR(INDEX(Schedule!$F$2:$F$147,MATCH($G105,Schedule!$A$2:$A$147,0)),"")</f>
        <v>45331</v>
      </c>
      <c r="J105" s="92"/>
      <c r="K105" s="92"/>
      <c r="L105" s="92"/>
      <c r="M105" s="92"/>
      <c r="N105" s="92"/>
      <c r="O105" s="90" t="n">
        <v>1</v>
      </c>
      <c r="P105" s="149" t="n">
        <f aca="false">IFERROR((IF(OR(ISNUMBER(J105),UPPER(TRIM(J105))="N/A"),1,0)*IF($W105="N",0,INDEX('Rules of Credit'!$B$5:$F$8,MATCH($F105,'Rules of Credit'!$A$5:$A$8,0),1))+IF(OR(ISNUMBER(K105),UPPER(TRIM(K105))="N/A"),1,0)*INDEX('Rules of Credit'!$B$5:$F$8,MATCH($F105,'Rules of Credit'!$A$5:$A$8,0),2)+IF(OR(ISNUMBER(L105),UPPER(TRIM(L105))="N/A"),1,0)*INDEX('Rules of Credit'!$B$5:$F$8,MATCH($F105,'Rules of Credit'!$A$5:$A$8,0),3)+IF(OR(ISNUMBER(M105),UPPER(TRIM(M105))="N/A"),1,0)*IF($X105="N",0,INDEX('Rules of Credit'!$B$5:$F$8,MATCH($F105,'Rules of Credit'!$A$5:$A$8,0),4))+IF(OR(ISNUMBER(N105),UPPER(TRIM(N105))="N/A"),1,0)*INDEX('Rules of Credit'!$B$5:$F$8,MATCH($F105,'Rules of Credit'!$A$5:$A$8,0),5))/(IF($W105="N",0,INDEX('Rules of Credit'!$B$5:$F$8,MATCH($F105,'Rules of Credit'!$A$5:$A$8,0),1))+INDEX('Rules of Credit'!$B$5:$F$8,MATCH($F105,'Rules of Credit'!$A$5:$A$8,0),2)+INDEX('Rules of Credit'!$B$5:$F$8,MATCH($F105,'Rules of Credit'!$A$5:$A$8,0),3)+IF($X105="N",0,INDEX('Rules of Credit'!$B$5:$F$8,MATCH($F105,'Rules of Credit'!$A$5:$A$8,0),4))+INDEX('Rules of Credit'!$B$5:$F$8,MATCH($F105,'Rules of Credit'!$A$5:$A$8,0),5)),0)</f>
        <v>0</v>
      </c>
      <c r="Q105" s="149" t="n">
        <f aca="false">IF(OR($H105="",$I105=""),0,IF('Tracker Summary'!$C$3&lt;$H105,0,IF('Tracker Summary'!$C$3&gt;=$I105,1,('Tracker Summary'!$C$3-$H105)/($I105-$H105+1))))</f>
        <v>0</v>
      </c>
      <c r="R105" s="149" t="n">
        <f aca="false">P105-Q105</f>
        <v>0</v>
      </c>
      <c r="S105" s="146" t="str">
        <f aca="false">IF($I105="","Not scheduled",IF(P105&gt;=1,"Complete",IF('Tracker Summary'!$C$3&gt;$I105,"Overdue",IF(P105-Q105&lt;-0.1,"Behind",IF(AND(P105=0,'Tracker Summary'!$C$3&lt;$H105),"Not started","On track")))))</f>
        <v>Not started</v>
      </c>
      <c r="T105" s="90"/>
      <c r="U105" s="146" t="str">
        <f aca="false">IFERROR(INDEX(Schedule!$D$2:$D$147,MATCH($G105,Schedule!$A$2:$A$147,0)),"")</f>
        <v>Plumbing &amp; Process Pumps — Existing dewatering / treatment building</v>
      </c>
      <c r="V105" s="148" t="n">
        <f aca="false">IFERROR(INDEX(Schedule!$F$2:$F$147,MATCH("22-P01",Schedule!$A$2:$A$147,0)),"")</f>
        <v>45016</v>
      </c>
      <c r="W105" s="146" t="s">
        <v>115</v>
      </c>
      <c r="X105" s="146" t="s">
        <v>115</v>
      </c>
      <c r="Y105" s="146" t="n">
        <v>0</v>
      </c>
      <c r="Z105" s="146" t="n">
        <v>0</v>
      </c>
      <c r="AA105" s="146" t="s">
        <v>550</v>
      </c>
      <c r="AB105" s="146" t="s">
        <v>551</v>
      </c>
      <c r="AC105" s="146" t="s">
        <v>541</v>
      </c>
      <c r="AD105" s="146" t="s">
        <v>542</v>
      </c>
      <c r="AE105" s="146" t="s">
        <v>543</v>
      </c>
      <c r="AF105" s="146"/>
      <c r="AG105" s="146" t="s">
        <v>543</v>
      </c>
      <c r="AH105" s="146" t="s">
        <v>501</v>
      </c>
    </row>
    <row r="106" customFormat="false" ht="15" hidden="false" customHeight="false" outlineLevel="0" collapsed="false">
      <c r="A106" s="146" t="s">
        <v>60</v>
      </c>
      <c r="B106" s="147" t="s">
        <v>33</v>
      </c>
      <c r="C106" s="146" t="s">
        <v>552</v>
      </c>
      <c r="D106" s="146" t="s">
        <v>553</v>
      </c>
      <c r="E106" s="146" t="s">
        <v>98</v>
      </c>
      <c r="F106" s="90" t="s">
        <v>234</v>
      </c>
      <c r="G106" s="146" t="s">
        <v>554</v>
      </c>
      <c r="H106" s="148" t="n">
        <f aca="false">IFERROR(INDEX(Schedule!$E$2:$E$147,MATCH($G106,Schedule!$A$2:$A$147,0)),"")</f>
        <v>45017</v>
      </c>
      <c r="I106" s="148" t="n">
        <f aca="false">IFERROR(INDEX(Schedule!$F$2:$F$147,MATCH($G106,Schedule!$A$2:$A$147,0)),"")</f>
        <v>45231</v>
      </c>
      <c r="J106" s="92"/>
      <c r="K106" s="92"/>
      <c r="L106" s="92"/>
      <c r="M106" s="92"/>
      <c r="N106" s="92"/>
      <c r="O106" s="90" t="n">
        <v>1</v>
      </c>
      <c r="P106" s="149" t="n">
        <f aca="false">IFERROR((IF(OR(ISNUMBER(J106),UPPER(TRIM(J106))="N/A"),1,0)*IF($W106="N",0,INDEX('Rules of Credit'!$B$5:$F$8,MATCH($F106,'Rules of Credit'!$A$5:$A$8,0),1))+IF(OR(ISNUMBER(K106),UPPER(TRIM(K106))="N/A"),1,0)*INDEX('Rules of Credit'!$B$5:$F$8,MATCH($F106,'Rules of Credit'!$A$5:$A$8,0),2)+IF(OR(ISNUMBER(L106),UPPER(TRIM(L106))="N/A"),1,0)*INDEX('Rules of Credit'!$B$5:$F$8,MATCH($F106,'Rules of Credit'!$A$5:$A$8,0),3)+IF(OR(ISNUMBER(M106),UPPER(TRIM(M106))="N/A"),1,0)*IF($X106="N",0,INDEX('Rules of Credit'!$B$5:$F$8,MATCH($F106,'Rules of Credit'!$A$5:$A$8,0),4))+IF(OR(ISNUMBER(N106),UPPER(TRIM(N106))="N/A"),1,0)*INDEX('Rules of Credit'!$B$5:$F$8,MATCH($F106,'Rules of Credit'!$A$5:$A$8,0),5))/(IF($W106="N",0,INDEX('Rules of Credit'!$B$5:$F$8,MATCH($F106,'Rules of Credit'!$A$5:$A$8,0),1))+INDEX('Rules of Credit'!$B$5:$F$8,MATCH($F106,'Rules of Credit'!$A$5:$A$8,0),2)+INDEX('Rules of Credit'!$B$5:$F$8,MATCH($F106,'Rules of Credit'!$A$5:$A$8,0),3)+IF($X106="N",0,INDEX('Rules of Credit'!$B$5:$F$8,MATCH($F106,'Rules of Credit'!$A$5:$A$8,0),4))+INDEX('Rules of Credit'!$B$5:$F$8,MATCH($F106,'Rules of Credit'!$A$5:$A$8,0),5)),0)</f>
        <v>0</v>
      </c>
      <c r="Q106" s="149" t="n">
        <f aca="false">IF(OR($H106="",$I106=""),0,IF('Tracker Summary'!$C$3&lt;$H106,0,IF('Tracker Summary'!$C$3&gt;=$I106,1,('Tracker Summary'!$C$3-$H106)/($I106-$H106+1))))</f>
        <v>0</v>
      </c>
      <c r="R106" s="149" t="n">
        <f aca="false">P106-Q106</f>
        <v>0</v>
      </c>
      <c r="S106" s="146" t="str">
        <f aca="false">IF($I106="","Not scheduled",IF(P106&gt;=1,"Complete",IF('Tracker Summary'!$C$3&gt;$I106,"Overdue",IF(P106-Q106&lt;-0.1,"Behind",IF(AND(P106=0,'Tracker Summary'!$C$3&lt;$H106),"Not started","On track")))))</f>
        <v>Not started</v>
      </c>
      <c r="T106" s="90"/>
      <c r="U106" s="146" t="str">
        <f aca="false">IFERROR(INDEX(Schedule!$D$2:$D$147,MATCH($G106,Schedule!$A$2:$A$147,0)),"")</f>
        <v>Plumbing &amp; Process Pumps — Yard piping, vaults and site utilities</v>
      </c>
      <c r="V106" s="148" t="n">
        <f aca="false">IFERROR(INDEX(Schedule!$F$2:$F$147,MATCH("22-P01",Schedule!$A$2:$A$147,0)),"")</f>
        <v>45016</v>
      </c>
      <c r="W106" s="146" t="s">
        <v>99</v>
      </c>
      <c r="X106" s="146" t="s">
        <v>91</v>
      </c>
      <c r="Y106" s="146" t="n">
        <v>2</v>
      </c>
      <c r="Z106" s="146" t="n">
        <v>0</v>
      </c>
      <c r="AA106" s="146" t="s">
        <v>555</v>
      </c>
      <c r="AB106" s="146" t="s">
        <v>556</v>
      </c>
      <c r="AC106" s="146" t="s">
        <v>92</v>
      </c>
      <c r="AD106" s="146" t="s">
        <v>93</v>
      </c>
      <c r="AE106" s="146"/>
      <c r="AF106" s="146" t="s">
        <v>557</v>
      </c>
      <c r="AG106" s="146" t="s">
        <v>557</v>
      </c>
      <c r="AH106" s="146" t="s">
        <v>213</v>
      </c>
    </row>
    <row r="107" customFormat="false" ht="15" hidden="false" customHeight="false" outlineLevel="0" collapsed="false">
      <c r="A107" s="146" t="s">
        <v>60</v>
      </c>
      <c r="B107" s="147" t="s">
        <v>33</v>
      </c>
      <c r="C107" s="146" t="s">
        <v>558</v>
      </c>
      <c r="D107" s="146" t="s">
        <v>559</v>
      </c>
      <c r="E107" s="146" t="s">
        <v>98</v>
      </c>
      <c r="F107" s="90" t="s">
        <v>234</v>
      </c>
      <c r="G107" s="146" t="s">
        <v>554</v>
      </c>
      <c r="H107" s="148" t="n">
        <f aca="false">IFERROR(INDEX(Schedule!$E$2:$E$147,MATCH($G107,Schedule!$A$2:$A$147,0)),"")</f>
        <v>45017</v>
      </c>
      <c r="I107" s="148" t="n">
        <f aca="false">IFERROR(INDEX(Schedule!$F$2:$F$147,MATCH($G107,Schedule!$A$2:$A$147,0)),"")</f>
        <v>45231</v>
      </c>
      <c r="J107" s="92"/>
      <c r="K107" s="92"/>
      <c r="L107" s="92"/>
      <c r="M107" s="92"/>
      <c r="N107" s="92"/>
      <c r="O107" s="90" t="n">
        <v>1</v>
      </c>
      <c r="P107" s="149" t="n">
        <f aca="false">IFERROR((IF(OR(ISNUMBER(J107),UPPER(TRIM(J107))="N/A"),1,0)*IF($W107="N",0,INDEX('Rules of Credit'!$B$5:$F$8,MATCH($F107,'Rules of Credit'!$A$5:$A$8,0),1))+IF(OR(ISNUMBER(K107),UPPER(TRIM(K107))="N/A"),1,0)*INDEX('Rules of Credit'!$B$5:$F$8,MATCH($F107,'Rules of Credit'!$A$5:$A$8,0),2)+IF(OR(ISNUMBER(L107),UPPER(TRIM(L107))="N/A"),1,0)*INDEX('Rules of Credit'!$B$5:$F$8,MATCH($F107,'Rules of Credit'!$A$5:$A$8,0),3)+IF(OR(ISNUMBER(M107),UPPER(TRIM(M107))="N/A"),1,0)*IF($X107="N",0,INDEX('Rules of Credit'!$B$5:$F$8,MATCH($F107,'Rules of Credit'!$A$5:$A$8,0),4))+IF(OR(ISNUMBER(N107),UPPER(TRIM(N107))="N/A"),1,0)*INDEX('Rules of Credit'!$B$5:$F$8,MATCH($F107,'Rules of Credit'!$A$5:$A$8,0),5))/(IF($W107="N",0,INDEX('Rules of Credit'!$B$5:$F$8,MATCH($F107,'Rules of Credit'!$A$5:$A$8,0),1))+INDEX('Rules of Credit'!$B$5:$F$8,MATCH($F107,'Rules of Credit'!$A$5:$A$8,0),2)+INDEX('Rules of Credit'!$B$5:$F$8,MATCH($F107,'Rules of Credit'!$A$5:$A$8,0),3)+IF($X107="N",0,INDEX('Rules of Credit'!$B$5:$F$8,MATCH($F107,'Rules of Credit'!$A$5:$A$8,0),4))+INDEX('Rules of Credit'!$B$5:$F$8,MATCH($F107,'Rules of Credit'!$A$5:$A$8,0),5)),0)</f>
        <v>0</v>
      </c>
      <c r="Q107" s="149" t="n">
        <f aca="false">IF(OR($H107="",$I107=""),0,IF('Tracker Summary'!$C$3&lt;$H107,0,IF('Tracker Summary'!$C$3&gt;=$I107,1,('Tracker Summary'!$C$3-$H107)/($I107-$H107+1))))</f>
        <v>0</v>
      </c>
      <c r="R107" s="149" t="n">
        <f aca="false">P107-Q107</f>
        <v>0</v>
      </c>
      <c r="S107" s="146" t="str">
        <f aca="false">IF($I107="","Not scheduled",IF(P107&gt;=1,"Complete",IF('Tracker Summary'!$C$3&gt;$I107,"Overdue",IF(P107-Q107&lt;-0.1,"Behind",IF(AND(P107=0,'Tracker Summary'!$C$3&lt;$H107),"Not started","On track")))))</f>
        <v>Not started</v>
      </c>
      <c r="T107" s="90"/>
      <c r="U107" s="146" t="str">
        <f aca="false">IFERROR(INDEX(Schedule!$D$2:$D$147,MATCH($G107,Schedule!$A$2:$A$147,0)),"")</f>
        <v>Plumbing &amp; Process Pumps — Yard piping, vaults and site utilities</v>
      </c>
      <c r="V107" s="148" t="n">
        <f aca="false">IFERROR(INDEX(Schedule!$F$2:$F$147,MATCH("22-P01",Schedule!$A$2:$A$147,0)),"")</f>
        <v>45016</v>
      </c>
      <c r="W107" s="146" t="s">
        <v>99</v>
      </c>
      <c r="X107" s="146" t="s">
        <v>91</v>
      </c>
      <c r="Y107" s="146" t="n">
        <v>1</v>
      </c>
      <c r="Z107" s="146" t="n">
        <v>0</v>
      </c>
      <c r="AA107" s="146" t="s">
        <v>560</v>
      </c>
      <c r="AB107" s="146" t="s">
        <v>561</v>
      </c>
      <c r="AC107" s="146" t="s">
        <v>92</v>
      </c>
      <c r="AD107" s="146" t="s">
        <v>93</v>
      </c>
      <c r="AE107" s="146"/>
      <c r="AF107" s="146" t="s">
        <v>562</v>
      </c>
      <c r="AG107" s="146" t="s">
        <v>562</v>
      </c>
      <c r="AH107" s="146" t="s">
        <v>213</v>
      </c>
    </row>
    <row r="108" customFormat="false" ht="15" hidden="false" customHeight="false" outlineLevel="0" collapsed="false">
      <c r="A108" s="146" t="s">
        <v>60</v>
      </c>
      <c r="B108" s="147" t="s">
        <v>33</v>
      </c>
      <c r="C108" s="146" t="s">
        <v>563</v>
      </c>
      <c r="D108" s="146" t="s">
        <v>564</v>
      </c>
      <c r="E108" s="146" t="s">
        <v>98</v>
      </c>
      <c r="F108" s="90" t="s">
        <v>234</v>
      </c>
      <c r="G108" s="146" t="s">
        <v>554</v>
      </c>
      <c r="H108" s="148" t="n">
        <f aca="false">IFERROR(INDEX(Schedule!$E$2:$E$147,MATCH($G108,Schedule!$A$2:$A$147,0)),"")</f>
        <v>45017</v>
      </c>
      <c r="I108" s="148" t="n">
        <f aca="false">IFERROR(INDEX(Schedule!$F$2:$F$147,MATCH($G108,Schedule!$A$2:$A$147,0)),"")</f>
        <v>45231</v>
      </c>
      <c r="J108" s="92"/>
      <c r="K108" s="92"/>
      <c r="L108" s="92"/>
      <c r="M108" s="92"/>
      <c r="N108" s="92"/>
      <c r="O108" s="90" t="n">
        <v>1</v>
      </c>
      <c r="P108" s="149" t="n">
        <f aca="false">IFERROR((IF(OR(ISNUMBER(J108),UPPER(TRIM(J108))="N/A"),1,0)*IF($W108="N",0,INDEX('Rules of Credit'!$B$5:$F$8,MATCH($F108,'Rules of Credit'!$A$5:$A$8,0),1))+IF(OR(ISNUMBER(K108),UPPER(TRIM(K108))="N/A"),1,0)*INDEX('Rules of Credit'!$B$5:$F$8,MATCH($F108,'Rules of Credit'!$A$5:$A$8,0),2)+IF(OR(ISNUMBER(L108),UPPER(TRIM(L108))="N/A"),1,0)*INDEX('Rules of Credit'!$B$5:$F$8,MATCH($F108,'Rules of Credit'!$A$5:$A$8,0),3)+IF(OR(ISNUMBER(M108),UPPER(TRIM(M108))="N/A"),1,0)*IF($X108="N",0,INDEX('Rules of Credit'!$B$5:$F$8,MATCH($F108,'Rules of Credit'!$A$5:$A$8,0),4))+IF(OR(ISNUMBER(N108),UPPER(TRIM(N108))="N/A"),1,0)*INDEX('Rules of Credit'!$B$5:$F$8,MATCH($F108,'Rules of Credit'!$A$5:$A$8,0),5))/(IF($W108="N",0,INDEX('Rules of Credit'!$B$5:$F$8,MATCH($F108,'Rules of Credit'!$A$5:$A$8,0),1))+INDEX('Rules of Credit'!$B$5:$F$8,MATCH($F108,'Rules of Credit'!$A$5:$A$8,0),2)+INDEX('Rules of Credit'!$B$5:$F$8,MATCH($F108,'Rules of Credit'!$A$5:$A$8,0),3)+IF($X108="N",0,INDEX('Rules of Credit'!$B$5:$F$8,MATCH($F108,'Rules of Credit'!$A$5:$A$8,0),4))+INDEX('Rules of Credit'!$B$5:$F$8,MATCH($F108,'Rules of Credit'!$A$5:$A$8,0),5)),0)</f>
        <v>0</v>
      </c>
      <c r="Q108" s="149" t="n">
        <f aca="false">IF(OR($H108="",$I108=""),0,IF('Tracker Summary'!$C$3&lt;$H108,0,IF('Tracker Summary'!$C$3&gt;=$I108,1,('Tracker Summary'!$C$3-$H108)/($I108-$H108+1))))</f>
        <v>0</v>
      </c>
      <c r="R108" s="149" t="n">
        <f aca="false">P108-Q108</f>
        <v>0</v>
      </c>
      <c r="S108" s="146" t="str">
        <f aca="false">IF($I108="","Not scheduled",IF(P108&gt;=1,"Complete",IF('Tracker Summary'!$C$3&gt;$I108,"Overdue",IF(P108-Q108&lt;-0.1,"Behind",IF(AND(P108=0,'Tracker Summary'!$C$3&lt;$H108),"Not started","On track")))))</f>
        <v>Not started</v>
      </c>
      <c r="T108" s="90"/>
      <c r="U108" s="146" t="str">
        <f aca="false">IFERROR(INDEX(Schedule!$D$2:$D$147,MATCH($G108,Schedule!$A$2:$A$147,0)),"")</f>
        <v>Plumbing &amp; Process Pumps — Yard piping, vaults and site utilities</v>
      </c>
      <c r="V108" s="148" t="n">
        <f aca="false">IFERROR(INDEX(Schedule!$F$2:$F$147,MATCH("22-P01",Schedule!$A$2:$A$147,0)),"")</f>
        <v>45016</v>
      </c>
      <c r="W108" s="146" t="s">
        <v>99</v>
      </c>
      <c r="X108" s="146" t="s">
        <v>91</v>
      </c>
      <c r="Y108" s="146" t="n">
        <v>1</v>
      </c>
      <c r="Z108" s="146" t="n">
        <v>0</v>
      </c>
      <c r="AA108" s="146"/>
      <c r="AB108" s="146" t="s">
        <v>565</v>
      </c>
      <c r="AC108" s="146" t="s">
        <v>92</v>
      </c>
      <c r="AD108" s="146" t="s">
        <v>93</v>
      </c>
      <c r="AE108" s="146"/>
      <c r="AF108" s="146" t="s">
        <v>562</v>
      </c>
      <c r="AG108" s="146" t="s">
        <v>562</v>
      </c>
      <c r="AH108" s="146" t="s">
        <v>213</v>
      </c>
    </row>
    <row r="109" customFormat="false" ht="15" hidden="false" customHeight="false" outlineLevel="0" collapsed="false">
      <c r="A109" s="146" t="s">
        <v>60</v>
      </c>
      <c r="B109" s="147" t="s">
        <v>33</v>
      </c>
      <c r="C109" s="146" t="s">
        <v>566</v>
      </c>
      <c r="D109" s="146" t="s">
        <v>567</v>
      </c>
      <c r="E109" s="146" t="s">
        <v>209</v>
      </c>
      <c r="F109" s="90" t="s">
        <v>234</v>
      </c>
      <c r="G109" s="146" t="s">
        <v>568</v>
      </c>
      <c r="H109" s="148" t="n">
        <f aca="false">IFERROR(INDEX(Schedule!$E$2:$E$147,MATCH($G109,Schedule!$A$2:$A$147,0)),"")</f>
        <v>45078</v>
      </c>
      <c r="I109" s="148" t="n">
        <f aca="false">IFERROR(INDEX(Schedule!$F$2:$F$147,MATCH($G109,Schedule!$A$2:$A$147,0)),"")</f>
        <v>45224</v>
      </c>
      <c r="J109" s="92"/>
      <c r="K109" s="92"/>
      <c r="L109" s="92"/>
      <c r="M109" s="92"/>
      <c r="N109" s="92"/>
      <c r="O109" s="90" t="n">
        <v>1</v>
      </c>
      <c r="P109" s="149" t="n">
        <f aca="false">IFERROR((IF(OR(ISNUMBER(J109),UPPER(TRIM(J109))="N/A"),1,0)*IF($W109="N",0,INDEX('Rules of Credit'!$B$5:$F$8,MATCH($F109,'Rules of Credit'!$A$5:$A$8,0),1))+IF(OR(ISNUMBER(K109),UPPER(TRIM(K109))="N/A"),1,0)*INDEX('Rules of Credit'!$B$5:$F$8,MATCH($F109,'Rules of Credit'!$A$5:$A$8,0),2)+IF(OR(ISNUMBER(L109),UPPER(TRIM(L109))="N/A"),1,0)*INDEX('Rules of Credit'!$B$5:$F$8,MATCH($F109,'Rules of Credit'!$A$5:$A$8,0),3)+IF(OR(ISNUMBER(M109),UPPER(TRIM(M109))="N/A"),1,0)*IF($X109="N",0,INDEX('Rules of Credit'!$B$5:$F$8,MATCH($F109,'Rules of Credit'!$A$5:$A$8,0),4))+IF(OR(ISNUMBER(N109),UPPER(TRIM(N109))="N/A"),1,0)*INDEX('Rules of Credit'!$B$5:$F$8,MATCH($F109,'Rules of Credit'!$A$5:$A$8,0),5))/(IF($W109="N",0,INDEX('Rules of Credit'!$B$5:$F$8,MATCH($F109,'Rules of Credit'!$A$5:$A$8,0),1))+INDEX('Rules of Credit'!$B$5:$F$8,MATCH($F109,'Rules of Credit'!$A$5:$A$8,0),2)+INDEX('Rules of Credit'!$B$5:$F$8,MATCH($F109,'Rules of Credit'!$A$5:$A$8,0),3)+IF($X109="N",0,INDEX('Rules of Credit'!$B$5:$F$8,MATCH($F109,'Rules of Credit'!$A$5:$A$8,0),4))+INDEX('Rules of Credit'!$B$5:$F$8,MATCH($F109,'Rules of Credit'!$A$5:$A$8,0),5)),0)</f>
        <v>0</v>
      </c>
      <c r="Q109" s="149" t="n">
        <f aca="false">IF(OR($H109="",$I109=""),0,IF('Tracker Summary'!$C$3&lt;$H109,0,IF('Tracker Summary'!$C$3&gt;=$I109,1,('Tracker Summary'!$C$3-$H109)/($I109-$H109+1))))</f>
        <v>0</v>
      </c>
      <c r="R109" s="149" t="n">
        <f aca="false">P109-Q109</f>
        <v>0</v>
      </c>
      <c r="S109" s="146" t="str">
        <f aca="false">IF($I109="","Not scheduled",IF(P109&gt;=1,"Complete",IF('Tracker Summary'!$C$3&gt;$I109,"Overdue",IF(P109-Q109&lt;-0.1,"Behind",IF(AND(P109=0,'Tracker Summary'!$C$3&lt;$H109),"Not started","On track")))))</f>
        <v>Not started</v>
      </c>
      <c r="T109" s="90"/>
      <c r="U109" s="146" t="str">
        <f aca="false">IFERROR(INDEX(Schedule!$D$2:$D$147,MATCH($G109,Schedule!$A$2:$A$147,0)),"")</f>
        <v>Plumbing &amp; Process Pumps — Influent pump station and flow splitter</v>
      </c>
      <c r="V109" s="148" t="n">
        <f aca="false">IFERROR(INDEX(Schedule!$F$2:$F$147,MATCH("22-P01",Schedule!$A$2:$A$147,0)),"")</f>
        <v>45016</v>
      </c>
      <c r="W109" s="146" t="s">
        <v>91</v>
      </c>
      <c r="X109" s="146" t="s">
        <v>91</v>
      </c>
      <c r="Y109" s="146" t="n">
        <v>0</v>
      </c>
      <c r="Z109" s="146" t="n">
        <v>0</v>
      </c>
      <c r="AA109" s="146" t="s">
        <v>569</v>
      </c>
      <c r="AB109" s="146" t="s">
        <v>570</v>
      </c>
      <c r="AC109" s="146" t="s">
        <v>92</v>
      </c>
      <c r="AD109" s="146" t="s">
        <v>93</v>
      </c>
      <c r="AE109" s="146" t="s">
        <v>571</v>
      </c>
      <c r="AF109" s="146" t="s">
        <v>572</v>
      </c>
      <c r="AG109" s="146" t="s">
        <v>573</v>
      </c>
      <c r="AH109" s="146" t="s">
        <v>213</v>
      </c>
    </row>
    <row r="110" customFormat="false" ht="15" hidden="false" customHeight="false" outlineLevel="0" collapsed="false">
      <c r="A110" s="146" t="s">
        <v>60</v>
      </c>
      <c r="B110" s="147" t="s">
        <v>33</v>
      </c>
      <c r="C110" s="146" t="s">
        <v>574</v>
      </c>
      <c r="D110" s="146" t="s">
        <v>575</v>
      </c>
      <c r="E110" s="146" t="s">
        <v>334</v>
      </c>
      <c r="F110" s="90" t="s">
        <v>234</v>
      </c>
      <c r="G110" s="146" t="s">
        <v>568</v>
      </c>
      <c r="H110" s="148" t="n">
        <f aca="false">IFERROR(INDEX(Schedule!$E$2:$E$147,MATCH($G110,Schedule!$A$2:$A$147,0)),"")</f>
        <v>45078</v>
      </c>
      <c r="I110" s="148" t="n">
        <f aca="false">IFERROR(INDEX(Schedule!$F$2:$F$147,MATCH($G110,Schedule!$A$2:$A$147,0)),"")</f>
        <v>45224</v>
      </c>
      <c r="J110" s="92"/>
      <c r="K110" s="92"/>
      <c r="L110" s="92"/>
      <c r="M110" s="92"/>
      <c r="N110" s="92"/>
      <c r="O110" s="90" t="n">
        <v>1</v>
      </c>
      <c r="P110" s="149" t="n">
        <f aca="false">IFERROR((IF(OR(ISNUMBER(J110),UPPER(TRIM(J110))="N/A"),1,0)*IF($W110="N",0,INDEX('Rules of Credit'!$B$5:$F$8,MATCH($F110,'Rules of Credit'!$A$5:$A$8,0),1))+IF(OR(ISNUMBER(K110),UPPER(TRIM(K110))="N/A"),1,0)*INDEX('Rules of Credit'!$B$5:$F$8,MATCH($F110,'Rules of Credit'!$A$5:$A$8,0),2)+IF(OR(ISNUMBER(L110),UPPER(TRIM(L110))="N/A"),1,0)*INDEX('Rules of Credit'!$B$5:$F$8,MATCH($F110,'Rules of Credit'!$A$5:$A$8,0),3)+IF(OR(ISNUMBER(M110),UPPER(TRIM(M110))="N/A"),1,0)*IF($X110="N",0,INDEX('Rules of Credit'!$B$5:$F$8,MATCH($F110,'Rules of Credit'!$A$5:$A$8,0),4))+IF(OR(ISNUMBER(N110),UPPER(TRIM(N110))="N/A"),1,0)*INDEX('Rules of Credit'!$B$5:$F$8,MATCH($F110,'Rules of Credit'!$A$5:$A$8,0),5))/(IF($W110="N",0,INDEX('Rules of Credit'!$B$5:$F$8,MATCH($F110,'Rules of Credit'!$A$5:$A$8,0),1))+INDEX('Rules of Credit'!$B$5:$F$8,MATCH($F110,'Rules of Credit'!$A$5:$A$8,0),2)+INDEX('Rules of Credit'!$B$5:$F$8,MATCH($F110,'Rules of Credit'!$A$5:$A$8,0),3)+IF($X110="N",0,INDEX('Rules of Credit'!$B$5:$F$8,MATCH($F110,'Rules of Credit'!$A$5:$A$8,0),4))+INDEX('Rules of Credit'!$B$5:$F$8,MATCH($F110,'Rules of Credit'!$A$5:$A$8,0),5)),0)</f>
        <v>0</v>
      </c>
      <c r="Q110" s="149" t="n">
        <f aca="false">IF(OR($H110="",$I110=""),0,IF('Tracker Summary'!$C$3&lt;$H110,0,IF('Tracker Summary'!$C$3&gt;=$I110,1,('Tracker Summary'!$C$3-$H110)/($I110-$H110+1))))</f>
        <v>0</v>
      </c>
      <c r="R110" s="149" t="n">
        <f aca="false">P110-Q110</f>
        <v>0</v>
      </c>
      <c r="S110" s="146" t="str">
        <f aca="false">IF($I110="","Not scheduled",IF(P110&gt;=1,"Complete",IF('Tracker Summary'!$C$3&gt;$I110,"Overdue",IF(P110-Q110&lt;-0.1,"Behind",IF(AND(P110=0,'Tracker Summary'!$C$3&lt;$H110),"Not started","On track")))))</f>
        <v>Not started</v>
      </c>
      <c r="T110" s="90"/>
      <c r="U110" s="146" t="str">
        <f aca="false">IFERROR(INDEX(Schedule!$D$2:$D$147,MATCH($G110,Schedule!$A$2:$A$147,0)),"")</f>
        <v>Plumbing &amp; Process Pumps — Influent pump station and flow splitter</v>
      </c>
      <c r="V110" s="148" t="n">
        <f aca="false">IFERROR(INDEX(Schedule!$F$2:$F$147,MATCH("22-P01",Schedule!$A$2:$A$147,0)),"")</f>
        <v>45016</v>
      </c>
      <c r="W110" s="146" t="s">
        <v>99</v>
      </c>
      <c r="X110" s="146" t="s">
        <v>91</v>
      </c>
      <c r="Y110" s="146" t="n">
        <v>5</v>
      </c>
      <c r="Z110" s="146" t="n">
        <v>0</v>
      </c>
      <c r="AA110" s="146" t="s">
        <v>576</v>
      </c>
      <c r="AB110" s="146" t="s">
        <v>577</v>
      </c>
      <c r="AC110" s="146" t="s">
        <v>120</v>
      </c>
      <c r="AD110" s="146" t="s">
        <v>93</v>
      </c>
      <c r="AE110" s="146" t="s">
        <v>578</v>
      </c>
      <c r="AF110" s="146" t="s">
        <v>572</v>
      </c>
      <c r="AG110" s="146" t="s">
        <v>579</v>
      </c>
      <c r="AH110" s="146" t="s">
        <v>213</v>
      </c>
    </row>
    <row r="111" customFormat="false" ht="15" hidden="false" customHeight="false" outlineLevel="0" collapsed="false">
      <c r="A111" s="146" t="s">
        <v>60</v>
      </c>
      <c r="B111" s="147" t="s">
        <v>33</v>
      </c>
      <c r="C111" s="146" t="s">
        <v>580</v>
      </c>
      <c r="D111" s="146" t="s">
        <v>581</v>
      </c>
      <c r="E111" s="146" t="s">
        <v>334</v>
      </c>
      <c r="F111" s="90" t="s">
        <v>234</v>
      </c>
      <c r="G111" s="146" t="s">
        <v>568</v>
      </c>
      <c r="H111" s="148" t="n">
        <f aca="false">IFERROR(INDEX(Schedule!$E$2:$E$147,MATCH($G111,Schedule!$A$2:$A$147,0)),"")</f>
        <v>45078</v>
      </c>
      <c r="I111" s="148" t="n">
        <f aca="false">IFERROR(INDEX(Schedule!$F$2:$F$147,MATCH($G111,Schedule!$A$2:$A$147,0)),"")</f>
        <v>45224</v>
      </c>
      <c r="J111" s="92"/>
      <c r="K111" s="92"/>
      <c r="L111" s="92"/>
      <c r="M111" s="92"/>
      <c r="N111" s="92"/>
      <c r="O111" s="90" t="n">
        <v>1</v>
      </c>
      <c r="P111" s="149" t="n">
        <f aca="false">IFERROR((IF(OR(ISNUMBER(J111),UPPER(TRIM(J111))="N/A"),1,0)*IF($W111="N",0,INDEX('Rules of Credit'!$B$5:$F$8,MATCH($F111,'Rules of Credit'!$A$5:$A$8,0),1))+IF(OR(ISNUMBER(K111),UPPER(TRIM(K111))="N/A"),1,0)*INDEX('Rules of Credit'!$B$5:$F$8,MATCH($F111,'Rules of Credit'!$A$5:$A$8,0),2)+IF(OR(ISNUMBER(L111),UPPER(TRIM(L111))="N/A"),1,0)*INDEX('Rules of Credit'!$B$5:$F$8,MATCH($F111,'Rules of Credit'!$A$5:$A$8,0),3)+IF(OR(ISNUMBER(M111),UPPER(TRIM(M111))="N/A"),1,0)*IF($X111="N",0,INDEX('Rules of Credit'!$B$5:$F$8,MATCH($F111,'Rules of Credit'!$A$5:$A$8,0),4))+IF(OR(ISNUMBER(N111),UPPER(TRIM(N111))="N/A"),1,0)*INDEX('Rules of Credit'!$B$5:$F$8,MATCH($F111,'Rules of Credit'!$A$5:$A$8,0),5))/(IF($W111="N",0,INDEX('Rules of Credit'!$B$5:$F$8,MATCH($F111,'Rules of Credit'!$A$5:$A$8,0),1))+INDEX('Rules of Credit'!$B$5:$F$8,MATCH($F111,'Rules of Credit'!$A$5:$A$8,0),2)+INDEX('Rules of Credit'!$B$5:$F$8,MATCH($F111,'Rules of Credit'!$A$5:$A$8,0),3)+IF($X111="N",0,INDEX('Rules of Credit'!$B$5:$F$8,MATCH($F111,'Rules of Credit'!$A$5:$A$8,0),4))+INDEX('Rules of Credit'!$B$5:$F$8,MATCH($F111,'Rules of Credit'!$A$5:$A$8,0),5)),0)</f>
        <v>0</v>
      </c>
      <c r="Q111" s="149" t="n">
        <f aca="false">IF(OR($H111="",$I111=""),0,IF('Tracker Summary'!$C$3&lt;$H111,0,IF('Tracker Summary'!$C$3&gt;=$I111,1,('Tracker Summary'!$C$3-$H111)/($I111-$H111+1))))</f>
        <v>0</v>
      </c>
      <c r="R111" s="149" t="n">
        <f aca="false">P111-Q111</f>
        <v>0</v>
      </c>
      <c r="S111" s="146" t="str">
        <f aca="false">IF($I111="","Not scheduled",IF(P111&gt;=1,"Complete",IF('Tracker Summary'!$C$3&gt;$I111,"Overdue",IF(P111-Q111&lt;-0.1,"Behind",IF(AND(P111=0,'Tracker Summary'!$C$3&lt;$H111),"Not started","On track")))))</f>
        <v>Not started</v>
      </c>
      <c r="T111" s="90"/>
      <c r="U111" s="146" t="str">
        <f aca="false">IFERROR(INDEX(Schedule!$D$2:$D$147,MATCH($G111,Schedule!$A$2:$A$147,0)),"")</f>
        <v>Plumbing &amp; Process Pumps — Influent pump station and flow splitter</v>
      </c>
      <c r="V111" s="148" t="n">
        <f aca="false">IFERROR(INDEX(Schedule!$F$2:$F$147,MATCH("22-P01",Schedule!$A$2:$A$147,0)),"")</f>
        <v>45016</v>
      </c>
      <c r="W111" s="146" t="s">
        <v>99</v>
      </c>
      <c r="X111" s="146" t="s">
        <v>99</v>
      </c>
      <c r="Y111" s="146" t="n">
        <v>3</v>
      </c>
      <c r="Z111" s="146" t="n">
        <v>3</v>
      </c>
      <c r="AA111" s="146" t="s">
        <v>582</v>
      </c>
      <c r="AB111" s="146" t="s">
        <v>583</v>
      </c>
      <c r="AC111" s="146" t="s">
        <v>92</v>
      </c>
      <c r="AD111" s="146" t="s">
        <v>584</v>
      </c>
      <c r="AE111" s="146" t="s">
        <v>585</v>
      </c>
      <c r="AF111" s="146" t="s">
        <v>572</v>
      </c>
      <c r="AG111" s="146" t="s">
        <v>586</v>
      </c>
      <c r="AH111" s="146" t="s">
        <v>213</v>
      </c>
    </row>
    <row r="112" customFormat="false" ht="15" hidden="false" customHeight="false" outlineLevel="0" collapsed="false">
      <c r="A112" s="146" t="s">
        <v>60</v>
      </c>
      <c r="B112" s="147" t="s">
        <v>33</v>
      </c>
      <c r="C112" s="146" t="s">
        <v>587</v>
      </c>
      <c r="D112" s="146" t="s">
        <v>588</v>
      </c>
      <c r="E112" s="146" t="s">
        <v>334</v>
      </c>
      <c r="F112" s="90" t="s">
        <v>234</v>
      </c>
      <c r="G112" s="146" t="s">
        <v>568</v>
      </c>
      <c r="H112" s="148" t="n">
        <f aca="false">IFERROR(INDEX(Schedule!$E$2:$E$147,MATCH($G112,Schedule!$A$2:$A$147,0)),"")</f>
        <v>45078</v>
      </c>
      <c r="I112" s="148" t="n">
        <f aca="false">IFERROR(INDEX(Schedule!$F$2:$F$147,MATCH($G112,Schedule!$A$2:$A$147,0)),"")</f>
        <v>45224</v>
      </c>
      <c r="J112" s="92"/>
      <c r="K112" s="92"/>
      <c r="L112" s="92"/>
      <c r="M112" s="92"/>
      <c r="N112" s="92"/>
      <c r="O112" s="90" t="n">
        <v>1</v>
      </c>
      <c r="P112" s="149" t="n">
        <f aca="false">IFERROR((IF(OR(ISNUMBER(J112),UPPER(TRIM(J112))="N/A"),1,0)*IF($W112="N",0,INDEX('Rules of Credit'!$B$5:$F$8,MATCH($F112,'Rules of Credit'!$A$5:$A$8,0),1))+IF(OR(ISNUMBER(K112),UPPER(TRIM(K112))="N/A"),1,0)*INDEX('Rules of Credit'!$B$5:$F$8,MATCH($F112,'Rules of Credit'!$A$5:$A$8,0),2)+IF(OR(ISNUMBER(L112),UPPER(TRIM(L112))="N/A"),1,0)*INDEX('Rules of Credit'!$B$5:$F$8,MATCH($F112,'Rules of Credit'!$A$5:$A$8,0),3)+IF(OR(ISNUMBER(M112),UPPER(TRIM(M112))="N/A"),1,0)*IF($X112="N",0,INDEX('Rules of Credit'!$B$5:$F$8,MATCH($F112,'Rules of Credit'!$A$5:$A$8,0),4))+IF(OR(ISNUMBER(N112),UPPER(TRIM(N112))="N/A"),1,0)*INDEX('Rules of Credit'!$B$5:$F$8,MATCH($F112,'Rules of Credit'!$A$5:$A$8,0),5))/(IF($W112="N",0,INDEX('Rules of Credit'!$B$5:$F$8,MATCH($F112,'Rules of Credit'!$A$5:$A$8,0),1))+INDEX('Rules of Credit'!$B$5:$F$8,MATCH($F112,'Rules of Credit'!$A$5:$A$8,0),2)+INDEX('Rules of Credit'!$B$5:$F$8,MATCH($F112,'Rules of Credit'!$A$5:$A$8,0),3)+IF($X112="N",0,INDEX('Rules of Credit'!$B$5:$F$8,MATCH($F112,'Rules of Credit'!$A$5:$A$8,0),4))+INDEX('Rules of Credit'!$B$5:$F$8,MATCH($F112,'Rules of Credit'!$A$5:$A$8,0),5)),0)</f>
        <v>0</v>
      </c>
      <c r="Q112" s="149" t="n">
        <f aca="false">IF(OR($H112="",$I112=""),0,IF('Tracker Summary'!$C$3&lt;$H112,0,IF('Tracker Summary'!$C$3&gt;=$I112,1,('Tracker Summary'!$C$3-$H112)/($I112-$H112+1))))</f>
        <v>0</v>
      </c>
      <c r="R112" s="149" t="n">
        <f aca="false">P112-Q112</f>
        <v>0</v>
      </c>
      <c r="S112" s="146" t="str">
        <f aca="false">IF($I112="","Not scheduled",IF(P112&gt;=1,"Complete",IF('Tracker Summary'!$C$3&gt;$I112,"Overdue",IF(P112-Q112&lt;-0.1,"Behind",IF(AND(P112=0,'Tracker Summary'!$C$3&lt;$H112),"Not started","On track")))))</f>
        <v>Not started</v>
      </c>
      <c r="T112" s="90"/>
      <c r="U112" s="146" t="str">
        <f aca="false">IFERROR(INDEX(Schedule!$D$2:$D$147,MATCH($G112,Schedule!$A$2:$A$147,0)),"")</f>
        <v>Plumbing &amp; Process Pumps — Influent pump station and flow splitter</v>
      </c>
      <c r="V112" s="148" t="n">
        <f aca="false">IFERROR(INDEX(Schedule!$F$2:$F$147,MATCH("22-P01",Schedule!$A$2:$A$147,0)),"")</f>
        <v>45016</v>
      </c>
      <c r="W112" s="146" t="s">
        <v>99</v>
      </c>
      <c r="X112" s="146" t="s">
        <v>99</v>
      </c>
      <c r="Y112" s="146" t="n">
        <v>3</v>
      </c>
      <c r="Z112" s="146" t="n">
        <v>3</v>
      </c>
      <c r="AA112" s="146" t="s">
        <v>582</v>
      </c>
      <c r="AB112" s="146" t="s">
        <v>583</v>
      </c>
      <c r="AC112" s="146" t="s">
        <v>92</v>
      </c>
      <c r="AD112" s="146" t="s">
        <v>584</v>
      </c>
      <c r="AE112" s="146" t="s">
        <v>585</v>
      </c>
      <c r="AF112" s="146" t="s">
        <v>572</v>
      </c>
      <c r="AG112" s="146" t="s">
        <v>586</v>
      </c>
      <c r="AH112" s="146" t="s">
        <v>213</v>
      </c>
    </row>
    <row r="113" customFormat="false" ht="15" hidden="false" customHeight="false" outlineLevel="0" collapsed="false">
      <c r="A113" s="146" t="s">
        <v>60</v>
      </c>
      <c r="B113" s="147" t="s">
        <v>33</v>
      </c>
      <c r="C113" s="146" t="s">
        <v>589</v>
      </c>
      <c r="D113" s="146" t="s">
        <v>590</v>
      </c>
      <c r="E113" s="146" t="s">
        <v>334</v>
      </c>
      <c r="F113" s="90" t="s">
        <v>234</v>
      </c>
      <c r="G113" s="146" t="s">
        <v>568</v>
      </c>
      <c r="H113" s="148" t="n">
        <f aca="false">IFERROR(INDEX(Schedule!$E$2:$E$147,MATCH($G113,Schedule!$A$2:$A$147,0)),"")</f>
        <v>45078</v>
      </c>
      <c r="I113" s="148" t="n">
        <f aca="false">IFERROR(INDEX(Schedule!$F$2:$F$147,MATCH($G113,Schedule!$A$2:$A$147,0)),"")</f>
        <v>45224</v>
      </c>
      <c r="J113" s="92"/>
      <c r="K113" s="92"/>
      <c r="L113" s="92"/>
      <c r="M113" s="92"/>
      <c r="N113" s="92"/>
      <c r="O113" s="90" t="n">
        <v>1</v>
      </c>
      <c r="P113" s="149" t="n">
        <f aca="false">IFERROR((IF(OR(ISNUMBER(J113),UPPER(TRIM(J113))="N/A"),1,0)*IF($W113="N",0,INDEX('Rules of Credit'!$B$5:$F$8,MATCH($F113,'Rules of Credit'!$A$5:$A$8,0),1))+IF(OR(ISNUMBER(K113),UPPER(TRIM(K113))="N/A"),1,0)*INDEX('Rules of Credit'!$B$5:$F$8,MATCH($F113,'Rules of Credit'!$A$5:$A$8,0),2)+IF(OR(ISNUMBER(L113),UPPER(TRIM(L113))="N/A"),1,0)*INDEX('Rules of Credit'!$B$5:$F$8,MATCH($F113,'Rules of Credit'!$A$5:$A$8,0),3)+IF(OR(ISNUMBER(M113),UPPER(TRIM(M113))="N/A"),1,0)*IF($X113="N",0,INDEX('Rules of Credit'!$B$5:$F$8,MATCH($F113,'Rules of Credit'!$A$5:$A$8,0),4))+IF(OR(ISNUMBER(N113),UPPER(TRIM(N113))="N/A"),1,0)*INDEX('Rules of Credit'!$B$5:$F$8,MATCH($F113,'Rules of Credit'!$A$5:$A$8,0),5))/(IF($W113="N",0,INDEX('Rules of Credit'!$B$5:$F$8,MATCH($F113,'Rules of Credit'!$A$5:$A$8,0),1))+INDEX('Rules of Credit'!$B$5:$F$8,MATCH($F113,'Rules of Credit'!$A$5:$A$8,0),2)+INDEX('Rules of Credit'!$B$5:$F$8,MATCH($F113,'Rules of Credit'!$A$5:$A$8,0),3)+IF($X113="N",0,INDEX('Rules of Credit'!$B$5:$F$8,MATCH($F113,'Rules of Credit'!$A$5:$A$8,0),4))+INDEX('Rules of Credit'!$B$5:$F$8,MATCH($F113,'Rules of Credit'!$A$5:$A$8,0),5)),0)</f>
        <v>0</v>
      </c>
      <c r="Q113" s="149" t="n">
        <f aca="false">IF(OR($H113="",$I113=""),0,IF('Tracker Summary'!$C$3&lt;$H113,0,IF('Tracker Summary'!$C$3&gt;=$I113,1,('Tracker Summary'!$C$3-$H113)/($I113-$H113+1))))</f>
        <v>0</v>
      </c>
      <c r="R113" s="149" t="n">
        <f aca="false">P113-Q113</f>
        <v>0</v>
      </c>
      <c r="S113" s="146" t="str">
        <f aca="false">IF($I113="","Not scheduled",IF(P113&gt;=1,"Complete",IF('Tracker Summary'!$C$3&gt;$I113,"Overdue",IF(P113-Q113&lt;-0.1,"Behind",IF(AND(P113=0,'Tracker Summary'!$C$3&lt;$H113),"Not started","On track")))))</f>
        <v>Not started</v>
      </c>
      <c r="T113" s="90"/>
      <c r="U113" s="146" t="str">
        <f aca="false">IFERROR(INDEX(Schedule!$D$2:$D$147,MATCH($G113,Schedule!$A$2:$A$147,0)),"")</f>
        <v>Plumbing &amp; Process Pumps — Influent pump station and flow splitter</v>
      </c>
      <c r="V113" s="148" t="n">
        <f aca="false">IFERROR(INDEX(Schedule!$F$2:$F$147,MATCH("22-P01",Schedule!$A$2:$A$147,0)),"")</f>
        <v>45016</v>
      </c>
      <c r="W113" s="146" t="s">
        <v>91</v>
      </c>
      <c r="X113" s="146" t="s">
        <v>91</v>
      </c>
      <c r="Y113" s="146" t="n">
        <v>0</v>
      </c>
      <c r="Z113" s="146" t="n">
        <v>0</v>
      </c>
      <c r="AA113" s="146" t="s">
        <v>591</v>
      </c>
      <c r="AB113" s="146" t="s">
        <v>592</v>
      </c>
      <c r="AC113" s="146" t="s">
        <v>92</v>
      </c>
      <c r="AD113" s="146" t="s">
        <v>93</v>
      </c>
      <c r="AE113" s="146" t="s">
        <v>337</v>
      </c>
      <c r="AF113" s="146" t="s">
        <v>572</v>
      </c>
      <c r="AG113" s="146" t="s">
        <v>593</v>
      </c>
      <c r="AH113" s="146" t="s">
        <v>213</v>
      </c>
    </row>
    <row r="114" customFormat="false" ht="15" hidden="false" customHeight="false" outlineLevel="0" collapsed="false">
      <c r="A114" s="146" t="s">
        <v>60</v>
      </c>
      <c r="B114" s="147" t="s">
        <v>33</v>
      </c>
      <c r="C114" s="146" t="s">
        <v>594</v>
      </c>
      <c r="D114" s="146" t="s">
        <v>595</v>
      </c>
      <c r="E114" s="146" t="s">
        <v>334</v>
      </c>
      <c r="F114" s="90" t="s">
        <v>234</v>
      </c>
      <c r="G114" s="146" t="s">
        <v>568</v>
      </c>
      <c r="H114" s="148" t="n">
        <f aca="false">IFERROR(INDEX(Schedule!$E$2:$E$147,MATCH($G114,Schedule!$A$2:$A$147,0)),"")</f>
        <v>45078</v>
      </c>
      <c r="I114" s="148" t="n">
        <f aca="false">IFERROR(INDEX(Schedule!$F$2:$F$147,MATCH($G114,Schedule!$A$2:$A$147,0)),"")</f>
        <v>45224</v>
      </c>
      <c r="J114" s="92"/>
      <c r="K114" s="92"/>
      <c r="L114" s="92"/>
      <c r="M114" s="92"/>
      <c r="N114" s="92"/>
      <c r="O114" s="90" t="n">
        <v>1</v>
      </c>
      <c r="P114" s="149" t="n">
        <f aca="false">IFERROR((IF(OR(ISNUMBER(J114),UPPER(TRIM(J114))="N/A"),1,0)*IF($W114="N",0,INDEX('Rules of Credit'!$B$5:$F$8,MATCH($F114,'Rules of Credit'!$A$5:$A$8,0),1))+IF(OR(ISNUMBER(K114),UPPER(TRIM(K114))="N/A"),1,0)*INDEX('Rules of Credit'!$B$5:$F$8,MATCH($F114,'Rules of Credit'!$A$5:$A$8,0),2)+IF(OR(ISNUMBER(L114),UPPER(TRIM(L114))="N/A"),1,0)*INDEX('Rules of Credit'!$B$5:$F$8,MATCH($F114,'Rules of Credit'!$A$5:$A$8,0),3)+IF(OR(ISNUMBER(M114),UPPER(TRIM(M114))="N/A"),1,0)*IF($X114="N",0,INDEX('Rules of Credit'!$B$5:$F$8,MATCH($F114,'Rules of Credit'!$A$5:$A$8,0),4))+IF(OR(ISNUMBER(N114),UPPER(TRIM(N114))="N/A"),1,0)*INDEX('Rules of Credit'!$B$5:$F$8,MATCH($F114,'Rules of Credit'!$A$5:$A$8,0),5))/(IF($W114="N",0,INDEX('Rules of Credit'!$B$5:$F$8,MATCH($F114,'Rules of Credit'!$A$5:$A$8,0),1))+INDEX('Rules of Credit'!$B$5:$F$8,MATCH($F114,'Rules of Credit'!$A$5:$A$8,0),2)+INDEX('Rules of Credit'!$B$5:$F$8,MATCH($F114,'Rules of Credit'!$A$5:$A$8,0),3)+IF($X114="N",0,INDEX('Rules of Credit'!$B$5:$F$8,MATCH($F114,'Rules of Credit'!$A$5:$A$8,0),4))+INDEX('Rules of Credit'!$B$5:$F$8,MATCH($F114,'Rules of Credit'!$A$5:$A$8,0),5)),0)</f>
        <v>0</v>
      </c>
      <c r="Q114" s="149" t="n">
        <f aca="false">IF(OR($H114="",$I114=""),0,IF('Tracker Summary'!$C$3&lt;$H114,0,IF('Tracker Summary'!$C$3&gt;=$I114,1,('Tracker Summary'!$C$3-$H114)/($I114-$H114+1))))</f>
        <v>0</v>
      </c>
      <c r="R114" s="149" t="n">
        <f aca="false">P114-Q114</f>
        <v>0</v>
      </c>
      <c r="S114" s="146" t="str">
        <f aca="false">IF($I114="","Not scheduled",IF(P114&gt;=1,"Complete",IF('Tracker Summary'!$C$3&gt;$I114,"Overdue",IF(P114-Q114&lt;-0.1,"Behind",IF(AND(P114=0,'Tracker Summary'!$C$3&lt;$H114),"Not started","On track")))))</f>
        <v>Not started</v>
      </c>
      <c r="T114" s="90"/>
      <c r="U114" s="146" t="str">
        <f aca="false">IFERROR(INDEX(Schedule!$D$2:$D$147,MATCH($G114,Schedule!$A$2:$A$147,0)),"")</f>
        <v>Plumbing &amp; Process Pumps — Influent pump station and flow splitter</v>
      </c>
      <c r="V114" s="148" t="n">
        <f aca="false">IFERROR(INDEX(Schedule!$F$2:$F$147,MATCH("22-P01",Schedule!$A$2:$A$147,0)),"")</f>
        <v>45016</v>
      </c>
      <c r="W114" s="146" t="s">
        <v>91</v>
      </c>
      <c r="X114" s="146" t="s">
        <v>99</v>
      </c>
      <c r="Y114" s="146" t="n">
        <v>0</v>
      </c>
      <c r="Z114" s="146" t="n">
        <v>2</v>
      </c>
      <c r="AA114" s="146" t="s">
        <v>596</v>
      </c>
      <c r="AB114" s="146" t="s">
        <v>597</v>
      </c>
      <c r="AC114" s="146" t="s">
        <v>92</v>
      </c>
      <c r="AD114" s="146" t="s">
        <v>93</v>
      </c>
      <c r="AE114" s="146" t="s">
        <v>337</v>
      </c>
      <c r="AF114" s="146" t="s">
        <v>572</v>
      </c>
      <c r="AG114" s="146" t="s">
        <v>593</v>
      </c>
      <c r="AH114" s="146" t="s">
        <v>213</v>
      </c>
    </row>
    <row r="115" customFormat="false" ht="15" hidden="false" customHeight="false" outlineLevel="0" collapsed="false">
      <c r="A115" s="146" t="s">
        <v>60</v>
      </c>
      <c r="B115" s="147" t="s">
        <v>33</v>
      </c>
      <c r="C115" s="146" t="s">
        <v>598</v>
      </c>
      <c r="D115" s="146" t="s">
        <v>599</v>
      </c>
      <c r="E115" s="146" t="s">
        <v>334</v>
      </c>
      <c r="F115" s="90" t="s">
        <v>234</v>
      </c>
      <c r="G115" s="146" t="s">
        <v>568</v>
      </c>
      <c r="H115" s="148" t="n">
        <f aca="false">IFERROR(INDEX(Schedule!$E$2:$E$147,MATCH($G115,Schedule!$A$2:$A$147,0)),"")</f>
        <v>45078</v>
      </c>
      <c r="I115" s="148" t="n">
        <f aca="false">IFERROR(INDEX(Schedule!$F$2:$F$147,MATCH($G115,Schedule!$A$2:$A$147,0)),"")</f>
        <v>45224</v>
      </c>
      <c r="J115" s="92"/>
      <c r="K115" s="92"/>
      <c r="L115" s="92"/>
      <c r="M115" s="92"/>
      <c r="N115" s="92"/>
      <c r="O115" s="90" t="n">
        <v>1</v>
      </c>
      <c r="P115" s="149" t="n">
        <f aca="false">IFERROR((IF(OR(ISNUMBER(J115),UPPER(TRIM(J115))="N/A"),1,0)*IF($W115="N",0,INDEX('Rules of Credit'!$B$5:$F$8,MATCH($F115,'Rules of Credit'!$A$5:$A$8,0),1))+IF(OR(ISNUMBER(K115),UPPER(TRIM(K115))="N/A"),1,0)*INDEX('Rules of Credit'!$B$5:$F$8,MATCH($F115,'Rules of Credit'!$A$5:$A$8,0),2)+IF(OR(ISNUMBER(L115),UPPER(TRIM(L115))="N/A"),1,0)*INDEX('Rules of Credit'!$B$5:$F$8,MATCH($F115,'Rules of Credit'!$A$5:$A$8,0),3)+IF(OR(ISNUMBER(M115),UPPER(TRIM(M115))="N/A"),1,0)*IF($X115="N",0,INDEX('Rules of Credit'!$B$5:$F$8,MATCH($F115,'Rules of Credit'!$A$5:$A$8,0),4))+IF(OR(ISNUMBER(N115),UPPER(TRIM(N115))="N/A"),1,0)*INDEX('Rules of Credit'!$B$5:$F$8,MATCH($F115,'Rules of Credit'!$A$5:$A$8,0),5))/(IF($W115="N",0,INDEX('Rules of Credit'!$B$5:$F$8,MATCH($F115,'Rules of Credit'!$A$5:$A$8,0),1))+INDEX('Rules of Credit'!$B$5:$F$8,MATCH($F115,'Rules of Credit'!$A$5:$A$8,0),2)+INDEX('Rules of Credit'!$B$5:$F$8,MATCH($F115,'Rules of Credit'!$A$5:$A$8,0),3)+IF($X115="N",0,INDEX('Rules of Credit'!$B$5:$F$8,MATCH($F115,'Rules of Credit'!$A$5:$A$8,0),4))+INDEX('Rules of Credit'!$B$5:$F$8,MATCH($F115,'Rules of Credit'!$A$5:$A$8,0),5)),0)</f>
        <v>0</v>
      </c>
      <c r="Q115" s="149" t="n">
        <f aca="false">IF(OR($H115="",$I115=""),0,IF('Tracker Summary'!$C$3&lt;$H115,0,IF('Tracker Summary'!$C$3&gt;=$I115,1,('Tracker Summary'!$C$3-$H115)/($I115-$H115+1))))</f>
        <v>0</v>
      </c>
      <c r="R115" s="149" t="n">
        <f aca="false">P115-Q115</f>
        <v>0</v>
      </c>
      <c r="S115" s="146" t="str">
        <f aca="false">IF($I115="","Not scheduled",IF(P115&gt;=1,"Complete",IF('Tracker Summary'!$C$3&gt;$I115,"Overdue",IF(P115-Q115&lt;-0.1,"Behind",IF(AND(P115=0,'Tracker Summary'!$C$3&lt;$H115),"Not started","On track")))))</f>
        <v>Not started</v>
      </c>
      <c r="T115" s="90"/>
      <c r="U115" s="146" t="str">
        <f aca="false">IFERROR(INDEX(Schedule!$D$2:$D$147,MATCH($G115,Schedule!$A$2:$A$147,0)),"")</f>
        <v>Plumbing &amp; Process Pumps — Influent pump station and flow splitter</v>
      </c>
      <c r="V115" s="148" t="n">
        <f aca="false">IFERROR(INDEX(Schedule!$F$2:$F$147,MATCH("22-P01",Schedule!$A$2:$A$147,0)),"")</f>
        <v>45016</v>
      </c>
      <c r="W115" s="146" t="s">
        <v>91</v>
      </c>
      <c r="X115" s="146" t="s">
        <v>91</v>
      </c>
      <c r="Y115" s="146" t="n">
        <v>0</v>
      </c>
      <c r="Z115" s="146" t="n">
        <v>0</v>
      </c>
      <c r="AA115" s="146" t="s">
        <v>600</v>
      </c>
      <c r="AB115" s="146" t="s">
        <v>601</v>
      </c>
      <c r="AC115" s="146" t="s">
        <v>92</v>
      </c>
      <c r="AD115" s="146" t="s">
        <v>93</v>
      </c>
      <c r="AE115" s="146" t="s">
        <v>337</v>
      </c>
      <c r="AF115" s="146" t="s">
        <v>572</v>
      </c>
      <c r="AG115" s="146" t="s">
        <v>593</v>
      </c>
      <c r="AH115" s="146" t="s">
        <v>213</v>
      </c>
    </row>
    <row r="116" customFormat="false" ht="15" hidden="false" customHeight="false" outlineLevel="0" collapsed="false">
      <c r="A116" s="146" t="s">
        <v>60</v>
      </c>
      <c r="B116" s="147" t="s">
        <v>33</v>
      </c>
      <c r="C116" s="146" t="s">
        <v>602</v>
      </c>
      <c r="D116" s="146" t="s">
        <v>603</v>
      </c>
      <c r="E116" s="146" t="s">
        <v>334</v>
      </c>
      <c r="F116" s="90" t="s">
        <v>234</v>
      </c>
      <c r="G116" s="146" t="s">
        <v>568</v>
      </c>
      <c r="H116" s="148" t="n">
        <f aca="false">IFERROR(INDEX(Schedule!$E$2:$E$147,MATCH($G116,Schedule!$A$2:$A$147,0)),"")</f>
        <v>45078</v>
      </c>
      <c r="I116" s="148" t="n">
        <f aca="false">IFERROR(INDEX(Schedule!$F$2:$F$147,MATCH($G116,Schedule!$A$2:$A$147,0)),"")</f>
        <v>45224</v>
      </c>
      <c r="J116" s="92"/>
      <c r="K116" s="92"/>
      <c r="L116" s="92"/>
      <c r="M116" s="92"/>
      <c r="N116" s="92"/>
      <c r="O116" s="90" t="n">
        <v>1</v>
      </c>
      <c r="P116" s="149" t="n">
        <f aca="false">IFERROR((IF(OR(ISNUMBER(J116),UPPER(TRIM(J116))="N/A"),1,0)*IF($W116="N",0,INDEX('Rules of Credit'!$B$5:$F$8,MATCH($F116,'Rules of Credit'!$A$5:$A$8,0),1))+IF(OR(ISNUMBER(K116),UPPER(TRIM(K116))="N/A"),1,0)*INDEX('Rules of Credit'!$B$5:$F$8,MATCH($F116,'Rules of Credit'!$A$5:$A$8,0),2)+IF(OR(ISNUMBER(L116),UPPER(TRIM(L116))="N/A"),1,0)*INDEX('Rules of Credit'!$B$5:$F$8,MATCH($F116,'Rules of Credit'!$A$5:$A$8,0),3)+IF(OR(ISNUMBER(M116),UPPER(TRIM(M116))="N/A"),1,0)*IF($X116="N",0,INDEX('Rules of Credit'!$B$5:$F$8,MATCH($F116,'Rules of Credit'!$A$5:$A$8,0),4))+IF(OR(ISNUMBER(N116),UPPER(TRIM(N116))="N/A"),1,0)*INDEX('Rules of Credit'!$B$5:$F$8,MATCH($F116,'Rules of Credit'!$A$5:$A$8,0),5))/(IF($W116="N",0,INDEX('Rules of Credit'!$B$5:$F$8,MATCH($F116,'Rules of Credit'!$A$5:$A$8,0),1))+INDEX('Rules of Credit'!$B$5:$F$8,MATCH($F116,'Rules of Credit'!$A$5:$A$8,0),2)+INDEX('Rules of Credit'!$B$5:$F$8,MATCH($F116,'Rules of Credit'!$A$5:$A$8,0),3)+IF($X116="N",0,INDEX('Rules of Credit'!$B$5:$F$8,MATCH($F116,'Rules of Credit'!$A$5:$A$8,0),4))+INDEX('Rules of Credit'!$B$5:$F$8,MATCH($F116,'Rules of Credit'!$A$5:$A$8,0),5)),0)</f>
        <v>0</v>
      </c>
      <c r="Q116" s="149" t="n">
        <f aca="false">IF(OR($H116="",$I116=""),0,IF('Tracker Summary'!$C$3&lt;$H116,0,IF('Tracker Summary'!$C$3&gt;=$I116,1,('Tracker Summary'!$C$3-$H116)/($I116-$H116+1))))</f>
        <v>0</v>
      </c>
      <c r="R116" s="149" t="n">
        <f aca="false">P116-Q116</f>
        <v>0</v>
      </c>
      <c r="S116" s="146" t="str">
        <f aca="false">IF($I116="","Not scheduled",IF(P116&gt;=1,"Complete",IF('Tracker Summary'!$C$3&gt;$I116,"Overdue",IF(P116-Q116&lt;-0.1,"Behind",IF(AND(P116=0,'Tracker Summary'!$C$3&lt;$H116),"Not started","On track")))))</f>
        <v>Not started</v>
      </c>
      <c r="T116" s="90"/>
      <c r="U116" s="146" t="str">
        <f aca="false">IFERROR(INDEX(Schedule!$D$2:$D$147,MATCH($G116,Schedule!$A$2:$A$147,0)),"")</f>
        <v>Plumbing &amp; Process Pumps — Influent pump station and flow splitter</v>
      </c>
      <c r="V116" s="148" t="n">
        <f aca="false">IFERROR(INDEX(Schedule!$F$2:$F$147,MATCH("22-P01",Schedule!$A$2:$A$147,0)),"")</f>
        <v>45016</v>
      </c>
      <c r="W116" s="146" t="s">
        <v>99</v>
      </c>
      <c r="X116" s="146" t="s">
        <v>91</v>
      </c>
      <c r="Y116" s="146" t="n">
        <v>2</v>
      </c>
      <c r="Z116" s="146" t="n">
        <v>0</v>
      </c>
      <c r="AA116" s="146" t="s">
        <v>604</v>
      </c>
      <c r="AB116" s="146" t="s">
        <v>605</v>
      </c>
      <c r="AC116" s="146" t="s">
        <v>92</v>
      </c>
      <c r="AD116" s="146" t="s">
        <v>584</v>
      </c>
      <c r="AE116" s="146"/>
      <c r="AF116" s="146" t="s">
        <v>572</v>
      </c>
      <c r="AG116" s="146" t="s">
        <v>572</v>
      </c>
      <c r="AH116" s="146" t="s">
        <v>213</v>
      </c>
    </row>
    <row r="117" customFormat="false" ht="15" hidden="false" customHeight="false" outlineLevel="0" collapsed="false">
      <c r="A117" s="146" t="s">
        <v>60</v>
      </c>
      <c r="B117" s="147" t="s">
        <v>33</v>
      </c>
      <c r="C117" s="146" t="s">
        <v>606</v>
      </c>
      <c r="D117" s="146" t="s">
        <v>607</v>
      </c>
      <c r="E117" s="146" t="s">
        <v>334</v>
      </c>
      <c r="F117" s="90" t="s">
        <v>234</v>
      </c>
      <c r="G117" s="146" t="s">
        <v>568</v>
      </c>
      <c r="H117" s="148" t="n">
        <f aca="false">IFERROR(INDEX(Schedule!$E$2:$E$147,MATCH($G117,Schedule!$A$2:$A$147,0)),"")</f>
        <v>45078</v>
      </c>
      <c r="I117" s="148" t="n">
        <f aca="false">IFERROR(INDEX(Schedule!$F$2:$F$147,MATCH($G117,Schedule!$A$2:$A$147,0)),"")</f>
        <v>45224</v>
      </c>
      <c r="J117" s="92"/>
      <c r="K117" s="92"/>
      <c r="L117" s="92"/>
      <c r="M117" s="92"/>
      <c r="N117" s="92"/>
      <c r="O117" s="90" t="n">
        <v>1</v>
      </c>
      <c r="P117" s="149" t="n">
        <f aca="false">IFERROR((IF(OR(ISNUMBER(J117),UPPER(TRIM(J117))="N/A"),1,0)*IF($W117="N",0,INDEX('Rules of Credit'!$B$5:$F$8,MATCH($F117,'Rules of Credit'!$A$5:$A$8,0),1))+IF(OR(ISNUMBER(K117),UPPER(TRIM(K117))="N/A"),1,0)*INDEX('Rules of Credit'!$B$5:$F$8,MATCH($F117,'Rules of Credit'!$A$5:$A$8,0),2)+IF(OR(ISNUMBER(L117),UPPER(TRIM(L117))="N/A"),1,0)*INDEX('Rules of Credit'!$B$5:$F$8,MATCH($F117,'Rules of Credit'!$A$5:$A$8,0),3)+IF(OR(ISNUMBER(M117),UPPER(TRIM(M117))="N/A"),1,0)*IF($X117="N",0,INDEX('Rules of Credit'!$B$5:$F$8,MATCH($F117,'Rules of Credit'!$A$5:$A$8,0),4))+IF(OR(ISNUMBER(N117),UPPER(TRIM(N117))="N/A"),1,0)*INDEX('Rules of Credit'!$B$5:$F$8,MATCH($F117,'Rules of Credit'!$A$5:$A$8,0),5))/(IF($W117="N",0,INDEX('Rules of Credit'!$B$5:$F$8,MATCH($F117,'Rules of Credit'!$A$5:$A$8,0),1))+INDEX('Rules of Credit'!$B$5:$F$8,MATCH($F117,'Rules of Credit'!$A$5:$A$8,0),2)+INDEX('Rules of Credit'!$B$5:$F$8,MATCH($F117,'Rules of Credit'!$A$5:$A$8,0),3)+IF($X117="N",0,INDEX('Rules of Credit'!$B$5:$F$8,MATCH($F117,'Rules of Credit'!$A$5:$A$8,0),4))+INDEX('Rules of Credit'!$B$5:$F$8,MATCH($F117,'Rules of Credit'!$A$5:$A$8,0),5)),0)</f>
        <v>0</v>
      </c>
      <c r="Q117" s="149" t="n">
        <f aca="false">IF(OR($H117="",$I117=""),0,IF('Tracker Summary'!$C$3&lt;$H117,0,IF('Tracker Summary'!$C$3&gt;=$I117,1,('Tracker Summary'!$C$3-$H117)/($I117-$H117+1))))</f>
        <v>0</v>
      </c>
      <c r="R117" s="149" t="n">
        <f aca="false">P117-Q117</f>
        <v>0</v>
      </c>
      <c r="S117" s="146" t="str">
        <f aca="false">IF($I117="","Not scheduled",IF(P117&gt;=1,"Complete",IF('Tracker Summary'!$C$3&gt;$I117,"Overdue",IF(P117-Q117&lt;-0.1,"Behind",IF(AND(P117=0,'Tracker Summary'!$C$3&lt;$H117),"Not started","On track")))))</f>
        <v>Not started</v>
      </c>
      <c r="T117" s="90"/>
      <c r="U117" s="146" t="str">
        <f aca="false">IFERROR(INDEX(Schedule!$D$2:$D$147,MATCH($G117,Schedule!$A$2:$A$147,0)),"")</f>
        <v>Plumbing &amp; Process Pumps — Influent pump station and flow splitter</v>
      </c>
      <c r="V117" s="148" t="n">
        <f aca="false">IFERROR(INDEX(Schedule!$F$2:$F$147,MATCH("22-P01",Schedule!$A$2:$A$147,0)),"")</f>
        <v>45016</v>
      </c>
      <c r="W117" s="146" t="s">
        <v>115</v>
      </c>
      <c r="X117" s="146" t="s">
        <v>115</v>
      </c>
      <c r="Y117" s="146" t="n">
        <v>0</v>
      </c>
      <c r="Z117" s="146" t="n">
        <v>0</v>
      </c>
      <c r="AA117" s="146" t="s">
        <v>608</v>
      </c>
      <c r="AB117" s="146" t="s">
        <v>609</v>
      </c>
      <c r="AC117" s="146" t="s">
        <v>541</v>
      </c>
      <c r="AD117" s="146" t="s">
        <v>542</v>
      </c>
      <c r="AE117" s="146" t="s">
        <v>610</v>
      </c>
      <c r="AF117" s="146"/>
      <c r="AG117" s="146" t="s">
        <v>610</v>
      </c>
      <c r="AH117" s="146" t="s">
        <v>501</v>
      </c>
    </row>
    <row r="118" customFormat="false" ht="15" hidden="false" customHeight="false" outlineLevel="0" collapsed="false">
      <c r="A118" s="146" t="s">
        <v>60</v>
      </c>
      <c r="B118" s="147" t="s">
        <v>33</v>
      </c>
      <c r="C118" s="146" t="s">
        <v>611</v>
      </c>
      <c r="D118" s="146" t="s">
        <v>612</v>
      </c>
      <c r="E118" s="146" t="s">
        <v>334</v>
      </c>
      <c r="F118" s="90" t="s">
        <v>234</v>
      </c>
      <c r="G118" s="146" t="s">
        <v>568</v>
      </c>
      <c r="H118" s="148" t="n">
        <f aca="false">IFERROR(INDEX(Schedule!$E$2:$E$147,MATCH($G118,Schedule!$A$2:$A$147,0)),"")</f>
        <v>45078</v>
      </c>
      <c r="I118" s="148" t="n">
        <f aca="false">IFERROR(INDEX(Schedule!$F$2:$F$147,MATCH($G118,Schedule!$A$2:$A$147,0)),"")</f>
        <v>45224</v>
      </c>
      <c r="J118" s="92"/>
      <c r="K118" s="92"/>
      <c r="L118" s="92"/>
      <c r="M118" s="92"/>
      <c r="N118" s="92"/>
      <c r="O118" s="90" t="n">
        <v>1</v>
      </c>
      <c r="P118" s="149" t="n">
        <f aca="false">IFERROR((IF(OR(ISNUMBER(J118),UPPER(TRIM(J118))="N/A"),1,0)*IF($W118="N",0,INDEX('Rules of Credit'!$B$5:$F$8,MATCH($F118,'Rules of Credit'!$A$5:$A$8,0),1))+IF(OR(ISNUMBER(K118),UPPER(TRIM(K118))="N/A"),1,0)*INDEX('Rules of Credit'!$B$5:$F$8,MATCH($F118,'Rules of Credit'!$A$5:$A$8,0),2)+IF(OR(ISNUMBER(L118),UPPER(TRIM(L118))="N/A"),1,0)*INDEX('Rules of Credit'!$B$5:$F$8,MATCH($F118,'Rules of Credit'!$A$5:$A$8,0),3)+IF(OR(ISNUMBER(M118),UPPER(TRIM(M118))="N/A"),1,0)*IF($X118="N",0,INDEX('Rules of Credit'!$B$5:$F$8,MATCH($F118,'Rules of Credit'!$A$5:$A$8,0),4))+IF(OR(ISNUMBER(N118),UPPER(TRIM(N118))="N/A"),1,0)*INDEX('Rules of Credit'!$B$5:$F$8,MATCH($F118,'Rules of Credit'!$A$5:$A$8,0),5))/(IF($W118="N",0,INDEX('Rules of Credit'!$B$5:$F$8,MATCH($F118,'Rules of Credit'!$A$5:$A$8,0),1))+INDEX('Rules of Credit'!$B$5:$F$8,MATCH($F118,'Rules of Credit'!$A$5:$A$8,0),2)+INDEX('Rules of Credit'!$B$5:$F$8,MATCH($F118,'Rules of Credit'!$A$5:$A$8,0),3)+IF($X118="N",0,INDEX('Rules of Credit'!$B$5:$F$8,MATCH($F118,'Rules of Credit'!$A$5:$A$8,0),4))+INDEX('Rules of Credit'!$B$5:$F$8,MATCH($F118,'Rules of Credit'!$A$5:$A$8,0),5)),0)</f>
        <v>0</v>
      </c>
      <c r="Q118" s="149" t="n">
        <f aca="false">IF(OR($H118="",$I118=""),0,IF('Tracker Summary'!$C$3&lt;$H118,0,IF('Tracker Summary'!$C$3&gt;=$I118,1,('Tracker Summary'!$C$3-$H118)/($I118-$H118+1))))</f>
        <v>0</v>
      </c>
      <c r="R118" s="149" t="n">
        <f aca="false">P118-Q118</f>
        <v>0</v>
      </c>
      <c r="S118" s="146" t="str">
        <f aca="false">IF($I118="","Not scheduled",IF(P118&gt;=1,"Complete",IF('Tracker Summary'!$C$3&gt;$I118,"Overdue",IF(P118-Q118&lt;-0.1,"Behind",IF(AND(P118=0,'Tracker Summary'!$C$3&lt;$H118),"Not started","On track")))))</f>
        <v>Not started</v>
      </c>
      <c r="T118" s="90"/>
      <c r="U118" s="146" t="str">
        <f aca="false">IFERROR(INDEX(Schedule!$D$2:$D$147,MATCH($G118,Schedule!$A$2:$A$147,0)),"")</f>
        <v>Plumbing &amp; Process Pumps — Influent pump station and flow splitter</v>
      </c>
      <c r="V118" s="148" t="n">
        <f aca="false">IFERROR(INDEX(Schedule!$F$2:$F$147,MATCH("22-P01",Schedule!$A$2:$A$147,0)),"")</f>
        <v>45016</v>
      </c>
      <c r="W118" s="146" t="s">
        <v>115</v>
      </c>
      <c r="X118" s="146" t="s">
        <v>115</v>
      </c>
      <c r="Y118" s="146" t="n">
        <v>0</v>
      </c>
      <c r="Z118" s="146" t="n">
        <v>0</v>
      </c>
      <c r="AA118" s="146" t="s">
        <v>608</v>
      </c>
      <c r="AB118" s="146" t="s">
        <v>583</v>
      </c>
      <c r="AC118" s="146" t="s">
        <v>541</v>
      </c>
      <c r="AD118" s="146" t="s">
        <v>542</v>
      </c>
      <c r="AE118" s="146" t="s">
        <v>610</v>
      </c>
      <c r="AF118" s="146"/>
      <c r="AG118" s="146" t="s">
        <v>610</v>
      </c>
      <c r="AH118" s="146" t="s">
        <v>501</v>
      </c>
    </row>
    <row r="119" customFormat="false" ht="15" hidden="false" customHeight="false" outlineLevel="0" collapsed="false">
      <c r="A119" s="146" t="s">
        <v>60</v>
      </c>
      <c r="B119" s="147" t="s">
        <v>33</v>
      </c>
      <c r="C119" s="146" t="s">
        <v>613</v>
      </c>
      <c r="D119" s="146" t="s">
        <v>614</v>
      </c>
      <c r="E119" s="146" t="s">
        <v>334</v>
      </c>
      <c r="F119" s="90" t="s">
        <v>234</v>
      </c>
      <c r="G119" s="146" t="s">
        <v>568</v>
      </c>
      <c r="H119" s="148" t="n">
        <f aca="false">IFERROR(INDEX(Schedule!$E$2:$E$147,MATCH($G119,Schedule!$A$2:$A$147,0)),"")</f>
        <v>45078</v>
      </c>
      <c r="I119" s="148" t="n">
        <f aca="false">IFERROR(INDEX(Schedule!$F$2:$F$147,MATCH($G119,Schedule!$A$2:$A$147,0)),"")</f>
        <v>45224</v>
      </c>
      <c r="J119" s="92"/>
      <c r="K119" s="92"/>
      <c r="L119" s="92"/>
      <c r="M119" s="92"/>
      <c r="N119" s="92"/>
      <c r="O119" s="90" t="n">
        <v>1</v>
      </c>
      <c r="P119" s="149" t="n">
        <f aca="false">IFERROR((IF(OR(ISNUMBER(J119),UPPER(TRIM(J119))="N/A"),1,0)*IF($W119="N",0,INDEX('Rules of Credit'!$B$5:$F$8,MATCH($F119,'Rules of Credit'!$A$5:$A$8,0),1))+IF(OR(ISNUMBER(K119),UPPER(TRIM(K119))="N/A"),1,0)*INDEX('Rules of Credit'!$B$5:$F$8,MATCH($F119,'Rules of Credit'!$A$5:$A$8,0),2)+IF(OR(ISNUMBER(L119),UPPER(TRIM(L119))="N/A"),1,0)*INDEX('Rules of Credit'!$B$5:$F$8,MATCH($F119,'Rules of Credit'!$A$5:$A$8,0),3)+IF(OR(ISNUMBER(M119),UPPER(TRIM(M119))="N/A"),1,0)*IF($X119="N",0,INDEX('Rules of Credit'!$B$5:$F$8,MATCH($F119,'Rules of Credit'!$A$5:$A$8,0),4))+IF(OR(ISNUMBER(N119),UPPER(TRIM(N119))="N/A"),1,0)*INDEX('Rules of Credit'!$B$5:$F$8,MATCH($F119,'Rules of Credit'!$A$5:$A$8,0),5))/(IF($W119="N",0,INDEX('Rules of Credit'!$B$5:$F$8,MATCH($F119,'Rules of Credit'!$A$5:$A$8,0),1))+INDEX('Rules of Credit'!$B$5:$F$8,MATCH($F119,'Rules of Credit'!$A$5:$A$8,0),2)+INDEX('Rules of Credit'!$B$5:$F$8,MATCH($F119,'Rules of Credit'!$A$5:$A$8,0),3)+IF($X119="N",0,INDEX('Rules of Credit'!$B$5:$F$8,MATCH($F119,'Rules of Credit'!$A$5:$A$8,0),4))+INDEX('Rules of Credit'!$B$5:$F$8,MATCH($F119,'Rules of Credit'!$A$5:$A$8,0),5)),0)</f>
        <v>0</v>
      </c>
      <c r="Q119" s="149" t="n">
        <f aca="false">IF(OR($H119="",$I119=""),0,IF('Tracker Summary'!$C$3&lt;$H119,0,IF('Tracker Summary'!$C$3&gt;=$I119,1,('Tracker Summary'!$C$3-$H119)/($I119-$H119+1))))</f>
        <v>0</v>
      </c>
      <c r="R119" s="149" t="n">
        <f aca="false">P119-Q119</f>
        <v>0</v>
      </c>
      <c r="S119" s="146" t="str">
        <f aca="false">IF($I119="","Not scheduled",IF(P119&gt;=1,"Complete",IF('Tracker Summary'!$C$3&gt;$I119,"Overdue",IF(P119-Q119&lt;-0.1,"Behind",IF(AND(P119=0,'Tracker Summary'!$C$3&lt;$H119),"Not started","On track")))))</f>
        <v>Not started</v>
      </c>
      <c r="T119" s="90"/>
      <c r="U119" s="146" t="str">
        <f aca="false">IFERROR(INDEX(Schedule!$D$2:$D$147,MATCH($G119,Schedule!$A$2:$A$147,0)),"")</f>
        <v>Plumbing &amp; Process Pumps — Influent pump station and flow splitter</v>
      </c>
      <c r="V119" s="148" t="n">
        <f aca="false">IFERROR(INDEX(Schedule!$F$2:$F$147,MATCH("22-P01",Schedule!$A$2:$A$147,0)),"")</f>
        <v>45016</v>
      </c>
      <c r="W119" s="146" t="s">
        <v>115</v>
      </c>
      <c r="X119" s="146" t="s">
        <v>115</v>
      </c>
      <c r="Y119" s="146" t="n">
        <v>0</v>
      </c>
      <c r="Z119" s="146" t="n">
        <v>0</v>
      </c>
      <c r="AA119" s="146" t="s">
        <v>608</v>
      </c>
      <c r="AB119" s="146" t="s">
        <v>583</v>
      </c>
      <c r="AC119" s="146" t="s">
        <v>541</v>
      </c>
      <c r="AD119" s="146" t="s">
        <v>542</v>
      </c>
      <c r="AE119" s="146" t="s">
        <v>610</v>
      </c>
      <c r="AF119" s="146"/>
      <c r="AG119" s="146" t="s">
        <v>610</v>
      </c>
      <c r="AH119" s="146" t="s">
        <v>501</v>
      </c>
    </row>
    <row r="120" customFormat="false" ht="15" hidden="false" customHeight="false" outlineLevel="0" collapsed="false">
      <c r="A120" s="146" t="s">
        <v>60</v>
      </c>
      <c r="B120" s="147" t="s">
        <v>33</v>
      </c>
      <c r="C120" s="146" t="s">
        <v>615</v>
      </c>
      <c r="D120" s="146" t="s">
        <v>616</v>
      </c>
      <c r="E120" s="146" t="s">
        <v>334</v>
      </c>
      <c r="F120" s="90" t="s">
        <v>234</v>
      </c>
      <c r="G120" s="146" t="s">
        <v>568</v>
      </c>
      <c r="H120" s="148" t="n">
        <f aca="false">IFERROR(INDEX(Schedule!$E$2:$E$147,MATCH($G120,Schedule!$A$2:$A$147,0)),"")</f>
        <v>45078</v>
      </c>
      <c r="I120" s="148" t="n">
        <f aca="false">IFERROR(INDEX(Schedule!$F$2:$F$147,MATCH($G120,Schedule!$A$2:$A$147,0)),"")</f>
        <v>45224</v>
      </c>
      <c r="J120" s="92"/>
      <c r="K120" s="92"/>
      <c r="L120" s="92"/>
      <c r="M120" s="92"/>
      <c r="N120" s="92"/>
      <c r="O120" s="90" t="n">
        <v>1</v>
      </c>
      <c r="P120" s="149" t="n">
        <f aca="false">IFERROR((IF(OR(ISNUMBER(J120),UPPER(TRIM(J120))="N/A"),1,0)*IF($W120="N",0,INDEX('Rules of Credit'!$B$5:$F$8,MATCH($F120,'Rules of Credit'!$A$5:$A$8,0),1))+IF(OR(ISNUMBER(K120),UPPER(TRIM(K120))="N/A"),1,0)*INDEX('Rules of Credit'!$B$5:$F$8,MATCH($F120,'Rules of Credit'!$A$5:$A$8,0),2)+IF(OR(ISNUMBER(L120),UPPER(TRIM(L120))="N/A"),1,0)*INDEX('Rules of Credit'!$B$5:$F$8,MATCH($F120,'Rules of Credit'!$A$5:$A$8,0),3)+IF(OR(ISNUMBER(M120),UPPER(TRIM(M120))="N/A"),1,0)*IF($X120="N",0,INDEX('Rules of Credit'!$B$5:$F$8,MATCH($F120,'Rules of Credit'!$A$5:$A$8,0),4))+IF(OR(ISNUMBER(N120),UPPER(TRIM(N120))="N/A"),1,0)*INDEX('Rules of Credit'!$B$5:$F$8,MATCH($F120,'Rules of Credit'!$A$5:$A$8,0),5))/(IF($W120="N",0,INDEX('Rules of Credit'!$B$5:$F$8,MATCH($F120,'Rules of Credit'!$A$5:$A$8,0),1))+INDEX('Rules of Credit'!$B$5:$F$8,MATCH($F120,'Rules of Credit'!$A$5:$A$8,0),2)+INDEX('Rules of Credit'!$B$5:$F$8,MATCH($F120,'Rules of Credit'!$A$5:$A$8,0),3)+IF($X120="N",0,INDEX('Rules of Credit'!$B$5:$F$8,MATCH($F120,'Rules of Credit'!$A$5:$A$8,0),4))+INDEX('Rules of Credit'!$B$5:$F$8,MATCH($F120,'Rules of Credit'!$A$5:$A$8,0),5)),0)</f>
        <v>0</v>
      </c>
      <c r="Q120" s="149" t="n">
        <f aca="false">IF(OR($H120="",$I120=""),0,IF('Tracker Summary'!$C$3&lt;$H120,0,IF('Tracker Summary'!$C$3&gt;=$I120,1,('Tracker Summary'!$C$3-$H120)/($I120-$H120+1))))</f>
        <v>0</v>
      </c>
      <c r="R120" s="149" t="n">
        <f aca="false">P120-Q120</f>
        <v>0</v>
      </c>
      <c r="S120" s="146" t="str">
        <f aca="false">IF($I120="","Not scheduled",IF(P120&gt;=1,"Complete",IF('Tracker Summary'!$C$3&gt;$I120,"Overdue",IF(P120-Q120&lt;-0.1,"Behind",IF(AND(P120=0,'Tracker Summary'!$C$3&lt;$H120),"Not started","On track")))))</f>
        <v>Not started</v>
      </c>
      <c r="T120" s="90"/>
      <c r="U120" s="146" t="str">
        <f aca="false">IFERROR(INDEX(Schedule!$D$2:$D$147,MATCH($G120,Schedule!$A$2:$A$147,0)),"")</f>
        <v>Plumbing &amp; Process Pumps — Influent pump station and flow splitter</v>
      </c>
      <c r="V120" s="148" t="n">
        <f aca="false">IFERROR(INDEX(Schedule!$F$2:$F$147,MATCH("22-P01",Schedule!$A$2:$A$147,0)),"")</f>
        <v>45016</v>
      </c>
      <c r="W120" s="146" t="s">
        <v>115</v>
      </c>
      <c r="X120" s="146" t="s">
        <v>115</v>
      </c>
      <c r="Y120" s="146" t="n">
        <v>0</v>
      </c>
      <c r="Z120" s="146" t="n">
        <v>0</v>
      </c>
      <c r="AA120" s="146" t="s">
        <v>608</v>
      </c>
      <c r="AB120" s="146" t="s">
        <v>609</v>
      </c>
      <c r="AC120" s="146" t="s">
        <v>541</v>
      </c>
      <c r="AD120" s="146" t="s">
        <v>542</v>
      </c>
      <c r="AE120" s="146" t="s">
        <v>610</v>
      </c>
      <c r="AF120" s="146"/>
      <c r="AG120" s="146" t="s">
        <v>610</v>
      </c>
      <c r="AH120" s="146" t="s">
        <v>501</v>
      </c>
    </row>
    <row r="121" customFormat="false" ht="15" hidden="false" customHeight="false" outlineLevel="0" collapsed="false">
      <c r="A121" s="146" t="s">
        <v>60</v>
      </c>
      <c r="B121" s="147" t="s">
        <v>33</v>
      </c>
      <c r="C121" s="146" t="s">
        <v>617</v>
      </c>
      <c r="D121" s="146" t="s">
        <v>618</v>
      </c>
      <c r="E121" s="146" t="s">
        <v>334</v>
      </c>
      <c r="F121" s="90" t="s">
        <v>234</v>
      </c>
      <c r="G121" s="146" t="s">
        <v>568</v>
      </c>
      <c r="H121" s="148" t="n">
        <f aca="false">IFERROR(INDEX(Schedule!$E$2:$E$147,MATCH($G121,Schedule!$A$2:$A$147,0)),"")</f>
        <v>45078</v>
      </c>
      <c r="I121" s="148" t="n">
        <f aca="false">IFERROR(INDEX(Schedule!$F$2:$F$147,MATCH($G121,Schedule!$A$2:$A$147,0)),"")</f>
        <v>45224</v>
      </c>
      <c r="J121" s="92"/>
      <c r="K121" s="92"/>
      <c r="L121" s="92"/>
      <c r="M121" s="92"/>
      <c r="N121" s="92"/>
      <c r="O121" s="90" t="n">
        <v>1</v>
      </c>
      <c r="P121" s="149" t="n">
        <f aca="false">IFERROR((IF(OR(ISNUMBER(J121),UPPER(TRIM(J121))="N/A"),1,0)*IF($W121="N",0,INDEX('Rules of Credit'!$B$5:$F$8,MATCH($F121,'Rules of Credit'!$A$5:$A$8,0),1))+IF(OR(ISNUMBER(K121),UPPER(TRIM(K121))="N/A"),1,0)*INDEX('Rules of Credit'!$B$5:$F$8,MATCH($F121,'Rules of Credit'!$A$5:$A$8,0),2)+IF(OR(ISNUMBER(L121),UPPER(TRIM(L121))="N/A"),1,0)*INDEX('Rules of Credit'!$B$5:$F$8,MATCH($F121,'Rules of Credit'!$A$5:$A$8,0),3)+IF(OR(ISNUMBER(M121),UPPER(TRIM(M121))="N/A"),1,0)*IF($X121="N",0,INDEX('Rules of Credit'!$B$5:$F$8,MATCH($F121,'Rules of Credit'!$A$5:$A$8,0),4))+IF(OR(ISNUMBER(N121),UPPER(TRIM(N121))="N/A"),1,0)*INDEX('Rules of Credit'!$B$5:$F$8,MATCH($F121,'Rules of Credit'!$A$5:$A$8,0),5))/(IF($W121="N",0,INDEX('Rules of Credit'!$B$5:$F$8,MATCH($F121,'Rules of Credit'!$A$5:$A$8,0),1))+INDEX('Rules of Credit'!$B$5:$F$8,MATCH($F121,'Rules of Credit'!$A$5:$A$8,0),2)+INDEX('Rules of Credit'!$B$5:$F$8,MATCH($F121,'Rules of Credit'!$A$5:$A$8,0),3)+IF($X121="N",0,INDEX('Rules of Credit'!$B$5:$F$8,MATCH($F121,'Rules of Credit'!$A$5:$A$8,0),4))+INDEX('Rules of Credit'!$B$5:$F$8,MATCH($F121,'Rules of Credit'!$A$5:$A$8,0),5)),0)</f>
        <v>0</v>
      </c>
      <c r="Q121" s="149" t="n">
        <f aca="false">IF(OR($H121="",$I121=""),0,IF('Tracker Summary'!$C$3&lt;$H121,0,IF('Tracker Summary'!$C$3&gt;=$I121,1,('Tracker Summary'!$C$3-$H121)/($I121-$H121+1))))</f>
        <v>0</v>
      </c>
      <c r="R121" s="149" t="n">
        <f aca="false">P121-Q121</f>
        <v>0</v>
      </c>
      <c r="S121" s="146" t="str">
        <f aca="false">IF($I121="","Not scheduled",IF(P121&gt;=1,"Complete",IF('Tracker Summary'!$C$3&gt;$I121,"Overdue",IF(P121-Q121&lt;-0.1,"Behind",IF(AND(P121=0,'Tracker Summary'!$C$3&lt;$H121),"Not started","On track")))))</f>
        <v>Not started</v>
      </c>
      <c r="T121" s="90"/>
      <c r="U121" s="146" t="str">
        <f aca="false">IFERROR(INDEX(Schedule!$D$2:$D$147,MATCH($G121,Schedule!$A$2:$A$147,0)),"")</f>
        <v>Plumbing &amp; Process Pumps — Influent pump station and flow splitter</v>
      </c>
      <c r="V121" s="148" t="n">
        <f aca="false">IFERROR(INDEX(Schedule!$F$2:$F$147,MATCH("22-P01",Schedule!$A$2:$A$147,0)),"")</f>
        <v>45016</v>
      </c>
      <c r="W121" s="146" t="s">
        <v>115</v>
      </c>
      <c r="X121" s="146" t="s">
        <v>115</v>
      </c>
      <c r="Y121" s="146" t="n">
        <v>0</v>
      </c>
      <c r="Z121" s="146" t="n">
        <v>0</v>
      </c>
      <c r="AA121" s="146" t="s">
        <v>619</v>
      </c>
      <c r="AB121" s="146" t="s">
        <v>620</v>
      </c>
      <c r="AC121" s="146" t="s">
        <v>92</v>
      </c>
      <c r="AD121" s="146" t="s">
        <v>542</v>
      </c>
      <c r="AE121" s="146" t="s">
        <v>621</v>
      </c>
      <c r="AF121" s="146"/>
      <c r="AG121" s="146" t="s">
        <v>621</v>
      </c>
      <c r="AH121" s="146" t="s">
        <v>501</v>
      </c>
    </row>
    <row r="122" customFormat="false" ht="15" hidden="false" customHeight="false" outlineLevel="0" collapsed="false">
      <c r="A122" s="146" t="s">
        <v>60</v>
      </c>
      <c r="B122" s="147" t="s">
        <v>33</v>
      </c>
      <c r="C122" s="146" t="s">
        <v>622</v>
      </c>
      <c r="D122" s="146" t="s">
        <v>623</v>
      </c>
      <c r="E122" s="146" t="s">
        <v>334</v>
      </c>
      <c r="F122" s="90" t="s">
        <v>234</v>
      </c>
      <c r="G122" s="146" t="s">
        <v>568</v>
      </c>
      <c r="H122" s="148" t="n">
        <f aca="false">IFERROR(INDEX(Schedule!$E$2:$E$147,MATCH($G122,Schedule!$A$2:$A$147,0)),"")</f>
        <v>45078</v>
      </c>
      <c r="I122" s="148" t="n">
        <f aca="false">IFERROR(INDEX(Schedule!$F$2:$F$147,MATCH($G122,Schedule!$A$2:$A$147,0)),"")</f>
        <v>45224</v>
      </c>
      <c r="J122" s="92"/>
      <c r="K122" s="92"/>
      <c r="L122" s="92"/>
      <c r="M122" s="92"/>
      <c r="N122" s="92"/>
      <c r="O122" s="90" t="n">
        <v>1</v>
      </c>
      <c r="P122" s="149" t="n">
        <f aca="false">IFERROR((IF(OR(ISNUMBER(J122),UPPER(TRIM(J122))="N/A"),1,0)*IF($W122="N",0,INDEX('Rules of Credit'!$B$5:$F$8,MATCH($F122,'Rules of Credit'!$A$5:$A$8,0),1))+IF(OR(ISNUMBER(K122),UPPER(TRIM(K122))="N/A"),1,0)*INDEX('Rules of Credit'!$B$5:$F$8,MATCH($F122,'Rules of Credit'!$A$5:$A$8,0),2)+IF(OR(ISNUMBER(L122),UPPER(TRIM(L122))="N/A"),1,0)*INDEX('Rules of Credit'!$B$5:$F$8,MATCH($F122,'Rules of Credit'!$A$5:$A$8,0),3)+IF(OR(ISNUMBER(M122),UPPER(TRIM(M122))="N/A"),1,0)*IF($X122="N",0,INDEX('Rules of Credit'!$B$5:$F$8,MATCH($F122,'Rules of Credit'!$A$5:$A$8,0),4))+IF(OR(ISNUMBER(N122),UPPER(TRIM(N122))="N/A"),1,0)*INDEX('Rules of Credit'!$B$5:$F$8,MATCH($F122,'Rules of Credit'!$A$5:$A$8,0),5))/(IF($W122="N",0,INDEX('Rules of Credit'!$B$5:$F$8,MATCH($F122,'Rules of Credit'!$A$5:$A$8,0),1))+INDEX('Rules of Credit'!$B$5:$F$8,MATCH($F122,'Rules of Credit'!$A$5:$A$8,0),2)+INDEX('Rules of Credit'!$B$5:$F$8,MATCH($F122,'Rules of Credit'!$A$5:$A$8,0),3)+IF($X122="N",0,INDEX('Rules of Credit'!$B$5:$F$8,MATCH($F122,'Rules of Credit'!$A$5:$A$8,0),4))+INDEX('Rules of Credit'!$B$5:$F$8,MATCH($F122,'Rules of Credit'!$A$5:$A$8,0),5)),0)</f>
        <v>0</v>
      </c>
      <c r="Q122" s="149" t="n">
        <f aca="false">IF(OR($H122="",$I122=""),0,IF('Tracker Summary'!$C$3&lt;$H122,0,IF('Tracker Summary'!$C$3&gt;=$I122,1,('Tracker Summary'!$C$3-$H122)/($I122-$H122+1))))</f>
        <v>0</v>
      </c>
      <c r="R122" s="149" t="n">
        <f aca="false">P122-Q122</f>
        <v>0</v>
      </c>
      <c r="S122" s="146" t="str">
        <f aca="false">IF($I122="","Not scheduled",IF(P122&gt;=1,"Complete",IF('Tracker Summary'!$C$3&gt;$I122,"Overdue",IF(P122-Q122&lt;-0.1,"Behind",IF(AND(P122=0,'Tracker Summary'!$C$3&lt;$H122),"Not started","On track")))))</f>
        <v>Not started</v>
      </c>
      <c r="T122" s="90"/>
      <c r="U122" s="146" t="str">
        <f aca="false">IFERROR(INDEX(Schedule!$D$2:$D$147,MATCH($G122,Schedule!$A$2:$A$147,0)),"")</f>
        <v>Plumbing &amp; Process Pumps — Influent pump station and flow splitter</v>
      </c>
      <c r="V122" s="148" t="n">
        <f aca="false">IFERROR(INDEX(Schedule!$F$2:$F$147,MATCH("22-P01",Schedule!$A$2:$A$147,0)),"")</f>
        <v>45016</v>
      </c>
      <c r="W122" s="146" t="s">
        <v>99</v>
      </c>
      <c r="X122" s="146" t="s">
        <v>99</v>
      </c>
      <c r="Y122" s="146" t="n">
        <v>12</v>
      </c>
      <c r="Z122" s="146" t="n">
        <v>7</v>
      </c>
      <c r="AA122" s="146" t="s">
        <v>624</v>
      </c>
      <c r="AB122" s="146" t="s">
        <v>625</v>
      </c>
      <c r="AC122" s="146" t="s">
        <v>92</v>
      </c>
      <c r="AD122" s="146" t="s">
        <v>584</v>
      </c>
      <c r="AE122" s="146"/>
      <c r="AF122" s="146" t="s">
        <v>626</v>
      </c>
      <c r="AG122" s="146" t="s">
        <v>626</v>
      </c>
      <c r="AH122" s="146" t="s">
        <v>109</v>
      </c>
    </row>
    <row r="123" customFormat="false" ht="15" hidden="false" customHeight="false" outlineLevel="0" collapsed="false">
      <c r="A123" s="150" t="s">
        <v>85</v>
      </c>
      <c r="B123" s="150" t="s">
        <v>35</v>
      </c>
      <c r="C123" s="150" t="s">
        <v>36</v>
      </c>
      <c r="D123" s="150" t="str">
        <f aca="false">COUNTIF(A124:A138,"Item")&amp;" items · "&amp;COUNTIF(S124:S138,"Overdue")&amp;" overdue · "&amp;COUNTIF(S124:S138,"Complete")&amp;" complete"</f>
        <v>15 items · 0 overdue · 0 complete</v>
      </c>
      <c r="E123" s="150"/>
      <c r="F123" s="150"/>
      <c r="G123" s="150"/>
      <c r="H123" s="151" t="n">
        <f aca="false">MIN(H124:H138)</f>
        <v>45017</v>
      </c>
      <c r="I123" s="151" t="n">
        <f aca="false">MAX(I124:I138)</f>
        <v>45331</v>
      </c>
      <c r="J123" s="151"/>
      <c r="K123" s="151"/>
      <c r="L123" s="151"/>
      <c r="M123" s="151"/>
      <c r="N123" s="151"/>
      <c r="O123" s="150" t="n">
        <f aca="false">SUM(O124:O138)</f>
        <v>15</v>
      </c>
      <c r="P123" s="152" t="n">
        <f aca="false">IFERROR(SUMPRODUCT(O124:O138,P124:P138)/SUM(O124:O138),0)</f>
        <v>0</v>
      </c>
      <c r="Q123" s="152" t="n">
        <f aca="false">IFERROR(SUMPRODUCT(O124:O138,Q124:Q138)/SUM(O124:O138),0)</f>
        <v>0</v>
      </c>
      <c r="R123" s="152" t="n">
        <f aca="false">P123-Q123</f>
        <v>0</v>
      </c>
      <c r="S123" s="150"/>
      <c r="T123" s="150"/>
      <c r="U123" s="150"/>
      <c r="V123" s="151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50"/>
      <c r="AH123" s="150"/>
    </row>
    <row r="124" customFormat="false" ht="15" hidden="false" customHeight="false" outlineLevel="0" collapsed="false">
      <c r="A124" s="153" t="s">
        <v>60</v>
      </c>
      <c r="B124" s="154" t="s">
        <v>35</v>
      </c>
      <c r="C124" s="153" t="s">
        <v>627</v>
      </c>
      <c r="D124" s="153" t="s">
        <v>628</v>
      </c>
      <c r="E124" s="153" t="s">
        <v>233</v>
      </c>
      <c r="F124" s="90" t="s">
        <v>234</v>
      </c>
      <c r="G124" s="153" t="s">
        <v>629</v>
      </c>
      <c r="H124" s="155" t="n">
        <f aca="false">IFERROR(INDEX(Schedule!$E$2:$E$147,MATCH($G124,Schedule!$A$2:$A$147,0)),"")</f>
        <v>45017</v>
      </c>
      <c r="I124" s="155" t="n">
        <f aca="false">IFERROR(INDEX(Schedule!$F$2:$F$147,MATCH($G124,Schedule!$A$2:$A$147,0)),"")</f>
        <v>45138</v>
      </c>
      <c r="J124" s="92"/>
      <c r="K124" s="92"/>
      <c r="L124" s="92"/>
      <c r="M124" s="92"/>
      <c r="N124" s="92"/>
      <c r="O124" s="90" t="n">
        <v>1</v>
      </c>
      <c r="P124" s="156" t="n">
        <f aca="false">IFERROR((IF(OR(ISNUMBER(J124),UPPER(TRIM(J124))="N/A"),1,0)*IF($W124="N",0,INDEX('Rules of Credit'!$B$5:$F$8,MATCH($F124,'Rules of Credit'!$A$5:$A$8,0),1))+IF(OR(ISNUMBER(K124),UPPER(TRIM(K124))="N/A"),1,0)*INDEX('Rules of Credit'!$B$5:$F$8,MATCH($F124,'Rules of Credit'!$A$5:$A$8,0),2)+IF(OR(ISNUMBER(L124),UPPER(TRIM(L124))="N/A"),1,0)*INDEX('Rules of Credit'!$B$5:$F$8,MATCH($F124,'Rules of Credit'!$A$5:$A$8,0),3)+IF(OR(ISNUMBER(M124),UPPER(TRIM(M124))="N/A"),1,0)*IF($X124="N",0,INDEX('Rules of Credit'!$B$5:$F$8,MATCH($F124,'Rules of Credit'!$A$5:$A$8,0),4))+IF(OR(ISNUMBER(N124),UPPER(TRIM(N124))="N/A"),1,0)*INDEX('Rules of Credit'!$B$5:$F$8,MATCH($F124,'Rules of Credit'!$A$5:$A$8,0),5))/(IF($W124="N",0,INDEX('Rules of Credit'!$B$5:$F$8,MATCH($F124,'Rules of Credit'!$A$5:$A$8,0),1))+INDEX('Rules of Credit'!$B$5:$F$8,MATCH($F124,'Rules of Credit'!$A$5:$A$8,0),2)+INDEX('Rules of Credit'!$B$5:$F$8,MATCH($F124,'Rules of Credit'!$A$5:$A$8,0),3)+IF($X124="N",0,INDEX('Rules of Credit'!$B$5:$F$8,MATCH($F124,'Rules of Credit'!$A$5:$A$8,0),4))+INDEX('Rules of Credit'!$B$5:$F$8,MATCH($F124,'Rules of Credit'!$A$5:$A$8,0),5)),0)</f>
        <v>0</v>
      </c>
      <c r="Q124" s="156" t="n">
        <f aca="false">IF(OR($H124="",$I124=""),0,IF('Tracker Summary'!$C$3&lt;$H124,0,IF('Tracker Summary'!$C$3&gt;=$I124,1,('Tracker Summary'!$C$3-$H124)/($I124-$H124+1))))</f>
        <v>0</v>
      </c>
      <c r="R124" s="156" t="n">
        <f aca="false">P124-Q124</f>
        <v>0</v>
      </c>
      <c r="S124" s="153" t="str">
        <f aca="false">IF($I124="","Not scheduled",IF(P124&gt;=1,"Complete",IF('Tracker Summary'!$C$3&gt;$I124,"Overdue",IF(P124-Q124&lt;-0.1,"Behind",IF(AND(P124=0,'Tracker Summary'!$C$3&lt;$H124),"Not started","On track")))))</f>
        <v>Not started</v>
      </c>
      <c r="T124" s="90"/>
      <c r="U124" s="153" t="str">
        <f aca="false">IFERROR(INDEX(Schedule!$D$2:$D$147,MATCH($G124,Schedule!$A$2:$A$147,0)),"")</f>
        <v>HVAC &amp; Ventilation — Blower Building</v>
      </c>
      <c r="V124" s="155" t="n">
        <f aca="false">IFERROR(INDEX(Schedule!$F$2:$F$147,MATCH("23-P01",Schedule!$A$2:$A$147,0)),"")</f>
        <v>45016</v>
      </c>
      <c r="W124" s="153" t="s">
        <v>91</v>
      </c>
      <c r="X124" s="153" t="s">
        <v>91</v>
      </c>
      <c r="Y124" s="153" t="n">
        <v>0</v>
      </c>
      <c r="Z124" s="153" t="n">
        <v>0</v>
      </c>
      <c r="AA124" s="153" t="s">
        <v>630</v>
      </c>
      <c r="AB124" s="153" t="s">
        <v>631</v>
      </c>
      <c r="AC124" s="153" t="s">
        <v>92</v>
      </c>
      <c r="AD124" s="153" t="s">
        <v>93</v>
      </c>
      <c r="AE124" s="153"/>
      <c r="AF124" s="153" t="s">
        <v>632</v>
      </c>
      <c r="AG124" s="153" t="s">
        <v>632</v>
      </c>
      <c r="AH124" s="153" t="s">
        <v>213</v>
      </c>
    </row>
    <row r="125" customFormat="false" ht="15" hidden="false" customHeight="false" outlineLevel="0" collapsed="false">
      <c r="A125" s="153" t="s">
        <v>60</v>
      </c>
      <c r="B125" s="154" t="s">
        <v>35</v>
      </c>
      <c r="C125" s="153" t="s">
        <v>633</v>
      </c>
      <c r="D125" s="153" t="s">
        <v>634</v>
      </c>
      <c r="E125" s="153" t="s">
        <v>233</v>
      </c>
      <c r="F125" s="90" t="s">
        <v>234</v>
      </c>
      <c r="G125" s="153" t="s">
        <v>629</v>
      </c>
      <c r="H125" s="155" t="n">
        <f aca="false">IFERROR(INDEX(Schedule!$E$2:$E$147,MATCH($G125,Schedule!$A$2:$A$147,0)),"")</f>
        <v>45017</v>
      </c>
      <c r="I125" s="155" t="n">
        <f aca="false">IFERROR(INDEX(Schedule!$F$2:$F$147,MATCH($G125,Schedule!$A$2:$A$147,0)),"")</f>
        <v>45138</v>
      </c>
      <c r="J125" s="92"/>
      <c r="K125" s="92"/>
      <c r="L125" s="92"/>
      <c r="M125" s="92"/>
      <c r="N125" s="92"/>
      <c r="O125" s="90" t="n">
        <v>1</v>
      </c>
      <c r="P125" s="156" t="n">
        <f aca="false">IFERROR((IF(OR(ISNUMBER(J125),UPPER(TRIM(J125))="N/A"),1,0)*IF($W125="N",0,INDEX('Rules of Credit'!$B$5:$F$8,MATCH($F125,'Rules of Credit'!$A$5:$A$8,0),1))+IF(OR(ISNUMBER(K125),UPPER(TRIM(K125))="N/A"),1,0)*INDEX('Rules of Credit'!$B$5:$F$8,MATCH($F125,'Rules of Credit'!$A$5:$A$8,0),2)+IF(OR(ISNUMBER(L125),UPPER(TRIM(L125))="N/A"),1,0)*INDEX('Rules of Credit'!$B$5:$F$8,MATCH($F125,'Rules of Credit'!$A$5:$A$8,0),3)+IF(OR(ISNUMBER(M125),UPPER(TRIM(M125))="N/A"),1,0)*IF($X125="N",0,INDEX('Rules of Credit'!$B$5:$F$8,MATCH($F125,'Rules of Credit'!$A$5:$A$8,0),4))+IF(OR(ISNUMBER(N125),UPPER(TRIM(N125))="N/A"),1,0)*INDEX('Rules of Credit'!$B$5:$F$8,MATCH($F125,'Rules of Credit'!$A$5:$A$8,0),5))/(IF($W125="N",0,INDEX('Rules of Credit'!$B$5:$F$8,MATCH($F125,'Rules of Credit'!$A$5:$A$8,0),1))+INDEX('Rules of Credit'!$B$5:$F$8,MATCH($F125,'Rules of Credit'!$A$5:$A$8,0),2)+INDEX('Rules of Credit'!$B$5:$F$8,MATCH($F125,'Rules of Credit'!$A$5:$A$8,0),3)+IF($X125="N",0,INDEX('Rules of Credit'!$B$5:$F$8,MATCH($F125,'Rules of Credit'!$A$5:$A$8,0),4))+INDEX('Rules of Credit'!$B$5:$F$8,MATCH($F125,'Rules of Credit'!$A$5:$A$8,0),5)),0)</f>
        <v>0</v>
      </c>
      <c r="Q125" s="156" t="n">
        <f aca="false">IF(OR($H125="",$I125=""),0,IF('Tracker Summary'!$C$3&lt;$H125,0,IF('Tracker Summary'!$C$3&gt;=$I125,1,('Tracker Summary'!$C$3-$H125)/($I125-$H125+1))))</f>
        <v>0</v>
      </c>
      <c r="R125" s="156" t="n">
        <f aca="false">P125-Q125</f>
        <v>0</v>
      </c>
      <c r="S125" s="153" t="str">
        <f aca="false">IF($I125="","Not scheduled",IF(P125&gt;=1,"Complete",IF('Tracker Summary'!$C$3&gt;$I125,"Overdue",IF(P125-Q125&lt;-0.1,"Behind",IF(AND(P125=0,'Tracker Summary'!$C$3&lt;$H125),"Not started","On track")))))</f>
        <v>Not started</v>
      </c>
      <c r="T125" s="90"/>
      <c r="U125" s="153" t="str">
        <f aca="false">IFERROR(INDEX(Schedule!$D$2:$D$147,MATCH($G125,Schedule!$A$2:$A$147,0)),"")</f>
        <v>HVAC &amp; Ventilation — Blower Building</v>
      </c>
      <c r="V125" s="155" t="n">
        <f aca="false">IFERROR(INDEX(Schedule!$F$2:$F$147,MATCH("23-P01",Schedule!$A$2:$A$147,0)),"")</f>
        <v>45016</v>
      </c>
      <c r="W125" s="153" t="s">
        <v>91</v>
      </c>
      <c r="X125" s="153" t="s">
        <v>91</v>
      </c>
      <c r="Y125" s="153" t="n">
        <v>0</v>
      </c>
      <c r="Z125" s="153" t="n">
        <v>0</v>
      </c>
      <c r="AA125" s="153" t="s">
        <v>635</v>
      </c>
      <c r="AB125" s="153" t="s">
        <v>636</v>
      </c>
      <c r="AC125" s="153" t="s">
        <v>92</v>
      </c>
      <c r="AD125" s="153" t="s">
        <v>93</v>
      </c>
      <c r="AE125" s="153"/>
      <c r="AF125" s="153" t="s">
        <v>632</v>
      </c>
      <c r="AG125" s="153" t="s">
        <v>632</v>
      </c>
      <c r="AH125" s="153" t="s">
        <v>213</v>
      </c>
    </row>
    <row r="126" customFormat="false" ht="15" hidden="false" customHeight="false" outlineLevel="0" collapsed="false">
      <c r="A126" s="153" t="s">
        <v>60</v>
      </c>
      <c r="B126" s="154" t="s">
        <v>35</v>
      </c>
      <c r="C126" s="153" t="s">
        <v>637</v>
      </c>
      <c r="D126" s="153" t="s">
        <v>638</v>
      </c>
      <c r="E126" s="153" t="s">
        <v>233</v>
      </c>
      <c r="F126" s="90" t="s">
        <v>234</v>
      </c>
      <c r="G126" s="153" t="s">
        <v>629</v>
      </c>
      <c r="H126" s="155" t="n">
        <f aca="false">IFERROR(INDEX(Schedule!$E$2:$E$147,MATCH($G126,Schedule!$A$2:$A$147,0)),"")</f>
        <v>45017</v>
      </c>
      <c r="I126" s="155" t="n">
        <f aca="false">IFERROR(INDEX(Schedule!$F$2:$F$147,MATCH($G126,Schedule!$A$2:$A$147,0)),"")</f>
        <v>45138</v>
      </c>
      <c r="J126" s="92"/>
      <c r="K126" s="92"/>
      <c r="L126" s="92"/>
      <c r="M126" s="92"/>
      <c r="N126" s="92"/>
      <c r="O126" s="90" t="n">
        <v>1</v>
      </c>
      <c r="P126" s="156" t="n">
        <f aca="false">IFERROR((IF(OR(ISNUMBER(J126),UPPER(TRIM(J126))="N/A"),1,0)*IF($W126="N",0,INDEX('Rules of Credit'!$B$5:$F$8,MATCH($F126,'Rules of Credit'!$A$5:$A$8,0),1))+IF(OR(ISNUMBER(K126),UPPER(TRIM(K126))="N/A"),1,0)*INDEX('Rules of Credit'!$B$5:$F$8,MATCH($F126,'Rules of Credit'!$A$5:$A$8,0),2)+IF(OR(ISNUMBER(L126),UPPER(TRIM(L126))="N/A"),1,0)*INDEX('Rules of Credit'!$B$5:$F$8,MATCH($F126,'Rules of Credit'!$A$5:$A$8,0),3)+IF(OR(ISNUMBER(M126),UPPER(TRIM(M126))="N/A"),1,0)*IF($X126="N",0,INDEX('Rules of Credit'!$B$5:$F$8,MATCH($F126,'Rules of Credit'!$A$5:$A$8,0),4))+IF(OR(ISNUMBER(N126),UPPER(TRIM(N126))="N/A"),1,0)*INDEX('Rules of Credit'!$B$5:$F$8,MATCH($F126,'Rules of Credit'!$A$5:$A$8,0),5))/(IF($W126="N",0,INDEX('Rules of Credit'!$B$5:$F$8,MATCH($F126,'Rules of Credit'!$A$5:$A$8,0),1))+INDEX('Rules of Credit'!$B$5:$F$8,MATCH($F126,'Rules of Credit'!$A$5:$A$8,0),2)+INDEX('Rules of Credit'!$B$5:$F$8,MATCH($F126,'Rules of Credit'!$A$5:$A$8,0),3)+IF($X126="N",0,INDEX('Rules of Credit'!$B$5:$F$8,MATCH($F126,'Rules of Credit'!$A$5:$A$8,0),4))+INDEX('Rules of Credit'!$B$5:$F$8,MATCH($F126,'Rules of Credit'!$A$5:$A$8,0),5)),0)</f>
        <v>0</v>
      </c>
      <c r="Q126" s="156" t="n">
        <f aca="false">IF(OR($H126="",$I126=""),0,IF('Tracker Summary'!$C$3&lt;$H126,0,IF('Tracker Summary'!$C$3&gt;=$I126,1,('Tracker Summary'!$C$3-$H126)/($I126-$H126+1))))</f>
        <v>0</v>
      </c>
      <c r="R126" s="156" t="n">
        <f aca="false">P126-Q126</f>
        <v>0</v>
      </c>
      <c r="S126" s="153" t="str">
        <f aca="false">IF($I126="","Not scheduled",IF(P126&gt;=1,"Complete",IF('Tracker Summary'!$C$3&gt;$I126,"Overdue",IF(P126-Q126&lt;-0.1,"Behind",IF(AND(P126=0,'Tracker Summary'!$C$3&lt;$H126),"Not started","On track")))))</f>
        <v>Not started</v>
      </c>
      <c r="T126" s="90"/>
      <c r="U126" s="153" t="str">
        <f aca="false">IFERROR(INDEX(Schedule!$D$2:$D$147,MATCH($G126,Schedule!$A$2:$A$147,0)),"")</f>
        <v>HVAC &amp; Ventilation — Blower Building</v>
      </c>
      <c r="V126" s="155" t="n">
        <f aca="false">IFERROR(INDEX(Schedule!$F$2:$F$147,MATCH("23-P01",Schedule!$A$2:$A$147,0)),"")</f>
        <v>45016</v>
      </c>
      <c r="W126" s="153" t="s">
        <v>91</v>
      </c>
      <c r="X126" s="153" t="s">
        <v>91</v>
      </c>
      <c r="Y126" s="153" t="n">
        <v>0</v>
      </c>
      <c r="Z126" s="153" t="n">
        <v>0</v>
      </c>
      <c r="AA126" s="153" t="s">
        <v>639</v>
      </c>
      <c r="AB126" s="153" t="s">
        <v>640</v>
      </c>
      <c r="AC126" s="153" t="s">
        <v>92</v>
      </c>
      <c r="AD126" s="153" t="s">
        <v>93</v>
      </c>
      <c r="AE126" s="153"/>
      <c r="AF126" s="153" t="s">
        <v>632</v>
      </c>
      <c r="AG126" s="153" t="s">
        <v>632</v>
      </c>
      <c r="AH126" s="153" t="s">
        <v>213</v>
      </c>
    </row>
    <row r="127" customFormat="false" ht="15" hidden="false" customHeight="false" outlineLevel="0" collapsed="false">
      <c r="A127" s="153" t="s">
        <v>60</v>
      </c>
      <c r="B127" s="154" t="s">
        <v>35</v>
      </c>
      <c r="C127" s="153" t="s">
        <v>641</v>
      </c>
      <c r="D127" s="153" t="s">
        <v>642</v>
      </c>
      <c r="E127" s="153" t="s">
        <v>233</v>
      </c>
      <c r="F127" s="90" t="s">
        <v>234</v>
      </c>
      <c r="G127" s="153" t="s">
        <v>629</v>
      </c>
      <c r="H127" s="155" t="n">
        <f aca="false">IFERROR(INDEX(Schedule!$E$2:$E$147,MATCH($G127,Schedule!$A$2:$A$147,0)),"")</f>
        <v>45017</v>
      </c>
      <c r="I127" s="155" t="n">
        <f aca="false">IFERROR(INDEX(Schedule!$F$2:$F$147,MATCH($G127,Schedule!$A$2:$A$147,0)),"")</f>
        <v>45138</v>
      </c>
      <c r="J127" s="92"/>
      <c r="K127" s="92"/>
      <c r="L127" s="92"/>
      <c r="M127" s="92"/>
      <c r="N127" s="92"/>
      <c r="O127" s="90" t="n">
        <v>1</v>
      </c>
      <c r="P127" s="156" t="n">
        <f aca="false">IFERROR((IF(OR(ISNUMBER(J127),UPPER(TRIM(J127))="N/A"),1,0)*IF($W127="N",0,INDEX('Rules of Credit'!$B$5:$F$8,MATCH($F127,'Rules of Credit'!$A$5:$A$8,0),1))+IF(OR(ISNUMBER(K127),UPPER(TRIM(K127))="N/A"),1,0)*INDEX('Rules of Credit'!$B$5:$F$8,MATCH($F127,'Rules of Credit'!$A$5:$A$8,0),2)+IF(OR(ISNUMBER(L127),UPPER(TRIM(L127))="N/A"),1,0)*INDEX('Rules of Credit'!$B$5:$F$8,MATCH($F127,'Rules of Credit'!$A$5:$A$8,0),3)+IF(OR(ISNUMBER(M127),UPPER(TRIM(M127))="N/A"),1,0)*IF($X127="N",0,INDEX('Rules of Credit'!$B$5:$F$8,MATCH($F127,'Rules of Credit'!$A$5:$A$8,0),4))+IF(OR(ISNUMBER(N127),UPPER(TRIM(N127))="N/A"),1,0)*INDEX('Rules of Credit'!$B$5:$F$8,MATCH($F127,'Rules of Credit'!$A$5:$A$8,0),5))/(IF($W127="N",0,INDEX('Rules of Credit'!$B$5:$F$8,MATCH($F127,'Rules of Credit'!$A$5:$A$8,0),1))+INDEX('Rules of Credit'!$B$5:$F$8,MATCH($F127,'Rules of Credit'!$A$5:$A$8,0),2)+INDEX('Rules of Credit'!$B$5:$F$8,MATCH($F127,'Rules of Credit'!$A$5:$A$8,0),3)+IF($X127="N",0,INDEX('Rules of Credit'!$B$5:$F$8,MATCH($F127,'Rules of Credit'!$A$5:$A$8,0),4))+INDEX('Rules of Credit'!$B$5:$F$8,MATCH($F127,'Rules of Credit'!$A$5:$A$8,0),5)),0)</f>
        <v>0</v>
      </c>
      <c r="Q127" s="156" t="n">
        <f aca="false">IF(OR($H127="",$I127=""),0,IF('Tracker Summary'!$C$3&lt;$H127,0,IF('Tracker Summary'!$C$3&gt;=$I127,1,('Tracker Summary'!$C$3-$H127)/($I127-$H127+1))))</f>
        <v>0</v>
      </c>
      <c r="R127" s="156" t="n">
        <f aca="false">P127-Q127</f>
        <v>0</v>
      </c>
      <c r="S127" s="153" t="str">
        <f aca="false">IF($I127="","Not scheduled",IF(P127&gt;=1,"Complete",IF('Tracker Summary'!$C$3&gt;$I127,"Overdue",IF(P127-Q127&lt;-0.1,"Behind",IF(AND(P127=0,'Tracker Summary'!$C$3&lt;$H127),"Not started","On track")))))</f>
        <v>Not started</v>
      </c>
      <c r="T127" s="90"/>
      <c r="U127" s="153" t="str">
        <f aca="false">IFERROR(INDEX(Schedule!$D$2:$D$147,MATCH($G127,Schedule!$A$2:$A$147,0)),"")</f>
        <v>HVAC &amp; Ventilation — Blower Building</v>
      </c>
      <c r="V127" s="155" t="n">
        <f aca="false">IFERROR(INDEX(Schedule!$F$2:$F$147,MATCH("23-P01",Schedule!$A$2:$A$147,0)),"")</f>
        <v>45016</v>
      </c>
      <c r="W127" s="153" t="s">
        <v>115</v>
      </c>
      <c r="X127" s="153" t="s">
        <v>115</v>
      </c>
      <c r="Y127" s="153" t="n">
        <v>0</v>
      </c>
      <c r="Z127" s="153" t="n">
        <v>0</v>
      </c>
      <c r="AA127" s="153" t="s">
        <v>643</v>
      </c>
      <c r="AB127" s="153" t="s">
        <v>644</v>
      </c>
      <c r="AC127" s="153" t="s">
        <v>92</v>
      </c>
      <c r="AD127" s="153" t="s">
        <v>542</v>
      </c>
      <c r="AE127" s="153" t="s">
        <v>645</v>
      </c>
      <c r="AF127" s="153"/>
      <c r="AG127" s="153" t="s">
        <v>645</v>
      </c>
      <c r="AH127" s="153" t="s">
        <v>501</v>
      </c>
    </row>
    <row r="128" customFormat="false" ht="15" hidden="false" customHeight="false" outlineLevel="0" collapsed="false">
      <c r="A128" s="153" t="s">
        <v>60</v>
      </c>
      <c r="B128" s="154" t="s">
        <v>35</v>
      </c>
      <c r="C128" s="153" t="s">
        <v>646</v>
      </c>
      <c r="D128" s="153" t="s">
        <v>647</v>
      </c>
      <c r="E128" s="153" t="s">
        <v>233</v>
      </c>
      <c r="F128" s="90" t="s">
        <v>234</v>
      </c>
      <c r="G128" s="153" t="s">
        <v>629</v>
      </c>
      <c r="H128" s="155" t="n">
        <f aca="false">IFERROR(INDEX(Schedule!$E$2:$E$147,MATCH($G128,Schedule!$A$2:$A$147,0)),"")</f>
        <v>45017</v>
      </c>
      <c r="I128" s="155" t="n">
        <f aca="false">IFERROR(INDEX(Schedule!$F$2:$F$147,MATCH($G128,Schedule!$A$2:$A$147,0)),"")</f>
        <v>45138</v>
      </c>
      <c r="J128" s="92"/>
      <c r="K128" s="92"/>
      <c r="L128" s="92"/>
      <c r="M128" s="92"/>
      <c r="N128" s="92"/>
      <c r="O128" s="90" t="n">
        <v>1</v>
      </c>
      <c r="P128" s="156" t="n">
        <f aca="false">IFERROR((IF(OR(ISNUMBER(J128),UPPER(TRIM(J128))="N/A"),1,0)*IF($W128="N",0,INDEX('Rules of Credit'!$B$5:$F$8,MATCH($F128,'Rules of Credit'!$A$5:$A$8,0),1))+IF(OR(ISNUMBER(K128),UPPER(TRIM(K128))="N/A"),1,0)*INDEX('Rules of Credit'!$B$5:$F$8,MATCH($F128,'Rules of Credit'!$A$5:$A$8,0),2)+IF(OR(ISNUMBER(L128),UPPER(TRIM(L128))="N/A"),1,0)*INDEX('Rules of Credit'!$B$5:$F$8,MATCH($F128,'Rules of Credit'!$A$5:$A$8,0),3)+IF(OR(ISNUMBER(M128),UPPER(TRIM(M128))="N/A"),1,0)*IF($X128="N",0,INDEX('Rules of Credit'!$B$5:$F$8,MATCH($F128,'Rules of Credit'!$A$5:$A$8,0),4))+IF(OR(ISNUMBER(N128),UPPER(TRIM(N128))="N/A"),1,0)*INDEX('Rules of Credit'!$B$5:$F$8,MATCH($F128,'Rules of Credit'!$A$5:$A$8,0),5))/(IF($W128="N",0,INDEX('Rules of Credit'!$B$5:$F$8,MATCH($F128,'Rules of Credit'!$A$5:$A$8,0),1))+INDEX('Rules of Credit'!$B$5:$F$8,MATCH($F128,'Rules of Credit'!$A$5:$A$8,0),2)+INDEX('Rules of Credit'!$B$5:$F$8,MATCH($F128,'Rules of Credit'!$A$5:$A$8,0),3)+IF($X128="N",0,INDEX('Rules of Credit'!$B$5:$F$8,MATCH($F128,'Rules of Credit'!$A$5:$A$8,0),4))+INDEX('Rules of Credit'!$B$5:$F$8,MATCH($F128,'Rules of Credit'!$A$5:$A$8,0),5)),0)</f>
        <v>0</v>
      </c>
      <c r="Q128" s="156" t="n">
        <f aca="false">IF(OR($H128="",$I128=""),0,IF('Tracker Summary'!$C$3&lt;$H128,0,IF('Tracker Summary'!$C$3&gt;=$I128,1,('Tracker Summary'!$C$3-$H128)/($I128-$H128+1))))</f>
        <v>0</v>
      </c>
      <c r="R128" s="156" t="n">
        <f aca="false">P128-Q128</f>
        <v>0</v>
      </c>
      <c r="S128" s="153" t="str">
        <f aca="false">IF($I128="","Not scheduled",IF(P128&gt;=1,"Complete",IF('Tracker Summary'!$C$3&gt;$I128,"Overdue",IF(P128-Q128&lt;-0.1,"Behind",IF(AND(P128=0,'Tracker Summary'!$C$3&lt;$H128),"Not started","On track")))))</f>
        <v>Not started</v>
      </c>
      <c r="T128" s="90"/>
      <c r="U128" s="153" t="str">
        <f aca="false">IFERROR(INDEX(Schedule!$D$2:$D$147,MATCH($G128,Schedule!$A$2:$A$147,0)),"")</f>
        <v>HVAC &amp; Ventilation — Blower Building</v>
      </c>
      <c r="V128" s="155" t="n">
        <f aca="false">IFERROR(INDEX(Schedule!$F$2:$F$147,MATCH("23-P01",Schedule!$A$2:$A$147,0)),"")</f>
        <v>45016</v>
      </c>
      <c r="W128" s="153" t="s">
        <v>115</v>
      </c>
      <c r="X128" s="153" t="s">
        <v>115</v>
      </c>
      <c r="Y128" s="153" t="n">
        <v>0</v>
      </c>
      <c r="Z128" s="153" t="n">
        <v>0</v>
      </c>
      <c r="AA128" s="153" t="s">
        <v>643</v>
      </c>
      <c r="AB128" s="153" t="s">
        <v>644</v>
      </c>
      <c r="AC128" s="153" t="s">
        <v>92</v>
      </c>
      <c r="AD128" s="153" t="s">
        <v>542</v>
      </c>
      <c r="AE128" s="153" t="s">
        <v>645</v>
      </c>
      <c r="AF128" s="153"/>
      <c r="AG128" s="153" t="s">
        <v>645</v>
      </c>
      <c r="AH128" s="153" t="s">
        <v>501</v>
      </c>
    </row>
    <row r="129" customFormat="false" ht="15" hidden="false" customHeight="false" outlineLevel="0" collapsed="false">
      <c r="A129" s="153" t="s">
        <v>60</v>
      </c>
      <c r="B129" s="154" t="s">
        <v>35</v>
      </c>
      <c r="C129" s="153" t="s">
        <v>648</v>
      </c>
      <c r="D129" s="153" t="s">
        <v>649</v>
      </c>
      <c r="E129" s="153" t="s">
        <v>233</v>
      </c>
      <c r="F129" s="90" t="s">
        <v>234</v>
      </c>
      <c r="G129" s="153" t="s">
        <v>629</v>
      </c>
      <c r="H129" s="155" t="n">
        <f aca="false">IFERROR(INDEX(Schedule!$E$2:$E$147,MATCH($G129,Schedule!$A$2:$A$147,0)),"")</f>
        <v>45017</v>
      </c>
      <c r="I129" s="155" t="n">
        <f aca="false">IFERROR(INDEX(Schedule!$F$2:$F$147,MATCH($G129,Schedule!$A$2:$A$147,0)),"")</f>
        <v>45138</v>
      </c>
      <c r="J129" s="92"/>
      <c r="K129" s="92"/>
      <c r="L129" s="92"/>
      <c r="M129" s="92"/>
      <c r="N129" s="92"/>
      <c r="O129" s="90" t="n">
        <v>1</v>
      </c>
      <c r="P129" s="156" t="n">
        <f aca="false">IFERROR((IF(OR(ISNUMBER(J129),UPPER(TRIM(J129))="N/A"),1,0)*IF($W129="N",0,INDEX('Rules of Credit'!$B$5:$F$8,MATCH($F129,'Rules of Credit'!$A$5:$A$8,0),1))+IF(OR(ISNUMBER(K129),UPPER(TRIM(K129))="N/A"),1,0)*INDEX('Rules of Credit'!$B$5:$F$8,MATCH($F129,'Rules of Credit'!$A$5:$A$8,0),2)+IF(OR(ISNUMBER(L129),UPPER(TRIM(L129))="N/A"),1,0)*INDEX('Rules of Credit'!$B$5:$F$8,MATCH($F129,'Rules of Credit'!$A$5:$A$8,0),3)+IF(OR(ISNUMBER(M129),UPPER(TRIM(M129))="N/A"),1,0)*IF($X129="N",0,INDEX('Rules of Credit'!$B$5:$F$8,MATCH($F129,'Rules of Credit'!$A$5:$A$8,0),4))+IF(OR(ISNUMBER(N129),UPPER(TRIM(N129))="N/A"),1,0)*INDEX('Rules of Credit'!$B$5:$F$8,MATCH($F129,'Rules of Credit'!$A$5:$A$8,0),5))/(IF($W129="N",0,INDEX('Rules of Credit'!$B$5:$F$8,MATCH($F129,'Rules of Credit'!$A$5:$A$8,0),1))+INDEX('Rules of Credit'!$B$5:$F$8,MATCH($F129,'Rules of Credit'!$A$5:$A$8,0),2)+INDEX('Rules of Credit'!$B$5:$F$8,MATCH($F129,'Rules of Credit'!$A$5:$A$8,0),3)+IF($X129="N",0,INDEX('Rules of Credit'!$B$5:$F$8,MATCH($F129,'Rules of Credit'!$A$5:$A$8,0),4))+INDEX('Rules of Credit'!$B$5:$F$8,MATCH($F129,'Rules of Credit'!$A$5:$A$8,0),5)),0)</f>
        <v>0</v>
      </c>
      <c r="Q129" s="156" t="n">
        <f aca="false">IF(OR($H129="",$I129=""),0,IF('Tracker Summary'!$C$3&lt;$H129,0,IF('Tracker Summary'!$C$3&gt;=$I129,1,('Tracker Summary'!$C$3-$H129)/($I129-$H129+1))))</f>
        <v>0</v>
      </c>
      <c r="R129" s="156" t="n">
        <f aca="false">P129-Q129</f>
        <v>0</v>
      </c>
      <c r="S129" s="153" t="str">
        <f aca="false">IF($I129="","Not scheduled",IF(P129&gt;=1,"Complete",IF('Tracker Summary'!$C$3&gt;$I129,"Overdue",IF(P129-Q129&lt;-0.1,"Behind",IF(AND(P129=0,'Tracker Summary'!$C$3&lt;$H129),"Not started","On track")))))</f>
        <v>Not started</v>
      </c>
      <c r="T129" s="90"/>
      <c r="U129" s="153" t="str">
        <f aca="false">IFERROR(INDEX(Schedule!$D$2:$D$147,MATCH($G129,Schedule!$A$2:$A$147,0)),"")</f>
        <v>HVAC &amp; Ventilation — Blower Building</v>
      </c>
      <c r="V129" s="155" t="n">
        <f aca="false">IFERROR(INDEX(Schedule!$F$2:$F$147,MATCH("23-P01",Schedule!$A$2:$A$147,0)),"")</f>
        <v>45016</v>
      </c>
      <c r="W129" s="153" t="s">
        <v>115</v>
      </c>
      <c r="X129" s="153" t="s">
        <v>115</v>
      </c>
      <c r="Y129" s="153" t="n">
        <v>0</v>
      </c>
      <c r="Z129" s="153" t="n">
        <v>0</v>
      </c>
      <c r="AA129" s="153" t="s">
        <v>650</v>
      </c>
      <c r="AB129" s="153" t="s">
        <v>651</v>
      </c>
      <c r="AC129" s="153" t="s">
        <v>92</v>
      </c>
      <c r="AD129" s="153" t="s">
        <v>542</v>
      </c>
      <c r="AE129" s="153" t="s">
        <v>652</v>
      </c>
      <c r="AF129" s="153"/>
      <c r="AG129" s="153" t="s">
        <v>652</v>
      </c>
      <c r="AH129" s="153" t="s">
        <v>501</v>
      </c>
    </row>
    <row r="130" customFormat="false" ht="15" hidden="false" customHeight="false" outlineLevel="0" collapsed="false">
      <c r="A130" s="153" t="s">
        <v>60</v>
      </c>
      <c r="B130" s="154" t="s">
        <v>35</v>
      </c>
      <c r="C130" s="153" t="s">
        <v>653</v>
      </c>
      <c r="D130" s="153" t="s">
        <v>654</v>
      </c>
      <c r="E130" s="153" t="s">
        <v>233</v>
      </c>
      <c r="F130" s="90" t="s">
        <v>234</v>
      </c>
      <c r="G130" s="153" t="s">
        <v>629</v>
      </c>
      <c r="H130" s="155" t="n">
        <f aca="false">IFERROR(INDEX(Schedule!$E$2:$E$147,MATCH($G130,Schedule!$A$2:$A$147,0)),"")</f>
        <v>45017</v>
      </c>
      <c r="I130" s="155" t="n">
        <f aca="false">IFERROR(INDEX(Schedule!$F$2:$F$147,MATCH($G130,Schedule!$A$2:$A$147,0)),"")</f>
        <v>45138</v>
      </c>
      <c r="J130" s="92"/>
      <c r="K130" s="92"/>
      <c r="L130" s="92"/>
      <c r="M130" s="92"/>
      <c r="N130" s="92"/>
      <c r="O130" s="90" t="n">
        <v>1</v>
      </c>
      <c r="P130" s="156" t="n">
        <f aca="false">IFERROR((IF(OR(ISNUMBER(J130),UPPER(TRIM(J130))="N/A"),1,0)*IF($W130="N",0,INDEX('Rules of Credit'!$B$5:$F$8,MATCH($F130,'Rules of Credit'!$A$5:$A$8,0),1))+IF(OR(ISNUMBER(K130),UPPER(TRIM(K130))="N/A"),1,0)*INDEX('Rules of Credit'!$B$5:$F$8,MATCH($F130,'Rules of Credit'!$A$5:$A$8,0),2)+IF(OR(ISNUMBER(L130),UPPER(TRIM(L130))="N/A"),1,0)*INDEX('Rules of Credit'!$B$5:$F$8,MATCH($F130,'Rules of Credit'!$A$5:$A$8,0),3)+IF(OR(ISNUMBER(M130),UPPER(TRIM(M130))="N/A"),1,0)*IF($X130="N",0,INDEX('Rules of Credit'!$B$5:$F$8,MATCH($F130,'Rules of Credit'!$A$5:$A$8,0),4))+IF(OR(ISNUMBER(N130),UPPER(TRIM(N130))="N/A"),1,0)*INDEX('Rules of Credit'!$B$5:$F$8,MATCH($F130,'Rules of Credit'!$A$5:$A$8,0),5))/(IF($W130="N",0,INDEX('Rules of Credit'!$B$5:$F$8,MATCH($F130,'Rules of Credit'!$A$5:$A$8,0),1))+INDEX('Rules of Credit'!$B$5:$F$8,MATCH($F130,'Rules of Credit'!$A$5:$A$8,0),2)+INDEX('Rules of Credit'!$B$5:$F$8,MATCH($F130,'Rules of Credit'!$A$5:$A$8,0),3)+IF($X130="N",0,INDEX('Rules of Credit'!$B$5:$F$8,MATCH($F130,'Rules of Credit'!$A$5:$A$8,0),4))+INDEX('Rules of Credit'!$B$5:$F$8,MATCH($F130,'Rules of Credit'!$A$5:$A$8,0),5)),0)</f>
        <v>0</v>
      </c>
      <c r="Q130" s="156" t="n">
        <f aca="false">IF(OR($H130="",$I130=""),0,IF('Tracker Summary'!$C$3&lt;$H130,0,IF('Tracker Summary'!$C$3&gt;=$I130,1,('Tracker Summary'!$C$3-$H130)/($I130-$H130+1))))</f>
        <v>0</v>
      </c>
      <c r="R130" s="156" t="n">
        <f aca="false">P130-Q130</f>
        <v>0</v>
      </c>
      <c r="S130" s="153" t="str">
        <f aca="false">IF($I130="","Not scheduled",IF(P130&gt;=1,"Complete",IF('Tracker Summary'!$C$3&gt;$I130,"Overdue",IF(P130-Q130&lt;-0.1,"Behind",IF(AND(P130=0,'Tracker Summary'!$C$3&lt;$H130),"Not started","On track")))))</f>
        <v>Not started</v>
      </c>
      <c r="T130" s="90"/>
      <c r="U130" s="153" t="str">
        <f aca="false">IFERROR(INDEX(Schedule!$D$2:$D$147,MATCH($G130,Schedule!$A$2:$A$147,0)),"")</f>
        <v>HVAC &amp; Ventilation — Blower Building</v>
      </c>
      <c r="V130" s="155" t="n">
        <f aca="false">IFERROR(INDEX(Schedule!$F$2:$F$147,MATCH("23-P01",Schedule!$A$2:$A$147,0)),"")</f>
        <v>45016</v>
      </c>
      <c r="W130" s="153" t="s">
        <v>115</v>
      </c>
      <c r="X130" s="153" t="s">
        <v>115</v>
      </c>
      <c r="Y130" s="153" t="n">
        <v>0</v>
      </c>
      <c r="Z130" s="153" t="n">
        <v>0</v>
      </c>
      <c r="AA130" s="153" t="s">
        <v>655</v>
      </c>
      <c r="AB130" s="153" t="s">
        <v>640</v>
      </c>
      <c r="AC130" s="153" t="s">
        <v>92</v>
      </c>
      <c r="AD130" s="153" t="s">
        <v>236</v>
      </c>
      <c r="AE130" s="153" t="s">
        <v>652</v>
      </c>
      <c r="AF130" s="153"/>
      <c r="AG130" s="153" t="s">
        <v>652</v>
      </c>
      <c r="AH130" s="153" t="s">
        <v>501</v>
      </c>
    </row>
    <row r="131" customFormat="false" ht="15" hidden="false" customHeight="false" outlineLevel="0" collapsed="false">
      <c r="A131" s="153" t="s">
        <v>60</v>
      </c>
      <c r="B131" s="154" t="s">
        <v>35</v>
      </c>
      <c r="C131" s="153" t="s">
        <v>656</v>
      </c>
      <c r="D131" s="153" t="s">
        <v>657</v>
      </c>
      <c r="E131" s="153" t="s">
        <v>233</v>
      </c>
      <c r="F131" s="90" t="s">
        <v>234</v>
      </c>
      <c r="G131" s="153" t="s">
        <v>629</v>
      </c>
      <c r="H131" s="155" t="n">
        <f aca="false">IFERROR(INDEX(Schedule!$E$2:$E$147,MATCH($G131,Schedule!$A$2:$A$147,0)),"")</f>
        <v>45017</v>
      </c>
      <c r="I131" s="155" t="n">
        <f aca="false">IFERROR(INDEX(Schedule!$F$2:$F$147,MATCH($G131,Schedule!$A$2:$A$147,0)),"")</f>
        <v>45138</v>
      </c>
      <c r="J131" s="92"/>
      <c r="K131" s="92"/>
      <c r="L131" s="92"/>
      <c r="M131" s="92"/>
      <c r="N131" s="92"/>
      <c r="O131" s="90" t="n">
        <v>1</v>
      </c>
      <c r="P131" s="156" t="n">
        <f aca="false">IFERROR((IF(OR(ISNUMBER(J131),UPPER(TRIM(J131))="N/A"),1,0)*IF($W131="N",0,INDEX('Rules of Credit'!$B$5:$F$8,MATCH($F131,'Rules of Credit'!$A$5:$A$8,0),1))+IF(OR(ISNUMBER(K131),UPPER(TRIM(K131))="N/A"),1,0)*INDEX('Rules of Credit'!$B$5:$F$8,MATCH($F131,'Rules of Credit'!$A$5:$A$8,0),2)+IF(OR(ISNUMBER(L131),UPPER(TRIM(L131))="N/A"),1,0)*INDEX('Rules of Credit'!$B$5:$F$8,MATCH($F131,'Rules of Credit'!$A$5:$A$8,0),3)+IF(OR(ISNUMBER(M131),UPPER(TRIM(M131))="N/A"),1,0)*IF($X131="N",0,INDEX('Rules of Credit'!$B$5:$F$8,MATCH($F131,'Rules of Credit'!$A$5:$A$8,0),4))+IF(OR(ISNUMBER(N131),UPPER(TRIM(N131))="N/A"),1,0)*INDEX('Rules of Credit'!$B$5:$F$8,MATCH($F131,'Rules of Credit'!$A$5:$A$8,0),5))/(IF($W131="N",0,INDEX('Rules of Credit'!$B$5:$F$8,MATCH($F131,'Rules of Credit'!$A$5:$A$8,0),1))+INDEX('Rules of Credit'!$B$5:$F$8,MATCH($F131,'Rules of Credit'!$A$5:$A$8,0),2)+INDEX('Rules of Credit'!$B$5:$F$8,MATCH($F131,'Rules of Credit'!$A$5:$A$8,0),3)+IF($X131="N",0,INDEX('Rules of Credit'!$B$5:$F$8,MATCH($F131,'Rules of Credit'!$A$5:$A$8,0),4))+INDEX('Rules of Credit'!$B$5:$F$8,MATCH($F131,'Rules of Credit'!$A$5:$A$8,0),5)),0)</f>
        <v>0</v>
      </c>
      <c r="Q131" s="156" t="n">
        <f aca="false">IF(OR($H131="",$I131=""),0,IF('Tracker Summary'!$C$3&lt;$H131,0,IF('Tracker Summary'!$C$3&gt;=$I131,1,('Tracker Summary'!$C$3-$H131)/($I131-$H131+1))))</f>
        <v>0</v>
      </c>
      <c r="R131" s="156" t="n">
        <f aca="false">P131-Q131</f>
        <v>0</v>
      </c>
      <c r="S131" s="153" t="str">
        <f aca="false">IF($I131="","Not scheduled",IF(P131&gt;=1,"Complete",IF('Tracker Summary'!$C$3&gt;$I131,"Overdue",IF(P131-Q131&lt;-0.1,"Behind",IF(AND(P131=0,'Tracker Summary'!$C$3&lt;$H131),"Not started","On track")))))</f>
        <v>Not started</v>
      </c>
      <c r="T131" s="90"/>
      <c r="U131" s="153" t="str">
        <f aca="false">IFERROR(INDEX(Schedule!$D$2:$D$147,MATCH($G131,Schedule!$A$2:$A$147,0)),"")</f>
        <v>HVAC &amp; Ventilation — Blower Building</v>
      </c>
      <c r="V131" s="155" t="n">
        <f aca="false">IFERROR(INDEX(Schedule!$F$2:$F$147,MATCH("23-P01",Schedule!$A$2:$A$147,0)),"")</f>
        <v>45016</v>
      </c>
      <c r="W131" s="153" t="s">
        <v>115</v>
      </c>
      <c r="X131" s="153" t="s">
        <v>115</v>
      </c>
      <c r="Y131" s="153" t="n">
        <v>0</v>
      </c>
      <c r="Z131" s="153" t="n">
        <v>0</v>
      </c>
      <c r="AA131" s="153" t="s">
        <v>658</v>
      </c>
      <c r="AB131" s="153" t="s">
        <v>659</v>
      </c>
      <c r="AC131" s="153" t="s">
        <v>92</v>
      </c>
      <c r="AD131" s="153" t="s">
        <v>236</v>
      </c>
      <c r="AE131" s="153" t="s">
        <v>428</v>
      </c>
      <c r="AF131" s="153"/>
      <c r="AG131" s="153" t="s">
        <v>428</v>
      </c>
      <c r="AH131" s="153" t="s">
        <v>240</v>
      </c>
    </row>
    <row r="132" customFormat="false" ht="15" hidden="false" customHeight="false" outlineLevel="0" collapsed="false">
      <c r="A132" s="153" t="s">
        <v>60</v>
      </c>
      <c r="B132" s="154" t="s">
        <v>35</v>
      </c>
      <c r="C132" s="153" t="s">
        <v>660</v>
      </c>
      <c r="D132" s="153" t="s">
        <v>661</v>
      </c>
      <c r="E132" s="153" t="s">
        <v>233</v>
      </c>
      <c r="F132" s="90" t="s">
        <v>234</v>
      </c>
      <c r="G132" s="153" t="s">
        <v>629</v>
      </c>
      <c r="H132" s="155" t="n">
        <f aca="false">IFERROR(INDEX(Schedule!$E$2:$E$147,MATCH($G132,Schedule!$A$2:$A$147,0)),"")</f>
        <v>45017</v>
      </c>
      <c r="I132" s="155" t="n">
        <f aca="false">IFERROR(INDEX(Schedule!$F$2:$F$147,MATCH($G132,Schedule!$A$2:$A$147,0)),"")</f>
        <v>45138</v>
      </c>
      <c r="J132" s="92"/>
      <c r="K132" s="92"/>
      <c r="L132" s="92"/>
      <c r="M132" s="92"/>
      <c r="N132" s="92"/>
      <c r="O132" s="90" t="n">
        <v>1</v>
      </c>
      <c r="P132" s="156" t="n">
        <f aca="false">IFERROR((IF(OR(ISNUMBER(J132),UPPER(TRIM(J132))="N/A"),1,0)*IF($W132="N",0,INDEX('Rules of Credit'!$B$5:$F$8,MATCH($F132,'Rules of Credit'!$A$5:$A$8,0),1))+IF(OR(ISNUMBER(K132),UPPER(TRIM(K132))="N/A"),1,0)*INDEX('Rules of Credit'!$B$5:$F$8,MATCH($F132,'Rules of Credit'!$A$5:$A$8,0),2)+IF(OR(ISNUMBER(L132),UPPER(TRIM(L132))="N/A"),1,0)*INDEX('Rules of Credit'!$B$5:$F$8,MATCH($F132,'Rules of Credit'!$A$5:$A$8,0),3)+IF(OR(ISNUMBER(M132),UPPER(TRIM(M132))="N/A"),1,0)*IF($X132="N",0,INDEX('Rules of Credit'!$B$5:$F$8,MATCH($F132,'Rules of Credit'!$A$5:$A$8,0),4))+IF(OR(ISNUMBER(N132),UPPER(TRIM(N132))="N/A"),1,0)*INDEX('Rules of Credit'!$B$5:$F$8,MATCH($F132,'Rules of Credit'!$A$5:$A$8,0),5))/(IF($W132="N",0,INDEX('Rules of Credit'!$B$5:$F$8,MATCH($F132,'Rules of Credit'!$A$5:$A$8,0),1))+INDEX('Rules of Credit'!$B$5:$F$8,MATCH($F132,'Rules of Credit'!$A$5:$A$8,0),2)+INDEX('Rules of Credit'!$B$5:$F$8,MATCH($F132,'Rules of Credit'!$A$5:$A$8,0),3)+IF($X132="N",0,INDEX('Rules of Credit'!$B$5:$F$8,MATCH($F132,'Rules of Credit'!$A$5:$A$8,0),4))+INDEX('Rules of Credit'!$B$5:$F$8,MATCH($F132,'Rules of Credit'!$A$5:$A$8,0),5)),0)</f>
        <v>0</v>
      </c>
      <c r="Q132" s="156" t="n">
        <f aca="false">IF(OR($H132="",$I132=""),0,IF('Tracker Summary'!$C$3&lt;$H132,0,IF('Tracker Summary'!$C$3&gt;=$I132,1,('Tracker Summary'!$C$3-$H132)/($I132-$H132+1))))</f>
        <v>0</v>
      </c>
      <c r="R132" s="156" t="n">
        <f aca="false">P132-Q132</f>
        <v>0</v>
      </c>
      <c r="S132" s="153" t="str">
        <f aca="false">IF($I132="","Not scheduled",IF(P132&gt;=1,"Complete",IF('Tracker Summary'!$C$3&gt;$I132,"Overdue",IF(P132-Q132&lt;-0.1,"Behind",IF(AND(P132=0,'Tracker Summary'!$C$3&lt;$H132),"Not started","On track")))))</f>
        <v>Not started</v>
      </c>
      <c r="T132" s="90"/>
      <c r="U132" s="153" t="str">
        <f aca="false">IFERROR(INDEX(Schedule!$D$2:$D$147,MATCH($G132,Schedule!$A$2:$A$147,0)),"")</f>
        <v>HVAC &amp; Ventilation — Blower Building</v>
      </c>
      <c r="V132" s="155" t="n">
        <f aca="false">IFERROR(INDEX(Schedule!$F$2:$F$147,MATCH("23-P01",Schedule!$A$2:$A$147,0)),"")</f>
        <v>45016</v>
      </c>
      <c r="W132" s="153" t="s">
        <v>115</v>
      </c>
      <c r="X132" s="153" t="s">
        <v>115</v>
      </c>
      <c r="Y132" s="153" t="n">
        <v>0</v>
      </c>
      <c r="Z132" s="153" t="n">
        <v>0</v>
      </c>
      <c r="AA132" s="153" t="s">
        <v>662</v>
      </c>
      <c r="AB132" s="153" t="s">
        <v>663</v>
      </c>
      <c r="AC132" s="153" t="s">
        <v>92</v>
      </c>
      <c r="AD132" s="153" t="s">
        <v>236</v>
      </c>
      <c r="AE132" s="153" t="s">
        <v>428</v>
      </c>
      <c r="AF132" s="153"/>
      <c r="AG132" s="153" t="s">
        <v>428</v>
      </c>
      <c r="AH132" s="153" t="s">
        <v>240</v>
      </c>
    </row>
    <row r="133" customFormat="false" ht="15" hidden="false" customHeight="false" outlineLevel="0" collapsed="false">
      <c r="A133" s="153" t="s">
        <v>60</v>
      </c>
      <c r="B133" s="154" t="s">
        <v>35</v>
      </c>
      <c r="C133" s="153" t="s">
        <v>664</v>
      </c>
      <c r="D133" s="153" t="s">
        <v>665</v>
      </c>
      <c r="E133" s="153" t="s">
        <v>233</v>
      </c>
      <c r="F133" s="90" t="s">
        <v>234</v>
      </c>
      <c r="G133" s="153" t="s">
        <v>629</v>
      </c>
      <c r="H133" s="155" t="n">
        <f aca="false">IFERROR(INDEX(Schedule!$E$2:$E$147,MATCH($G133,Schedule!$A$2:$A$147,0)),"")</f>
        <v>45017</v>
      </c>
      <c r="I133" s="155" t="n">
        <f aca="false">IFERROR(INDEX(Schedule!$F$2:$F$147,MATCH($G133,Schedule!$A$2:$A$147,0)),"")</f>
        <v>45138</v>
      </c>
      <c r="J133" s="92"/>
      <c r="K133" s="92"/>
      <c r="L133" s="92"/>
      <c r="M133" s="92"/>
      <c r="N133" s="92"/>
      <c r="O133" s="90" t="n">
        <v>1</v>
      </c>
      <c r="P133" s="156" t="n">
        <f aca="false">IFERROR((IF(OR(ISNUMBER(J133),UPPER(TRIM(J133))="N/A"),1,0)*IF($W133="N",0,INDEX('Rules of Credit'!$B$5:$F$8,MATCH($F133,'Rules of Credit'!$A$5:$A$8,0),1))+IF(OR(ISNUMBER(K133),UPPER(TRIM(K133))="N/A"),1,0)*INDEX('Rules of Credit'!$B$5:$F$8,MATCH($F133,'Rules of Credit'!$A$5:$A$8,0),2)+IF(OR(ISNUMBER(L133),UPPER(TRIM(L133))="N/A"),1,0)*INDEX('Rules of Credit'!$B$5:$F$8,MATCH($F133,'Rules of Credit'!$A$5:$A$8,0),3)+IF(OR(ISNUMBER(M133),UPPER(TRIM(M133))="N/A"),1,0)*IF($X133="N",0,INDEX('Rules of Credit'!$B$5:$F$8,MATCH($F133,'Rules of Credit'!$A$5:$A$8,0),4))+IF(OR(ISNUMBER(N133),UPPER(TRIM(N133))="N/A"),1,0)*INDEX('Rules of Credit'!$B$5:$F$8,MATCH($F133,'Rules of Credit'!$A$5:$A$8,0),5))/(IF($W133="N",0,INDEX('Rules of Credit'!$B$5:$F$8,MATCH($F133,'Rules of Credit'!$A$5:$A$8,0),1))+INDEX('Rules of Credit'!$B$5:$F$8,MATCH($F133,'Rules of Credit'!$A$5:$A$8,0),2)+INDEX('Rules of Credit'!$B$5:$F$8,MATCH($F133,'Rules of Credit'!$A$5:$A$8,0),3)+IF($X133="N",0,INDEX('Rules of Credit'!$B$5:$F$8,MATCH($F133,'Rules of Credit'!$A$5:$A$8,0),4))+INDEX('Rules of Credit'!$B$5:$F$8,MATCH($F133,'Rules of Credit'!$A$5:$A$8,0),5)),0)</f>
        <v>0</v>
      </c>
      <c r="Q133" s="156" t="n">
        <f aca="false">IF(OR($H133="",$I133=""),0,IF('Tracker Summary'!$C$3&lt;$H133,0,IF('Tracker Summary'!$C$3&gt;=$I133,1,('Tracker Summary'!$C$3-$H133)/($I133-$H133+1))))</f>
        <v>0</v>
      </c>
      <c r="R133" s="156" t="n">
        <f aca="false">P133-Q133</f>
        <v>0</v>
      </c>
      <c r="S133" s="153" t="str">
        <f aca="false">IF($I133="","Not scheduled",IF(P133&gt;=1,"Complete",IF('Tracker Summary'!$C$3&gt;$I133,"Overdue",IF(P133-Q133&lt;-0.1,"Behind",IF(AND(P133=0,'Tracker Summary'!$C$3&lt;$H133),"Not started","On track")))))</f>
        <v>Not started</v>
      </c>
      <c r="T133" s="90"/>
      <c r="U133" s="153" t="str">
        <f aca="false">IFERROR(INDEX(Schedule!$D$2:$D$147,MATCH($G133,Schedule!$A$2:$A$147,0)),"")</f>
        <v>HVAC &amp; Ventilation — Blower Building</v>
      </c>
      <c r="V133" s="155" t="n">
        <f aca="false">IFERROR(INDEX(Schedule!$F$2:$F$147,MATCH("23-P01",Schedule!$A$2:$A$147,0)),"")</f>
        <v>45016</v>
      </c>
      <c r="W133" s="153" t="s">
        <v>115</v>
      </c>
      <c r="X133" s="153" t="s">
        <v>115</v>
      </c>
      <c r="Y133" s="153" t="n">
        <v>0</v>
      </c>
      <c r="Z133" s="153" t="n">
        <v>0</v>
      </c>
      <c r="AA133" s="153" t="s">
        <v>666</v>
      </c>
      <c r="AB133" s="153" t="s">
        <v>667</v>
      </c>
      <c r="AC133" s="153" t="s">
        <v>92</v>
      </c>
      <c r="AD133" s="153" t="s">
        <v>236</v>
      </c>
      <c r="AE133" s="153" t="s">
        <v>428</v>
      </c>
      <c r="AF133" s="153"/>
      <c r="AG133" s="153" t="s">
        <v>428</v>
      </c>
      <c r="AH133" s="153" t="s">
        <v>240</v>
      </c>
    </row>
    <row r="134" customFormat="false" ht="15" hidden="false" customHeight="false" outlineLevel="0" collapsed="false">
      <c r="A134" s="153" t="s">
        <v>60</v>
      </c>
      <c r="B134" s="154" t="s">
        <v>35</v>
      </c>
      <c r="C134" s="153" t="s">
        <v>668</v>
      </c>
      <c r="D134" s="153" t="s">
        <v>669</v>
      </c>
      <c r="E134" s="153" t="s">
        <v>670</v>
      </c>
      <c r="F134" s="90" t="s">
        <v>234</v>
      </c>
      <c r="G134" s="153" t="s">
        <v>671</v>
      </c>
      <c r="H134" s="155" t="n">
        <f aca="false">IFERROR(INDEX(Schedule!$E$2:$E$147,MATCH($G134,Schedule!$A$2:$A$147,0)),"")</f>
        <v>45017</v>
      </c>
      <c r="I134" s="155" t="n">
        <f aca="false">IFERROR(INDEX(Schedule!$F$2:$F$147,MATCH($G134,Schedule!$A$2:$A$147,0)),"")</f>
        <v>45331</v>
      </c>
      <c r="J134" s="92"/>
      <c r="K134" s="92"/>
      <c r="L134" s="92"/>
      <c r="M134" s="92"/>
      <c r="N134" s="92"/>
      <c r="O134" s="90" t="n">
        <v>1</v>
      </c>
      <c r="P134" s="156" t="n">
        <f aca="false">IFERROR((IF(OR(ISNUMBER(J134),UPPER(TRIM(J134))="N/A"),1,0)*IF($W134="N",0,INDEX('Rules of Credit'!$B$5:$F$8,MATCH($F134,'Rules of Credit'!$A$5:$A$8,0),1))+IF(OR(ISNUMBER(K134),UPPER(TRIM(K134))="N/A"),1,0)*INDEX('Rules of Credit'!$B$5:$F$8,MATCH($F134,'Rules of Credit'!$A$5:$A$8,0),2)+IF(OR(ISNUMBER(L134),UPPER(TRIM(L134))="N/A"),1,0)*INDEX('Rules of Credit'!$B$5:$F$8,MATCH($F134,'Rules of Credit'!$A$5:$A$8,0),3)+IF(OR(ISNUMBER(M134),UPPER(TRIM(M134))="N/A"),1,0)*IF($X134="N",0,INDEX('Rules of Credit'!$B$5:$F$8,MATCH($F134,'Rules of Credit'!$A$5:$A$8,0),4))+IF(OR(ISNUMBER(N134),UPPER(TRIM(N134))="N/A"),1,0)*INDEX('Rules of Credit'!$B$5:$F$8,MATCH($F134,'Rules of Credit'!$A$5:$A$8,0),5))/(IF($W134="N",0,INDEX('Rules of Credit'!$B$5:$F$8,MATCH($F134,'Rules of Credit'!$A$5:$A$8,0),1))+INDEX('Rules of Credit'!$B$5:$F$8,MATCH($F134,'Rules of Credit'!$A$5:$A$8,0),2)+INDEX('Rules of Credit'!$B$5:$F$8,MATCH($F134,'Rules of Credit'!$A$5:$A$8,0),3)+IF($X134="N",0,INDEX('Rules of Credit'!$B$5:$F$8,MATCH($F134,'Rules of Credit'!$A$5:$A$8,0),4))+INDEX('Rules of Credit'!$B$5:$F$8,MATCH($F134,'Rules of Credit'!$A$5:$A$8,0),5)),0)</f>
        <v>0</v>
      </c>
      <c r="Q134" s="156" t="n">
        <f aca="false">IF(OR($H134="",$I134=""),0,IF('Tracker Summary'!$C$3&lt;$H134,0,IF('Tracker Summary'!$C$3&gt;=$I134,1,('Tracker Summary'!$C$3-$H134)/($I134-$H134+1))))</f>
        <v>0</v>
      </c>
      <c r="R134" s="156" t="n">
        <f aca="false">P134-Q134</f>
        <v>0</v>
      </c>
      <c r="S134" s="153" t="str">
        <f aca="false">IF($I134="","Not scheduled",IF(P134&gt;=1,"Complete",IF('Tracker Summary'!$C$3&gt;$I134,"Overdue",IF(P134-Q134&lt;-0.1,"Behind",IF(AND(P134=0,'Tracker Summary'!$C$3&lt;$H134),"Not started","On track")))))</f>
        <v>Not started</v>
      </c>
      <c r="T134" s="90"/>
      <c r="U134" s="153" t="str">
        <f aca="false">IFERROR(INDEX(Schedule!$D$2:$D$147,MATCH($G134,Schedule!$A$2:$A$147,0)),"")</f>
        <v>HVAC &amp; Ventilation — Existing dewatering / treatment building</v>
      </c>
      <c r="V134" s="155" t="n">
        <f aca="false">IFERROR(INDEX(Schedule!$F$2:$F$147,MATCH("23-P01",Schedule!$A$2:$A$147,0)),"")</f>
        <v>45016</v>
      </c>
      <c r="W134" s="153" t="s">
        <v>91</v>
      </c>
      <c r="X134" s="153" t="s">
        <v>91</v>
      </c>
      <c r="Y134" s="153" t="n">
        <v>0</v>
      </c>
      <c r="Z134" s="153" t="n">
        <v>0</v>
      </c>
      <c r="AA134" s="153" t="s">
        <v>672</v>
      </c>
      <c r="AB134" s="153" t="s">
        <v>673</v>
      </c>
      <c r="AC134" s="153" t="s">
        <v>120</v>
      </c>
      <c r="AD134" s="153" t="s">
        <v>93</v>
      </c>
      <c r="AE134" s="153"/>
      <c r="AF134" s="153" t="s">
        <v>632</v>
      </c>
      <c r="AG134" s="153" t="s">
        <v>632</v>
      </c>
      <c r="AH134" s="153" t="s">
        <v>213</v>
      </c>
    </row>
    <row r="135" customFormat="false" ht="15" hidden="false" customHeight="false" outlineLevel="0" collapsed="false">
      <c r="A135" s="153" t="s">
        <v>60</v>
      </c>
      <c r="B135" s="154" t="s">
        <v>35</v>
      </c>
      <c r="C135" s="153" t="s">
        <v>674</v>
      </c>
      <c r="D135" s="153" t="s">
        <v>675</v>
      </c>
      <c r="E135" s="153" t="s">
        <v>670</v>
      </c>
      <c r="F135" s="90" t="s">
        <v>234</v>
      </c>
      <c r="G135" s="153" t="s">
        <v>671</v>
      </c>
      <c r="H135" s="155" t="n">
        <f aca="false">IFERROR(INDEX(Schedule!$E$2:$E$147,MATCH($G135,Schedule!$A$2:$A$147,0)),"")</f>
        <v>45017</v>
      </c>
      <c r="I135" s="155" t="n">
        <f aca="false">IFERROR(INDEX(Schedule!$F$2:$F$147,MATCH($G135,Schedule!$A$2:$A$147,0)),"")</f>
        <v>45331</v>
      </c>
      <c r="J135" s="92"/>
      <c r="K135" s="92"/>
      <c r="L135" s="92"/>
      <c r="M135" s="92"/>
      <c r="N135" s="92"/>
      <c r="O135" s="90" t="n">
        <v>1</v>
      </c>
      <c r="P135" s="156" t="n">
        <f aca="false">IFERROR((IF(OR(ISNUMBER(J135),UPPER(TRIM(J135))="N/A"),1,0)*IF($W135="N",0,INDEX('Rules of Credit'!$B$5:$F$8,MATCH($F135,'Rules of Credit'!$A$5:$A$8,0),1))+IF(OR(ISNUMBER(K135),UPPER(TRIM(K135))="N/A"),1,0)*INDEX('Rules of Credit'!$B$5:$F$8,MATCH($F135,'Rules of Credit'!$A$5:$A$8,0),2)+IF(OR(ISNUMBER(L135),UPPER(TRIM(L135))="N/A"),1,0)*INDEX('Rules of Credit'!$B$5:$F$8,MATCH($F135,'Rules of Credit'!$A$5:$A$8,0),3)+IF(OR(ISNUMBER(M135),UPPER(TRIM(M135))="N/A"),1,0)*IF($X135="N",0,INDEX('Rules of Credit'!$B$5:$F$8,MATCH($F135,'Rules of Credit'!$A$5:$A$8,0),4))+IF(OR(ISNUMBER(N135),UPPER(TRIM(N135))="N/A"),1,0)*INDEX('Rules of Credit'!$B$5:$F$8,MATCH($F135,'Rules of Credit'!$A$5:$A$8,0),5))/(IF($W135="N",0,INDEX('Rules of Credit'!$B$5:$F$8,MATCH($F135,'Rules of Credit'!$A$5:$A$8,0),1))+INDEX('Rules of Credit'!$B$5:$F$8,MATCH($F135,'Rules of Credit'!$A$5:$A$8,0),2)+INDEX('Rules of Credit'!$B$5:$F$8,MATCH($F135,'Rules of Credit'!$A$5:$A$8,0),3)+IF($X135="N",0,INDEX('Rules of Credit'!$B$5:$F$8,MATCH($F135,'Rules of Credit'!$A$5:$A$8,0),4))+INDEX('Rules of Credit'!$B$5:$F$8,MATCH($F135,'Rules of Credit'!$A$5:$A$8,0),5)),0)</f>
        <v>0</v>
      </c>
      <c r="Q135" s="156" t="n">
        <f aca="false">IF(OR($H135="",$I135=""),0,IF('Tracker Summary'!$C$3&lt;$H135,0,IF('Tracker Summary'!$C$3&gt;=$I135,1,('Tracker Summary'!$C$3-$H135)/($I135-$H135+1))))</f>
        <v>0</v>
      </c>
      <c r="R135" s="156" t="n">
        <f aca="false">P135-Q135</f>
        <v>0</v>
      </c>
      <c r="S135" s="153" t="str">
        <f aca="false">IF($I135="","Not scheduled",IF(P135&gt;=1,"Complete",IF('Tracker Summary'!$C$3&gt;$I135,"Overdue",IF(P135-Q135&lt;-0.1,"Behind",IF(AND(P135=0,'Tracker Summary'!$C$3&lt;$H135),"Not started","On track")))))</f>
        <v>Not started</v>
      </c>
      <c r="T135" s="90"/>
      <c r="U135" s="153" t="str">
        <f aca="false">IFERROR(INDEX(Schedule!$D$2:$D$147,MATCH($G135,Schedule!$A$2:$A$147,0)),"")</f>
        <v>HVAC &amp; Ventilation — Existing dewatering / treatment building</v>
      </c>
      <c r="V135" s="155" t="n">
        <f aca="false">IFERROR(INDEX(Schedule!$F$2:$F$147,MATCH("23-P01",Schedule!$A$2:$A$147,0)),"")</f>
        <v>45016</v>
      </c>
      <c r="W135" s="153" t="s">
        <v>91</v>
      </c>
      <c r="X135" s="153" t="s">
        <v>91</v>
      </c>
      <c r="Y135" s="153" t="n">
        <v>0</v>
      </c>
      <c r="Z135" s="153" t="n">
        <v>0</v>
      </c>
      <c r="AA135" s="153" t="s">
        <v>676</v>
      </c>
      <c r="AB135" s="153" t="s">
        <v>677</v>
      </c>
      <c r="AC135" s="153" t="s">
        <v>92</v>
      </c>
      <c r="AD135" s="153" t="s">
        <v>93</v>
      </c>
      <c r="AE135" s="153"/>
      <c r="AF135" s="153" t="s">
        <v>632</v>
      </c>
      <c r="AG135" s="153" t="s">
        <v>632</v>
      </c>
      <c r="AH135" s="153" t="s">
        <v>213</v>
      </c>
    </row>
    <row r="136" customFormat="false" ht="15" hidden="false" customHeight="false" outlineLevel="0" collapsed="false">
      <c r="A136" s="153" t="s">
        <v>60</v>
      </c>
      <c r="B136" s="154" t="s">
        <v>35</v>
      </c>
      <c r="C136" s="153" t="s">
        <v>678</v>
      </c>
      <c r="D136" s="153" t="s">
        <v>679</v>
      </c>
      <c r="E136" s="153" t="s">
        <v>537</v>
      </c>
      <c r="F136" s="90" t="s">
        <v>234</v>
      </c>
      <c r="G136" s="153" t="s">
        <v>671</v>
      </c>
      <c r="H136" s="155" t="n">
        <f aca="false">IFERROR(INDEX(Schedule!$E$2:$E$147,MATCH($G136,Schedule!$A$2:$A$147,0)),"")</f>
        <v>45017</v>
      </c>
      <c r="I136" s="155" t="n">
        <f aca="false">IFERROR(INDEX(Schedule!$F$2:$F$147,MATCH($G136,Schedule!$A$2:$A$147,0)),"")</f>
        <v>45331</v>
      </c>
      <c r="J136" s="92"/>
      <c r="K136" s="92"/>
      <c r="L136" s="92"/>
      <c r="M136" s="92"/>
      <c r="N136" s="92"/>
      <c r="O136" s="90" t="n">
        <v>1</v>
      </c>
      <c r="P136" s="156" t="n">
        <f aca="false">IFERROR((IF(OR(ISNUMBER(J136),UPPER(TRIM(J136))="N/A"),1,0)*IF($W136="N",0,INDEX('Rules of Credit'!$B$5:$F$8,MATCH($F136,'Rules of Credit'!$A$5:$A$8,0),1))+IF(OR(ISNUMBER(K136),UPPER(TRIM(K136))="N/A"),1,0)*INDEX('Rules of Credit'!$B$5:$F$8,MATCH($F136,'Rules of Credit'!$A$5:$A$8,0),2)+IF(OR(ISNUMBER(L136),UPPER(TRIM(L136))="N/A"),1,0)*INDEX('Rules of Credit'!$B$5:$F$8,MATCH($F136,'Rules of Credit'!$A$5:$A$8,0),3)+IF(OR(ISNUMBER(M136),UPPER(TRIM(M136))="N/A"),1,0)*IF($X136="N",0,INDEX('Rules of Credit'!$B$5:$F$8,MATCH($F136,'Rules of Credit'!$A$5:$A$8,0),4))+IF(OR(ISNUMBER(N136),UPPER(TRIM(N136))="N/A"),1,0)*INDEX('Rules of Credit'!$B$5:$F$8,MATCH($F136,'Rules of Credit'!$A$5:$A$8,0),5))/(IF($W136="N",0,INDEX('Rules of Credit'!$B$5:$F$8,MATCH($F136,'Rules of Credit'!$A$5:$A$8,0),1))+INDEX('Rules of Credit'!$B$5:$F$8,MATCH($F136,'Rules of Credit'!$A$5:$A$8,0),2)+INDEX('Rules of Credit'!$B$5:$F$8,MATCH($F136,'Rules of Credit'!$A$5:$A$8,0),3)+IF($X136="N",0,INDEX('Rules of Credit'!$B$5:$F$8,MATCH($F136,'Rules of Credit'!$A$5:$A$8,0),4))+INDEX('Rules of Credit'!$B$5:$F$8,MATCH($F136,'Rules of Credit'!$A$5:$A$8,0),5)),0)</f>
        <v>0</v>
      </c>
      <c r="Q136" s="156" t="n">
        <f aca="false">IF(OR($H136="",$I136=""),0,IF('Tracker Summary'!$C$3&lt;$H136,0,IF('Tracker Summary'!$C$3&gt;=$I136,1,('Tracker Summary'!$C$3-$H136)/($I136-$H136+1))))</f>
        <v>0</v>
      </c>
      <c r="R136" s="156" t="n">
        <f aca="false">P136-Q136</f>
        <v>0</v>
      </c>
      <c r="S136" s="153" t="str">
        <f aca="false">IF($I136="","Not scheduled",IF(P136&gt;=1,"Complete",IF('Tracker Summary'!$C$3&gt;$I136,"Overdue",IF(P136-Q136&lt;-0.1,"Behind",IF(AND(P136=0,'Tracker Summary'!$C$3&lt;$H136),"Not started","On track")))))</f>
        <v>Not started</v>
      </c>
      <c r="T136" s="90"/>
      <c r="U136" s="153" t="str">
        <f aca="false">IFERROR(INDEX(Schedule!$D$2:$D$147,MATCH($G136,Schedule!$A$2:$A$147,0)),"")</f>
        <v>HVAC &amp; Ventilation — Existing dewatering / treatment building</v>
      </c>
      <c r="V136" s="155" t="n">
        <f aca="false">IFERROR(INDEX(Schedule!$F$2:$F$147,MATCH("23-P01",Schedule!$A$2:$A$147,0)),"")</f>
        <v>45016</v>
      </c>
      <c r="W136" s="153" t="s">
        <v>115</v>
      </c>
      <c r="X136" s="153" t="s">
        <v>115</v>
      </c>
      <c r="Y136" s="153" t="n">
        <v>0</v>
      </c>
      <c r="Z136" s="153" t="n">
        <v>0</v>
      </c>
      <c r="AA136" s="153" t="s">
        <v>680</v>
      </c>
      <c r="AB136" s="153" t="s">
        <v>681</v>
      </c>
      <c r="AC136" s="153" t="s">
        <v>92</v>
      </c>
      <c r="AD136" s="153" t="s">
        <v>542</v>
      </c>
      <c r="AE136" s="153" t="s">
        <v>682</v>
      </c>
      <c r="AF136" s="153"/>
      <c r="AG136" s="153" t="s">
        <v>682</v>
      </c>
      <c r="AH136" s="153" t="s">
        <v>501</v>
      </c>
    </row>
    <row r="137" customFormat="false" ht="15" hidden="false" customHeight="false" outlineLevel="0" collapsed="false">
      <c r="A137" s="153" t="s">
        <v>60</v>
      </c>
      <c r="B137" s="154" t="s">
        <v>35</v>
      </c>
      <c r="C137" s="153" t="s">
        <v>683</v>
      </c>
      <c r="D137" s="153" t="s">
        <v>684</v>
      </c>
      <c r="E137" s="153" t="s">
        <v>537</v>
      </c>
      <c r="F137" s="90" t="s">
        <v>234</v>
      </c>
      <c r="G137" s="153" t="s">
        <v>671</v>
      </c>
      <c r="H137" s="155" t="n">
        <f aca="false">IFERROR(INDEX(Schedule!$E$2:$E$147,MATCH($G137,Schedule!$A$2:$A$147,0)),"")</f>
        <v>45017</v>
      </c>
      <c r="I137" s="155" t="n">
        <f aca="false">IFERROR(INDEX(Schedule!$F$2:$F$147,MATCH($G137,Schedule!$A$2:$A$147,0)),"")</f>
        <v>45331</v>
      </c>
      <c r="J137" s="92"/>
      <c r="K137" s="92"/>
      <c r="L137" s="92"/>
      <c r="M137" s="92"/>
      <c r="N137" s="92"/>
      <c r="O137" s="90" t="n">
        <v>1</v>
      </c>
      <c r="P137" s="156" t="n">
        <f aca="false">IFERROR((IF(OR(ISNUMBER(J137),UPPER(TRIM(J137))="N/A"),1,0)*IF($W137="N",0,INDEX('Rules of Credit'!$B$5:$F$8,MATCH($F137,'Rules of Credit'!$A$5:$A$8,0),1))+IF(OR(ISNUMBER(K137),UPPER(TRIM(K137))="N/A"),1,0)*INDEX('Rules of Credit'!$B$5:$F$8,MATCH($F137,'Rules of Credit'!$A$5:$A$8,0),2)+IF(OR(ISNUMBER(L137),UPPER(TRIM(L137))="N/A"),1,0)*INDEX('Rules of Credit'!$B$5:$F$8,MATCH($F137,'Rules of Credit'!$A$5:$A$8,0),3)+IF(OR(ISNUMBER(M137),UPPER(TRIM(M137))="N/A"),1,0)*IF($X137="N",0,INDEX('Rules of Credit'!$B$5:$F$8,MATCH($F137,'Rules of Credit'!$A$5:$A$8,0),4))+IF(OR(ISNUMBER(N137),UPPER(TRIM(N137))="N/A"),1,0)*INDEX('Rules of Credit'!$B$5:$F$8,MATCH($F137,'Rules of Credit'!$A$5:$A$8,0),5))/(IF($W137="N",0,INDEX('Rules of Credit'!$B$5:$F$8,MATCH($F137,'Rules of Credit'!$A$5:$A$8,0),1))+INDEX('Rules of Credit'!$B$5:$F$8,MATCH($F137,'Rules of Credit'!$A$5:$A$8,0),2)+INDEX('Rules of Credit'!$B$5:$F$8,MATCH($F137,'Rules of Credit'!$A$5:$A$8,0),3)+IF($X137="N",0,INDEX('Rules of Credit'!$B$5:$F$8,MATCH($F137,'Rules of Credit'!$A$5:$A$8,0),4))+INDEX('Rules of Credit'!$B$5:$F$8,MATCH($F137,'Rules of Credit'!$A$5:$A$8,0),5)),0)</f>
        <v>0</v>
      </c>
      <c r="Q137" s="156" t="n">
        <f aca="false">IF(OR($H137="",$I137=""),0,IF('Tracker Summary'!$C$3&lt;$H137,0,IF('Tracker Summary'!$C$3&gt;=$I137,1,('Tracker Summary'!$C$3-$H137)/($I137-$H137+1))))</f>
        <v>0</v>
      </c>
      <c r="R137" s="156" t="n">
        <f aca="false">P137-Q137</f>
        <v>0</v>
      </c>
      <c r="S137" s="153" t="str">
        <f aca="false">IF($I137="","Not scheduled",IF(P137&gt;=1,"Complete",IF('Tracker Summary'!$C$3&gt;$I137,"Overdue",IF(P137-Q137&lt;-0.1,"Behind",IF(AND(P137=0,'Tracker Summary'!$C$3&lt;$H137),"Not started","On track")))))</f>
        <v>Not started</v>
      </c>
      <c r="T137" s="90"/>
      <c r="U137" s="153" t="str">
        <f aca="false">IFERROR(INDEX(Schedule!$D$2:$D$147,MATCH($G137,Schedule!$A$2:$A$147,0)),"")</f>
        <v>HVAC &amp; Ventilation — Existing dewatering / treatment building</v>
      </c>
      <c r="V137" s="155" t="n">
        <f aca="false">IFERROR(INDEX(Schedule!$F$2:$F$147,MATCH("23-P01",Schedule!$A$2:$A$147,0)),"")</f>
        <v>45016</v>
      </c>
      <c r="W137" s="153" t="s">
        <v>115</v>
      </c>
      <c r="X137" s="153" t="s">
        <v>115</v>
      </c>
      <c r="Y137" s="153" t="n">
        <v>0</v>
      </c>
      <c r="Z137" s="153" t="n">
        <v>0</v>
      </c>
      <c r="AA137" s="153" t="s">
        <v>680</v>
      </c>
      <c r="AB137" s="153" t="s">
        <v>685</v>
      </c>
      <c r="AC137" s="153" t="s">
        <v>92</v>
      </c>
      <c r="AD137" s="153" t="s">
        <v>542</v>
      </c>
      <c r="AE137" s="153" t="s">
        <v>682</v>
      </c>
      <c r="AF137" s="153"/>
      <c r="AG137" s="153" t="s">
        <v>682</v>
      </c>
      <c r="AH137" s="153" t="s">
        <v>501</v>
      </c>
    </row>
    <row r="138" customFormat="false" ht="15" hidden="false" customHeight="false" outlineLevel="0" collapsed="false">
      <c r="A138" s="153" t="s">
        <v>60</v>
      </c>
      <c r="B138" s="154" t="s">
        <v>35</v>
      </c>
      <c r="C138" s="153" t="s">
        <v>686</v>
      </c>
      <c r="D138" s="153" t="s">
        <v>687</v>
      </c>
      <c r="E138" s="153" t="s">
        <v>537</v>
      </c>
      <c r="F138" s="90" t="s">
        <v>234</v>
      </c>
      <c r="G138" s="153" t="s">
        <v>671</v>
      </c>
      <c r="H138" s="155" t="n">
        <f aca="false">IFERROR(INDEX(Schedule!$E$2:$E$147,MATCH($G138,Schedule!$A$2:$A$147,0)),"")</f>
        <v>45017</v>
      </c>
      <c r="I138" s="155" t="n">
        <f aca="false">IFERROR(INDEX(Schedule!$F$2:$F$147,MATCH($G138,Schedule!$A$2:$A$147,0)),"")</f>
        <v>45331</v>
      </c>
      <c r="J138" s="92"/>
      <c r="K138" s="92"/>
      <c r="L138" s="92"/>
      <c r="M138" s="92"/>
      <c r="N138" s="92"/>
      <c r="O138" s="90" t="n">
        <v>1</v>
      </c>
      <c r="P138" s="156" t="n">
        <f aca="false">IFERROR((IF(OR(ISNUMBER(J138),UPPER(TRIM(J138))="N/A"),1,0)*IF($W138="N",0,INDEX('Rules of Credit'!$B$5:$F$8,MATCH($F138,'Rules of Credit'!$A$5:$A$8,0),1))+IF(OR(ISNUMBER(K138),UPPER(TRIM(K138))="N/A"),1,0)*INDEX('Rules of Credit'!$B$5:$F$8,MATCH($F138,'Rules of Credit'!$A$5:$A$8,0),2)+IF(OR(ISNUMBER(L138),UPPER(TRIM(L138))="N/A"),1,0)*INDEX('Rules of Credit'!$B$5:$F$8,MATCH($F138,'Rules of Credit'!$A$5:$A$8,0),3)+IF(OR(ISNUMBER(M138),UPPER(TRIM(M138))="N/A"),1,0)*IF($X138="N",0,INDEX('Rules of Credit'!$B$5:$F$8,MATCH($F138,'Rules of Credit'!$A$5:$A$8,0),4))+IF(OR(ISNUMBER(N138),UPPER(TRIM(N138))="N/A"),1,0)*INDEX('Rules of Credit'!$B$5:$F$8,MATCH($F138,'Rules of Credit'!$A$5:$A$8,0),5))/(IF($W138="N",0,INDEX('Rules of Credit'!$B$5:$F$8,MATCH($F138,'Rules of Credit'!$A$5:$A$8,0),1))+INDEX('Rules of Credit'!$B$5:$F$8,MATCH($F138,'Rules of Credit'!$A$5:$A$8,0),2)+INDEX('Rules of Credit'!$B$5:$F$8,MATCH($F138,'Rules of Credit'!$A$5:$A$8,0),3)+IF($X138="N",0,INDEX('Rules of Credit'!$B$5:$F$8,MATCH($F138,'Rules of Credit'!$A$5:$A$8,0),4))+INDEX('Rules of Credit'!$B$5:$F$8,MATCH($F138,'Rules of Credit'!$A$5:$A$8,0),5)),0)</f>
        <v>0</v>
      </c>
      <c r="Q138" s="156" t="n">
        <f aca="false">IF(OR($H138="",$I138=""),0,IF('Tracker Summary'!$C$3&lt;$H138,0,IF('Tracker Summary'!$C$3&gt;=$I138,1,('Tracker Summary'!$C$3-$H138)/($I138-$H138+1))))</f>
        <v>0</v>
      </c>
      <c r="R138" s="156" t="n">
        <f aca="false">P138-Q138</f>
        <v>0</v>
      </c>
      <c r="S138" s="153" t="str">
        <f aca="false">IF($I138="","Not scheduled",IF(P138&gt;=1,"Complete",IF('Tracker Summary'!$C$3&gt;$I138,"Overdue",IF(P138-Q138&lt;-0.1,"Behind",IF(AND(P138=0,'Tracker Summary'!$C$3&lt;$H138),"Not started","On track")))))</f>
        <v>Not started</v>
      </c>
      <c r="T138" s="90"/>
      <c r="U138" s="153" t="str">
        <f aca="false">IFERROR(INDEX(Schedule!$D$2:$D$147,MATCH($G138,Schedule!$A$2:$A$147,0)),"")</f>
        <v>HVAC &amp; Ventilation — Existing dewatering / treatment building</v>
      </c>
      <c r="V138" s="155" t="n">
        <f aca="false">IFERROR(INDEX(Schedule!$F$2:$F$147,MATCH("23-P01",Schedule!$A$2:$A$147,0)),"")</f>
        <v>45016</v>
      </c>
      <c r="W138" s="153" t="s">
        <v>115</v>
      </c>
      <c r="X138" s="153" t="s">
        <v>115</v>
      </c>
      <c r="Y138" s="153" t="n">
        <v>0</v>
      </c>
      <c r="Z138" s="153" t="n">
        <v>0</v>
      </c>
      <c r="AA138" s="153" t="s">
        <v>680</v>
      </c>
      <c r="AB138" s="153" t="s">
        <v>688</v>
      </c>
      <c r="AC138" s="153" t="s">
        <v>92</v>
      </c>
      <c r="AD138" s="153" t="s">
        <v>542</v>
      </c>
      <c r="AE138" s="153" t="s">
        <v>682</v>
      </c>
      <c r="AF138" s="153"/>
      <c r="AG138" s="153" t="s">
        <v>682</v>
      </c>
      <c r="AH138" s="153" t="s">
        <v>501</v>
      </c>
    </row>
    <row r="139" customFormat="false" ht="15" hidden="false" customHeight="false" outlineLevel="0" collapsed="false">
      <c r="A139" s="157" t="s">
        <v>85</v>
      </c>
      <c r="B139" s="157" t="s">
        <v>37</v>
      </c>
      <c r="C139" s="157" t="s">
        <v>38</v>
      </c>
      <c r="D139" s="157" t="str">
        <f aca="false">COUNTIF(A140:A242,"Item")&amp;" items · "&amp;COUNTIF(S140:S242,"Overdue")&amp;" overdue · "&amp;COUNTIF(S140:S242,"Complete")&amp;" complete"</f>
        <v>103 items · 0 overdue · 0 complete</v>
      </c>
      <c r="E139" s="157"/>
      <c r="F139" s="157"/>
      <c r="G139" s="157"/>
      <c r="H139" s="158" t="n">
        <f aca="false">MIN(H140:H242)</f>
        <v>45000</v>
      </c>
      <c r="I139" s="158" t="n">
        <f aca="false">MAX(I140:I242)</f>
        <v>45581</v>
      </c>
      <c r="J139" s="158"/>
      <c r="K139" s="158"/>
      <c r="L139" s="158"/>
      <c r="M139" s="158"/>
      <c r="N139" s="158"/>
      <c r="O139" s="157" t="n">
        <f aca="false">SUM(O140:O242)</f>
        <v>103</v>
      </c>
      <c r="P139" s="159" t="n">
        <f aca="false">IFERROR(SUMPRODUCT(O140:O242,P140:P242)/SUM(O140:O242),0)</f>
        <v>0</v>
      </c>
      <c r="Q139" s="159" t="n">
        <f aca="false">IFERROR(SUMPRODUCT(O140:O242,Q140:Q242)/SUM(O140:O242),0)</f>
        <v>0</v>
      </c>
      <c r="R139" s="159" t="n">
        <f aca="false">P139-Q139</f>
        <v>0</v>
      </c>
      <c r="S139" s="157"/>
      <c r="T139" s="157"/>
      <c r="U139" s="157"/>
      <c r="V139" s="158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</row>
    <row r="140" customFormat="false" ht="15" hidden="false" customHeight="false" outlineLevel="0" collapsed="false">
      <c r="A140" s="160" t="s">
        <v>60</v>
      </c>
      <c r="B140" s="161" t="s">
        <v>37</v>
      </c>
      <c r="C140" s="160" t="s">
        <v>689</v>
      </c>
      <c r="D140" s="160" t="s">
        <v>690</v>
      </c>
      <c r="E140" s="160" t="s">
        <v>115</v>
      </c>
      <c r="F140" s="90" t="s">
        <v>89</v>
      </c>
      <c r="G140" s="160" t="s">
        <v>691</v>
      </c>
      <c r="H140" s="162" t="n">
        <f aca="false">IFERROR(INDEX(Schedule!$E$2:$E$147,MATCH($G140,Schedule!$A$2:$A$147,0)),"")</f>
        <v>45000</v>
      </c>
      <c r="I140" s="162" t="n">
        <f aca="false">IFERROR(INDEX(Schedule!$F$2:$F$147,MATCH($G140,Schedule!$A$2:$A$147,0)),"")</f>
        <v>45581</v>
      </c>
      <c r="J140" s="92"/>
      <c r="K140" s="92"/>
      <c r="L140" s="92"/>
      <c r="M140" s="92"/>
      <c r="N140" s="92"/>
      <c r="O140" s="90" t="n">
        <v>1</v>
      </c>
      <c r="P140" s="163" t="n">
        <f aca="false">IFERROR((IF(OR(ISNUMBER(J140),UPPER(TRIM(J140))="N/A"),1,0)*IF($W140="N",0,INDEX('Rules of Credit'!$B$5:$F$8,MATCH($F140,'Rules of Credit'!$A$5:$A$8,0),1))+IF(OR(ISNUMBER(K140),UPPER(TRIM(K140))="N/A"),1,0)*INDEX('Rules of Credit'!$B$5:$F$8,MATCH($F140,'Rules of Credit'!$A$5:$A$8,0),2)+IF(OR(ISNUMBER(L140),UPPER(TRIM(L140))="N/A"),1,0)*INDEX('Rules of Credit'!$B$5:$F$8,MATCH($F140,'Rules of Credit'!$A$5:$A$8,0),3)+IF(OR(ISNUMBER(M140),UPPER(TRIM(M140))="N/A"),1,0)*IF($X140="N",0,INDEX('Rules of Credit'!$B$5:$F$8,MATCH($F140,'Rules of Credit'!$A$5:$A$8,0),4))+IF(OR(ISNUMBER(N140),UPPER(TRIM(N140))="N/A"),1,0)*INDEX('Rules of Credit'!$B$5:$F$8,MATCH($F140,'Rules of Credit'!$A$5:$A$8,0),5))/(IF($W140="N",0,INDEX('Rules of Credit'!$B$5:$F$8,MATCH($F140,'Rules of Credit'!$A$5:$A$8,0),1))+INDEX('Rules of Credit'!$B$5:$F$8,MATCH($F140,'Rules of Credit'!$A$5:$A$8,0),2)+INDEX('Rules of Credit'!$B$5:$F$8,MATCH($F140,'Rules of Credit'!$A$5:$A$8,0),3)+IF($X140="N",0,INDEX('Rules of Credit'!$B$5:$F$8,MATCH($F140,'Rules of Credit'!$A$5:$A$8,0),4))+INDEX('Rules of Credit'!$B$5:$F$8,MATCH($F140,'Rules of Credit'!$A$5:$A$8,0),5)),0)</f>
        <v>0</v>
      </c>
      <c r="Q140" s="163" t="n">
        <f aca="false">IF(OR($H140="",$I140=""),0,IF('Tracker Summary'!$C$3&lt;$H140,0,IF('Tracker Summary'!$C$3&gt;=$I140,1,('Tracker Summary'!$C$3-$H140)/($I140-$H140+1))))</f>
        <v>0</v>
      </c>
      <c r="R140" s="163" t="n">
        <f aca="false">P140-Q140</f>
        <v>0</v>
      </c>
      <c r="S140" s="160" t="str">
        <f aca="false">IF($I140="","Not scheduled",IF(P140&gt;=1,"Complete",IF('Tracker Summary'!$C$3&gt;$I140,"Overdue",IF(P140-Q140&lt;-0.1,"Behind",IF(AND(P140=0,'Tracker Summary'!$C$3&lt;$H140),"Not started","On track")))))</f>
        <v>On track</v>
      </c>
      <c r="T140" s="90"/>
      <c r="U140" s="160" t="str">
        <f aca="false">IFERROR(INDEX(Schedule!$D$2:$D$147,MATCH($G140,Schedule!$A$2:$A$147,0)),"")</f>
        <v>Electrical, Instrumentation &amp; Controls — Temporary facilities and controls</v>
      </c>
      <c r="V140" s="162" t="n">
        <f aca="false">IFERROR(INDEX(Schedule!$F$2:$F$147,MATCH("26-P01",Schedule!$A$2:$A$147,0)),"")</f>
        <v>44999</v>
      </c>
      <c r="W140" s="160" t="s">
        <v>91</v>
      </c>
      <c r="X140" s="160" t="s">
        <v>91</v>
      </c>
      <c r="Y140" s="160" t="n">
        <v>0</v>
      </c>
      <c r="Z140" s="160" t="n">
        <v>0</v>
      </c>
      <c r="AA140" s="160" t="s">
        <v>692</v>
      </c>
      <c r="AB140" s="160" t="s">
        <v>693</v>
      </c>
      <c r="AC140" s="160" t="s">
        <v>498</v>
      </c>
      <c r="AD140" s="160" t="s">
        <v>694</v>
      </c>
      <c r="AE140" s="160" t="s">
        <v>695</v>
      </c>
      <c r="AF140" s="160" t="s">
        <v>696</v>
      </c>
      <c r="AG140" s="160" t="s">
        <v>696</v>
      </c>
      <c r="AH140" s="160" t="s">
        <v>501</v>
      </c>
    </row>
    <row r="141" customFormat="false" ht="15" hidden="false" customHeight="false" outlineLevel="0" collapsed="false">
      <c r="A141" s="160" t="s">
        <v>60</v>
      </c>
      <c r="B141" s="161" t="s">
        <v>37</v>
      </c>
      <c r="C141" s="160" t="s">
        <v>697</v>
      </c>
      <c r="D141" s="160" t="s">
        <v>698</v>
      </c>
      <c r="E141" s="160" t="s">
        <v>98</v>
      </c>
      <c r="F141" s="90" t="s">
        <v>89</v>
      </c>
      <c r="G141" s="160" t="s">
        <v>691</v>
      </c>
      <c r="H141" s="162" t="n">
        <f aca="false">IFERROR(INDEX(Schedule!$E$2:$E$147,MATCH($G141,Schedule!$A$2:$A$147,0)),"")</f>
        <v>45000</v>
      </c>
      <c r="I141" s="162" t="n">
        <f aca="false">IFERROR(INDEX(Schedule!$F$2:$F$147,MATCH($G141,Schedule!$A$2:$A$147,0)),"")</f>
        <v>45581</v>
      </c>
      <c r="J141" s="92"/>
      <c r="K141" s="92"/>
      <c r="L141" s="92"/>
      <c r="M141" s="92"/>
      <c r="N141" s="92"/>
      <c r="O141" s="90" t="n">
        <v>1</v>
      </c>
      <c r="P141" s="163" t="n">
        <f aca="false">IFERROR((IF(OR(ISNUMBER(J141),UPPER(TRIM(J141))="N/A"),1,0)*IF($W141="N",0,INDEX('Rules of Credit'!$B$5:$F$8,MATCH($F141,'Rules of Credit'!$A$5:$A$8,0),1))+IF(OR(ISNUMBER(K141),UPPER(TRIM(K141))="N/A"),1,0)*INDEX('Rules of Credit'!$B$5:$F$8,MATCH($F141,'Rules of Credit'!$A$5:$A$8,0),2)+IF(OR(ISNUMBER(L141),UPPER(TRIM(L141))="N/A"),1,0)*INDEX('Rules of Credit'!$B$5:$F$8,MATCH($F141,'Rules of Credit'!$A$5:$A$8,0),3)+IF(OR(ISNUMBER(M141),UPPER(TRIM(M141))="N/A"),1,0)*IF($X141="N",0,INDEX('Rules of Credit'!$B$5:$F$8,MATCH($F141,'Rules of Credit'!$A$5:$A$8,0),4))+IF(OR(ISNUMBER(N141),UPPER(TRIM(N141))="N/A"),1,0)*INDEX('Rules of Credit'!$B$5:$F$8,MATCH($F141,'Rules of Credit'!$A$5:$A$8,0),5))/(IF($W141="N",0,INDEX('Rules of Credit'!$B$5:$F$8,MATCH($F141,'Rules of Credit'!$A$5:$A$8,0),1))+INDEX('Rules of Credit'!$B$5:$F$8,MATCH($F141,'Rules of Credit'!$A$5:$A$8,0),2)+INDEX('Rules of Credit'!$B$5:$F$8,MATCH($F141,'Rules of Credit'!$A$5:$A$8,0),3)+IF($X141="N",0,INDEX('Rules of Credit'!$B$5:$F$8,MATCH($F141,'Rules of Credit'!$A$5:$A$8,0),4))+INDEX('Rules of Credit'!$B$5:$F$8,MATCH($F141,'Rules of Credit'!$A$5:$A$8,0),5)),0)</f>
        <v>0</v>
      </c>
      <c r="Q141" s="163" t="n">
        <f aca="false">IF(OR($H141="",$I141=""),0,IF('Tracker Summary'!$C$3&lt;$H141,0,IF('Tracker Summary'!$C$3&gt;=$I141,1,('Tracker Summary'!$C$3-$H141)/($I141-$H141+1))))</f>
        <v>0</v>
      </c>
      <c r="R141" s="163" t="n">
        <f aca="false">P141-Q141</f>
        <v>0</v>
      </c>
      <c r="S141" s="160" t="str">
        <f aca="false">IF($I141="","Not scheduled",IF(P141&gt;=1,"Complete",IF('Tracker Summary'!$C$3&gt;$I141,"Overdue",IF(P141-Q141&lt;-0.1,"Behind",IF(AND(P141=0,'Tracker Summary'!$C$3&lt;$H141),"Not started","On track")))))</f>
        <v>On track</v>
      </c>
      <c r="T141" s="90"/>
      <c r="U141" s="160" t="str">
        <f aca="false">IFERROR(INDEX(Schedule!$D$2:$D$147,MATCH($G141,Schedule!$A$2:$A$147,0)),"")</f>
        <v>Electrical, Instrumentation &amp; Controls — Temporary facilities and controls</v>
      </c>
      <c r="V141" s="162" t="n">
        <f aca="false">IFERROR(INDEX(Schedule!$F$2:$F$147,MATCH("26-P01",Schedule!$A$2:$A$147,0)),"")</f>
        <v>44999</v>
      </c>
      <c r="W141" s="160" t="s">
        <v>91</v>
      </c>
      <c r="X141" s="160" t="s">
        <v>91</v>
      </c>
      <c r="Y141" s="160" t="n">
        <v>0</v>
      </c>
      <c r="Z141" s="160" t="n">
        <v>0</v>
      </c>
      <c r="AA141" s="160" t="s">
        <v>699</v>
      </c>
      <c r="AB141" s="160" t="s">
        <v>693</v>
      </c>
      <c r="AC141" s="160" t="s">
        <v>120</v>
      </c>
      <c r="AD141" s="160" t="s">
        <v>93</v>
      </c>
      <c r="AE141" s="160"/>
      <c r="AF141" s="160" t="s">
        <v>125</v>
      </c>
      <c r="AG141" s="160" t="s">
        <v>125</v>
      </c>
      <c r="AH141" s="160" t="s">
        <v>109</v>
      </c>
    </row>
    <row r="142" customFormat="false" ht="15" hidden="false" customHeight="false" outlineLevel="0" collapsed="false">
      <c r="A142" s="160" t="s">
        <v>60</v>
      </c>
      <c r="B142" s="161" t="s">
        <v>37</v>
      </c>
      <c r="C142" s="160" t="s">
        <v>700</v>
      </c>
      <c r="D142" s="160" t="s">
        <v>701</v>
      </c>
      <c r="E142" s="160" t="s">
        <v>233</v>
      </c>
      <c r="F142" s="90" t="s">
        <v>234</v>
      </c>
      <c r="G142" s="160" t="s">
        <v>702</v>
      </c>
      <c r="H142" s="162" t="n">
        <f aca="false">IFERROR(INDEX(Schedule!$E$2:$E$147,MATCH($G142,Schedule!$A$2:$A$147,0)),"")</f>
        <v>45017</v>
      </c>
      <c r="I142" s="162" t="n">
        <f aca="false">IFERROR(INDEX(Schedule!$F$2:$F$147,MATCH($G142,Schedule!$A$2:$A$147,0)),"")</f>
        <v>45138</v>
      </c>
      <c r="J142" s="92"/>
      <c r="K142" s="92"/>
      <c r="L142" s="92"/>
      <c r="M142" s="92"/>
      <c r="N142" s="92"/>
      <c r="O142" s="90" t="n">
        <v>1</v>
      </c>
      <c r="P142" s="163" t="n">
        <f aca="false">IFERROR((IF(OR(ISNUMBER(J142),UPPER(TRIM(J142))="N/A"),1,0)*IF($W142="N",0,INDEX('Rules of Credit'!$B$5:$F$8,MATCH($F142,'Rules of Credit'!$A$5:$A$8,0),1))+IF(OR(ISNUMBER(K142),UPPER(TRIM(K142))="N/A"),1,0)*INDEX('Rules of Credit'!$B$5:$F$8,MATCH($F142,'Rules of Credit'!$A$5:$A$8,0),2)+IF(OR(ISNUMBER(L142),UPPER(TRIM(L142))="N/A"),1,0)*INDEX('Rules of Credit'!$B$5:$F$8,MATCH($F142,'Rules of Credit'!$A$5:$A$8,0),3)+IF(OR(ISNUMBER(M142),UPPER(TRIM(M142))="N/A"),1,0)*IF($X142="N",0,INDEX('Rules of Credit'!$B$5:$F$8,MATCH($F142,'Rules of Credit'!$A$5:$A$8,0),4))+IF(OR(ISNUMBER(N142),UPPER(TRIM(N142))="N/A"),1,0)*INDEX('Rules of Credit'!$B$5:$F$8,MATCH($F142,'Rules of Credit'!$A$5:$A$8,0),5))/(IF($W142="N",0,INDEX('Rules of Credit'!$B$5:$F$8,MATCH($F142,'Rules of Credit'!$A$5:$A$8,0),1))+INDEX('Rules of Credit'!$B$5:$F$8,MATCH($F142,'Rules of Credit'!$A$5:$A$8,0),2)+INDEX('Rules of Credit'!$B$5:$F$8,MATCH($F142,'Rules of Credit'!$A$5:$A$8,0),3)+IF($X142="N",0,INDEX('Rules of Credit'!$B$5:$F$8,MATCH($F142,'Rules of Credit'!$A$5:$A$8,0),4))+INDEX('Rules of Credit'!$B$5:$F$8,MATCH($F142,'Rules of Credit'!$A$5:$A$8,0),5)),0)</f>
        <v>0</v>
      </c>
      <c r="Q142" s="163" t="n">
        <f aca="false">IF(OR($H142="",$I142=""),0,IF('Tracker Summary'!$C$3&lt;$H142,0,IF('Tracker Summary'!$C$3&gt;=$I142,1,('Tracker Summary'!$C$3-$H142)/($I142-$H142+1))))</f>
        <v>0</v>
      </c>
      <c r="R142" s="163" t="n">
        <f aca="false">P142-Q142</f>
        <v>0</v>
      </c>
      <c r="S142" s="160" t="str">
        <f aca="false">IF($I142="","Not scheduled",IF(P142&gt;=1,"Complete",IF('Tracker Summary'!$C$3&gt;$I142,"Overdue",IF(P142-Q142&lt;-0.1,"Behind",IF(AND(P142=0,'Tracker Summary'!$C$3&lt;$H142),"Not started","On track")))))</f>
        <v>Not started</v>
      </c>
      <c r="T142" s="90"/>
      <c r="U142" s="160" t="str">
        <f aca="false">IFERROR(INDEX(Schedule!$D$2:$D$147,MATCH($G142,Schedule!$A$2:$A$147,0)),"")</f>
        <v>Electrical, Instrumentation &amp; Controls — Blower Building</v>
      </c>
      <c r="V142" s="162" t="n">
        <f aca="false">IFERROR(INDEX(Schedule!$F$2:$F$147,MATCH("26-P01",Schedule!$A$2:$A$147,0)),"")</f>
        <v>44999</v>
      </c>
      <c r="W142" s="160" t="s">
        <v>99</v>
      </c>
      <c r="X142" s="160" t="s">
        <v>99</v>
      </c>
      <c r="Y142" s="160" t="n">
        <v>5</v>
      </c>
      <c r="Z142" s="160" t="n">
        <v>2</v>
      </c>
      <c r="AA142" s="160" t="s">
        <v>703</v>
      </c>
      <c r="AB142" s="160" t="s">
        <v>704</v>
      </c>
      <c r="AC142" s="160" t="s">
        <v>92</v>
      </c>
      <c r="AD142" s="160" t="s">
        <v>705</v>
      </c>
      <c r="AE142" s="160" t="s">
        <v>706</v>
      </c>
      <c r="AF142" s="160" t="s">
        <v>707</v>
      </c>
      <c r="AG142" s="160" t="s">
        <v>708</v>
      </c>
      <c r="AH142" s="160" t="s">
        <v>709</v>
      </c>
    </row>
    <row r="143" customFormat="false" ht="15" hidden="false" customHeight="false" outlineLevel="0" collapsed="false">
      <c r="A143" s="160" t="s">
        <v>60</v>
      </c>
      <c r="B143" s="161" t="s">
        <v>37</v>
      </c>
      <c r="C143" s="160" t="s">
        <v>710</v>
      </c>
      <c r="D143" s="160" t="s">
        <v>711</v>
      </c>
      <c r="E143" s="160" t="s">
        <v>233</v>
      </c>
      <c r="F143" s="90" t="s">
        <v>234</v>
      </c>
      <c r="G143" s="160" t="s">
        <v>702</v>
      </c>
      <c r="H143" s="162" t="n">
        <f aca="false">IFERROR(INDEX(Schedule!$E$2:$E$147,MATCH($G143,Schedule!$A$2:$A$147,0)),"")</f>
        <v>45017</v>
      </c>
      <c r="I143" s="162" t="n">
        <f aca="false">IFERROR(INDEX(Schedule!$F$2:$F$147,MATCH($G143,Schedule!$A$2:$A$147,0)),"")</f>
        <v>45138</v>
      </c>
      <c r="J143" s="92"/>
      <c r="K143" s="92"/>
      <c r="L143" s="92"/>
      <c r="M143" s="92"/>
      <c r="N143" s="92"/>
      <c r="O143" s="90" t="n">
        <v>1</v>
      </c>
      <c r="P143" s="163" t="n">
        <f aca="false">IFERROR((IF(OR(ISNUMBER(J143),UPPER(TRIM(J143))="N/A"),1,0)*IF($W143="N",0,INDEX('Rules of Credit'!$B$5:$F$8,MATCH($F143,'Rules of Credit'!$A$5:$A$8,0),1))+IF(OR(ISNUMBER(K143),UPPER(TRIM(K143))="N/A"),1,0)*INDEX('Rules of Credit'!$B$5:$F$8,MATCH($F143,'Rules of Credit'!$A$5:$A$8,0),2)+IF(OR(ISNUMBER(L143),UPPER(TRIM(L143))="N/A"),1,0)*INDEX('Rules of Credit'!$B$5:$F$8,MATCH($F143,'Rules of Credit'!$A$5:$A$8,0),3)+IF(OR(ISNUMBER(M143),UPPER(TRIM(M143))="N/A"),1,0)*IF($X143="N",0,INDEX('Rules of Credit'!$B$5:$F$8,MATCH($F143,'Rules of Credit'!$A$5:$A$8,0),4))+IF(OR(ISNUMBER(N143),UPPER(TRIM(N143))="N/A"),1,0)*INDEX('Rules of Credit'!$B$5:$F$8,MATCH($F143,'Rules of Credit'!$A$5:$A$8,0),5))/(IF($W143="N",0,INDEX('Rules of Credit'!$B$5:$F$8,MATCH($F143,'Rules of Credit'!$A$5:$A$8,0),1))+INDEX('Rules of Credit'!$B$5:$F$8,MATCH($F143,'Rules of Credit'!$A$5:$A$8,0),2)+INDEX('Rules of Credit'!$B$5:$F$8,MATCH($F143,'Rules of Credit'!$A$5:$A$8,0),3)+IF($X143="N",0,INDEX('Rules of Credit'!$B$5:$F$8,MATCH($F143,'Rules of Credit'!$A$5:$A$8,0),4))+INDEX('Rules of Credit'!$B$5:$F$8,MATCH($F143,'Rules of Credit'!$A$5:$A$8,0),5)),0)</f>
        <v>0</v>
      </c>
      <c r="Q143" s="163" t="n">
        <f aca="false">IF(OR($H143="",$I143=""),0,IF('Tracker Summary'!$C$3&lt;$H143,0,IF('Tracker Summary'!$C$3&gt;=$I143,1,('Tracker Summary'!$C$3-$H143)/($I143-$H143+1))))</f>
        <v>0</v>
      </c>
      <c r="R143" s="163" t="n">
        <f aca="false">P143-Q143</f>
        <v>0</v>
      </c>
      <c r="S143" s="160" t="str">
        <f aca="false">IF($I143="","Not scheduled",IF(P143&gt;=1,"Complete",IF('Tracker Summary'!$C$3&gt;$I143,"Overdue",IF(P143-Q143&lt;-0.1,"Behind",IF(AND(P143=0,'Tracker Summary'!$C$3&lt;$H143),"Not started","On track")))))</f>
        <v>Not started</v>
      </c>
      <c r="T143" s="90"/>
      <c r="U143" s="160" t="str">
        <f aca="false">IFERROR(INDEX(Schedule!$D$2:$D$147,MATCH($G143,Schedule!$A$2:$A$147,0)),"")</f>
        <v>Electrical, Instrumentation &amp; Controls — Blower Building</v>
      </c>
      <c r="V143" s="162" t="n">
        <f aca="false">IFERROR(INDEX(Schedule!$F$2:$F$147,MATCH("26-P01",Schedule!$A$2:$A$147,0)),"")</f>
        <v>44999</v>
      </c>
      <c r="W143" s="160" t="s">
        <v>99</v>
      </c>
      <c r="X143" s="160" t="s">
        <v>99</v>
      </c>
      <c r="Y143" s="160" t="n">
        <v>4</v>
      </c>
      <c r="Z143" s="160" t="n">
        <v>2</v>
      </c>
      <c r="AA143" s="160" t="s">
        <v>712</v>
      </c>
      <c r="AB143" s="160" t="s">
        <v>713</v>
      </c>
      <c r="AC143" s="160" t="s">
        <v>120</v>
      </c>
      <c r="AD143" s="160" t="s">
        <v>705</v>
      </c>
      <c r="AE143" s="160" t="s">
        <v>714</v>
      </c>
      <c r="AF143" s="160" t="s">
        <v>715</v>
      </c>
      <c r="AG143" s="160" t="s">
        <v>716</v>
      </c>
      <c r="AH143" s="160" t="s">
        <v>709</v>
      </c>
    </row>
    <row r="144" customFormat="false" ht="15" hidden="false" customHeight="false" outlineLevel="0" collapsed="false">
      <c r="A144" s="160" t="s">
        <v>60</v>
      </c>
      <c r="B144" s="161" t="s">
        <v>37</v>
      </c>
      <c r="C144" s="160" t="s">
        <v>717</v>
      </c>
      <c r="D144" s="160" t="s">
        <v>718</v>
      </c>
      <c r="E144" s="160" t="s">
        <v>233</v>
      </c>
      <c r="F144" s="90" t="s">
        <v>234</v>
      </c>
      <c r="G144" s="160" t="s">
        <v>702</v>
      </c>
      <c r="H144" s="162" t="n">
        <f aca="false">IFERROR(INDEX(Schedule!$E$2:$E$147,MATCH($G144,Schedule!$A$2:$A$147,0)),"")</f>
        <v>45017</v>
      </c>
      <c r="I144" s="162" t="n">
        <f aca="false">IFERROR(INDEX(Schedule!$F$2:$F$147,MATCH($G144,Schedule!$A$2:$A$147,0)),"")</f>
        <v>45138</v>
      </c>
      <c r="J144" s="92"/>
      <c r="K144" s="92"/>
      <c r="L144" s="92"/>
      <c r="M144" s="92"/>
      <c r="N144" s="92"/>
      <c r="O144" s="90" t="n">
        <v>1</v>
      </c>
      <c r="P144" s="163" t="n">
        <f aca="false">IFERROR((IF(OR(ISNUMBER(J144),UPPER(TRIM(J144))="N/A"),1,0)*IF($W144="N",0,INDEX('Rules of Credit'!$B$5:$F$8,MATCH($F144,'Rules of Credit'!$A$5:$A$8,0),1))+IF(OR(ISNUMBER(K144),UPPER(TRIM(K144))="N/A"),1,0)*INDEX('Rules of Credit'!$B$5:$F$8,MATCH($F144,'Rules of Credit'!$A$5:$A$8,0),2)+IF(OR(ISNUMBER(L144),UPPER(TRIM(L144))="N/A"),1,0)*INDEX('Rules of Credit'!$B$5:$F$8,MATCH($F144,'Rules of Credit'!$A$5:$A$8,0),3)+IF(OR(ISNUMBER(M144),UPPER(TRIM(M144))="N/A"),1,0)*IF($X144="N",0,INDEX('Rules of Credit'!$B$5:$F$8,MATCH($F144,'Rules of Credit'!$A$5:$A$8,0),4))+IF(OR(ISNUMBER(N144),UPPER(TRIM(N144))="N/A"),1,0)*INDEX('Rules of Credit'!$B$5:$F$8,MATCH($F144,'Rules of Credit'!$A$5:$A$8,0),5))/(IF($W144="N",0,INDEX('Rules of Credit'!$B$5:$F$8,MATCH($F144,'Rules of Credit'!$A$5:$A$8,0),1))+INDEX('Rules of Credit'!$B$5:$F$8,MATCH($F144,'Rules of Credit'!$A$5:$A$8,0),2)+INDEX('Rules of Credit'!$B$5:$F$8,MATCH($F144,'Rules of Credit'!$A$5:$A$8,0),3)+IF($X144="N",0,INDEX('Rules of Credit'!$B$5:$F$8,MATCH($F144,'Rules of Credit'!$A$5:$A$8,0),4))+INDEX('Rules of Credit'!$B$5:$F$8,MATCH($F144,'Rules of Credit'!$A$5:$A$8,0),5)),0)</f>
        <v>0</v>
      </c>
      <c r="Q144" s="163" t="n">
        <f aca="false">IF(OR($H144="",$I144=""),0,IF('Tracker Summary'!$C$3&lt;$H144,0,IF('Tracker Summary'!$C$3&gt;=$I144,1,('Tracker Summary'!$C$3-$H144)/($I144-$H144+1))))</f>
        <v>0</v>
      </c>
      <c r="R144" s="163" t="n">
        <f aca="false">P144-Q144</f>
        <v>0</v>
      </c>
      <c r="S144" s="160" t="str">
        <f aca="false">IF($I144="","Not scheduled",IF(P144&gt;=1,"Complete",IF('Tracker Summary'!$C$3&gt;$I144,"Overdue",IF(P144-Q144&lt;-0.1,"Behind",IF(AND(P144=0,'Tracker Summary'!$C$3&lt;$H144),"Not started","On track")))))</f>
        <v>Not started</v>
      </c>
      <c r="T144" s="90"/>
      <c r="U144" s="160" t="str">
        <f aca="false">IFERROR(INDEX(Schedule!$D$2:$D$147,MATCH($G144,Schedule!$A$2:$A$147,0)),"")</f>
        <v>Electrical, Instrumentation &amp; Controls — Blower Building</v>
      </c>
      <c r="V144" s="162" t="n">
        <f aca="false">IFERROR(INDEX(Schedule!$F$2:$F$147,MATCH("26-P01",Schedule!$A$2:$A$147,0)),"")</f>
        <v>44999</v>
      </c>
      <c r="W144" s="160" t="s">
        <v>99</v>
      </c>
      <c r="X144" s="160" t="s">
        <v>99</v>
      </c>
      <c r="Y144" s="160" t="n">
        <v>3</v>
      </c>
      <c r="Z144" s="160" t="n">
        <v>1</v>
      </c>
      <c r="AA144" s="160"/>
      <c r="AB144" s="160"/>
      <c r="AC144" s="160" t="s">
        <v>92</v>
      </c>
      <c r="AD144" s="160" t="s">
        <v>499</v>
      </c>
      <c r="AE144" s="160" t="s">
        <v>719</v>
      </c>
      <c r="AF144" s="160" t="s">
        <v>720</v>
      </c>
      <c r="AG144" s="160" t="s">
        <v>721</v>
      </c>
      <c r="AH144" s="160" t="s">
        <v>501</v>
      </c>
    </row>
    <row r="145" customFormat="false" ht="15" hidden="false" customHeight="false" outlineLevel="0" collapsed="false">
      <c r="A145" s="160" t="s">
        <v>60</v>
      </c>
      <c r="B145" s="161" t="s">
        <v>37</v>
      </c>
      <c r="C145" s="160" t="s">
        <v>722</v>
      </c>
      <c r="D145" s="160" t="s">
        <v>723</v>
      </c>
      <c r="E145" s="160" t="s">
        <v>233</v>
      </c>
      <c r="F145" s="90" t="s">
        <v>234</v>
      </c>
      <c r="G145" s="160" t="s">
        <v>702</v>
      </c>
      <c r="H145" s="162" t="n">
        <f aca="false">IFERROR(INDEX(Schedule!$E$2:$E$147,MATCH($G145,Schedule!$A$2:$A$147,0)),"")</f>
        <v>45017</v>
      </c>
      <c r="I145" s="162" t="n">
        <f aca="false">IFERROR(INDEX(Schedule!$F$2:$F$147,MATCH($G145,Schedule!$A$2:$A$147,0)),"")</f>
        <v>45138</v>
      </c>
      <c r="J145" s="92"/>
      <c r="K145" s="92"/>
      <c r="L145" s="92"/>
      <c r="M145" s="92"/>
      <c r="N145" s="92"/>
      <c r="O145" s="90" t="n">
        <v>1</v>
      </c>
      <c r="P145" s="163" t="n">
        <f aca="false">IFERROR((IF(OR(ISNUMBER(J145),UPPER(TRIM(J145))="N/A"),1,0)*IF($W145="N",0,INDEX('Rules of Credit'!$B$5:$F$8,MATCH($F145,'Rules of Credit'!$A$5:$A$8,0),1))+IF(OR(ISNUMBER(K145),UPPER(TRIM(K145))="N/A"),1,0)*INDEX('Rules of Credit'!$B$5:$F$8,MATCH($F145,'Rules of Credit'!$A$5:$A$8,0),2)+IF(OR(ISNUMBER(L145),UPPER(TRIM(L145))="N/A"),1,0)*INDEX('Rules of Credit'!$B$5:$F$8,MATCH($F145,'Rules of Credit'!$A$5:$A$8,0),3)+IF(OR(ISNUMBER(M145),UPPER(TRIM(M145))="N/A"),1,0)*IF($X145="N",0,INDEX('Rules of Credit'!$B$5:$F$8,MATCH($F145,'Rules of Credit'!$A$5:$A$8,0),4))+IF(OR(ISNUMBER(N145),UPPER(TRIM(N145))="N/A"),1,0)*INDEX('Rules of Credit'!$B$5:$F$8,MATCH($F145,'Rules of Credit'!$A$5:$A$8,0),5))/(IF($W145="N",0,INDEX('Rules of Credit'!$B$5:$F$8,MATCH($F145,'Rules of Credit'!$A$5:$A$8,0),1))+INDEX('Rules of Credit'!$B$5:$F$8,MATCH($F145,'Rules of Credit'!$A$5:$A$8,0),2)+INDEX('Rules of Credit'!$B$5:$F$8,MATCH($F145,'Rules of Credit'!$A$5:$A$8,0),3)+IF($X145="N",0,INDEX('Rules of Credit'!$B$5:$F$8,MATCH($F145,'Rules of Credit'!$A$5:$A$8,0),4))+INDEX('Rules of Credit'!$B$5:$F$8,MATCH($F145,'Rules of Credit'!$A$5:$A$8,0),5)),0)</f>
        <v>0</v>
      </c>
      <c r="Q145" s="163" t="n">
        <f aca="false">IF(OR($H145="",$I145=""),0,IF('Tracker Summary'!$C$3&lt;$H145,0,IF('Tracker Summary'!$C$3&gt;=$I145,1,('Tracker Summary'!$C$3-$H145)/($I145-$H145+1))))</f>
        <v>0</v>
      </c>
      <c r="R145" s="163" t="n">
        <f aca="false">P145-Q145</f>
        <v>0</v>
      </c>
      <c r="S145" s="160" t="str">
        <f aca="false">IF($I145="","Not scheduled",IF(P145&gt;=1,"Complete",IF('Tracker Summary'!$C$3&gt;$I145,"Overdue",IF(P145-Q145&lt;-0.1,"Behind",IF(AND(P145=0,'Tracker Summary'!$C$3&lt;$H145),"Not started","On track")))))</f>
        <v>Not started</v>
      </c>
      <c r="T145" s="90"/>
      <c r="U145" s="160" t="str">
        <f aca="false">IFERROR(INDEX(Schedule!$D$2:$D$147,MATCH($G145,Schedule!$A$2:$A$147,0)),"")</f>
        <v>Electrical, Instrumentation &amp; Controls — Blower Building</v>
      </c>
      <c r="V145" s="162" t="n">
        <f aca="false">IFERROR(INDEX(Schedule!$F$2:$F$147,MATCH("26-P01",Schedule!$A$2:$A$147,0)),"")</f>
        <v>44999</v>
      </c>
      <c r="W145" s="160" t="s">
        <v>91</v>
      </c>
      <c r="X145" s="160" t="s">
        <v>91</v>
      </c>
      <c r="Y145" s="160" t="n">
        <v>0</v>
      </c>
      <c r="Z145" s="160" t="n">
        <v>0</v>
      </c>
      <c r="AA145" s="160"/>
      <c r="AB145" s="160"/>
      <c r="AC145" s="160" t="s">
        <v>541</v>
      </c>
      <c r="AD145" s="160" t="s">
        <v>499</v>
      </c>
      <c r="AE145" s="160" t="s">
        <v>724</v>
      </c>
      <c r="AF145" s="160" t="s">
        <v>725</v>
      </c>
      <c r="AG145" s="160" t="s">
        <v>726</v>
      </c>
      <c r="AH145" s="160" t="s">
        <v>501</v>
      </c>
    </row>
    <row r="146" customFormat="false" ht="15" hidden="false" customHeight="false" outlineLevel="0" collapsed="false">
      <c r="A146" s="160" t="s">
        <v>60</v>
      </c>
      <c r="B146" s="161" t="s">
        <v>37</v>
      </c>
      <c r="C146" s="160" t="s">
        <v>727</v>
      </c>
      <c r="D146" s="160" t="s">
        <v>728</v>
      </c>
      <c r="E146" s="160" t="s">
        <v>233</v>
      </c>
      <c r="F146" s="90" t="s">
        <v>234</v>
      </c>
      <c r="G146" s="160" t="s">
        <v>702</v>
      </c>
      <c r="H146" s="162" t="n">
        <f aca="false">IFERROR(INDEX(Schedule!$E$2:$E$147,MATCH($G146,Schedule!$A$2:$A$147,0)),"")</f>
        <v>45017</v>
      </c>
      <c r="I146" s="162" t="n">
        <f aca="false">IFERROR(INDEX(Schedule!$F$2:$F$147,MATCH($G146,Schedule!$A$2:$A$147,0)),"")</f>
        <v>45138</v>
      </c>
      <c r="J146" s="92"/>
      <c r="K146" s="92"/>
      <c r="L146" s="92"/>
      <c r="M146" s="92"/>
      <c r="N146" s="92"/>
      <c r="O146" s="90" t="n">
        <v>1</v>
      </c>
      <c r="P146" s="163" t="n">
        <f aca="false">IFERROR((IF(OR(ISNUMBER(J146),UPPER(TRIM(J146))="N/A"),1,0)*IF($W146="N",0,INDEX('Rules of Credit'!$B$5:$F$8,MATCH($F146,'Rules of Credit'!$A$5:$A$8,0),1))+IF(OR(ISNUMBER(K146),UPPER(TRIM(K146))="N/A"),1,0)*INDEX('Rules of Credit'!$B$5:$F$8,MATCH($F146,'Rules of Credit'!$A$5:$A$8,0),2)+IF(OR(ISNUMBER(L146),UPPER(TRIM(L146))="N/A"),1,0)*INDEX('Rules of Credit'!$B$5:$F$8,MATCH($F146,'Rules of Credit'!$A$5:$A$8,0),3)+IF(OR(ISNUMBER(M146),UPPER(TRIM(M146))="N/A"),1,0)*IF($X146="N",0,INDEX('Rules of Credit'!$B$5:$F$8,MATCH($F146,'Rules of Credit'!$A$5:$A$8,0),4))+IF(OR(ISNUMBER(N146),UPPER(TRIM(N146))="N/A"),1,0)*INDEX('Rules of Credit'!$B$5:$F$8,MATCH($F146,'Rules of Credit'!$A$5:$A$8,0),5))/(IF($W146="N",0,INDEX('Rules of Credit'!$B$5:$F$8,MATCH($F146,'Rules of Credit'!$A$5:$A$8,0),1))+INDEX('Rules of Credit'!$B$5:$F$8,MATCH($F146,'Rules of Credit'!$A$5:$A$8,0),2)+INDEX('Rules of Credit'!$B$5:$F$8,MATCH($F146,'Rules of Credit'!$A$5:$A$8,0),3)+IF($X146="N",0,INDEX('Rules of Credit'!$B$5:$F$8,MATCH($F146,'Rules of Credit'!$A$5:$A$8,0),4))+INDEX('Rules of Credit'!$B$5:$F$8,MATCH($F146,'Rules of Credit'!$A$5:$A$8,0),5)),0)</f>
        <v>0</v>
      </c>
      <c r="Q146" s="163" t="n">
        <f aca="false">IF(OR($H146="",$I146=""),0,IF('Tracker Summary'!$C$3&lt;$H146,0,IF('Tracker Summary'!$C$3&gt;=$I146,1,('Tracker Summary'!$C$3-$H146)/($I146-$H146+1))))</f>
        <v>0</v>
      </c>
      <c r="R146" s="163" t="n">
        <f aca="false">P146-Q146</f>
        <v>0</v>
      </c>
      <c r="S146" s="160" t="str">
        <f aca="false">IF($I146="","Not scheduled",IF(P146&gt;=1,"Complete",IF('Tracker Summary'!$C$3&gt;$I146,"Overdue",IF(P146-Q146&lt;-0.1,"Behind",IF(AND(P146=0,'Tracker Summary'!$C$3&lt;$H146),"Not started","On track")))))</f>
        <v>Not started</v>
      </c>
      <c r="T146" s="90"/>
      <c r="U146" s="160" t="str">
        <f aca="false">IFERROR(INDEX(Schedule!$D$2:$D$147,MATCH($G146,Schedule!$A$2:$A$147,0)),"")</f>
        <v>Electrical, Instrumentation &amp; Controls — Blower Building</v>
      </c>
      <c r="V146" s="162" t="n">
        <f aca="false">IFERROR(INDEX(Schedule!$F$2:$F$147,MATCH("26-P01",Schedule!$A$2:$A$147,0)),"")</f>
        <v>44999</v>
      </c>
      <c r="W146" s="160" t="s">
        <v>91</v>
      </c>
      <c r="X146" s="160" t="s">
        <v>91</v>
      </c>
      <c r="Y146" s="160" t="n">
        <v>0</v>
      </c>
      <c r="Z146" s="160" t="n">
        <v>0</v>
      </c>
      <c r="AA146" s="160"/>
      <c r="AB146" s="160"/>
      <c r="AC146" s="160" t="s">
        <v>541</v>
      </c>
      <c r="AD146" s="160" t="s">
        <v>499</v>
      </c>
      <c r="AE146" s="160" t="s">
        <v>724</v>
      </c>
      <c r="AF146" s="160" t="s">
        <v>725</v>
      </c>
      <c r="AG146" s="160" t="s">
        <v>726</v>
      </c>
      <c r="AH146" s="160" t="s">
        <v>501</v>
      </c>
    </row>
    <row r="147" customFormat="false" ht="15" hidden="false" customHeight="false" outlineLevel="0" collapsed="false">
      <c r="A147" s="160" t="s">
        <v>60</v>
      </c>
      <c r="B147" s="161" t="s">
        <v>37</v>
      </c>
      <c r="C147" s="160" t="s">
        <v>729</v>
      </c>
      <c r="D147" s="160" t="s">
        <v>730</v>
      </c>
      <c r="E147" s="160" t="s">
        <v>233</v>
      </c>
      <c r="F147" s="90" t="s">
        <v>234</v>
      </c>
      <c r="G147" s="160" t="s">
        <v>702</v>
      </c>
      <c r="H147" s="162" t="n">
        <f aca="false">IFERROR(INDEX(Schedule!$E$2:$E$147,MATCH($G147,Schedule!$A$2:$A$147,0)),"")</f>
        <v>45017</v>
      </c>
      <c r="I147" s="162" t="n">
        <f aca="false">IFERROR(INDEX(Schedule!$F$2:$F$147,MATCH($G147,Schedule!$A$2:$A$147,0)),"")</f>
        <v>45138</v>
      </c>
      <c r="J147" s="92"/>
      <c r="K147" s="92"/>
      <c r="L147" s="92"/>
      <c r="M147" s="92"/>
      <c r="N147" s="92"/>
      <c r="O147" s="90" t="n">
        <v>1</v>
      </c>
      <c r="P147" s="163" t="n">
        <f aca="false">IFERROR((IF(OR(ISNUMBER(J147),UPPER(TRIM(J147))="N/A"),1,0)*IF($W147="N",0,INDEX('Rules of Credit'!$B$5:$F$8,MATCH($F147,'Rules of Credit'!$A$5:$A$8,0),1))+IF(OR(ISNUMBER(K147),UPPER(TRIM(K147))="N/A"),1,0)*INDEX('Rules of Credit'!$B$5:$F$8,MATCH($F147,'Rules of Credit'!$A$5:$A$8,0),2)+IF(OR(ISNUMBER(L147),UPPER(TRIM(L147))="N/A"),1,0)*INDEX('Rules of Credit'!$B$5:$F$8,MATCH($F147,'Rules of Credit'!$A$5:$A$8,0),3)+IF(OR(ISNUMBER(M147),UPPER(TRIM(M147))="N/A"),1,0)*IF($X147="N",0,INDEX('Rules of Credit'!$B$5:$F$8,MATCH($F147,'Rules of Credit'!$A$5:$A$8,0),4))+IF(OR(ISNUMBER(N147),UPPER(TRIM(N147))="N/A"),1,0)*INDEX('Rules of Credit'!$B$5:$F$8,MATCH($F147,'Rules of Credit'!$A$5:$A$8,0),5))/(IF($W147="N",0,INDEX('Rules of Credit'!$B$5:$F$8,MATCH($F147,'Rules of Credit'!$A$5:$A$8,0),1))+INDEX('Rules of Credit'!$B$5:$F$8,MATCH($F147,'Rules of Credit'!$A$5:$A$8,0),2)+INDEX('Rules of Credit'!$B$5:$F$8,MATCH($F147,'Rules of Credit'!$A$5:$A$8,0),3)+IF($X147="N",0,INDEX('Rules of Credit'!$B$5:$F$8,MATCH($F147,'Rules of Credit'!$A$5:$A$8,0),4))+INDEX('Rules of Credit'!$B$5:$F$8,MATCH($F147,'Rules of Credit'!$A$5:$A$8,0),5)),0)</f>
        <v>0</v>
      </c>
      <c r="Q147" s="163" t="n">
        <f aca="false">IF(OR($H147="",$I147=""),0,IF('Tracker Summary'!$C$3&lt;$H147,0,IF('Tracker Summary'!$C$3&gt;=$I147,1,('Tracker Summary'!$C$3-$H147)/($I147-$H147+1))))</f>
        <v>0</v>
      </c>
      <c r="R147" s="163" t="n">
        <f aca="false">P147-Q147</f>
        <v>0</v>
      </c>
      <c r="S147" s="160" t="str">
        <f aca="false">IF($I147="","Not scheduled",IF(P147&gt;=1,"Complete",IF('Tracker Summary'!$C$3&gt;$I147,"Overdue",IF(P147-Q147&lt;-0.1,"Behind",IF(AND(P147=0,'Tracker Summary'!$C$3&lt;$H147),"Not started","On track")))))</f>
        <v>Not started</v>
      </c>
      <c r="T147" s="90"/>
      <c r="U147" s="160" t="str">
        <f aca="false">IFERROR(INDEX(Schedule!$D$2:$D$147,MATCH($G147,Schedule!$A$2:$A$147,0)),"")</f>
        <v>Electrical, Instrumentation &amp; Controls — Blower Building</v>
      </c>
      <c r="V147" s="162" t="n">
        <f aca="false">IFERROR(INDEX(Schedule!$F$2:$F$147,MATCH("26-P01",Schedule!$A$2:$A$147,0)),"")</f>
        <v>44999</v>
      </c>
      <c r="W147" s="160" t="s">
        <v>99</v>
      </c>
      <c r="X147" s="160" t="s">
        <v>99</v>
      </c>
      <c r="Y147" s="160" t="n">
        <v>1</v>
      </c>
      <c r="Z147" s="160" t="n">
        <v>2</v>
      </c>
      <c r="AA147" s="160"/>
      <c r="AB147" s="160"/>
      <c r="AC147" s="160" t="s">
        <v>498</v>
      </c>
      <c r="AD147" s="160" t="s">
        <v>499</v>
      </c>
      <c r="AE147" s="160" t="s">
        <v>731</v>
      </c>
      <c r="AF147" s="160" t="s">
        <v>715</v>
      </c>
      <c r="AG147" s="160" t="s">
        <v>732</v>
      </c>
      <c r="AH147" s="160" t="s">
        <v>501</v>
      </c>
    </row>
    <row r="148" customFormat="false" ht="15" hidden="false" customHeight="false" outlineLevel="0" collapsed="false">
      <c r="A148" s="160" t="s">
        <v>60</v>
      </c>
      <c r="B148" s="161" t="s">
        <v>37</v>
      </c>
      <c r="C148" s="160" t="s">
        <v>733</v>
      </c>
      <c r="D148" s="160" t="s">
        <v>734</v>
      </c>
      <c r="E148" s="160" t="s">
        <v>233</v>
      </c>
      <c r="F148" s="90" t="s">
        <v>234</v>
      </c>
      <c r="G148" s="160" t="s">
        <v>702</v>
      </c>
      <c r="H148" s="162" t="n">
        <f aca="false">IFERROR(INDEX(Schedule!$E$2:$E$147,MATCH($G148,Schedule!$A$2:$A$147,0)),"")</f>
        <v>45017</v>
      </c>
      <c r="I148" s="162" t="n">
        <f aca="false">IFERROR(INDEX(Schedule!$F$2:$F$147,MATCH($G148,Schedule!$A$2:$A$147,0)),"")</f>
        <v>45138</v>
      </c>
      <c r="J148" s="92"/>
      <c r="K148" s="92"/>
      <c r="L148" s="92"/>
      <c r="M148" s="92"/>
      <c r="N148" s="92"/>
      <c r="O148" s="90" t="n">
        <v>1</v>
      </c>
      <c r="P148" s="163" t="n">
        <f aca="false">IFERROR((IF(OR(ISNUMBER(J148),UPPER(TRIM(J148))="N/A"),1,0)*IF($W148="N",0,INDEX('Rules of Credit'!$B$5:$F$8,MATCH($F148,'Rules of Credit'!$A$5:$A$8,0),1))+IF(OR(ISNUMBER(K148),UPPER(TRIM(K148))="N/A"),1,0)*INDEX('Rules of Credit'!$B$5:$F$8,MATCH($F148,'Rules of Credit'!$A$5:$A$8,0),2)+IF(OR(ISNUMBER(L148),UPPER(TRIM(L148))="N/A"),1,0)*INDEX('Rules of Credit'!$B$5:$F$8,MATCH($F148,'Rules of Credit'!$A$5:$A$8,0),3)+IF(OR(ISNUMBER(M148),UPPER(TRIM(M148))="N/A"),1,0)*IF($X148="N",0,INDEX('Rules of Credit'!$B$5:$F$8,MATCH($F148,'Rules of Credit'!$A$5:$A$8,0),4))+IF(OR(ISNUMBER(N148),UPPER(TRIM(N148))="N/A"),1,0)*INDEX('Rules of Credit'!$B$5:$F$8,MATCH($F148,'Rules of Credit'!$A$5:$A$8,0),5))/(IF($W148="N",0,INDEX('Rules of Credit'!$B$5:$F$8,MATCH($F148,'Rules of Credit'!$A$5:$A$8,0),1))+INDEX('Rules of Credit'!$B$5:$F$8,MATCH($F148,'Rules of Credit'!$A$5:$A$8,0),2)+INDEX('Rules of Credit'!$B$5:$F$8,MATCH($F148,'Rules of Credit'!$A$5:$A$8,0),3)+IF($X148="N",0,INDEX('Rules of Credit'!$B$5:$F$8,MATCH($F148,'Rules of Credit'!$A$5:$A$8,0),4))+INDEX('Rules of Credit'!$B$5:$F$8,MATCH($F148,'Rules of Credit'!$A$5:$A$8,0),5)),0)</f>
        <v>0</v>
      </c>
      <c r="Q148" s="163" t="n">
        <f aca="false">IF(OR($H148="",$I148=""),0,IF('Tracker Summary'!$C$3&lt;$H148,0,IF('Tracker Summary'!$C$3&gt;=$I148,1,('Tracker Summary'!$C$3-$H148)/($I148-$H148+1))))</f>
        <v>0</v>
      </c>
      <c r="R148" s="163" t="n">
        <f aca="false">P148-Q148</f>
        <v>0</v>
      </c>
      <c r="S148" s="160" t="str">
        <f aca="false">IF($I148="","Not scheduled",IF(P148&gt;=1,"Complete",IF('Tracker Summary'!$C$3&gt;$I148,"Overdue",IF(P148-Q148&lt;-0.1,"Behind",IF(AND(P148=0,'Tracker Summary'!$C$3&lt;$H148),"Not started","On track")))))</f>
        <v>Not started</v>
      </c>
      <c r="T148" s="90"/>
      <c r="U148" s="160" t="str">
        <f aca="false">IFERROR(INDEX(Schedule!$D$2:$D$147,MATCH($G148,Schedule!$A$2:$A$147,0)),"")</f>
        <v>Electrical, Instrumentation &amp; Controls — Blower Building</v>
      </c>
      <c r="V148" s="162" t="n">
        <f aca="false">IFERROR(INDEX(Schedule!$F$2:$F$147,MATCH("26-P01",Schedule!$A$2:$A$147,0)),"")</f>
        <v>44999</v>
      </c>
      <c r="W148" s="160" t="s">
        <v>99</v>
      </c>
      <c r="X148" s="160" t="s">
        <v>99</v>
      </c>
      <c r="Y148" s="160" t="n">
        <v>1</v>
      </c>
      <c r="Z148" s="160" t="n">
        <v>2</v>
      </c>
      <c r="AA148" s="160"/>
      <c r="AB148" s="160"/>
      <c r="AC148" s="160" t="s">
        <v>498</v>
      </c>
      <c r="AD148" s="160" t="s">
        <v>499</v>
      </c>
      <c r="AE148" s="160" t="s">
        <v>731</v>
      </c>
      <c r="AF148" s="160" t="s">
        <v>715</v>
      </c>
      <c r="AG148" s="160" t="s">
        <v>732</v>
      </c>
      <c r="AH148" s="160" t="s">
        <v>501</v>
      </c>
    </row>
    <row r="149" customFormat="false" ht="15" hidden="false" customHeight="false" outlineLevel="0" collapsed="false">
      <c r="A149" s="160" t="s">
        <v>60</v>
      </c>
      <c r="B149" s="161" t="s">
        <v>37</v>
      </c>
      <c r="C149" s="160" t="s">
        <v>735</v>
      </c>
      <c r="D149" s="160" t="s">
        <v>736</v>
      </c>
      <c r="E149" s="160" t="s">
        <v>233</v>
      </c>
      <c r="F149" s="90" t="s">
        <v>234</v>
      </c>
      <c r="G149" s="160" t="s">
        <v>702</v>
      </c>
      <c r="H149" s="162" t="n">
        <f aca="false">IFERROR(INDEX(Schedule!$E$2:$E$147,MATCH($G149,Schedule!$A$2:$A$147,0)),"")</f>
        <v>45017</v>
      </c>
      <c r="I149" s="162" t="n">
        <f aca="false">IFERROR(INDEX(Schedule!$F$2:$F$147,MATCH($G149,Schedule!$A$2:$A$147,0)),"")</f>
        <v>45138</v>
      </c>
      <c r="J149" s="92"/>
      <c r="K149" s="92"/>
      <c r="L149" s="92"/>
      <c r="M149" s="92"/>
      <c r="N149" s="92"/>
      <c r="O149" s="90" t="n">
        <v>1</v>
      </c>
      <c r="P149" s="163" t="n">
        <f aca="false">IFERROR((IF(OR(ISNUMBER(J149),UPPER(TRIM(J149))="N/A"),1,0)*IF($W149="N",0,INDEX('Rules of Credit'!$B$5:$F$8,MATCH($F149,'Rules of Credit'!$A$5:$A$8,0),1))+IF(OR(ISNUMBER(K149),UPPER(TRIM(K149))="N/A"),1,0)*INDEX('Rules of Credit'!$B$5:$F$8,MATCH($F149,'Rules of Credit'!$A$5:$A$8,0),2)+IF(OR(ISNUMBER(L149),UPPER(TRIM(L149))="N/A"),1,0)*INDEX('Rules of Credit'!$B$5:$F$8,MATCH($F149,'Rules of Credit'!$A$5:$A$8,0),3)+IF(OR(ISNUMBER(M149),UPPER(TRIM(M149))="N/A"),1,0)*IF($X149="N",0,INDEX('Rules of Credit'!$B$5:$F$8,MATCH($F149,'Rules of Credit'!$A$5:$A$8,0),4))+IF(OR(ISNUMBER(N149),UPPER(TRIM(N149))="N/A"),1,0)*INDEX('Rules of Credit'!$B$5:$F$8,MATCH($F149,'Rules of Credit'!$A$5:$A$8,0),5))/(IF($W149="N",0,INDEX('Rules of Credit'!$B$5:$F$8,MATCH($F149,'Rules of Credit'!$A$5:$A$8,0),1))+INDEX('Rules of Credit'!$B$5:$F$8,MATCH($F149,'Rules of Credit'!$A$5:$A$8,0),2)+INDEX('Rules of Credit'!$B$5:$F$8,MATCH($F149,'Rules of Credit'!$A$5:$A$8,0),3)+IF($X149="N",0,INDEX('Rules of Credit'!$B$5:$F$8,MATCH($F149,'Rules of Credit'!$A$5:$A$8,0),4))+INDEX('Rules of Credit'!$B$5:$F$8,MATCH($F149,'Rules of Credit'!$A$5:$A$8,0),5)),0)</f>
        <v>0</v>
      </c>
      <c r="Q149" s="163" t="n">
        <f aca="false">IF(OR($H149="",$I149=""),0,IF('Tracker Summary'!$C$3&lt;$H149,0,IF('Tracker Summary'!$C$3&gt;=$I149,1,('Tracker Summary'!$C$3-$H149)/($I149-$H149+1))))</f>
        <v>0</v>
      </c>
      <c r="R149" s="163" t="n">
        <f aca="false">P149-Q149</f>
        <v>0</v>
      </c>
      <c r="S149" s="160" t="str">
        <f aca="false">IF($I149="","Not scheduled",IF(P149&gt;=1,"Complete",IF('Tracker Summary'!$C$3&gt;$I149,"Overdue",IF(P149-Q149&lt;-0.1,"Behind",IF(AND(P149=0,'Tracker Summary'!$C$3&lt;$H149),"Not started","On track")))))</f>
        <v>Not started</v>
      </c>
      <c r="T149" s="90"/>
      <c r="U149" s="160" t="str">
        <f aca="false">IFERROR(INDEX(Schedule!$D$2:$D$147,MATCH($G149,Schedule!$A$2:$A$147,0)),"")</f>
        <v>Electrical, Instrumentation &amp; Controls — Blower Building</v>
      </c>
      <c r="V149" s="162" t="n">
        <f aca="false">IFERROR(INDEX(Schedule!$F$2:$F$147,MATCH("26-P01",Schedule!$A$2:$A$147,0)),"")</f>
        <v>44999</v>
      </c>
      <c r="W149" s="160" t="s">
        <v>99</v>
      </c>
      <c r="X149" s="160" t="s">
        <v>99</v>
      </c>
      <c r="Y149" s="160" t="n">
        <v>1</v>
      </c>
      <c r="Z149" s="160" t="n">
        <v>2</v>
      </c>
      <c r="AA149" s="160" t="s">
        <v>737</v>
      </c>
      <c r="AB149" s="160" t="s">
        <v>738</v>
      </c>
      <c r="AC149" s="160" t="s">
        <v>498</v>
      </c>
      <c r="AD149" s="160" t="s">
        <v>499</v>
      </c>
      <c r="AE149" s="160" t="s">
        <v>739</v>
      </c>
      <c r="AF149" s="160" t="s">
        <v>740</v>
      </c>
      <c r="AG149" s="160" t="s">
        <v>741</v>
      </c>
      <c r="AH149" s="160" t="s">
        <v>501</v>
      </c>
    </row>
    <row r="150" customFormat="false" ht="15" hidden="false" customHeight="false" outlineLevel="0" collapsed="false">
      <c r="A150" s="160" t="s">
        <v>60</v>
      </c>
      <c r="B150" s="161" t="s">
        <v>37</v>
      </c>
      <c r="C150" s="160" t="s">
        <v>742</v>
      </c>
      <c r="D150" s="160" t="s">
        <v>743</v>
      </c>
      <c r="E150" s="160" t="s">
        <v>233</v>
      </c>
      <c r="F150" s="90" t="s">
        <v>234</v>
      </c>
      <c r="G150" s="160" t="s">
        <v>702</v>
      </c>
      <c r="H150" s="162" t="n">
        <f aca="false">IFERROR(INDEX(Schedule!$E$2:$E$147,MATCH($G150,Schedule!$A$2:$A$147,0)),"")</f>
        <v>45017</v>
      </c>
      <c r="I150" s="162" t="n">
        <f aca="false">IFERROR(INDEX(Schedule!$F$2:$F$147,MATCH($G150,Schedule!$A$2:$A$147,0)),"")</f>
        <v>45138</v>
      </c>
      <c r="J150" s="92"/>
      <c r="K150" s="92"/>
      <c r="L150" s="92"/>
      <c r="M150" s="92"/>
      <c r="N150" s="92"/>
      <c r="O150" s="90" t="n">
        <v>1</v>
      </c>
      <c r="P150" s="163" t="n">
        <f aca="false">IFERROR((IF(OR(ISNUMBER(J150),UPPER(TRIM(J150))="N/A"),1,0)*IF($W150="N",0,INDEX('Rules of Credit'!$B$5:$F$8,MATCH($F150,'Rules of Credit'!$A$5:$A$8,0),1))+IF(OR(ISNUMBER(K150),UPPER(TRIM(K150))="N/A"),1,0)*INDEX('Rules of Credit'!$B$5:$F$8,MATCH($F150,'Rules of Credit'!$A$5:$A$8,0),2)+IF(OR(ISNUMBER(L150),UPPER(TRIM(L150))="N/A"),1,0)*INDEX('Rules of Credit'!$B$5:$F$8,MATCH($F150,'Rules of Credit'!$A$5:$A$8,0),3)+IF(OR(ISNUMBER(M150),UPPER(TRIM(M150))="N/A"),1,0)*IF($X150="N",0,INDEX('Rules of Credit'!$B$5:$F$8,MATCH($F150,'Rules of Credit'!$A$5:$A$8,0),4))+IF(OR(ISNUMBER(N150),UPPER(TRIM(N150))="N/A"),1,0)*INDEX('Rules of Credit'!$B$5:$F$8,MATCH($F150,'Rules of Credit'!$A$5:$A$8,0),5))/(IF($W150="N",0,INDEX('Rules of Credit'!$B$5:$F$8,MATCH($F150,'Rules of Credit'!$A$5:$A$8,0),1))+INDEX('Rules of Credit'!$B$5:$F$8,MATCH($F150,'Rules of Credit'!$A$5:$A$8,0),2)+INDEX('Rules of Credit'!$B$5:$F$8,MATCH($F150,'Rules of Credit'!$A$5:$A$8,0),3)+IF($X150="N",0,INDEX('Rules of Credit'!$B$5:$F$8,MATCH($F150,'Rules of Credit'!$A$5:$A$8,0),4))+INDEX('Rules of Credit'!$B$5:$F$8,MATCH($F150,'Rules of Credit'!$A$5:$A$8,0),5)),0)</f>
        <v>0</v>
      </c>
      <c r="Q150" s="163" t="n">
        <f aca="false">IF(OR($H150="",$I150=""),0,IF('Tracker Summary'!$C$3&lt;$H150,0,IF('Tracker Summary'!$C$3&gt;=$I150,1,('Tracker Summary'!$C$3-$H150)/($I150-$H150+1))))</f>
        <v>0</v>
      </c>
      <c r="R150" s="163" t="n">
        <f aca="false">P150-Q150</f>
        <v>0</v>
      </c>
      <c r="S150" s="160" t="str">
        <f aca="false">IF($I150="","Not scheduled",IF(P150&gt;=1,"Complete",IF('Tracker Summary'!$C$3&gt;$I150,"Overdue",IF(P150-Q150&lt;-0.1,"Behind",IF(AND(P150=0,'Tracker Summary'!$C$3&lt;$H150),"Not started","On track")))))</f>
        <v>Not started</v>
      </c>
      <c r="T150" s="90"/>
      <c r="U150" s="160" t="str">
        <f aca="false">IFERROR(INDEX(Schedule!$D$2:$D$147,MATCH($G150,Schedule!$A$2:$A$147,0)),"")</f>
        <v>Electrical, Instrumentation &amp; Controls — Blower Building</v>
      </c>
      <c r="V150" s="162" t="n">
        <f aca="false">IFERROR(INDEX(Schedule!$F$2:$F$147,MATCH("26-P01",Schedule!$A$2:$A$147,0)),"")</f>
        <v>44999</v>
      </c>
      <c r="W150" s="160" t="s">
        <v>115</v>
      </c>
      <c r="X150" s="160" t="s">
        <v>115</v>
      </c>
      <c r="Y150" s="160" t="n">
        <v>0</v>
      </c>
      <c r="Z150" s="160" t="n">
        <v>0</v>
      </c>
      <c r="AA150" s="160"/>
      <c r="AB150" s="160" t="s">
        <v>744</v>
      </c>
      <c r="AC150" s="160" t="s">
        <v>541</v>
      </c>
      <c r="AD150" s="160" t="s">
        <v>499</v>
      </c>
      <c r="AE150" s="160" t="s">
        <v>745</v>
      </c>
      <c r="AF150" s="160"/>
      <c r="AG150" s="160" t="s">
        <v>745</v>
      </c>
      <c r="AH150" s="160" t="s">
        <v>501</v>
      </c>
    </row>
    <row r="151" customFormat="false" ht="15" hidden="false" customHeight="false" outlineLevel="0" collapsed="false">
      <c r="A151" s="160" t="s">
        <v>60</v>
      </c>
      <c r="B151" s="161" t="s">
        <v>37</v>
      </c>
      <c r="C151" s="160" t="s">
        <v>746</v>
      </c>
      <c r="D151" s="160" t="s">
        <v>747</v>
      </c>
      <c r="E151" s="160" t="s">
        <v>233</v>
      </c>
      <c r="F151" s="90" t="s">
        <v>234</v>
      </c>
      <c r="G151" s="160" t="s">
        <v>702</v>
      </c>
      <c r="H151" s="162" t="n">
        <f aca="false">IFERROR(INDEX(Schedule!$E$2:$E$147,MATCH($G151,Schedule!$A$2:$A$147,0)),"")</f>
        <v>45017</v>
      </c>
      <c r="I151" s="162" t="n">
        <f aca="false">IFERROR(INDEX(Schedule!$F$2:$F$147,MATCH($G151,Schedule!$A$2:$A$147,0)),"")</f>
        <v>45138</v>
      </c>
      <c r="J151" s="92"/>
      <c r="K151" s="92"/>
      <c r="L151" s="92"/>
      <c r="M151" s="92"/>
      <c r="N151" s="92"/>
      <c r="O151" s="90" t="n">
        <v>1</v>
      </c>
      <c r="P151" s="163" t="n">
        <f aca="false">IFERROR((IF(OR(ISNUMBER(J151),UPPER(TRIM(J151))="N/A"),1,0)*IF($W151="N",0,INDEX('Rules of Credit'!$B$5:$F$8,MATCH($F151,'Rules of Credit'!$A$5:$A$8,0),1))+IF(OR(ISNUMBER(K151),UPPER(TRIM(K151))="N/A"),1,0)*INDEX('Rules of Credit'!$B$5:$F$8,MATCH($F151,'Rules of Credit'!$A$5:$A$8,0),2)+IF(OR(ISNUMBER(L151),UPPER(TRIM(L151))="N/A"),1,0)*INDEX('Rules of Credit'!$B$5:$F$8,MATCH($F151,'Rules of Credit'!$A$5:$A$8,0),3)+IF(OR(ISNUMBER(M151),UPPER(TRIM(M151))="N/A"),1,0)*IF($X151="N",0,INDEX('Rules of Credit'!$B$5:$F$8,MATCH($F151,'Rules of Credit'!$A$5:$A$8,0),4))+IF(OR(ISNUMBER(N151),UPPER(TRIM(N151))="N/A"),1,0)*INDEX('Rules of Credit'!$B$5:$F$8,MATCH($F151,'Rules of Credit'!$A$5:$A$8,0),5))/(IF($W151="N",0,INDEX('Rules of Credit'!$B$5:$F$8,MATCH($F151,'Rules of Credit'!$A$5:$A$8,0),1))+INDEX('Rules of Credit'!$B$5:$F$8,MATCH($F151,'Rules of Credit'!$A$5:$A$8,0),2)+INDEX('Rules of Credit'!$B$5:$F$8,MATCH($F151,'Rules of Credit'!$A$5:$A$8,0),3)+IF($X151="N",0,INDEX('Rules of Credit'!$B$5:$F$8,MATCH($F151,'Rules of Credit'!$A$5:$A$8,0),4))+INDEX('Rules of Credit'!$B$5:$F$8,MATCH($F151,'Rules of Credit'!$A$5:$A$8,0),5)),0)</f>
        <v>0</v>
      </c>
      <c r="Q151" s="163" t="n">
        <f aca="false">IF(OR($H151="",$I151=""),0,IF('Tracker Summary'!$C$3&lt;$H151,0,IF('Tracker Summary'!$C$3&gt;=$I151,1,('Tracker Summary'!$C$3-$H151)/($I151-$H151+1))))</f>
        <v>0</v>
      </c>
      <c r="R151" s="163" t="n">
        <f aca="false">P151-Q151</f>
        <v>0</v>
      </c>
      <c r="S151" s="160" t="str">
        <f aca="false">IF($I151="","Not scheduled",IF(P151&gt;=1,"Complete",IF('Tracker Summary'!$C$3&gt;$I151,"Overdue",IF(P151-Q151&lt;-0.1,"Behind",IF(AND(P151=0,'Tracker Summary'!$C$3&lt;$H151),"Not started","On track")))))</f>
        <v>Not started</v>
      </c>
      <c r="T151" s="90"/>
      <c r="U151" s="160" t="str">
        <f aca="false">IFERROR(INDEX(Schedule!$D$2:$D$147,MATCH($G151,Schedule!$A$2:$A$147,0)),"")</f>
        <v>Electrical, Instrumentation &amp; Controls — Blower Building</v>
      </c>
      <c r="V151" s="162" t="n">
        <f aca="false">IFERROR(INDEX(Schedule!$F$2:$F$147,MATCH("26-P01",Schedule!$A$2:$A$147,0)),"")</f>
        <v>44999</v>
      </c>
      <c r="W151" s="160" t="s">
        <v>91</v>
      </c>
      <c r="X151" s="160" t="s">
        <v>99</v>
      </c>
      <c r="Y151" s="160" t="n">
        <v>0</v>
      </c>
      <c r="Z151" s="160" t="n">
        <v>1</v>
      </c>
      <c r="AA151" s="160"/>
      <c r="AB151" s="160"/>
      <c r="AC151" s="160" t="s">
        <v>498</v>
      </c>
      <c r="AD151" s="160" t="s">
        <v>499</v>
      </c>
      <c r="AE151" s="160" t="s">
        <v>724</v>
      </c>
      <c r="AF151" s="160" t="s">
        <v>748</v>
      </c>
      <c r="AG151" s="160" t="s">
        <v>749</v>
      </c>
      <c r="AH151" s="160" t="s">
        <v>501</v>
      </c>
    </row>
    <row r="152" customFormat="false" ht="15" hidden="false" customHeight="false" outlineLevel="0" collapsed="false">
      <c r="A152" s="160" t="s">
        <v>60</v>
      </c>
      <c r="B152" s="161" t="s">
        <v>37</v>
      </c>
      <c r="C152" s="160" t="s">
        <v>750</v>
      </c>
      <c r="D152" s="160" t="s">
        <v>751</v>
      </c>
      <c r="E152" s="160" t="s">
        <v>233</v>
      </c>
      <c r="F152" s="90" t="s">
        <v>234</v>
      </c>
      <c r="G152" s="160" t="s">
        <v>702</v>
      </c>
      <c r="H152" s="162" t="n">
        <f aca="false">IFERROR(INDEX(Schedule!$E$2:$E$147,MATCH($G152,Schedule!$A$2:$A$147,0)),"")</f>
        <v>45017</v>
      </c>
      <c r="I152" s="162" t="n">
        <f aca="false">IFERROR(INDEX(Schedule!$F$2:$F$147,MATCH($G152,Schedule!$A$2:$A$147,0)),"")</f>
        <v>45138</v>
      </c>
      <c r="J152" s="92"/>
      <c r="K152" s="92"/>
      <c r="L152" s="92"/>
      <c r="M152" s="92"/>
      <c r="N152" s="92"/>
      <c r="O152" s="90" t="n">
        <v>1</v>
      </c>
      <c r="P152" s="163" t="n">
        <f aca="false">IFERROR((IF(OR(ISNUMBER(J152),UPPER(TRIM(J152))="N/A"),1,0)*IF($W152="N",0,INDEX('Rules of Credit'!$B$5:$F$8,MATCH($F152,'Rules of Credit'!$A$5:$A$8,0),1))+IF(OR(ISNUMBER(K152),UPPER(TRIM(K152))="N/A"),1,0)*INDEX('Rules of Credit'!$B$5:$F$8,MATCH($F152,'Rules of Credit'!$A$5:$A$8,0),2)+IF(OR(ISNUMBER(L152),UPPER(TRIM(L152))="N/A"),1,0)*INDEX('Rules of Credit'!$B$5:$F$8,MATCH($F152,'Rules of Credit'!$A$5:$A$8,0),3)+IF(OR(ISNUMBER(M152),UPPER(TRIM(M152))="N/A"),1,0)*IF($X152="N",0,INDEX('Rules of Credit'!$B$5:$F$8,MATCH($F152,'Rules of Credit'!$A$5:$A$8,0),4))+IF(OR(ISNUMBER(N152),UPPER(TRIM(N152))="N/A"),1,0)*INDEX('Rules of Credit'!$B$5:$F$8,MATCH($F152,'Rules of Credit'!$A$5:$A$8,0),5))/(IF($W152="N",0,INDEX('Rules of Credit'!$B$5:$F$8,MATCH($F152,'Rules of Credit'!$A$5:$A$8,0),1))+INDEX('Rules of Credit'!$B$5:$F$8,MATCH($F152,'Rules of Credit'!$A$5:$A$8,0),2)+INDEX('Rules of Credit'!$B$5:$F$8,MATCH($F152,'Rules of Credit'!$A$5:$A$8,0),3)+IF($X152="N",0,INDEX('Rules of Credit'!$B$5:$F$8,MATCH($F152,'Rules of Credit'!$A$5:$A$8,0),4))+INDEX('Rules of Credit'!$B$5:$F$8,MATCH($F152,'Rules of Credit'!$A$5:$A$8,0),5)),0)</f>
        <v>0</v>
      </c>
      <c r="Q152" s="163" t="n">
        <f aca="false">IF(OR($H152="",$I152=""),0,IF('Tracker Summary'!$C$3&lt;$H152,0,IF('Tracker Summary'!$C$3&gt;=$I152,1,('Tracker Summary'!$C$3-$H152)/($I152-$H152+1))))</f>
        <v>0</v>
      </c>
      <c r="R152" s="163" t="n">
        <f aca="false">P152-Q152</f>
        <v>0</v>
      </c>
      <c r="S152" s="160" t="str">
        <f aca="false">IF($I152="","Not scheduled",IF(P152&gt;=1,"Complete",IF('Tracker Summary'!$C$3&gt;$I152,"Overdue",IF(P152-Q152&lt;-0.1,"Behind",IF(AND(P152=0,'Tracker Summary'!$C$3&lt;$H152),"Not started","On track")))))</f>
        <v>Not started</v>
      </c>
      <c r="T152" s="90"/>
      <c r="U152" s="160" t="str">
        <f aca="false">IFERROR(INDEX(Schedule!$D$2:$D$147,MATCH($G152,Schedule!$A$2:$A$147,0)),"")</f>
        <v>Electrical, Instrumentation &amp; Controls — Blower Building</v>
      </c>
      <c r="V152" s="162" t="n">
        <f aca="false">IFERROR(INDEX(Schedule!$F$2:$F$147,MATCH("26-P01",Schedule!$A$2:$A$147,0)),"")</f>
        <v>44999</v>
      </c>
      <c r="W152" s="160" t="s">
        <v>99</v>
      </c>
      <c r="X152" s="160" t="s">
        <v>99</v>
      </c>
      <c r="Y152" s="160" t="n">
        <v>2</v>
      </c>
      <c r="Z152" s="160" t="n">
        <v>1</v>
      </c>
      <c r="AA152" s="160"/>
      <c r="AB152" s="160"/>
      <c r="AC152" s="160" t="s">
        <v>541</v>
      </c>
      <c r="AD152" s="160" t="s">
        <v>499</v>
      </c>
      <c r="AE152" s="160" t="s">
        <v>652</v>
      </c>
      <c r="AF152" s="160" t="s">
        <v>752</v>
      </c>
      <c r="AG152" s="160" t="s">
        <v>652</v>
      </c>
      <c r="AH152" s="160" t="s">
        <v>501</v>
      </c>
    </row>
    <row r="153" customFormat="false" ht="15" hidden="false" customHeight="false" outlineLevel="0" collapsed="false">
      <c r="A153" s="160" t="s">
        <v>60</v>
      </c>
      <c r="B153" s="161" t="s">
        <v>37</v>
      </c>
      <c r="C153" s="160" t="s">
        <v>753</v>
      </c>
      <c r="D153" s="160" t="s">
        <v>754</v>
      </c>
      <c r="E153" s="160" t="s">
        <v>233</v>
      </c>
      <c r="F153" s="90" t="s">
        <v>234</v>
      </c>
      <c r="G153" s="160" t="s">
        <v>702</v>
      </c>
      <c r="H153" s="162" t="n">
        <f aca="false">IFERROR(INDEX(Schedule!$E$2:$E$147,MATCH($G153,Schedule!$A$2:$A$147,0)),"")</f>
        <v>45017</v>
      </c>
      <c r="I153" s="162" t="n">
        <f aca="false">IFERROR(INDEX(Schedule!$F$2:$F$147,MATCH($G153,Schedule!$A$2:$A$147,0)),"")</f>
        <v>45138</v>
      </c>
      <c r="J153" s="92"/>
      <c r="K153" s="92"/>
      <c r="L153" s="92"/>
      <c r="M153" s="92"/>
      <c r="N153" s="92"/>
      <c r="O153" s="90" t="n">
        <v>1</v>
      </c>
      <c r="P153" s="163" t="n">
        <f aca="false">IFERROR((IF(OR(ISNUMBER(J153),UPPER(TRIM(J153))="N/A"),1,0)*IF($W153="N",0,INDEX('Rules of Credit'!$B$5:$F$8,MATCH($F153,'Rules of Credit'!$A$5:$A$8,0),1))+IF(OR(ISNUMBER(K153),UPPER(TRIM(K153))="N/A"),1,0)*INDEX('Rules of Credit'!$B$5:$F$8,MATCH($F153,'Rules of Credit'!$A$5:$A$8,0),2)+IF(OR(ISNUMBER(L153),UPPER(TRIM(L153))="N/A"),1,0)*INDEX('Rules of Credit'!$B$5:$F$8,MATCH($F153,'Rules of Credit'!$A$5:$A$8,0),3)+IF(OR(ISNUMBER(M153),UPPER(TRIM(M153))="N/A"),1,0)*IF($X153="N",0,INDEX('Rules of Credit'!$B$5:$F$8,MATCH($F153,'Rules of Credit'!$A$5:$A$8,0),4))+IF(OR(ISNUMBER(N153),UPPER(TRIM(N153))="N/A"),1,0)*INDEX('Rules of Credit'!$B$5:$F$8,MATCH($F153,'Rules of Credit'!$A$5:$A$8,0),5))/(IF($W153="N",0,INDEX('Rules of Credit'!$B$5:$F$8,MATCH($F153,'Rules of Credit'!$A$5:$A$8,0),1))+INDEX('Rules of Credit'!$B$5:$F$8,MATCH($F153,'Rules of Credit'!$A$5:$A$8,0),2)+INDEX('Rules of Credit'!$B$5:$F$8,MATCH($F153,'Rules of Credit'!$A$5:$A$8,0),3)+IF($X153="N",0,INDEX('Rules of Credit'!$B$5:$F$8,MATCH($F153,'Rules of Credit'!$A$5:$A$8,0),4))+INDEX('Rules of Credit'!$B$5:$F$8,MATCH($F153,'Rules of Credit'!$A$5:$A$8,0),5)),0)</f>
        <v>0</v>
      </c>
      <c r="Q153" s="163" t="n">
        <f aca="false">IF(OR($H153="",$I153=""),0,IF('Tracker Summary'!$C$3&lt;$H153,0,IF('Tracker Summary'!$C$3&gt;=$I153,1,('Tracker Summary'!$C$3-$H153)/($I153-$H153+1))))</f>
        <v>0</v>
      </c>
      <c r="R153" s="163" t="n">
        <f aca="false">P153-Q153</f>
        <v>0</v>
      </c>
      <c r="S153" s="160" t="str">
        <f aca="false">IF($I153="","Not scheduled",IF(P153&gt;=1,"Complete",IF('Tracker Summary'!$C$3&gt;$I153,"Overdue",IF(P153-Q153&lt;-0.1,"Behind",IF(AND(P153=0,'Tracker Summary'!$C$3&lt;$H153),"Not started","On track")))))</f>
        <v>Not started</v>
      </c>
      <c r="T153" s="90"/>
      <c r="U153" s="160" t="str">
        <f aca="false">IFERROR(INDEX(Schedule!$D$2:$D$147,MATCH($G153,Schedule!$A$2:$A$147,0)),"")</f>
        <v>Electrical, Instrumentation &amp; Controls — Blower Building</v>
      </c>
      <c r="V153" s="162" t="n">
        <f aca="false">IFERROR(INDEX(Schedule!$F$2:$F$147,MATCH("26-P01",Schedule!$A$2:$A$147,0)),"")</f>
        <v>44999</v>
      </c>
      <c r="W153" s="160" t="s">
        <v>99</v>
      </c>
      <c r="X153" s="160" t="s">
        <v>99</v>
      </c>
      <c r="Y153" s="160" t="n">
        <v>2</v>
      </c>
      <c r="Z153" s="160" t="n">
        <v>1</v>
      </c>
      <c r="AA153" s="160"/>
      <c r="AB153" s="160"/>
      <c r="AC153" s="160" t="s">
        <v>541</v>
      </c>
      <c r="AD153" s="160" t="s">
        <v>499</v>
      </c>
      <c r="AE153" s="160" t="s">
        <v>652</v>
      </c>
      <c r="AF153" s="160" t="s">
        <v>752</v>
      </c>
      <c r="AG153" s="160" t="s">
        <v>652</v>
      </c>
      <c r="AH153" s="160" t="s">
        <v>501</v>
      </c>
    </row>
    <row r="154" customFormat="false" ht="15" hidden="false" customHeight="false" outlineLevel="0" collapsed="false">
      <c r="A154" s="160" t="s">
        <v>60</v>
      </c>
      <c r="B154" s="161" t="s">
        <v>37</v>
      </c>
      <c r="C154" s="160" t="s">
        <v>755</v>
      </c>
      <c r="D154" s="160" t="s">
        <v>756</v>
      </c>
      <c r="E154" s="160" t="s">
        <v>233</v>
      </c>
      <c r="F154" s="90" t="s">
        <v>234</v>
      </c>
      <c r="G154" s="160" t="s">
        <v>702</v>
      </c>
      <c r="H154" s="162" t="n">
        <f aca="false">IFERROR(INDEX(Schedule!$E$2:$E$147,MATCH($G154,Schedule!$A$2:$A$147,0)),"")</f>
        <v>45017</v>
      </c>
      <c r="I154" s="162" t="n">
        <f aca="false">IFERROR(INDEX(Schedule!$F$2:$F$147,MATCH($G154,Schedule!$A$2:$A$147,0)),"")</f>
        <v>45138</v>
      </c>
      <c r="J154" s="92"/>
      <c r="K154" s="92"/>
      <c r="L154" s="92"/>
      <c r="M154" s="92"/>
      <c r="N154" s="92"/>
      <c r="O154" s="90" t="n">
        <v>1</v>
      </c>
      <c r="P154" s="163" t="n">
        <f aca="false">IFERROR((IF(OR(ISNUMBER(J154),UPPER(TRIM(J154))="N/A"),1,0)*IF($W154="N",0,INDEX('Rules of Credit'!$B$5:$F$8,MATCH($F154,'Rules of Credit'!$A$5:$A$8,0),1))+IF(OR(ISNUMBER(K154),UPPER(TRIM(K154))="N/A"),1,0)*INDEX('Rules of Credit'!$B$5:$F$8,MATCH($F154,'Rules of Credit'!$A$5:$A$8,0),2)+IF(OR(ISNUMBER(L154),UPPER(TRIM(L154))="N/A"),1,0)*INDEX('Rules of Credit'!$B$5:$F$8,MATCH($F154,'Rules of Credit'!$A$5:$A$8,0),3)+IF(OR(ISNUMBER(M154),UPPER(TRIM(M154))="N/A"),1,0)*IF($X154="N",0,INDEX('Rules of Credit'!$B$5:$F$8,MATCH($F154,'Rules of Credit'!$A$5:$A$8,0),4))+IF(OR(ISNUMBER(N154),UPPER(TRIM(N154))="N/A"),1,0)*INDEX('Rules of Credit'!$B$5:$F$8,MATCH($F154,'Rules of Credit'!$A$5:$A$8,0),5))/(IF($W154="N",0,INDEX('Rules of Credit'!$B$5:$F$8,MATCH($F154,'Rules of Credit'!$A$5:$A$8,0),1))+INDEX('Rules of Credit'!$B$5:$F$8,MATCH($F154,'Rules of Credit'!$A$5:$A$8,0),2)+INDEX('Rules of Credit'!$B$5:$F$8,MATCH($F154,'Rules of Credit'!$A$5:$A$8,0),3)+IF($X154="N",0,INDEX('Rules of Credit'!$B$5:$F$8,MATCH($F154,'Rules of Credit'!$A$5:$A$8,0),4))+INDEX('Rules of Credit'!$B$5:$F$8,MATCH($F154,'Rules of Credit'!$A$5:$A$8,0),5)),0)</f>
        <v>0</v>
      </c>
      <c r="Q154" s="163" t="n">
        <f aca="false">IF(OR($H154="",$I154=""),0,IF('Tracker Summary'!$C$3&lt;$H154,0,IF('Tracker Summary'!$C$3&gt;=$I154,1,('Tracker Summary'!$C$3-$H154)/($I154-$H154+1))))</f>
        <v>0</v>
      </c>
      <c r="R154" s="163" t="n">
        <f aca="false">P154-Q154</f>
        <v>0</v>
      </c>
      <c r="S154" s="160" t="str">
        <f aca="false">IF($I154="","Not scheduled",IF(P154&gt;=1,"Complete",IF('Tracker Summary'!$C$3&gt;$I154,"Overdue",IF(P154-Q154&lt;-0.1,"Behind",IF(AND(P154=0,'Tracker Summary'!$C$3&lt;$H154),"Not started","On track")))))</f>
        <v>Not started</v>
      </c>
      <c r="T154" s="90"/>
      <c r="U154" s="160" t="str">
        <f aca="false">IFERROR(INDEX(Schedule!$D$2:$D$147,MATCH($G154,Schedule!$A$2:$A$147,0)),"")</f>
        <v>Electrical, Instrumentation &amp; Controls — Blower Building</v>
      </c>
      <c r="V154" s="162" t="n">
        <f aca="false">IFERROR(INDEX(Schedule!$F$2:$F$147,MATCH("26-P01",Schedule!$A$2:$A$147,0)),"")</f>
        <v>44999</v>
      </c>
      <c r="W154" s="160" t="s">
        <v>99</v>
      </c>
      <c r="X154" s="160" t="s">
        <v>99</v>
      </c>
      <c r="Y154" s="160" t="n">
        <v>2</v>
      </c>
      <c r="Z154" s="160" t="n">
        <v>1</v>
      </c>
      <c r="AA154" s="160"/>
      <c r="AB154" s="160"/>
      <c r="AC154" s="160" t="s">
        <v>541</v>
      </c>
      <c r="AD154" s="160" t="s">
        <v>499</v>
      </c>
      <c r="AE154" s="160" t="s">
        <v>652</v>
      </c>
      <c r="AF154" s="160" t="s">
        <v>752</v>
      </c>
      <c r="AG154" s="160" t="s">
        <v>652</v>
      </c>
      <c r="AH154" s="160" t="s">
        <v>501</v>
      </c>
    </row>
    <row r="155" customFormat="false" ht="15" hidden="false" customHeight="false" outlineLevel="0" collapsed="false">
      <c r="A155" s="160" t="s">
        <v>60</v>
      </c>
      <c r="B155" s="161" t="s">
        <v>37</v>
      </c>
      <c r="C155" s="160" t="s">
        <v>757</v>
      </c>
      <c r="D155" s="160" t="s">
        <v>758</v>
      </c>
      <c r="E155" s="160" t="s">
        <v>233</v>
      </c>
      <c r="F155" s="90" t="s">
        <v>234</v>
      </c>
      <c r="G155" s="160" t="s">
        <v>702</v>
      </c>
      <c r="H155" s="162" t="n">
        <f aca="false">IFERROR(INDEX(Schedule!$E$2:$E$147,MATCH($G155,Schedule!$A$2:$A$147,0)),"")</f>
        <v>45017</v>
      </c>
      <c r="I155" s="162" t="n">
        <f aca="false">IFERROR(INDEX(Schedule!$F$2:$F$147,MATCH($G155,Schedule!$A$2:$A$147,0)),"")</f>
        <v>45138</v>
      </c>
      <c r="J155" s="92"/>
      <c r="K155" s="92"/>
      <c r="L155" s="92"/>
      <c r="M155" s="92"/>
      <c r="N155" s="92"/>
      <c r="O155" s="90" t="n">
        <v>1</v>
      </c>
      <c r="P155" s="163" t="n">
        <f aca="false">IFERROR((IF(OR(ISNUMBER(J155),UPPER(TRIM(J155))="N/A"),1,0)*IF($W155="N",0,INDEX('Rules of Credit'!$B$5:$F$8,MATCH($F155,'Rules of Credit'!$A$5:$A$8,0),1))+IF(OR(ISNUMBER(K155),UPPER(TRIM(K155))="N/A"),1,0)*INDEX('Rules of Credit'!$B$5:$F$8,MATCH($F155,'Rules of Credit'!$A$5:$A$8,0),2)+IF(OR(ISNUMBER(L155),UPPER(TRIM(L155))="N/A"),1,0)*INDEX('Rules of Credit'!$B$5:$F$8,MATCH($F155,'Rules of Credit'!$A$5:$A$8,0),3)+IF(OR(ISNUMBER(M155),UPPER(TRIM(M155))="N/A"),1,0)*IF($X155="N",0,INDEX('Rules of Credit'!$B$5:$F$8,MATCH($F155,'Rules of Credit'!$A$5:$A$8,0),4))+IF(OR(ISNUMBER(N155),UPPER(TRIM(N155))="N/A"),1,0)*INDEX('Rules of Credit'!$B$5:$F$8,MATCH($F155,'Rules of Credit'!$A$5:$A$8,0),5))/(IF($W155="N",0,INDEX('Rules of Credit'!$B$5:$F$8,MATCH($F155,'Rules of Credit'!$A$5:$A$8,0),1))+INDEX('Rules of Credit'!$B$5:$F$8,MATCH($F155,'Rules of Credit'!$A$5:$A$8,0),2)+INDEX('Rules of Credit'!$B$5:$F$8,MATCH($F155,'Rules of Credit'!$A$5:$A$8,0),3)+IF($X155="N",0,INDEX('Rules of Credit'!$B$5:$F$8,MATCH($F155,'Rules of Credit'!$A$5:$A$8,0),4))+INDEX('Rules of Credit'!$B$5:$F$8,MATCH($F155,'Rules of Credit'!$A$5:$A$8,0),5)),0)</f>
        <v>0</v>
      </c>
      <c r="Q155" s="163" t="n">
        <f aca="false">IF(OR($H155="",$I155=""),0,IF('Tracker Summary'!$C$3&lt;$H155,0,IF('Tracker Summary'!$C$3&gt;=$I155,1,('Tracker Summary'!$C$3-$H155)/($I155-$H155+1))))</f>
        <v>0</v>
      </c>
      <c r="R155" s="163" t="n">
        <f aca="false">P155-Q155</f>
        <v>0</v>
      </c>
      <c r="S155" s="160" t="str">
        <f aca="false">IF($I155="","Not scheduled",IF(P155&gt;=1,"Complete",IF('Tracker Summary'!$C$3&gt;$I155,"Overdue",IF(P155-Q155&lt;-0.1,"Behind",IF(AND(P155=0,'Tracker Summary'!$C$3&lt;$H155),"Not started","On track")))))</f>
        <v>Not started</v>
      </c>
      <c r="T155" s="90"/>
      <c r="U155" s="160" t="str">
        <f aca="false">IFERROR(INDEX(Schedule!$D$2:$D$147,MATCH($G155,Schedule!$A$2:$A$147,0)),"")</f>
        <v>Electrical, Instrumentation &amp; Controls — Blower Building</v>
      </c>
      <c r="V155" s="162" t="n">
        <f aca="false">IFERROR(INDEX(Schedule!$F$2:$F$147,MATCH("26-P01",Schedule!$A$2:$A$147,0)),"")</f>
        <v>44999</v>
      </c>
      <c r="W155" s="160" t="s">
        <v>115</v>
      </c>
      <c r="X155" s="160" t="s">
        <v>115</v>
      </c>
      <c r="Y155" s="160" t="n">
        <v>0</v>
      </c>
      <c r="Z155" s="160" t="n">
        <v>0</v>
      </c>
      <c r="AA155" s="160"/>
      <c r="AB155" s="160" t="s">
        <v>759</v>
      </c>
      <c r="AC155" s="160" t="s">
        <v>498</v>
      </c>
      <c r="AD155" s="160" t="s">
        <v>499</v>
      </c>
      <c r="AE155" s="160" t="s">
        <v>652</v>
      </c>
      <c r="AF155" s="160"/>
      <c r="AG155" s="160" t="s">
        <v>652</v>
      </c>
      <c r="AH155" s="160" t="s">
        <v>501</v>
      </c>
    </row>
    <row r="156" customFormat="false" ht="15" hidden="false" customHeight="false" outlineLevel="0" collapsed="false">
      <c r="A156" s="160" t="s">
        <v>60</v>
      </c>
      <c r="B156" s="161" t="s">
        <v>37</v>
      </c>
      <c r="C156" s="160" t="s">
        <v>760</v>
      </c>
      <c r="D156" s="160" t="s">
        <v>761</v>
      </c>
      <c r="E156" s="160" t="s">
        <v>233</v>
      </c>
      <c r="F156" s="90" t="s">
        <v>234</v>
      </c>
      <c r="G156" s="160" t="s">
        <v>702</v>
      </c>
      <c r="H156" s="162" t="n">
        <f aca="false">IFERROR(INDEX(Schedule!$E$2:$E$147,MATCH($G156,Schedule!$A$2:$A$147,0)),"")</f>
        <v>45017</v>
      </c>
      <c r="I156" s="162" t="n">
        <f aca="false">IFERROR(INDEX(Schedule!$F$2:$F$147,MATCH($G156,Schedule!$A$2:$A$147,0)),"")</f>
        <v>45138</v>
      </c>
      <c r="J156" s="92"/>
      <c r="K156" s="92"/>
      <c r="L156" s="92"/>
      <c r="M156" s="92"/>
      <c r="N156" s="92"/>
      <c r="O156" s="90" t="n">
        <v>1</v>
      </c>
      <c r="P156" s="163" t="n">
        <f aca="false">IFERROR((IF(OR(ISNUMBER(J156),UPPER(TRIM(J156))="N/A"),1,0)*IF($W156="N",0,INDEX('Rules of Credit'!$B$5:$F$8,MATCH($F156,'Rules of Credit'!$A$5:$A$8,0),1))+IF(OR(ISNUMBER(K156),UPPER(TRIM(K156))="N/A"),1,0)*INDEX('Rules of Credit'!$B$5:$F$8,MATCH($F156,'Rules of Credit'!$A$5:$A$8,0),2)+IF(OR(ISNUMBER(L156),UPPER(TRIM(L156))="N/A"),1,0)*INDEX('Rules of Credit'!$B$5:$F$8,MATCH($F156,'Rules of Credit'!$A$5:$A$8,0),3)+IF(OR(ISNUMBER(M156),UPPER(TRIM(M156))="N/A"),1,0)*IF($X156="N",0,INDEX('Rules of Credit'!$B$5:$F$8,MATCH($F156,'Rules of Credit'!$A$5:$A$8,0),4))+IF(OR(ISNUMBER(N156),UPPER(TRIM(N156))="N/A"),1,0)*INDEX('Rules of Credit'!$B$5:$F$8,MATCH($F156,'Rules of Credit'!$A$5:$A$8,0),5))/(IF($W156="N",0,INDEX('Rules of Credit'!$B$5:$F$8,MATCH($F156,'Rules of Credit'!$A$5:$A$8,0),1))+INDEX('Rules of Credit'!$B$5:$F$8,MATCH($F156,'Rules of Credit'!$A$5:$A$8,0),2)+INDEX('Rules of Credit'!$B$5:$F$8,MATCH($F156,'Rules of Credit'!$A$5:$A$8,0),3)+IF($X156="N",0,INDEX('Rules of Credit'!$B$5:$F$8,MATCH($F156,'Rules of Credit'!$A$5:$A$8,0),4))+INDEX('Rules of Credit'!$B$5:$F$8,MATCH($F156,'Rules of Credit'!$A$5:$A$8,0),5)),0)</f>
        <v>0</v>
      </c>
      <c r="Q156" s="163" t="n">
        <f aca="false">IF(OR($H156="",$I156=""),0,IF('Tracker Summary'!$C$3&lt;$H156,0,IF('Tracker Summary'!$C$3&gt;=$I156,1,('Tracker Summary'!$C$3-$H156)/($I156-$H156+1))))</f>
        <v>0</v>
      </c>
      <c r="R156" s="163" t="n">
        <f aca="false">P156-Q156</f>
        <v>0</v>
      </c>
      <c r="S156" s="160" t="str">
        <f aca="false">IF($I156="","Not scheduled",IF(P156&gt;=1,"Complete",IF('Tracker Summary'!$C$3&gt;$I156,"Overdue",IF(P156-Q156&lt;-0.1,"Behind",IF(AND(P156=0,'Tracker Summary'!$C$3&lt;$H156),"Not started","On track")))))</f>
        <v>Not started</v>
      </c>
      <c r="T156" s="90"/>
      <c r="U156" s="160" t="str">
        <f aca="false">IFERROR(INDEX(Schedule!$D$2:$D$147,MATCH($G156,Schedule!$A$2:$A$147,0)),"")</f>
        <v>Electrical, Instrumentation &amp; Controls — Blower Building</v>
      </c>
      <c r="V156" s="162" t="n">
        <f aca="false">IFERROR(INDEX(Schedule!$F$2:$F$147,MATCH("26-P01",Schedule!$A$2:$A$147,0)),"")</f>
        <v>44999</v>
      </c>
      <c r="W156" s="160" t="s">
        <v>99</v>
      </c>
      <c r="X156" s="160" t="s">
        <v>91</v>
      </c>
      <c r="Y156" s="160" t="n">
        <v>2</v>
      </c>
      <c r="Z156" s="160" t="n">
        <v>0</v>
      </c>
      <c r="AA156" s="160"/>
      <c r="AB156" s="160"/>
      <c r="AC156" s="160" t="s">
        <v>92</v>
      </c>
      <c r="AD156" s="160" t="s">
        <v>499</v>
      </c>
      <c r="AE156" s="160" t="s">
        <v>762</v>
      </c>
      <c r="AF156" s="160" t="s">
        <v>763</v>
      </c>
      <c r="AG156" s="160" t="s">
        <v>764</v>
      </c>
      <c r="AH156" s="160" t="s">
        <v>501</v>
      </c>
    </row>
    <row r="157" customFormat="false" ht="15" hidden="false" customHeight="false" outlineLevel="0" collapsed="false">
      <c r="A157" s="160" t="s">
        <v>60</v>
      </c>
      <c r="B157" s="161" t="s">
        <v>37</v>
      </c>
      <c r="C157" s="160" t="s">
        <v>765</v>
      </c>
      <c r="D157" s="160" t="s">
        <v>766</v>
      </c>
      <c r="E157" s="160" t="s">
        <v>233</v>
      </c>
      <c r="F157" s="90" t="s">
        <v>234</v>
      </c>
      <c r="G157" s="160" t="s">
        <v>702</v>
      </c>
      <c r="H157" s="162" t="n">
        <f aca="false">IFERROR(INDEX(Schedule!$E$2:$E$147,MATCH($G157,Schedule!$A$2:$A$147,0)),"")</f>
        <v>45017</v>
      </c>
      <c r="I157" s="162" t="n">
        <f aca="false">IFERROR(INDEX(Schedule!$F$2:$F$147,MATCH($G157,Schedule!$A$2:$A$147,0)),"")</f>
        <v>45138</v>
      </c>
      <c r="J157" s="92"/>
      <c r="K157" s="92"/>
      <c r="L157" s="92"/>
      <c r="M157" s="92"/>
      <c r="N157" s="92"/>
      <c r="O157" s="90" t="n">
        <v>1</v>
      </c>
      <c r="P157" s="163" t="n">
        <f aca="false">IFERROR((IF(OR(ISNUMBER(J157),UPPER(TRIM(J157))="N/A"),1,0)*IF($W157="N",0,INDEX('Rules of Credit'!$B$5:$F$8,MATCH($F157,'Rules of Credit'!$A$5:$A$8,0),1))+IF(OR(ISNUMBER(K157),UPPER(TRIM(K157))="N/A"),1,0)*INDEX('Rules of Credit'!$B$5:$F$8,MATCH($F157,'Rules of Credit'!$A$5:$A$8,0),2)+IF(OR(ISNUMBER(L157),UPPER(TRIM(L157))="N/A"),1,0)*INDEX('Rules of Credit'!$B$5:$F$8,MATCH($F157,'Rules of Credit'!$A$5:$A$8,0),3)+IF(OR(ISNUMBER(M157),UPPER(TRIM(M157))="N/A"),1,0)*IF($X157="N",0,INDEX('Rules of Credit'!$B$5:$F$8,MATCH($F157,'Rules of Credit'!$A$5:$A$8,0),4))+IF(OR(ISNUMBER(N157),UPPER(TRIM(N157))="N/A"),1,0)*INDEX('Rules of Credit'!$B$5:$F$8,MATCH($F157,'Rules of Credit'!$A$5:$A$8,0),5))/(IF($W157="N",0,INDEX('Rules of Credit'!$B$5:$F$8,MATCH($F157,'Rules of Credit'!$A$5:$A$8,0),1))+INDEX('Rules of Credit'!$B$5:$F$8,MATCH($F157,'Rules of Credit'!$A$5:$A$8,0),2)+INDEX('Rules of Credit'!$B$5:$F$8,MATCH($F157,'Rules of Credit'!$A$5:$A$8,0),3)+IF($X157="N",0,INDEX('Rules of Credit'!$B$5:$F$8,MATCH($F157,'Rules of Credit'!$A$5:$A$8,0),4))+INDEX('Rules of Credit'!$B$5:$F$8,MATCH($F157,'Rules of Credit'!$A$5:$A$8,0),5)),0)</f>
        <v>0</v>
      </c>
      <c r="Q157" s="163" t="n">
        <f aca="false">IF(OR($H157="",$I157=""),0,IF('Tracker Summary'!$C$3&lt;$H157,0,IF('Tracker Summary'!$C$3&gt;=$I157,1,('Tracker Summary'!$C$3-$H157)/($I157-$H157+1))))</f>
        <v>0</v>
      </c>
      <c r="R157" s="163" t="n">
        <f aca="false">P157-Q157</f>
        <v>0</v>
      </c>
      <c r="S157" s="160" t="str">
        <f aca="false">IF($I157="","Not scheduled",IF(P157&gt;=1,"Complete",IF('Tracker Summary'!$C$3&gt;$I157,"Overdue",IF(P157-Q157&lt;-0.1,"Behind",IF(AND(P157=0,'Tracker Summary'!$C$3&lt;$H157),"Not started","On track")))))</f>
        <v>Not started</v>
      </c>
      <c r="T157" s="90"/>
      <c r="U157" s="160" t="str">
        <f aca="false">IFERROR(INDEX(Schedule!$D$2:$D$147,MATCH($G157,Schedule!$A$2:$A$147,0)),"")</f>
        <v>Electrical, Instrumentation &amp; Controls — Blower Building</v>
      </c>
      <c r="V157" s="162" t="n">
        <f aca="false">IFERROR(INDEX(Schedule!$F$2:$F$147,MATCH("26-P01",Schedule!$A$2:$A$147,0)),"")</f>
        <v>44999</v>
      </c>
      <c r="W157" s="160" t="s">
        <v>99</v>
      </c>
      <c r="X157" s="160" t="s">
        <v>99</v>
      </c>
      <c r="Y157" s="160" t="n">
        <v>5</v>
      </c>
      <c r="Z157" s="160" t="n">
        <v>2</v>
      </c>
      <c r="AA157" s="160"/>
      <c r="AB157" s="160" t="s">
        <v>767</v>
      </c>
      <c r="AC157" s="160" t="s">
        <v>92</v>
      </c>
      <c r="AD157" s="160" t="s">
        <v>499</v>
      </c>
      <c r="AE157" s="160" t="s">
        <v>768</v>
      </c>
      <c r="AF157" s="160" t="s">
        <v>769</v>
      </c>
      <c r="AG157" s="160" t="s">
        <v>770</v>
      </c>
      <c r="AH157" s="160" t="s">
        <v>501</v>
      </c>
    </row>
    <row r="158" customFormat="false" ht="15" hidden="false" customHeight="false" outlineLevel="0" collapsed="false">
      <c r="A158" s="160" t="s">
        <v>60</v>
      </c>
      <c r="B158" s="161" t="s">
        <v>37</v>
      </c>
      <c r="C158" s="160" t="s">
        <v>771</v>
      </c>
      <c r="D158" s="160" t="s">
        <v>772</v>
      </c>
      <c r="E158" s="160" t="s">
        <v>233</v>
      </c>
      <c r="F158" s="90" t="s">
        <v>234</v>
      </c>
      <c r="G158" s="160" t="s">
        <v>702</v>
      </c>
      <c r="H158" s="162" t="n">
        <f aca="false">IFERROR(INDEX(Schedule!$E$2:$E$147,MATCH($G158,Schedule!$A$2:$A$147,0)),"")</f>
        <v>45017</v>
      </c>
      <c r="I158" s="162" t="n">
        <f aca="false">IFERROR(INDEX(Schedule!$F$2:$F$147,MATCH($G158,Schedule!$A$2:$A$147,0)),"")</f>
        <v>45138</v>
      </c>
      <c r="J158" s="92"/>
      <c r="K158" s="92"/>
      <c r="L158" s="92"/>
      <c r="M158" s="92"/>
      <c r="N158" s="92"/>
      <c r="O158" s="90" t="n">
        <v>1</v>
      </c>
      <c r="P158" s="163" t="n">
        <f aca="false">IFERROR((IF(OR(ISNUMBER(J158),UPPER(TRIM(J158))="N/A"),1,0)*IF($W158="N",0,INDEX('Rules of Credit'!$B$5:$F$8,MATCH($F158,'Rules of Credit'!$A$5:$A$8,0),1))+IF(OR(ISNUMBER(K158),UPPER(TRIM(K158))="N/A"),1,0)*INDEX('Rules of Credit'!$B$5:$F$8,MATCH($F158,'Rules of Credit'!$A$5:$A$8,0),2)+IF(OR(ISNUMBER(L158),UPPER(TRIM(L158))="N/A"),1,0)*INDEX('Rules of Credit'!$B$5:$F$8,MATCH($F158,'Rules of Credit'!$A$5:$A$8,0),3)+IF(OR(ISNUMBER(M158),UPPER(TRIM(M158))="N/A"),1,0)*IF($X158="N",0,INDEX('Rules of Credit'!$B$5:$F$8,MATCH($F158,'Rules of Credit'!$A$5:$A$8,0),4))+IF(OR(ISNUMBER(N158),UPPER(TRIM(N158))="N/A"),1,0)*INDEX('Rules of Credit'!$B$5:$F$8,MATCH($F158,'Rules of Credit'!$A$5:$A$8,0),5))/(IF($W158="N",0,INDEX('Rules of Credit'!$B$5:$F$8,MATCH($F158,'Rules of Credit'!$A$5:$A$8,0),1))+INDEX('Rules of Credit'!$B$5:$F$8,MATCH($F158,'Rules of Credit'!$A$5:$A$8,0),2)+INDEX('Rules of Credit'!$B$5:$F$8,MATCH($F158,'Rules of Credit'!$A$5:$A$8,0),3)+IF($X158="N",0,INDEX('Rules of Credit'!$B$5:$F$8,MATCH($F158,'Rules of Credit'!$A$5:$A$8,0),4))+INDEX('Rules of Credit'!$B$5:$F$8,MATCH($F158,'Rules of Credit'!$A$5:$A$8,0),5)),0)</f>
        <v>0</v>
      </c>
      <c r="Q158" s="163" t="n">
        <f aca="false">IF(OR($H158="",$I158=""),0,IF('Tracker Summary'!$C$3&lt;$H158,0,IF('Tracker Summary'!$C$3&gt;=$I158,1,('Tracker Summary'!$C$3-$H158)/($I158-$H158+1))))</f>
        <v>0</v>
      </c>
      <c r="R158" s="163" t="n">
        <f aca="false">P158-Q158</f>
        <v>0</v>
      </c>
      <c r="S158" s="160" t="str">
        <f aca="false">IF($I158="","Not scheduled",IF(P158&gt;=1,"Complete",IF('Tracker Summary'!$C$3&gt;$I158,"Overdue",IF(P158-Q158&lt;-0.1,"Behind",IF(AND(P158=0,'Tracker Summary'!$C$3&lt;$H158),"Not started","On track")))))</f>
        <v>Not started</v>
      </c>
      <c r="T158" s="90"/>
      <c r="U158" s="160" t="str">
        <f aca="false">IFERROR(INDEX(Schedule!$D$2:$D$147,MATCH($G158,Schedule!$A$2:$A$147,0)),"")</f>
        <v>Electrical, Instrumentation &amp; Controls — Blower Building</v>
      </c>
      <c r="V158" s="162" t="n">
        <f aca="false">IFERROR(INDEX(Schedule!$F$2:$F$147,MATCH("26-P01",Schedule!$A$2:$A$147,0)),"")</f>
        <v>44999</v>
      </c>
      <c r="W158" s="160" t="s">
        <v>115</v>
      </c>
      <c r="X158" s="160" t="s">
        <v>115</v>
      </c>
      <c r="Y158" s="160" t="n">
        <v>0</v>
      </c>
      <c r="Z158" s="160" t="n">
        <v>0</v>
      </c>
      <c r="AA158" s="160"/>
      <c r="AB158" s="160" t="s">
        <v>773</v>
      </c>
      <c r="AC158" s="160" t="s">
        <v>92</v>
      </c>
      <c r="AD158" s="160" t="s">
        <v>542</v>
      </c>
      <c r="AE158" s="160" t="s">
        <v>774</v>
      </c>
      <c r="AF158" s="160"/>
      <c r="AG158" s="160" t="s">
        <v>774</v>
      </c>
      <c r="AH158" s="160" t="s">
        <v>501</v>
      </c>
    </row>
    <row r="159" customFormat="false" ht="15" hidden="false" customHeight="false" outlineLevel="0" collapsed="false">
      <c r="A159" s="160" t="s">
        <v>60</v>
      </c>
      <c r="B159" s="161" t="s">
        <v>37</v>
      </c>
      <c r="C159" s="160" t="s">
        <v>775</v>
      </c>
      <c r="D159" s="160" t="s">
        <v>776</v>
      </c>
      <c r="E159" s="160" t="s">
        <v>777</v>
      </c>
      <c r="F159" s="90" t="s">
        <v>234</v>
      </c>
      <c r="G159" s="160" t="s">
        <v>702</v>
      </c>
      <c r="H159" s="162" t="n">
        <f aca="false">IFERROR(INDEX(Schedule!$E$2:$E$147,MATCH($G159,Schedule!$A$2:$A$147,0)),"")</f>
        <v>45017</v>
      </c>
      <c r="I159" s="162" t="n">
        <f aca="false">IFERROR(INDEX(Schedule!$F$2:$F$147,MATCH($G159,Schedule!$A$2:$A$147,0)),"")</f>
        <v>45138</v>
      </c>
      <c r="J159" s="92"/>
      <c r="K159" s="92"/>
      <c r="L159" s="92"/>
      <c r="M159" s="92"/>
      <c r="N159" s="92"/>
      <c r="O159" s="90" t="n">
        <v>1</v>
      </c>
      <c r="P159" s="163" t="n">
        <f aca="false">IFERROR((IF(OR(ISNUMBER(J159),UPPER(TRIM(J159))="N/A"),1,0)*IF($W159="N",0,INDEX('Rules of Credit'!$B$5:$F$8,MATCH($F159,'Rules of Credit'!$A$5:$A$8,0),1))+IF(OR(ISNUMBER(K159),UPPER(TRIM(K159))="N/A"),1,0)*INDEX('Rules of Credit'!$B$5:$F$8,MATCH($F159,'Rules of Credit'!$A$5:$A$8,0),2)+IF(OR(ISNUMBER(L159),UPPER(TRIM(L159))="N/A"),1,0)*INDEX('Rules of Credit'!$B$5:$F$8,MATCH($F159,'Rules of Credit'!$A$5:$A$8,0),3)+IF(OR(ISNUMBER(M159),UPPER(TRIM(M159))="N/A"),1,0)*IF($X159="N",0,INDEX('Rules of Credit'!$B$5:$F$8,MATCH($F159,'Rules of Credit'!$A$5:$A$8,0),4))+IF(OR(ISNUMBER(N159),UPPER(TRIM(N159))="N/A"),1,0)*INDEX('Rules of Credit'!$B$5:$F$8,MATCH($F159,'Rules of Credit'!$A$5:$A$8,0),5))/(IF($W159="N",0,INDEX('Rules of Credit'!$B$5:$F$8,MATCH($F159,'Rules of Credit'!$A$5:$A$8,0),1))+INDEX('Rules of Credit'!$B$5:$F$8,MATCH($F159,'Rules of Credit'!$A$5:$A$8,0),2)+INDEX('Rules of Credit'!$B$5:$F$8,MATCH($F159,'Rules of Credit'!$A$5:$A$8,0),3)+IF($X159="N",0,INDEX('Rules of Credit'!$B$5:$F$8,MATCH($F159,'Rules of Credit'!$A$5:$A$8,0),4))+INDEX('Rules of Credit'!$B$5:$F$8,MATCH($F159,'Rules of Credit'!$A$5:$A$8,0),5)),0)</f>
        <v>0</v>
      </c>
      <c r="Q159" s="163" t="n">
        <f aca="false">IF(OR($H159="",$I159=""),0,IF('Tracker Summary'!$C$3&lt;$H159,0,IF('Tracker Summary'!$C$3&gt;=$I159,1,('Tracker Summary'!$C$3-$H159)/($I159-$H159+1))))</f>
        <v>0</v>
      </c>
      <c r="R159" s="163" t="n">
        <f aca="false">P159-Q159</f>
        <v>0</v>
      </c>
      <c r="S159" s="160" t="str">
        <f aca="false">IF($I159="","Not scheduled",IF(P159&gt;=1,"Complete",IF('Tracker Summary'!$C$3&gt;$I159,"Overdue",IF(P159-Q159&lt;-0.1,"Behind",IF(AND(P159=0,'Tracker Summary'!$C$3&lt;$H159),"Not started","On track")))))</f>
        <v>Not started</v>
      </c>
      <c r="T159" s="90"/>
      <c r="U159" s="160" t="str">
        <f aca="false">IFERROR(INDEX(Schedule!$D$2:$D$147,MATCH($G159,Schedule!$A$2:$A$147,0)),"")</f>
        <v>Electrical, Instrumentation &amp; Controls — Blower Building</v>
      </c>
      <c r="V159" s="162" t="n">
        <f aca="false">IFERROR(INDEX(Schedule!$F$2:$F$147,MATCH("26-P01",Schedule!$A$2:$A$147,0)),"")</f>
        <v>44999</v>
      </c>
      <c r="W159" s="160" t="s">
        <v>91</v>
      </c>
      <c r="X159" s="160" t="s">
        <v>91</v>
      </c>
      <c r="Y159" s="160" t="n">
        <v>0</v>
      </c>
      <c r="Z159" s="160" t="n">
        <v>0</v>
      </c>
      <c r="AA159" s="160"/>
      <c r="AB159" s="160" t="s">
        <v>778</v>
      </c>
      <c r="AC159" s="160" t="s">
        <v>92</v>
      </c>
      <c r="AD159" s="160" t="s">
        <v>779</v>
      </c>
      <c r="AE159" s="160" t="s">
        <v>780</v>
      </c>
      <c r="AF159" s="160" t="s">
        <v>696</v>
      </c>
      <c r="AG159" s="160" t="s">
        <v>781</v>
      </c>
      <c r="AH159" s="160" t="s">
        <v>501</v>
      </c>
    </row>
    <row r="160" customFormat="false" ht="15" hidden="false" customHeight="false" outlineLevel="0" collapsed="false">
      <c r="A160" s="160" t="s">
        <v>60</v>
      </c>
      <c r="B160" s="161" t="s">
        <v>37</v>
      </c>
      <c r="C160" s="160" t="s">
        <v>782</v>
      </c>
      <c r="D160" s="160" t="s">
        <v>783</v>
      </c>
      <c r="E160" s="160" t="s">
        <v>233</v>
      </c>
      <c r="F160" s="90" t="s">
        <v>234</v>
      </c>
      <c r="G160" s="160" t="s">
        <v>702</v>
      </c>
      <c r="H160" s="162" t="n">
        <f aca="false">IFERROR(INDEX(Schedule!$E$2:$E$147,MATCH($G160,Schedule!$A$2:$A$147,0)),"")</f>
        <v>45017</v>
      </c>
      <c r="I160" s="162" t="n">
        <f aca="false">IFERROR(INDEX(Schedule!$F$2:$F$147,MATCH($G160,Schedule!$A$2:$A$147,0)),"")</f>
        <v>45138</v>
      </c>
      <c r="J160" s="92"/>
      <c r="K160" s="92"/>
      <c r="L160" s="92"/>
      <c r="M160" s="92"/>
      <c r="N160" s="92"/>
      <c r="O160" s="90" t="n">
        <v>1</v>
      </c>
      <c r="P160" s="163" t="n">
        <f aca="false">IFERROR((IF(OR(ISNUMBER(J160),UPPER(TRIM(J160))="N/A"),1,0)*IF($W160="N",0,INDEX('Rules of Credit'!$B$5:$F$8,MATCH($F160,'Rules of Credit'!$A$5:$A$8,0),1))+IF(OR(ISNUMBER(K160),UPPER(TRIM(K160))="N/A"),1,0)*INDEX('Rules of Credit'!$B$5:$F$8,MATCH($F160,'Rules of Credit'!$A$5:$A$8,0),2)+IF(OR(ISNUMBER(L160),UPPER(TRIM(L160))="N/A"),1,0)*INDEX('Rules of Credit'!$B$5:$F$8,MATCH($F160,'Rules of Credit'!$A$5:$A$8,0),3)+IF(OR(ISNUMBER(M160),UPPER(TRIM(M160))="N/A"),1,0)*IF($X160="N",0,INDEX('Rules of Credit'!$B$5:$F$8,MATCH($F160,'Rules of Credit'!$A$5:$A$8,0),4))+IF(OR(ISNUMBER(N160),UPPER(TRIM(N160))="N/A"),1,0)*INDEX('Rules of Credit'!$B$5:$F$8,MATCH($F160,'Rules of Credit'!$A$5:$A$8,0),5))/(IF($W160="N",0,INDEX('Rules of Credit'!$B$5:$F$8,MATCH($F160,'Rules of Credit'!$A$5:$A$8,0),1))+INDEX('Rules of Credit'!$B$5:$F$8,MATCH($F160,'Rules of Credit'!$A$5:$A$8,0),2)+INDEX('Rules of Credit'!$B$5:$F$8,MATCH($F160,'Rules of Credit'!$A$5:$A$8,0),3)+IF($X160="N",0,INDEX('Rules of Credit'!$B$5:$F$8,MATCH($F160,'Rules of Credit'!$A$5:$A$8,0),4))+INDEX('Rules of Credit'!$B$5:$F$8,MATCH($F160,'Rules of Credit'!$A$5:$A$8,0),5)),0)</f>
        <v>0</v>
      </c>
      <c r="Q160" s="163" t="n">
        <f aca="false">IF(OR($H160="",$I160=""),0,IF('Tracker Summary'!$C$3&lt;$H160,0,IF('Tracker Summary'!$C$3&gt;=$I160,1,('Tracker Summary'!$C$3-$H160)/($I160-$H160+1))))</f>
        <v>0</v>
      </c>
      <c r="R160" s="163" t="n">
        <f aca="false">P160-Q160</f>
        <v>0</v>
      </c>
      <c r="S160" s="160" t="str">
        <f aca="false">IF($I160="","Not scheduled",IF(P160&gt;=1,"Complete",IF('Tracker Summary'!$C$3&gt;$I160,"Overdue",IF(P160-Q160&lt;-0.1,"Behind",IF(AND(P160=0,'Tracker Summary'!$C$3&lt;$H160),"Not started","On track")))))</f>
        <v>Not started</v>
      </c>
      <c r="T160" s="90"/>
      <c r="U160" s="160" t="str">
        <f aca="false">IFERROR(INDEX(Schedule!$D$2:$D$147,MATCH($G160,Schedule!$A$2:$A$147,0)),"")</f>
        <v>Electrical, Instrumentation &amp; Controls — Blower Building</v>
      </c>
      <c r="V160" s="162" t="n">
        <f aca="false">IFERROR(INDEX(Schedule!$F$2:$F$147,MATCH("26-P01",Schedule!$A$2:$A$147,0)),"")</f>
        <v>44999</v>
      </c>
      <c r="W160" s="160" t="s">
        <v>99</v>
      </c>
      <c r="X160" s="160" t="s">
        <v>99</v>
      </c>
      <c r="Y160" s="160" t="n">
        <v>9</v>
      </c>
      <c r="Z160" s="160" t="n">
        <v>3</v>
      </c>
      <c r="AA160" s="160" t="s">
        <v>784</v>
      </c>
      <c r="AB160" s="160" t="s">
        <v>785</v>
      </c>
      <c r="AC160" s="160" t="s">
        <v>92</v>
      </c>
      <c r="AD160" s="160" t="s">
        <v>499</v>
      </c>
      <c r="AE160" s="160"/>
      <c r="AF160" s="160" t="s">
        <v>786</v>
      </c>
      <c r="AG160" s="160" t="s">
        <v>786</v>
      </c>
      <c r="AH160" s="160" t="s">
        <v>109</v>
      </c>
    </row>
    <row r="161" customFormat="false" ht="15" hidden="false" customHeight="false" outlineLevel="0" collapsed="false">
      <c r="A161" s="160" t="s">
        <v>60</v>
      </c>
      <c r="B161" s="161" t="s">
        <v>37</v>
      </c>
      <c r="C161" s="160" t="s">
        <v>787</v>
      </c>
      <c r="D161" s="160" t="s">
        <v>788</v>
      </c>
      <c r="E161" s="160" t="s">
        <v>789</v>
      </c>
      <c r="F161" s="90" t="s">
        <v>234</v>
      </c>
      <c r="G161" s="160" t="s">
        <v>790</v>
      </c>
      <c r="H161" s="162" t="n">
        <f aca="false">IFERROR(INDEX(Schedule!$E$2:$E$147,MATCH($G161,Schedule!$A$2:$A$147,0)),"")</f>
        <v>45017</v>
      </c>
      <c r="I161" s="162" t="n">
        <f aca="false">IFERROR(INDEX(Schedule!$F$2:$F$147,MATCH($G161,Schedule!$A$2:$A$147,0)),"")</f>
        <v>45231</v>
      </c>
      <c r="J161" s="92"/>
      <c r="K161" s="92"/>
      <c r="L161" s="92"/>
      <c r="M161" s="92"/>
      <c r="N161" s="92"/>
      <c r="O161" s="90" t="n">
        <v>1</v>
      </c>
      <c r="P161" s="163" t="n">
        <f aca="false">IFERROR((IF(OR(ISNUMBER(J161),UPPER(TRIM(J161))="N/A"),1,0)*IF($W161="N",0,INDEX('Rules of Credit'!$B$5:$F$8,MATCH($F161,'Rules of Credit'!$A$5:$A$8,0),1))+IF(OR(ISNUMBER(K161),UPPER(TRIM(K161))="N/A"),1,0)*INDEX('Rules of Credit'!$B$5:$F$8,MATCH($F161,'Rules of Credit'!$A$5:$A$8,0),2)+IF(OR(ISNUMBER(L161),UPPER(TRIM(L161))="N/A"),1,0)*INDEX('Rules of Credit'!$B$5:$F$8,MATCH($F161,'Rules of Credit'!$A$5:$A$8,0),3)+IF(OR(ISNUMBER(M161),UPPER(TRIM(M161))="N/A"),1,0)*IF($X161="N",0,INDEX('Rules of Credit'!$B$5:$F$8,MATCH($F161,'Rules of Credit'!$A$5:$A$8,0),4))+IF(OR(ISNUMBER(N161),UPPER(TRIM(N161))="N/A"),1,0)*INDEX('Rules of Credit'!$B$5:$F$8,MATCH($F161,'Rules of Credit'!$A$5:$A$8,0),5))/(IF($W161="N",0,INDEX('Rules of Credit'!$B$5:$F$8,MATCH($F161,'Rules of Credit'!$A$5:$A$8,0),1))+INDEX('Rules of Credit'!$B$5:$F$8,MATCH($F161,'Rules of Credit'!$A$5:$A$8,0),2)+INDEX('Rules of Credit'!$B$5:$F$8,MATCH($F161,'Rules of Credit'!$A$5:$A$8,0),3)+IF($X161="N",0,INDEX('Rules of Credit'!$B$5:$F$8,MATCH($F161,'Rules of Credit'!$A$5:$A$8,0),4))+INDEX('Rules of Credit'!$B$5:$F$8,MATCH($F161,'Rules of Credit'!$A$5:$A$8,0),5)),0)</f>
        <v>0</v>
      </c>
      <c r="Q161" s="163" t="n">
        <f aca="false">IF(OR($H161="",$I161=""),0,IF('Tracker Summary'!$C$3&lt;$H161,0,IF('Tracker Summary'!$C$3&gt;=$I161,1,('Tracker Summary'!$C$3-$H161)/($I161-$H161+1))))</f>
        <v>0</v>
      </c>
      <c r="R161" s="163" t="n">
        <f aca="false">P161-Q161</f>
        <v>0</v>
      </c>
      <c r="S161" s="160" t="str">
        <f aca="false">IF($I161="","Not scheduled",IF(P161&gt;=1,"Complete",IF('Tracker Summary'!$C$3&gt;$I161,"Overdue",IF(P161-Q161&lt;-0.1,"Behind",IF(AND(P161=0,'Tracker Summary'!$C$3&lt;$H161),"Not started","On track")))))</f>
        <v>Not started</v>
      </c>
      <c r="T161" s="90"/>
      <c r="U161" s="160" t="str">
        <f aca="false">IFERROR(INDEX(Schedule!$D$2:$D$147,MATCH($G161,Schedule!$A$2:$A$147,0)),"")</f>
        <v>Electrical, Instrumentation &amp; Controls — Aerobic digester</v>
      </c>
      <c r="V161" s="162" t="n">
        <f aca="false">IFERROR(INDEX(Schedule!$F$2:$F$147,MATCH("26-P01",Schedule!$A$2:$A$147,0)),"")</f>
        <v>44999</v>
      </c>
      <c r="W161" s="160" t="s">
        <v>99</v>
      </c>
      <c r="X161" s="160" t="s">
        <v>91</v>
      </c>
      <c r="Y161" s="160" t="n">
        <v>1</v>
      </c>
      <c r="Z161" s="160" t="n">
        <v>0</v>
      </c>
      <c r="AA161" s="160"/>
      <c r="AB161" s="160"/>
      <c r="AC161" s="160" t="s">
        <v>541</v>
      </c>
      <c r="AD161" s="160" t="s">
        <v>499</v>
      </c>
      <c r="AE161" s="160" t="s">
        <v>791</v>
      </c>
      <c r="AF161" s="160" t="s">
        <v>792</v>
      </c>
      <c r="AG161" s="160" t="s">
        <v>791</v>
      </c>
      <c r="AH161" s="160" t="s">
        <v>501</v>
      </c>
    </row>
    <row r="162" customFormat="false" ht="15" hidden="false" customHeight="false" outlineLevel="0" collapsed="false">
      <c r="A162" s="160" t="s">
        <v>60</v>
      </c>
      <c r="B162" s="161" t="s">
        <v>37</v>
      </c>
      <c r="C162" s="160" t="s">
        <v>793</v>
      </c>
      <c r="D162" s="160" t="s">
        <v>794</v>
      </c>
      <c r="E162" s="160" t="s">
        <v>795</v>
      </c>
      <c r="F162" s="90" t="s">
        <v>234</v>
      </c>
      <c r="G162" s="160" t="s">
        <v>790</v>
      </c>
      <c r="H162" s="162" t="n">
        <f aca="false">IFERROR(INDEX(Schedule!$E$2:$E$147,MATCH($G162,Schedule!$A$2:$A$147,0)),"")</f>
        <v>45017</v>
      </c>
      <c r="I162" s="162" t="n">
        <f aca="false">IFERROR(INDEX(Schedule!$F$2:$F$147,MATCH($G162,Schedule!$A$2:$A$147,0)),"")</f>
        <v>45231</v>
      </c>
      <c r="J162" s="92"/>
      <c r="K162" s="92"/>
      <c r="L162" s="92"/>
      <c r="M162" s="92"/>
      <c r="N162" s="92"/>
      <c r="O162" s="90" t="n">
        <v>1</v>
      </c>
      <c r="P162" s="163" t="n">
        <f aca="false">IFERROR((IF(OR(ISNUMBER(J162),UPPER(TRIM(J162))="N/A"),1,0)*IF($W162="N",0,INDEX('Rules of Credit'!$B$5:$F$8,MATCH($F162,'Rules of Credit'!$A$5:$A$8,0),1))+IF(OR(ISNUMBER(K162),UPPER(TRIM(K162))="N/A"),1,0)*INDEX('Rules of Credit'!$B$5:$F$8,MATCH($F162,'Rules of Credit'!$A$5:$A$8,0),2)+IF(OR(ISNUMBER(L162),UPPER(TRIM(L162))="N/A"),1,0)*INDEX('Rules of Credit'!$B$5:$F$8,MATCH($F162,'Rules of Credit'!$A$5:$A$8,0),3)+IF(OR(ISNUMBER(M162),UPPER(TRIM(M162))="N/A"),1,0)*IF($X162="N",0,INDEX('Rules of Credit'!$B$5:$F$8,MATCH($F162,'Rules of Credit'!$A$5:$A$8,0),4))+IF(OR(ISNUMBER(N162),UPPER(TRIM(N162))="N/A"),1,0)*INDEX('Rules of Credit'!$B$5:$F$8,MATCH($F162,'Rules of Credit'!$A$5:$A$8,0),5))/(IF($W162="N",0,INDEX('Rules of Credit'!$B$5:$F$8,MATCH($F162,'Rules of Credit'!$A$5:$A$8,0),1))+INDEX('Rules of Credit'!$B$5:$F$8,MATCH($F162,'Rules of Credit'!$A$5:$A$8,0),2)+INDEX('Rules of Credit'!$B$5:$F$8,MATCH($F162,'Rules of Credit'!$A$5:$A$8,0),3)+IF($X162="N",0,INDEX('Rules of Credit'!$B$5:$F$8,MATCH($F162,'Rules of Credit'!$A$5:$A$8,0),4))+INDEX('Rules of Credit'!$B$5:$F$8,MATCH($F162,'Rules of Credit'!$A$5:$A$8,0),5)),0)</f>
        <v>0</v>
      </c>
      <c r="Q162" s="163" t="n">
        <f aca="false">IF(OR($H162="",$I162=""),0,IF('Tracker Summary'!$C$3&lt;$H162,0,IF('Tracker Summary'!$C$3&gt;=$I162,1,('Tracker Summary'!$C$3-$H162)/($I162-$H162+1))))</f>
        <v>0</v>
      </c>
      <c r="R162" s="163" t="n">
        <f aca="false">P162-Q162</f>
        <v>0</v>
      </c>
      <c r="S162" s="160" t="str">
        <f aca="false">IF($I162="","Not scheduled",IF(P162&gt;=1,"Complete",IF('Tracker Summary'!$C$3&gt;$I162,"Overdue",IF(P162-Q162&lt;-0.1,"Behind",IF(AND(P162=0,'Tracker Summary'!$C$3&lt;$H162),"Not started","On track")))))</f>
        <v>Not started</v>
      </c>
      <c r="T162" s="90"/>
      <c r="U162" s="160" t="str">
        <f aca="false">IFERROR(INDEX(Schedule!$D$2:$D$147,MATCH($G162,Schedule!$A$2:$A$147,0)),"")</f>
        <v>Electrical, Instrumentation &amp; Controls — Aerobic digester</v>
      </c>
      <c r="V162" s="162" t="n">
        <f aca="false">IFERROR(INDEX(Schedule!$F$2:$F$147,MATCH("26-P01",Schedule!$A$2:$A$147,0)),"")</f>
        <v>44999</v>
      </c>
      <c r="W162" s="160" t="s">
        <v>99</v>
      </c>
      <c r="X162" s="160" t="s">
        <v>99</v>
      </c>
      <c r="Y162" s="160" t="n">
        <v>1</v>
      </c>
      <c r="Z162" s="160" t="n">
        <v>3</v>
      </c>
      <c r="AA162" s="160" t="s">
        <v>796</v>
      </c>
      <c r="AB162" s="160" t="s">
        <v>797</v>
      </c>
      <c r="AC162" s="160" t="s">
        <v>120</v>
      </c>
      <c r="AD162" s="160" t="s">
        <v>499</v>
      </c>
      <c r="AE162" s="160" t="s">
        <v>798</v>
      </c>
      <c r="AF162" s="160" t="s">
        <v>715</v>
      </c>
      <c r="AG162" s="160" t="s">
        <v>798</v>
      </c>
      <c r="AH162" s="160" t="s">
        <v>501</v>
      </c>
    </row>
    <row r="163" customFormat="false" ht="15" hidden="false" customHeight="false" outlineLevel="0" collapsed="false">
      <c r="A163" s="160" t="s">
        <v>60</v>
      </c>
      <c r="B163" s="161" t="s">
        <v>37</v>
      </c>
      <c r="C163" s="160" t="s">
        <v>799</v>
      </c>
      <c r="D163" s="160" t="s">
        <v>800</v>
      </c>
      <c r="E163" s="160" t="s">
        <v>98</v>
      </c>
      <c r="F163" s="90" t="s">
        <v>234</v>
      </c>
      <c r="G163" s="160" t="s">
        <v>801</v>
      </c>
      <c r="H163" s="162" t="n">
        <f aca="false">IFERROR(INDEX(Schedule!$E$2:$E$147,MATCH($G163,Schedule!$A$2:$A$147,0)),"")</f>
        <v>45017</v>
      </c>
      <c r="I163" s="162" t="n">
        <f aca="false">IFERROR(INDEX(Schedule!$F$2:$F$147,MATCH($G163,Schedule!$A$2:$A$147,0)),"")</f>
        <v>45203</v>
      </c>
      <c r="J163" s="92"/>
      <c r="K163" s="92"/>
      <c r="L163" s="92"/>
      <c r="M163" s="92"/>
      <c r="N163" s="92"/>
      <c r="O163" s="90" t="n">
        <v>1</v>
      </c>
      <c r="P163" s="163" t="n">
        <f aca="false">IFERROR((IF(OR(ISNUMBER(J163),UPPER(TRIM(J163))="N/A"),1,0)*IF($W163="N",0,INDEX('Rules of Credit'!$B$5:$F$8,MATCH($F163,'Rules of Credit'!$A$5:$A$8,0),1))+IF(OR(ISNUMBER(K163),UPPER(TRIM(K163))="N/A"),1,0)*INDEX('Rules of Credit'!$B$5:$F$8,MATCH($F163,'Rules of Credit'!$A$5:$A$8,0),2)+IF(OR(ISNUMBER(L163),UPPER(TRIM(L163))="N/A"),1,0)*INDEX('Rules of Credit'!$B$5:$F$8,MATCH($F163,'Rules of Credit'!$A$5:$A$8,0),3)+IF(OR(ISNUMBER(M163),UPPER(TRIM(M163))="N/A"),1,0)*IF($X163="N",0,INDEX('Rules of Credit'!$B$5:$F$8,MATCH($F163,'Rules of Credit'!$A$5:$A$8,0),4))+IF(OR(ISNUMBER(N163),UPPER(TRIM(N163))="N/A"),1,0)*INDEX('Rules of Credit'!$B$5:$F$8,MATCH($F163,'Rules of Credit'!$A$5:$A$8,0),5))/(IF($W163="N",0,INDEX('Rules of Credit'!$B$5:$F$8,MATCH($F163,'Rules of Credit'!$A$5:$A$8,0),1))+INDEX('Rules of Credit'!$B$5:$F$8,MATCH($F163,'Rules of Credit'!$A$5:$A$8,0),2)+INDEX('Rules of Credit'!$B$5:$F$8,MATCH($F163,'Rules of Credit'!$A$5:$A$8,0),3)+IF($X163="N",0,INDEX('Rules of Credit'!$B$5:$F$8,MATCH($F163,'Rules of Credit'!$A$5:$A$8,0),4))+INDEX('Rules of Credit'!$B$5:$F$8,MATCH($F163,'Rules of Credit'!$A$5:$A$8,0),5)),0)</f>
        <v>0</v>
      </c>
      <c r="Q163" s="163" t="n">
        <f aca="false">IF(OR($H163="",$I163=""),0,IF('Tracker Summary'!$C$3&lt;$H163,0,IF('Tracker Summary'!$C$3&gt;=$I163,1,('Tracker Summary'!$C$3-$H163)/($I163-$H163+1))))</f>
        <v>0</v>
      </c>
      <c r="R163" s="163" t="n">
        <f aca="false">P163-Q163</f>
        <v>0</v>
      </c>
      <c r="S163" s="160" t="str">
        <f aca="false">IF($I163="","Not scheduled",IF(P163&gt;=1,"Complete",IF('Tracker Summary'!$C$3&gt;$I163,"Overdue",IF(P163-Q163&lt;-0.1,"Behind",IF(AND(P163=0,'Tracker Summary'!$C$3&lt;$H163),"Not started","On track")))))</f>
        <v>Not started</v>
      </c>
      <c r="T163" s="90"/>
      <c r="U163" s="160" t="str">
        <f aca="false">IFERROR(INDEX(Schedule!$D$2:$D$147,MATCH($G163,Schedule!$A$2:$A$147,0)),"")</f>
        <v>Electrical, Instrumentation &amp; Controls — 480V service, MCC and PLC panel</v>
      </c>
      <c r="V163" s="162" t="n">
        <f aca="false">IFERROR(INDEX(Schedule!$F$2:$F$147,MATCH("26-P01",Schedule!$A$2:$A$147,0)),"")</f>
        <v>44999</v>
      </c>
      <c r="W163" s="160" t="s">
        <v>91</v>
      </c>
      <c r="X163" s="160" t="s">
        <v>91</v>
      </c>
      <c r="Y163" s="160" t="n">
        <v>0</v>
      </c>
      <c r="Z163" s="160" t="n">
        <v>0</v>
      </c>
      <c r="AA163" s="160" t="s">
        <v>802</v>
      </c>
      <c r="AB163" s="160" t="s">
        <v>803</v>
      </c>
      <c r="AC163" s="160" t="s">
        <v>92</v>
      </c>
      <c r="AD163" s="160" t="s">
        <v>93</v>
      </c>
      <c r="AE163" s="160" t="s">
        <v>804</v>
      </c>
      <c r="AF163" s="160"/>
      <c r="AG163" s="160" t="s">
        <v>805</v>
      </c>
      <c r="AH163" s="160" t="s">
        <v>95</v>
      </c>
    </row>
    <row r="164" customFormat="false" ht="15" hidden="false" customHeight="false" outlineLevel="0" collapsed="false">
      <c r="A164" s="160" t="s">
        <v>60</v>
      </c>
      <c r="B164" s="161" t="s">
        <v>37</v>
      </c>
      <c r="C164" s="160" t="s">
        <v>806</v>
      </c>
      <c r="D164" s="160" t="s">
        <v>807</v>
      </c>
      <c r="E164" s="160" t="s">
        <v>808</v>
      </c>
      <c r="F164" s="90" t="s">
        <v>234</v>
      </c>
      <c r="G164" s="160" t="s">
        <v>801</v>
      </c>
      <c r="H164" s="162" t="n">
        <f aca="false">IFERROR(INDEX(Schedule!$E$2:$E$147,MATCH($G164,Schedule!$A$2:$A$147,0)),"")</f>
        <v>45017</v>
      </c>
      <c r="I164" s="162" t="n">
        <f aca="false">IFERROR(INDEX(Schedule!$F$2:$F$147,MATCH($G164,Schedule!$A$2:$A$147,0)),"")</f>
        <v>45203</v>
      </c>
      <c r="J164" s="92"/>
      <c r="K164" s="92"/>
      <c r="L164" s="92"/>
      <c r="M164" s="92"/>
      <c r="N164" s="92"/>
      <c r="O164" s="90" t="n">
        <v>1</v>
      </c>
      <c r="P164" s="163" t="n">
        <f aca="false">IFERROR((IF(OR(ISNUMBER(J164),UPPER(TRIM(J164))="N/A"),1,0)*IF($W164="N",0,INDEX('Rules of Credit'!$B$5:$F$8,MATCH($F164,'Rules of Credit'!$A$5:$A$8,0),1))+IF(OR(ISNUMBER(K164),UPPER(TRIM(K164))="N/A"),1,0)*INDEX('Rules of Credit'!$B$5:$F$8,MATCH($F164,'Rules of Credit'!$A$5:$A$8,0),2)+IF(OR(ISNUMBER(L164),UPPER(TRIM(L164))="N/A"),1,0)*INDEX('Rules of Credit'!$B$5:$F$8,MATCH($F164,'Rules of Credit'!$A$5:$A$8,0),3)+IF(OR(ISNUMBER(M164),UPPER(TRIM(M164))="N/A"),1,0)*IF($X164="N",0,INDEX('Rules of Credit'!$B$5:$F$8,MATCH($F164,'Rules of Credit'!$A$5:$A$8,0),4))+IF(OR(ISNUMBER(N164),UPPER(TRIM(N164))="N/A"),1,0)*INDEX('Rules of Credit'!$B$5:$F$8,MATCH($F164,'Rules of Credit'!$A$5:$A$8,0),5))/(IF($W164="N",0,INDEX('Rules of Credit'!$B$5:$F$8,MATCH($F164,'Rules of Credit'!$A$5:$A$8,0),1))+INDEX('Rules of Credit'!$B$5:$F$8,MATCH($F164,'Rules of Credit'!$A$5:$A$8,0),2)+INDEX('Rules of Credit'!$B$5:$F$8,MATCH($F164,'Rules of Credit'!$A$5:$A$8,0),3)+IF($X164="N",0,INDEX('Rules of Credit'!$B$5:$F$8,MATCH($F164,'Rules of Credit'!$A$5:$A$8,0),4))+INDEX('Rules of Credit'!$B$5:$F$8,MATCH($F164,'Rules of Credit'!$A$5:$A$8,0),5)),0)</f>
        <v>0</v>
      </c>
      <c r="Q164" s="163" t="n">
        <f aca="false">IF(OR($H164="",$I164=""),0,IF('Tracker Summary'!$C$3&lt;$H164,0,IF('Tracker Summary'!$C$3&gt;=$I164,1,('Tracker Summary'!$C$3-$H164)/($I164-$H164+1))))</f>
        <v>0</v>
      </c>
      <c r="R164" s="163" t="n">
        <f aca="false">P164-Q164</f>
        <v>0</v>
      </c>
      <c r="S164" s="160" t="str">
        <f aca="false">IF($I164="","Not scheduled",IF(P164&gt;=1,"Complete",IF('Tracker Summary'!$C$3&gt;$I164,"Overdue",IF(P164-Q164&lt;-0.1,"Behind",IF(AND(P164=0,'Tracker Summary'!$C$3&lt;$H164),"Not started","On track")))))</f>
        <v>Not started</v>
      </c>
      <c r="T164" s="90"/>
      <c r="U164" s="160" t="str">
        <f aca="false">IFERROR(INDEX(Schedule!$D$2:$D$147,MATCH($G164,Schedule!$A$2:$A$147,0)),"")</f>
        <v>Electrical, Instrumentation &amp; Controls — 480V service, MCC and PLC panel</v>
      </c>
      <c r="V164" s="162" t="n">
        <f aca="false">IFERROR(INDEX(Schedule!$F$2:$F$147,MATCH("26-P01",Schedule!$A$2:$A$147,0)),"")</f>
        <v>44999</v>
      </c>
      <c r="W164" s="160" t="s">
        <v>91</v>
      </c>
      <c r="X164" s="160" t="s">
        <v>91</v>
      </c>
      <c r="Y164" s="160" t="n">
        <v>0</v>
      </c>
      <c r="Z164" s="160" t="n">
        <v>0</v>
      </c>
      <c r="AA164" s="160" t="s">
        <v>809</v>
      </c>
      <c r="AB164" s="160" t="s">
        <v>810</v>
      </c>
      <c r="AC164" s="160" t="s">
        <v>92</v>
      </c>
      <c r="AD164" s="160" t="s">
        <v>499</v>
      </c>
      <c r="AE164" s="160" t="s">
        <v>811</v>
      </c>
      <c r="AF164" s="160"/>
      <c r="AG164" s="160" t="s">
        <v>811</v>
      </c>
      <c r="AH164" s="160" t="s">
        <v>213</v>
      </c>
    </row>
    <row r="165" customFormat="false" ht="15" hidden="false" customHeight="false" outlineLevel="0" collapsed="false">
      <c r="A165" s="160" t="s">
        <v>60</v>
      </c>
      <c r="B165" s="161" t="s">
        <v>37</v>
      </c>
      <c r="C165" s="160" t="s">
        <v>812</v>
      </c>
      <c r="D165" s="160" t="s">
        <v>813</v>
      </c>
      <c r="E165" s="160" t="s">
        <v>495</v>
      </c>
      <c r="F165" s="90" t="s">
        <v>234</v>
      </c>
      <c r="G165" s="160" t="s">
        <v>801</v>
      </c>
      <c r="H165" s="162" t="n">
        <f aca="false">IFERROR(INDEX(Schedule!$E$2:$E$147,MATCH($G165,Schedule!$A$2:$A$147,0)),"")</f>
        <v>45017</v>
      </c>
      <c r="I165" s="162" t="n">
        <f aca="false">IFERROR(INDEX(Schedule!$F$2:$F$147,MATCH($G165,Schedule!$A$2:$A$147,0)),"")</f>
        <v>45203</v>
      </c>
      <c r="J165" s="92"/>
      <c r="K165" s="92"/>
      <c r="L165" s="92"/>
      <c r="M165" s="92"/>
      <c r="N165" s="92"/>
      <c r="O165" s="90" t="n">
        <v>1</v>
      </c>
      <c r="P165" s="163" t="n">
        <f aca="false">IFERROR((IF(OR(ISNUMBER(J165),UPPER(TRIM(J165))="N/A"),1,0)*IF($W165="N",0,INDEX('Rules of Credit'!$B$5:$F$8,MATCH($F165,'Rules of Credit'!$A$5:$A$8,0),1))+IF(OR(ISNUMBER(K165),UPPER(TRIM(K165))="N/A"),1,0)*INDEX('Rules of Credit'!$B$5:$F$8,MATCH($F165,'Rules of Credit'!$A$5:$A$8,0),2)+IF(OR(ISNUMBER(L165),UPPER(TRIM(L165))="N/A"),1,0)*INDEX('Rules of Credit'!$B$5:$F$8,MATCH($F165,'Rules of Credit'!$A$5:$A$8,0),3)+IF(OR(ISNUMBER(M165),UPPER(TRIM(M165))="N/A"),1,0)*IF($X165="N",0,INDEX('Rules of Credit'!$B$5:$F$8,MATCH($F165,'Rules of Credit'!$A$5:$A$8,0),4))+IF(OR(ISNUMBER(N165),UPPER(TRIM(N165))="N/A"),1,0)*INDEX('Rules of Credit'!$B$5:$F$8,MATCH($F165,'Rules of Credit'!$A$5:$A$8,0),5))/(IF($W165="N",0,INDEX('Rules of Credit'!$B$5:$F$8,MATCH($F165,'Rules of Credit'!$A$5:$A$8,0),1))+INDEX('Rules of Credit'!$B$5:$F$8,MATCH($F165,'Rules of Credit'!$A$5:$A$8,0),2)+INDEX('Rules of Credit'!$B$5:$F$8,MATCH($F165,'Rules of Credit'!$A$5:$A$8,0),3)+IF($X165="N",0,INDEX('Rules of Credit'!$B$5:$F$8,MATCH($F165,'Rules of Credit'!$A$5:$A$8,0),4))+INDEX('Rules of Credit'!$B$5:$F$8,MATCH($F165,'Rules of Credit'!$A$5:$A$8,0),5)),0)</f>
        <v>0</v>
      </c>
      <c r="Q165" s="163" t="n">
        <f aca="false">IF(OR($H165="",$I165=""),0,IF('Tracker Summary'!$C$3&lt;$H165,0,IF('Tracker Summary'!$C$3&gt;=$I165,1,('Tracker Summary'!$C$3-$H165)/($I165-$H165+1))))</f>
        <v>0</v>
      </c>
      <c r="R165" s="163" t="n">
        <f aca="false">P165-Q165</f>
        <v>0</v>
      </c>
      <c r="S165" s="160" t="str">
        <f aca="false">IF($I165="","Not scheduled",IF(P165&gt;=1,"Complete",IF('Tracker Summary'!$C$3&gt;$I165,"Overdue",IF(P165-Q165&lt;-0.1,"Behind",IF(AND(P165=0,'Tracker Summary'!$C$3&lt;$H165),"Not started","On track")))))</f>
        <v>Not started</v>
      </c>
      <c r="T165" s="90"/>
      <c r="U165" s="160" t="str">
        <f aca="false">IFERROR(INDEX(Schedule!$D$2:$D$147,MATCH($G165,Schedule!$A$2:$A$147,0)),"")</f>
        <v>Electrical, Instrumentation &amp; Controls — 480V service, MCC and PLC panel</v>
      </c>
      <c r="V165" s="162" t="n">
        <f aca="false">IFERROR(INDEX(Schedule!$F$2:$F$147,MATCH("26-P01",Schedule!$A$2:$A$147,0)),"")</f>
        <v>44999</v>
      </c>
      <c r="W165" s="160" t="s">
        <v>115</v>
      </c>
      <c r="X165" s="160" t="s">
        <v>115</v>
      </c>
      <c r="Y165" s="160" t="n">
        <v>0</v>
      </c>
      <c r="Z165" s="160" t="n">
        <v>0</v>
      </c>
      <c r="AA165" s="160"/>
      <c r="AB165" s="160"/>
      <c r="AC165" s="160" t="s">
        <v>541</v>
      </c>
      <c r="AD165" s="160" t="s">
        <v>814</v>
      </c>
      <c r="AE165" s="160" t="s">
        <v>815</v>
      </c>
      <c r="AF165" s="160" t="s">
        <v>696</v>
      </c>
      <c r="AG165" s="160" t="s">
        <v>815</v>
      </c>
      <c r="AH165" s="160" t="s">
        <v>501</v>
      </c>
    </row>
    <row r="166" customFormat="false" ht="15" hidden="false" customHeight="false" outlineLevel="0" collapsed="false">
      <c r="A166" s="160" t="s">
        <v>60</v>
      </c>
      <c r="B166" s="161" t="s">
        <v>37</v>
      </c>
      <c r="C166" s="160" t="s">
        <v>816</v>
      </c>
      <c r="D166" s="160" t="s">
        <v>817</v>
      </c>
      <c r="E166" s="160" t="s">
        <v>495</v>
      </c>
      <c r="F166" s="90" t="s">
        <v>234</v>
      </c>
      <c r="G166" s="160" t="s">
        <v>801</v>
      </c>
      <c r="H166" s="162" t="n">
        <f aca="false">IFERROR(INDEX(Schedule!$E$2:$E$147,MATCH($G166,Schedule!$A$2:$A$147,0)),"")</f>
        <v>45017</v>
      </c>
      <c r="I166" s="162" t="n">
        <f aca="false">IFERROR(INDEX(Schedule!$F$2:$F$147,MATCH($G166,Schedule!$A$2:$A$147,0)),"")</f>
        <v>45203</v>
      </c>
      <c r="J166" s="92"/>
      <c r="K166" s="92"/>
      <c r="L166" s="92"/>
      <c r="M166" s="92"/>
      <c r="N166" s="92"/>
      <c r="O166" s="90" t="n">
        <v>1</v>
      </c>
      <c r="P166" s="163" t="n">
        <f aca="false">IFERROR((IF(OR(ISNUMBER(J166),UPPER(TRIM(J166))="N/A"),1,0)*IF($W166="N",0,INDEX('Rules of Credit'!$B$5:$F$8,MATCH($F166,'Rules of Credit'!$A$5:$A$8,0),1))+IF(OR(ISNUMBER(K166),UPPER(TRIM(K166))="N/A"),1,0)*INDEX('Rules of Credit'!$B$5:$F$8,MATCH($F166,'Rules of Credit'!$A$5:$A$8,0),2)+IF(OR(ISNUMBER(L166),UPPER(TRIM(L166))="N/A"),1,0)*INDEX('Rules of Credit'!$B$5:$F$8,MATCH($F166,'Rules of Credit'!$A$5:$A$8,0),3)+IF(OR(ISNUMBER(M166),UPPER(TRIM(M166))="N/A"),1,0)*IF($X166="N",0,INDEX('Rules of Credit'!$B$5:$F$8,MATCH($F166,'Rules of Credit'!$A$5:$A$8,0),4))+IF(OR(ISNUMBER(N166),UPPER(TRIM(N166))="N/A"),1,0)*INDEX('Rules of Credit'!$B$5:$F$8,MATCH($F166,'Rules of Credit'!$A$5:$A$8,0),5))/(IF($W166="N",0,INDEX('Rules of Credit'!$B$5:$F$8,MATCH($F166,'Rules of Credit'!$A$5:$A$8,0),1))+INDEX('Rules of Credit'!$B$5:$F$8,MATCH($F166,'Rules of Credit'!$A$5:$A$8,0),2)+INDEX('Rules of Credit'!$B$5:$F$8,MATCH($F166,'Rules of Credit'!$A$5:$A$8,0),3)+IF($X166="N",0,INDEX('Rules of Credit'!$B$5:$F$8,MATCH($F166,'Rules of Credit'!$A$5:$A$8,0),4))+INDEX('Rules of Credit'!$B$5:$F$8,MATCH($F166,'Rules of Credit'!$A$5:$A$8,0),5)),0)</f>
        <v>0</v>
      </c>
      <c r="Q166" s="163" t="n">
        <f aca="false">IF(OR($H166="",$I166=""),0,IF('Tracker Summary'!$C$3&lt;$H166,0,IF('Tracker Summary'!$C$3&gt;=$I166,1,('Tracker Summary'!$C$3-$H166)/($I166-$H166+1))))</f>
        <v>0</v>
      </c>
      <c r="R166" s="163" t="n">
        <f aca="false">P166-Q166</f>
        <v>0</v>
      </c>
      <c r="S166" s="160" t="str">
        <f aca="false">IF($I166="","Not scheduled",IF(P166&gt;=1,"Complete",IF('Tracker Summary'!$C$3&gt;$I166,"Overdue",IF(P166-Q166&lt;-0.1,"Behind",IF(AND(P166=0,'Tracker Summary'!$C$3&lt;$H166),"Not started","On track")))))</f>
        <v>Not started</v>
      </c>
      <c r="T166" s="90"/>
      <c r="U166" s="160" t="str">
        <f aca="false">IFERROR(INDEX(Schedule!$D$2:$D$147,MATCH($G166,Schedule!$A$2:$A$147,0)),"")</f>
        <v>Electrical, Instrumentation &amp; Controls — 480V service, MCC and PLC panel</v>
      </c>
      <c r="V166" s="162" t="n">
        <f aca="false">IFERROR(INDEX(Schedule!$F$2:$F$147,MATCH("26-P01",Schedule!$A$2:$A$147,0)),"")</f>
        <v>44999</v>
      </c>
      <c r="W166" s="160" t="s">
        <v>91</v>
      </c>
      <c r="X166" s="160" t="s">
        <v>99</v>
      </c>
      <c r="Y166" s="160" t="n">
        <v>0</v>
      </c>
      <c r="Z166" s="160" t="n">
        <v>3</v>
      </c>
      <c r="AA166" s="160"/>
      <c r="AB166" s="160"/>
      <c r="AC166" s="160" t="s">
        <v>541</v>
      </c>
      <c r="AD166" s="160" t="s">
        <v>499</v>
      </c>
      <c r="AE166" s="160" t="s">
        <v>818</v>
      </c>
      <c r="AF166" s="160" t="s">
        <v>819</v>
      </c>
      <c r="AG166" s="160" t="s">
        <v>818</v>
      </c>
      <c r="AH166" s="160" t="s">
        <v>501</v>
      </c>
    </row>
    <row r="167" customFormat="false" ht="15" hidden="false" customHeight="false" outlineLevel="0" collapsed="false">
      <c r="A167" s="160" t="s">
        <v>60</v>
      </c>
      <c r="B167" s="161" t="s">
        <v>37</v>
      </c>
      <c r="C167" s="160" t="s">
        <v>820</v>
      </c>
      <c r="D167" s="160" t="s">
        <v>821</v>
      </c>
      <c r="E167" s="160" t="s">
        <v>495</v>
      </c>
      <c r="F167" s="90" t="s">
        <v>234</v>
      </c>
      <c r="G167" s="160" t="s">
        <v>801</v>
      </c>
      <c r="H167" s="162" t="n">
        <f aca="false">IFERROR(INDEX(Schedule!$E$2:$E$147,MATCH($G167,Schedule!$A$2:$A$147,0)),"")</f>
        <v>45017</v>
      </c>
      <c r="I167" s="162" t="n">
        <f aca="false">IFERROR(INDEX(Schedule!$F$2:$F$147,MATCH($G167,Schedule!$A$2:$A$147,0)),"")</f>
        <v>45203</v>
      </c>
      <c r="J167" s="92"/>
      <c r="K167" s="92"/>
      <c r="L167" s="92"/>
      <c r="M167" s="92"/>
      <c r="N167" s="92"/>
      <c r="O167" s="90" t="n">
        <v>1</v>
      </c>
      <c r="P167" s="163" t="n">
        <f aca="false">IFERROR((IF(OR(ISNUMBER(J167),UPPER(TRIM(J167))="N/A"),1,0)*IF($W167="N",0,INDEX('Rules of Credit'!$B$5:$F$8,MATCH($F167,'Rules of Credit'!$A$5:$A$8,0),1))+IF(OR(ISNUMBER(K167),UPPER(TRIM(K167))="N/A"),1,0)*INDEX('Rules of Credit'!$B$5:$F$8,MATCH($F167,'Rules of Credit'!$A$5:$A$8,0),2)+IF(OR(ISNUMBER(L167),UPPER(TRIM(L167))="N/A"),1,0)*INDEX('Rules of Credit'!$B$5:$F$8,MATCH($F167,'Rules of Credit'!$A$5:$A$8,0),3)+IF(OR(ISNUMBER(M167),UPPER(TRIM(M167))="N/A"),1,0)*IF($X167="N",0,INDEX('Rules of Credit'!$B$5:$F$8,MATCH($F167,'Rules of Credit'!$A$5:$A$8,0),4))+IF(OR(ISNUMBER(N167),UPPER(TRIM(N167))="N/A"),1,0)*INDEX('Rules of Credit'!$B$5:$F$8,MATCH($F167,'Rules of Credit'!$A$5:$A$8,0),5))/(IF($W167="N",0,INDEX('Rules of Credit'!$B$5:$F$8,MATCH($F167,'Rules of Credit'!$A$5:$A$8,0),1))+INDEX('Rules of Credit'!$B$5:$F$8,MATCH($F167,'Rules of Credit'!$A$5:$A$8,0),2)+INDEX('Rules of Credit'!$B$5:$F$8,MATCH($F167,'Rules of Credit'!$A$5:$A$8,0),3)+IF($X167="N",0,INDEX('Rules of Credit'!$B$5:$F$8,MATCH($F167,'Rules of Credit'!$A$5:$A$8,0),4))+INDEX('Rules of Credit'!$B$5:$F$8,MATCH($F167,'Rules of Credit'!$A$5:$A$8,0),5)),0)</f>
        <v>0</v>
      </c>
      <c r="Q167" s="163" t="n">
        <f aca="false">IF(OR($H167="",$I167=""),0,IF('Tracker Summary'!$C$3&lt;$H167,0,IF('Tracker Summary'!$C$3&gt;=$I167,1,('Tracker Summary'!$C$3-$H167)/($I167-$H167+1))))</f>
        <v>0</v>
      </c>
      <c r="R167" s="163" t="n">
        <f aca="false">P167-Q167</f>
        <v>0</v>
      </c>
      <c r="S167" s="160" t="str">
        <f aca="false">IF($I167="","Not scheduled",IF(P167&gt;=1,"Complete",IF('Tracker Summary'!$C$3&gt;$I167,"Overdue",IF(P167-Q167&lt;-0.1,"Behind",IF(AND(P167=0,'Tracker Summary'!$C$3&lt;$H167),"Not started","On track")))))</f>
        <v>Not started</v>
      </c>
      <c r="T167" s="90"/>
      <c r="U167" s="160" t="str">
        <f aca="false">IFERROR(INDEX(Schedule!$D$2:$D$147,MATCH($G167,Schedule!$A$2:$A$147,0)),"")</f>
        <v>Electrical, Instrumentation &amp; Controls — 480V service, MCC and PLC panel</v>
      </c>
      <c r="V167" s="162" t="n">
        <f aca="false">IFERROR(INDEX(Schedule!$F$2:$F$147,MATCH("26-P01",Schedule!$A$2:$A$147,0)),"")</f>
        <v>44999</v>
      </c>
      <c r="W167" s="160" t="s">
        <v>115</v>
      </c>
      <c r="X167" s="160" t="s">
        <v>115</v>
      </c>
      <c r="Y167" s="160" t="n">
        <v>0</v>
      </c>
      <c r="Z167" s="160" t="n">
        <v>0</v>
      </c>
      <c r="AA167" s="160"/>
      <c r="AB167" s="160"/>
      <c r="AC167" s="160" t="s">
        <v>498</v>
      </c>
      <c r="AD167" s="160" t="s">
        <v>499</v>
      </c>
      <c r="AE167" s="160" t="s">
        <v>822</v>
      </c>
      <c r="AF167" s="160" t="s">
        <v>696</v>
      </c>
      <c r="AG167" s="160" t="s">
        <v>822</v>
      </c>
      <c r="AH167" s="160" t="s">
        <v>501</v>
      </c>
    </row>
    <row r="168" customFormat="false" ht="15" hidden="false" customHeight="false" outlineLevel="0" collapsed="false">
      <c r="A168" s="160" t="s">
        <v>60</v>
      </c>
      <c r="B168" s="161" t="s">
        <v>37</v>
      </c>
      <c r="C168" s="160" t="s">
        <v>823</v>
      </c>
      <c r="D168" s="160" t="s">
        <v>824</v>
      </c>
      <c r="E168" s="160" t="s">
        <v>495</v>
      </c>
      <c r="F168" s="90" t="s">
        <v>234</v>
      </c>
      <c r="G168" s="160" t="s">
        <v>801</v>
      </c>
      <c r="H168" s="162" t="n">
        <f aca="false">IFERROR(INDEX(Schedule!$E$2:$E$147,MATCH($G168,Schedule!$A$2:$A$147,0)),"")</f>
        <v>45017</v>
      </c>
      <c r="I168" s="162" t="n">
        <f aca="false">IFERROR(INDEX(Schedule!$F$2:$F$147,MATCH($G168,Schedule!$A$2:$A$147,0)),"")</f>
        <v>45203</v>
      </c>
      <c r="J168" s="92"/>
      <c r="K168" s="92"/>
      <c r="L168" s="92"/>
      <c r="M168" s="92"/>
      <c r="N168" s="92"/>
      <c r="O168" s="90" t="n">
        <v>1</v>
      </c>
      <c r="P168" s="163" t="n">
        <f aca="false">IFERROR((IF(OR(ISNUMBER(J168),UPPER(TRIM(J168))="N/A"),1,0)*IF($W168="N",0,INDEX('Rules of Credit'!$B$5:$F$8,MATCH($F168,'Rules of Credit'!$A$5:$A$8,0),1))+IF(OR(ISNUMBER(K168),UPPER(TRIM(K168))="N/A"),1,0)*INDEX('Rules of Credit'!$B$5:$F$8,MATCH($F168,'Rules of Credit'!$A$5:$A$8,0),2)+IF(OR(ISNUMBER(L168),UPPER(TRIM(L168))="N/A"),1,0)*INDEX('Rules of Credit'!$B$5:$F$8,MATCH($F168,'Rules of Credit'!$A$5:$A$8,0),3)+IF(OR(ISNUMBER(M168),UPPER(TRIM(M168))="N/A"),1,0)*IF($X168="N",0,INDEX('Rules of Credit'!$B$5:$F$8,MATCH($F168,'Rules of Credit'!$A$5:$A$8,0),4))+IF(OR(ISNUMBER(N168),UPPER(TRIM(N168))="N/A"),1,0)*INDEX('Rules of Credit'!$B$5:$F$8,MATCH($F168,'Rules of Credit'!$A$5:$A$8,0),5))/(IF($W168="N",0,INDEX('Rules of Credit'!$B$5:$F$8,MATCH($F168,'Rules of Credit'!$A$5:$A$8,0),1))+INDEX('Rules of Credit'!$B$5:$F$8,MATCH($F168,'Rules of Credit'!$A$5:$A$8,0),2)+INDEX('Rules of Credit'!$B$5:$F$8,MATCH($F168,'Rules of Credit'!$A$5:$A$8,0),3)+IF($X168="N",0,INDEX('Rules of Credit'!$B$5:$F$8,MATCH($F168,'Rules of Credit'!$A$5:$A$8,0),4))+INDEX('Rules of Credit'!$B$5:$F$8,MATCH($F168,'Rules of Credit'!$A$5:$A$8,0),5)),0)</f>
        <v>0</v>
      </c>
      <c r="Q168" s="163" t="n">
        <f aca="false">IF(OR($H168="",$I168=""),0,IF('Tracker Summary'!$C$3&lt;$H168,0,IF('Tracker Summary'!$C$3&gt;=$I168,1,('Tracker Summary'!$C$3-$H168)/($I168-$H168+1))))</f>
        <v>0</v>
      </c>
      <c r="R168" s="163" t="n">
        <f aca="false">P168-Q168</f>
        <v>0</v>
      </c>
      <c r="S168" s="160" t="str">
        <f aca="false">IF($I168="","Not scheduled",IF(P168&gt;=1,"Complete",IF('Tracker Summary'!$C$3&gt;$I168,"Overdue",IF(P168-Q168&lt;-0.1,"Behind",IF(AND(P168=0,'Tracker Summary'!$C$3&lt;$H168),"Not started","On track")))))</f>
        <v>Not started</v>
      </c>
      <c r="T168" s="90"/>
      <c r="U168" s="160" t="str">
        <f aca="false">IFERROR(INDEX(Schedule!$D$2:$D$147,MATCH($G168,Schedule!$A$2:$A$147,0)),"")</f>
        <v>Electrical, Instrumentation &amp; Controls — 480V service, MCC and PLC panel</v>
      </c>
      <c r="V168" s="162" t="n">
        <f aca="false">IFERROR(INDEX(Schedule!$F$2:$F$147,MATCH("26-P01",Schedule!$A$2:$A$147,0)),"")</f>
        <v>44999</v>
      </c>
      <c r="W168" s="160" t="s">
        <v>99</v>
      </c>
      <c r="X168" s="160" t="s">
        <v>99</v>
      </c>
      <c r="Y168" s="160" t="n">
        <v>3</v>
      </c>
      <c r="Z168" s="160" t="n">
        <v>3</v>
      </c>
      <c r="AA168" s="160" t="s">
        <v>825</v>
      </c>
      <c r="AB168" s="160" t="s">
        <v>826</v>
      </c>
      <c r="AC168" s="160" t="s">
        <v>120</v>
      </c>
      <c r="AD168" s="160" t="s">
        <v>827</v>
      </c>
      <c r="AE168" s="160" t="s">
        <v>828</v>
      </c>
      <c r="AF168" s="160" t="s">
        <v>829</v>
      </c>
      <c r="AG168" s="160" t="s">
        <v>830</v>
      </c>
      <c r="AH168" s="160" t="s">
        <v>501</v>
      </c>
    </row>
    <row r="169" customFormat="false" ht="15" hidden="false" customHeight="false" outlineLevel="0" collapsed="false">
      <c r="A169" s="160" t="s">
        <v>60</v>
      </c>
      <c r="B169" s="161" t="s">
        <v>37</v>
      </c>
      <c r="C169" s="160" t="s">
        <v>831</v>
      </c>
      <c r="D169" s="160" t="s">
        <v>832</v>
      </c>
      <c r="E169" s="160" t="s">
        <v>495</v>
      </c>
      <c r="F169" s="90" t="s">
        <v>234</v>
      </c>
      <c r="G169" s="160" t="s">
        <v>801</v>
      </c>
      <c r="H169" s="162" t="n">
        <f aca="false">IFERROR(INDEX(Schedule!$E$2:$E$147,MATCH($G169,Schedule!$A$2:$A$147,0)),"")</f>
        <v>45017</v>
      </c>
      <c r="I169" s="162" t="n">
        <f aca="false">IFERROR(INDEX(Schedule!$F$2:$F$147,MATCH($G169,Schedule!$A$2:$A$147,0)),"")</f>
        <v>45203</v>
      </c>
      <c r="J169" s="92"/>
      <c r="K169" s="92"/>
      <c r="L169" s="92"/>
      <c r="M169" s="92"/>
      <c r="N169" s="92"/>
      <c r="O169" s="90" t="n">
        <v>1</v>
      </c>
      <c r="P169" s="163" t="n">
        <f aca="false">IFERROR((IF(OR(ISNUMBER(J169),UPPER(TRIM(J169))="N/A"),1,0)*IF($W169="N",0,INDEX('Rules of Credit'!$B$5:$F$8,MATCH($F169,'Rules of Credit'!$A$5:$A$8,0),1))+IF(OR(ISNUMBER(K169),UPPER(TRIM(K169))="N/A"),1,0)*INDEX('Rules of Credit'!$B$5:$F$8,MATCH($F169,'Rules of Credit'!$A$5:$A$8,0),2)+IF(OR(ISNUMBER(L169),UPPER(TRIM(L169))="N/A"),1,0)*INDEX('Rules of Credit'!$B$5:$F$8,MATCH($F169,'Rules of Credit'!$A$5:$A$8,0),3)+IF(OR(ISNUMBER(M169),UPPER(TRIM(M169))="N/A"),1,0)*IF($X169="N",0,INDEX('Rules of Credit'!$B$5:$F$8,MATCH($F169,'Rules of Credit'!$A$5:$A$8,0),4))+IF(OR(ISNUMBER(N169),UPPER(TRIM(N169))="N/A"),1,0)*INDEX('Rules of Credit'!$B$5:$F$8,MATCH($F169,'Rules of Credit'!$A$5:$A$8,0),5))/(IF($W169="N",0,INDEX('Rules of Credit'!$B$5:$F$8,MATCH($F169,'Rules of Credit'!$A$5:$A$8,0),1))+INDEX('Rules of Credit'!$B$5:$F$8,MATCH($F169,'Rules of Credit'!$A$5:$A$8,0),2)+INDEX('Rules of Credit'!$B$5:$F$8,MATCH($F169,'Rules of Credit'!$A$5:$A$8,0),3)+IF($X169="N",0,INDEX('Rules of Credit'!$B$5:$F$8,MATCH($F169,'Rules of Credit'!$A$5:$A$8,0),4))+INDEX('Rules of Credit'!$B$5:$F$8,MATCH($F169,'Rules of Credit'!$A$5:$A$8,0),5)),0)</f>
        <v>0</v>
      </c>
      <c r="Q169" s="163" t="n">
        <f aca="false">IF(OR($H169="",$I169=""),0,IF('Tracker Summary'!$C$3&lt;$H169,0,IF('Tracker Summary'!$C$3&gt;=$I169,1,('Tracker Summary'!$C$3-$H169)/($I169-$H169+1))))</f>
        <v>0</v>
      </c>
      <c r="R169" s="163" t="n">
        <f aca="false">P169-Q169</f>
        <v>0</v>
      </c>
      <c r="S169" s="160" t="str">
        <f aca="false">IF($I169="","Not scheduled",IF(P169&gt;=1,"Complete",IF('Tracker Summary'!$C$3&gt;$I169,"Overdue",IF(P169-Q169&lt;-0.1,"Behind",IF(AND(P169=0,'Tracker Summary'!$C$3&lt;$H169),"Not started","On track")))))</f>
        <v>Not started</v>
      </c>
      <c r="T169" s="90"/>
      <c r="U169" s="160" t="str">
        <f aca="false">IFERROR(INDEX(Schedule!$D$2:$D$147,MATCH($G169,Schedule!$A$2:$A$147,0)),"")</f>
        <v>Electrical, Instrumentation &amp; Controls — 480V service, MCC and PLC panel</v>
      </c>
      <c r="V169" s="162" t="n">
        <f aca="false">IFERROR(INDEX(Schedule!$F$2:$F$147,MATCH("26-P01",Schedule!$A$2:$A$147,0)),"")</f>
        <v>44999</v>
      </c>
      <c r="W169" s="160" t="s">
        <v>99</v>
      </c>
      <c r="X169" s="160" t="s">
        <v>99</v>
      </c>
      <c r="Y169" s="160" t="n">
        <v>3</v>
      </c>
      <c r="Z169" s="160" t="n">
        <v>1</v>
      </c>
      <c r="AA169" s="160"/>
      <c r="AB169" s="160"/>
      <c r="AC169" s="160" t="s">
        <v>92</v>
      </c>
      <c r="AD169" s="160" t="s">
        <v>499</v>
      </c>
      <c r="AE169" s="160" t="s">
        <v>833</v>
      </c>
      <c r="AF169" s="160" t="s">
        <v>720</v>
      </c>
      <c r="AG169" s="160" t="s">
        <v>834</v>
      </c>
      <c r="AH169" s="160" t="s">
        <v>501</v>
      </c>
    </row>
    <row r="170" customFormat="false" ht="15" hidden="false" customHeight="false" outlineLevel="0" collapsed="false">
      <c r="A170" s="160" t="s">
        <v>60</v>
      </c>
      <c r="B170" s="161" t="s">
        <v>37</v>
      </c>
      <c r="C170" s="160" t="s">
        <v>835</v>
      </c>
      <c r="D170" s="160" t="s">
        <v>836</v>
      </c>
      <c r="E170" s="160" t="s">
        <v>495</v>
      </c>
      <c r="F170" s="90" t="s">
        <v>234</v>
      </c>
      <c r="G170" s="160" t="s">
        <v>801</v>
      </c>
      <c r="H170" s="162" t="n">
        <f aca="false">IFERROR(INDEX(Schedule!$E$2:$E$147,MATCH($G170,Schedule!$A$2:$A$147,0)),"")</f>
        <v>45017</v>
      </c>
      <c r="I170" s="162" t="n">
        <f aca="false">IFERROR(INDEX(Schedule!$F$2:$F$147,MATCH($G170,Schedule!$A$2:$A$147,0)),"")</f>
        <v>45203</v>
      </c>
      <c r="J170" s="92"/>
      <c r="K170" s="92"/>
      <c r="L170" s="92"/>
      <c r="M170" s="92"/>
      <c r="N170" s="92"/>
      <c r="O170" s="90" t="n">
        <v>1</v>
      </c>
      <c r="P170" s="163" t="n">
        <f aca="false">IFERROR((IF(OR(ISNUMBER(J170),UPPER(TRIM(J170))="N/A"),1,0)*IF($W170="N",0,INDEX('Rules of Credit'!$B$5:$F$8,MATCH($F170,'Rules of Credit'!$A$5:$A$8,0),1))+IF(OR(ISNUMBER(K170),UPPER(TRIM(K170))="N/A"),1,0)*INDEX('Rules of Credit'!$B$5:$F$8,MATCH($F170,'Rules of Credit'!$A$5:$A$8,0),2)+IF(OR(ISNUMBER(L170),UPPER(TRIM(L170))="N/A"),1,0)*INDEX('Rules of Credit'!$B$5:$F$8,MATCH($F170,'Rules of Credit'!$A$5:$A$8,0),3)+IF(OR(ISNUMBER(M170),UPPER(TRIM(M170))="N/A"),1,0)*IF($X170="N",0,INDEX('Rules of Credit'!$B$5:$F$8,MATCH($F170,'Rules of Credit'!$A$5:$A$8,0),4))+IF(OR(ISNUMBER(N170),UPPER(TRIM(N170))="N/A"),1,0)*INDEX('Rules of Credit'!$B$5:$F$8,MATCH($F170,'Rules of Credit'!$A$5:$A$8,0),5))/(IF($W170="N",0,INDEX('Rules of Credit'!$B$5:$F$8,MATCH($F170,'Rules of Credit'!$A$5:$A$8,0),1))+INDEX('Rules of Credit'!$B$5:$F$8,MATCH($F170,'Rules of Credit'!$A$5:$A$8,0),2)+INDEX('Rules of Credit'!$B$5:$F$8,MATCH($F170,'Rules of Credit'!$A$5:$A$8,0),3)+IF($X170="N",0,INDEX('Rules of Credit'!$B$5:$F$8,MATCH($F170,'Rules of Credit'!$A$5:$A$8,0),4))+INDEX('Rules of Credit'!$B$5:$F$8,MATCH($F170,'Rules of Credit'!$A$5:$A$8,0),5)),0)</f>
        <v>0</v>
      </c>
      <c r="Q170" s="163" t="n">
        <f aca="false">IF(OR($H170="",$I170=""),0,IF('Tracker Summary'!$C$3&lt;$H170,0,IF('Tracker Summary'!$C$3&gt;=$I170,1,('Tracker Summary'!$C$3-$H170)/($I170-$H170+1))))</f>
        <v>0</v>
      </c>
      <c r="R170" s="163" t="n">
        <f aca="false">P170-Q170</f>
        <v>0</v>
      </c>
      <c r="S170" s="160" t="str">
        <f aca="false">IF($I170="","Not scheduled",IF(P170&gt;=1,"Complete",IF('Tracker Summary'!$C$3&gt;$I170,"Overdue",IF(P170-Q170&lt;-0.1,"Behind",IF(AND(P170=0,'Tracker Summary'!$C$3&lt;$H170),"Not started","On track")))))</f>
        <v>Not started</v>
      </c>
      <c r="T170" s="90"/>
      <c r="U170" s="160" t="str">
        <f aca="false">IFERROR(INDEX(Schedule!$D$2:$D$147,MATCH($G170,Schedule!$A$2:$A$147,0)),"")</f>
        <v>Electrical, Instrumentation &amp; Controls — 480V service, MCC and PLC panel</v>
      </c>
      <c r="V170" s="162" t="n">
        <f aca="false">IFERROR(INDEX(Schedule!$F$2:$F$147,MATCH("26-P01",Schedule!$A$2:$A$147,0)),"")</f>
        <v>44999</v>
      </c>
      <c r="W170" s="160" t="s">
        <v>99</v>
      </c>
      <c r="X170" s="160" t="s">
        <v>91</v>
      </c>
      <c r="Y170" s="160" t="n">
        <v>2</v>
      </c>
      <c r="Z170" s="160" t="n">
        <v>0</v>
      </c>
      <c r="AA170" s="160"/>
      <c r="AB170" s="160"/>
      <c r="AC170" s="160" t="s">
        <v>92</v>
      </c>
      <c r="AD170" s="160" t="s">
        <v>499</v>
      </c>
      <c r="AE170" s="160" t="s">
        <v>818</v>
      </c>
      <c r="AF170" s="160" t="s">
        <v>763</v>
      </c>
      <c r="AG170" s="160" t="s">
        <v>837</v>
      </c>
      <c r="AH170" s="160" t="s">
        <v>501</v>
      </c>
    </row>
    <row r="171" customFormat="false" ht="15" hidden="false" customHeight="false" outlineLevel="0" collapsed="false">
      <c r="A171" s="160" t="s">
        <v>60</v>
      </c>
      <c r="B171" s="161" t="s">
        <v>37</v>
      </c>
      <c r="C171" s="160" t="s">
        <v>838</v>
      </c>
      <c r="D171" s="160" t="s">
        <v>839</v>
      </c>
      <c r="E171" s="160" t="s">
        <v>840</v>
      </c>
      <c r="F171" s="90" t="s">
        <v>216</v>
      </c>
      <c r="G171" s="160" t="s">
        <v>801</v>
      </c>
      <c r="H171" s="162" t="n">
        <f aca="false">IFERROR(INDEX(Schedule!$E$2:$E$147,MATCH($G171,Schedule!$A$2:$A$147,0)),"")</f>
        <v>45017</v>
      </c>
      <c r="I171" s="162" t="n">
        <f aca="false">IFERROR(INDEX(Schedule!$F$2:$F$147,MATCH($G171,Schedule!$A$2:$A$147,0)),"")</f>
        <v>45203</v>
      </c>
      <c r="J171" s="92"/>
      <c r="K171" s="92"/>
      <c r="L171" s="92"/>
      <c r="M171" s="92"/>
      <c r="N171" s="92"/>
      <c r="O171" s="90" t="n">
        <v>1</v>
      </c>
      <c r="P171" s="163" t="n">
        <f aca="false">IFERROR((IF(OR(ISNUMBER(J171),UPPER(TRIM(J171))="N/A"),1,0)*IF($W171="N",0,INDEX('Rules of Credit'!$B$5:$F$8,MATCH($F171,'Rules of Credit'!$A$5:$A$8,0),1))+IF(OR(ISNUMBER(K171),UPPER(TRIM(K171))="N/A"),1,0)*INDEX('Rules of Credit'!$B$5:$F$8,MATCH($F171,'Rules of Credit'!$A$5:$A$8,0),2)+IF(OR(ISNUMBER(L171),UPPER(TRIM(L171))="N/A"),1,0)*INDEX('Rules of Credit'!$B$5:$F$8,MATCH($F171,'Rules of Credit'!$A$5:$A$8,0),3)+IF(OR(ISNUMBER(M171),UPPER(TRIM(M171))="N/A"),1,0)*IF($X171="N",0,INDEX('Rules of Credit'!$B$5:$F$8,MATCH($F171,'Rules of Credit'!$A$5:$A$8,0),4))+IF(OR(ISNUMBER(N171),UPPER(TRIM(N171))="N/A"),1,0)*INDEX('Rules of Credit'!$B$5:$F$8,MATCH($F171,'Rules of Credit'!$A$5:$A$8,0),5))/(IF($W171="N",0,INDEX('Rules of Credit'!$B$5:$F$8,MATCH($F171,'Rules of Credit'!$A$5:$A$8,0),1))+INDEX('Rules of Credit'!$B$5:$F$8,MATCH($F171,'Rules of Credit'!$A$5:$A$8,0),2)+INDEX('Rules of Credit'!$B$5:$F$8,MATCH($F171,'Rules of Credit'!$A$5:$A$8,0),3)+IF($X171="N",0,INDEX('Rules of Credit'!$B$5:$F$8,MATCH($F171,'Rules of Credit'!$A$5:$A$8,0),4))+INDEX('Rules of Credit'!$B$5:$F$8,MATCH($F171,'Rules of Credit'!$A$5:$A$8,0),5)),0)</f>
        <v>0</v>
      </c>
      <c r="Q171" s="163" t="n">
        <f aca="false">IF(OR($H171="",$I171=""),0,IF('Tracker Summary'!$C$3&lt;$H171,0,IF('Tracker Summary'!$C$3&gt;=$I171,1,('Tracker Summary'!$C$3-$H171)/($I171-$H171+1))))</f>
        <v>0</v>
      </c>
      <c r="R171" s="163" t="n">
        <f aca="false">P171-Q171</f>
        <v>0</v>
      </c>
      <c r="S171" s="160" t="str">
        <f aca="false">IF($I171="","Not scheduled",IF(P171&gt;=1,"Complete",IF('Tracker Summary'!$C$3&gt;$I171,"Overdue",IF(P171-Q171&lt;-0.1,"Behind",IF(AND(P171=0,'Tracker Summary'!$C$3&lt;$H171),"Not started","On track")))))</f>
        <v>Not started</v>
      </c>
      <c r="T171" s="90"/>
      <c r="U171" s="160" t="str">
        <f aca="false">IFERROR(INDEX(Schedule!$D$2:$D$147,MATCH($G171,Schedule!$A$2:$A$147,0)),"")</f>
        <v>Electrical, Instrumentation &amp; Controls — 480V service, MCC and PLC panel</v>
      </c>
      <c r="V171" s="162" t="n">
        <f aca="false">IFERROR(INDEX(Schedule!$F$2:$F$147,MATCH("26-P01",Schedule!$A$2:$A$147,0)),"")</f>
        <v>44999</v>
      </c>
      <c r="W171" s="160" t="s">
        <v>91</v>
      </c>
      <c r="X171" s="160" t="s">
        <v>91</v>
      </c>
      <c r="Y171" s="160" t="n">
        <v>0</v>
      </c>
      <c r="Z171" s="160" t="n">
        <v>0</v>
      </c>
      <c r="AA171" s="160"/>
      <c r="AB171" s="160"/>
      <c r="AC171" s="160" t="s">
        <v>498</v>
      </c>
      <c r="AD171" s="160" t="s">
        <v>499</v>
      </c>
      <c r="AE171" s="160" t="s">
        <v>841</v>
      </c>
      <c r="AF171" s="160" t="s">
        <v>748</v>
      </c>
      <c r="AG171" s="160" t="s">
        <v>841</v>
      </c>
      <c r="AH171" s="160" t="s">
        <v>501</v>
      </c>
    </row>
    <row r="172" customFormat="false" ht="15" hidden="false" customHeight="false" outlineLevel="0" collapsed="false">
      <c r="A172" s="160" t="s">
        <v>60</v>
      </c>
      <c r="B172" s="161" t="s">
        <v>37</v>
      </c>
      <c r="C172" s="160" t="s">
        <v>842</v>
      </c>
      <c r="D172" s="160" t="s">
        <v>843</v>
      </c>
      <c r="E172" s="160" t="s">
        <v>844</v>
      </c>
      <c r="F172" s="90" t="s">
        <v>234</v>
      </c>
      <c r="G172" s="160" t="s">
        <v>801</v>
      </c>
      <c r="H172" s="162" t="n">
        <f aca="false">IFERROR(INDEX(Schedule!$E$2:$E$147,MATCH($G172,Schedule!$A$2:$A$147,0)),"")</f>
        <v>45017</v>
      </c>
      <c r="I172" s="162" t="n">
        <f aca="false">IFERROR(INDEX(Schedule!$F$2:$F$147,MATCH($G172,Schedule!$A$2:$A$147,0)),"")</f>
        <v>45203</v>
      </c>
      <c r="J172" s="92"/>
      <c r="K172" s="92"/>
      <c r="L172" s="92"/>
      <c r="M172" s="92"/>
      <c r="N172" s="92"/>
      <c r="O172" s="90" t="n">
        <v>1</v>
      </c>
      <c r="P172" s="163" t="n">
        <f aca="false">IFERROR((IF(OR(ISNUMBER(J172),UPPER(TRIM(J172))="N/A"),1,0)*IF($W172="N",0,INDEX('Rules of Credit'!$B$5:$F$8,MATCH($F172,'Rules of Credit'!$A$5:$A$8,0),1))+IF(OR(ISNUMBER(K172),UPPER(TRIM(K172))="N/A"),1,0)*INDEX('Rules of Credit'!$B$5:$F$8,MATCH($F172,'Rules of Credit'!$A$5:$A$8,0),2)+IF(OR(ISNUMBER(L172),UPPER(TRIM(L172))="N/A"),1,0)*INDEX('Rules of Credit'!$B$5:$F$8,MATCH($F172,'Rules of Credit'!$A$5:$A$8,0),3)+IF(OR(ISNUMBER(M172),UPPER(TRIM(M172))="N/A"),1,0)*IF($X172="N",0,INDEX('Rules of Credit'!$B$5:$F$8,MATCH($F172,'Rules of Credit'!$A$5:$A$8,0),4))+IF(OR(ISNUMBER(N172),UPPER(TRIM(N172))="N/A"),1,0)*INDEX('Rules of Credit'!$B$5:$F$8,MATCH($F172,'Rules of Credit'!$A$5:$A$8,0),5))/(IF($W172="N",0,INDEX('Rules of Credit'!$B$5:$F$8,MATCH($F172,'Rules of Credit'!$A$5:$A$8,0),1))+INDEX('Rules of Credit'!$B$5:$F$8,MATCH($F172,'Rules of Credit'!$A$5:$A$8,0),2)+INDEX('Rules of Credit'!$B$5:$F$8,MATCH($F172,'Rules of Credit'!$A$5:$A$8,0),3)+IF($X172="N",0,INDEX('Rules of Credit'!$B$5:$F$8,MATCH($F172,'Rules of Credit'!$A$5:$A$8,0),4))+INDEX('Rules of Credit'!$B$5:$F$8,MATCH($F172,'Rules of Credit'!$A$5:$A$8,0),5)),0)</f>
        <v>0</v>
      </c>
      <c r="Q172" s="163" t="n">
        <f aca="false">IF(OR($H172="",$I172=""),0,IF('Tracker Summary'!$C$3&lt;$H172,0,IF('Tracker Summary'!$C$3&gt;=$I172,1,('Tracker Summary'!$C$3-$H172)/($I172-$H172+1))))</f>
        <v>0</v>
      </c>
      <c r="R172" s="163" t="n">
        <f aca="false">P172-Q172</f>
        <v>0</v>
      </c>
      <c r="S172" s="160" t="str">
        <f aca="false">IF($I172="","Not scheduled",IF(P172&gt;=1,"Complete",IF('Tracker Summary'!$C$3&gt;$I172,"Overdue",IF(P172-Q172&lt;-0.1,"Behind",IF(AND(P172=0,'Tracker Summary'!$C$3&lt;$H172),"Not started","On track")))))</f>
        <v>Not started</v>
      </c>
      <c r="T172" s="90"/>
      <c r="U172" s="160" t="str">
        <f aca="false">IFERROR(INDEX(Schedule!$D$2:$D$147,MATCH($G172,Schedule!$A$2:$A$147,0)),"")</f>
        <v>Electrical, Instrumentation &amp; Controls — 480V service, MCC and PLC panel</v>
      </c>
      <c r="V172" s="162" t="n">
        <f aca="false">IFERROR(INDEX(Schedule!$F$2:$F$147,MATCH("26-P01",Schedule!$A$2:$A$147,0)),"")</f>
        <v>44999</v>
      </c>
      <c r="W172" s="160" t="s">
        <v>91</v>
      </c>
      <c r="X172" s="160" t="s">
        <v>99</v>
      </c>
      <c r="Y172" s="160" t="n">
        <v>0</v>
      </c>
      <c r="Z172" s="160" t="n">
        <v>2</v>
      </c>
      <c r="AA172" s="160"/>
      <c r="AB172" s="160"/>
      <c r="AC172" s="160" t="s">
        <v>92</v>
      </c>
      <c r="AD172" s="160" t="s">
        <v>499</v>
      </c>
      <c r="AE172" s="160" t="s">
        <v>845</v>
      </c>
      <c r="AF172" s="160" t="s">
        <v>846</v>
      </c>
      <c r="AG172" s="160" t="s">
        <v>847</v>
      </c>
      <c r="AH172" s="160" t="s">
        <v>501</v>
      </c>
    </row>
    <row r="173" customFormat="false" ht="15" hidden="false" customHeight="false" outlineLevel="0" collapsed="false">
      <c r="A173" s="160" t="s">
        <v>60</v>
      </c>
      <c r="B173" s="161" t="s">
        <v>37</v>
      </c>
      <c r="C173" s="160" t="s">
        <v>848</v>
      </c>
      <c r="D173" s="160" t="s">
        <v>849</v>
      </c>
      <c r="E173" s="160" t="s">
        <v>115</v>
      </c>
      <c r="F173" s="90" t="s">
        <v>234</v>
      </c>
      <c r="G173" s="160" t="s">
        <v>801</v>
      </c>
      <c r="H173" s="162" t="n">
        <f aca="false">IFERROR(INDEX(Schedule!$E$2:$E$147,MATCH($G173,Schedule!$A$2:$A$147,0)),"")</f>
        <v>45017</v>
      </c>
      <c r="I173" s="162" t="n">
        <f aca="false">IFERROR(INDEX(Schedule!$F$2:$F$147,MATCH($G173,Schedule!$A$2:$A$147,0)),"")</f>
        <v>45203</v>
      </c>
      <c r="J173" s="92"/>
      <c r="K173" s="92"/>
      <c r="L173" s="92"/>
      <c r="M173" s="92"/>
      <c r="N173" s="92"/>
      <c r="O173" s="90" t="n">
        <v>1</v>
      </c>
      <c r="P173" s="163" t="n">
        <f aca="false">IFERROR((IF(OR(ISNUMBER(J173),UPPER(TRIM(J173))="N/A"),1,0)*IF($W173="N",0,INDEX('Rules of Credit'!$B$5:$F$8,MATCH($F173,'Rules of Credit'!$A$5:$A$8,0),1))+IF(OR(ISNUMBER(K173),UPPER(TRIM(K173))="N/A"),1,0)*INDEX('Rules of Credit'!$B$5:$F$8,MATCH($F173,'Rules of Credit'!$A$5:$A$8,0),2)+IF(OR(ISNUMBER(L173),UPPER(TRIM(L173))="N/A"),1,0)*INDEX('Rules of Credit'!$B$5:$F$8,MATCH($F173,'Rules of Credit'!$A$5:$A$8,0),3)+IF(OR(ISNUMBER(M173),UPPER(TRIM(M173))="N/A"),1,0)*IF($X173="N",0,INDEX('Rules of Credit'!$B$5:$F$8,MATCH($F173,'Rules of Credit'!$A$5:$A$8,0),4))+IF(OR(ISNUMBER(N173),UPPER(TRIM(N173))="N/A"),1,0)*INDEX('Rules of Credit'!$B$5:$F$8,MATCH($F173,'Rules of Credit'!$A$5:$A$8,0),5))/(IF($W173="N",0,INDEX('Rules of Credit'!$B$5:$F$8,MATCH($F173,'Rules of Credit'!$A$5:$A$8,0),1))+INDEX('Rules of Credit'!$B$5:$F$8,MATCH($F173,'Rules of Credit'!$A$5:$A$8,0),2)+INDEX('Rules of Credit'!$B$5:$F$8,MATCH($F173,'Rules of Credit'!$A$5:$A$8,0),3)+IF($X173="N",0,INDEX('Rules of Credit'!$B$5:$F$8,MATCH($F173,'Rules of Credit'!$A$5:$A$8,0),4))+INDEX('Rules of Credit'!$B$5:$F$8,MATCH($F173,'Rules of Credit'!$A$5:$A$8,0),5)),0)</f>
        <v>0</v>
      </c>
      <c r="Q173" s="163" t="n">
        <f aca="false">IF(OR($H173="",$I173=""),0,IF('Tracker Summary'!$C$3&lt;$H173,0,IF('Tracker Summary'!$C$3&gt;=$I173,1,('Tracker Summary'!$C$3-$H173)/($I173-$H173+1))))</f>
        <v>0</v>
      </c>
      <c r="R173" s="163" t="n">
        <f aca="false">P173-Q173</f>
        <v>0</v>
      </c>
      <c r="S173" s="160" t="str">
        <f aca="false">IF($I173="","Not scheduled",IF(P173&gt;=1,"Complete",IF('Tracker Summary'!$C$3&gt;$I173,"Overdue",IF(P173-Q173&lt;-0.1,"Behind",IF(AND(P173=0,'Tracker Summary'!$C$3&lt;$H173),"Not started","On track")))))</f>
        <v>Not started</v>
      </c>
      <c r="T173" s="90"/>
      <c r="U173" s="160" t="str">
        <f aca="false">IFERROR(INDEX(Schedule!$D$2:$D$147,MATCH($G173,Schedule!$A$2:$A$147,0)),"")</f>
        <v>Electrical, Instrumentation &amp; Controls — 480V service, MCC and PLC panel</v>
      </c>
      <c r="V173" s="162" t="n">
        <f aca="false">IFERROR(INDEX(Schedule!$F$2:$F$147,MATCH("26-P01",Schedule!$A$2:$A$147,0)),"")</f>
        <v>44999</v>
      </c>
      <c r="W173" s="160" t="s">
        <v>99</v>
      </c>
      <c r="X173" s="160" t="s">
        <v>99</v>
      </c>
      <c r="Y173" s="160" t="n">
        <v>9</v>
      </c>
      <c r="Z173" s="160" t="n">
        <v>3</v>
      </c>
      <c r="AA173" s="160" t="s">
        <v>850</v>
      </c>
      <c r="AB173" s="160" t="s">
        <v>851</v>
      </c>
      <c r="AC173" s="160" t="s">
        <v>92</v>
      </c>
      <c r="AD173" s="160" t="s">
        <v>115</v>
      </c>
      <c r="AE173" s="160"/>
      <c r="AF173" s="160" t="s">
        <v>786</v>
      </c>
      <c r="AG173" s="160" t="s">
        <v>786</v>
      </c>
      <c r="AH173" s="160" t="s">
        <v>109</v>
      </c>
    </row>
    <row r="174" customFormat="false" ht="15" hidden="false" customHeight="false" outlineLevel="0" collapsed="false">
      <c r="A174" s="160" t="s">
        <v>60</v>
      </c>
      <c r="B174" s="161" t="s">
        <v>37</v>
      </c>
      <c r="C174" s="160" t="s">
        <v>852</v>
      </c>
      <c r="D174" s="160" t="s">
        <v>853</v>
      </c>
      <c r="E174" s="160" t="s">
        <v>115</v>
      </c>
      <c r="F174" s="90" t="s">
        <v>234</v>
      </c>
      <c r="G174" s="160" t="s">
        <v>801</v>
      </c>
      <c r="H174" s="162" t="n">
        <f aca="false">IFERROR(INDEX(Schedule!$E$2:$E$147,MATCH($G174,Schedule!$A$2:$A$147,0)),"")</f>
        <v>45017</v>
      </c>
      <c r="I174" s="162" t="n">
        <f aca="false">IFERROR(INDEX(Schedule!$F$2:$F$147,MATCH($G174,Schedule!$A$2:$A$147,0)),"")</f>
        <v>45203</v>
      </c>
      <c r="J174" s="92"/>
      <c r="K174" s="92"/>
      <c r="L174" s="92"/>
      <c r="M174" s="92"/>
      <c r="N174" s="92"/>
      <c r="O174" s="90" t="n">
        <v>1</v>
      </c>
      <c r="P174" s="163" t="n">
        <f aca="false">IFERROR((IF(OR(ISNUMBER(J174),UPPER(TRIM(J174))="N/A"),1,0)*IF($W174="N",0,INDEX('Rules of Credit'!$B$5:$F$8,MATCH($F174,'Rules of Credit'!$A$5:$A$8,0),1))+IF(OR(ISNUMBER(K174),UPPER(TRIM(K174))="N/A"),1,0)*INDEX('Rules of Credit'!$B$5:$F$8,MATCH($F174,'Rules of Credit'!$A$5:$A$8,0),2)+IF(OR(ISNUMBER(L174),UPPER(TRIM(L174))="N/A"),1,0)*INDEX('Rules of Credit'!$B$5:$F$8,MATCH($F174,'Rules of Credit'!$A$5:$A$8,0),3)+IF(OR(ISNUMBER(M174),UPPER(TRIM(M174))="N/A"),1,0)*IF($X174="N",0,INDEX('Rules of Credit'!$B$5:$F$8,MATCH($F174,'Rules of Credit'!$A$5:$A$8,0),4))+IF(OR(ISNUMBER(N174),UPPER(TRIM(N174))="N/A"),1,0)*INDEX('Rules of Credit'!$B$5:$F$8,MATCH($F174,'Rules of Credit'!$A$5:$A$8,0),5))/(IF($W174="N",0,INDEX('Rules of Credit'!$B$5:$F$8,MATCH($F174,'Rules of Credit'!$A$5:$A$8,0),1))+INDEX('Rules of Credit'!$B$5:$F$8,MATCH($F174,'Rules of Credit'!$A$5:$A$8,0),2)+INDEX('Rules of Credit'!$B$5:$F$8,MATCH($F174,'Rules of Credit'!$A$5:$A$8,0),3)+IF($X174="N",0,INDEX('Rules of Credit'!$B$5:$F$8,MATCH($F174,'Rules of Credit'!$A$5:$A$8,0),4))+INDEX('Rules of Credit'!$B$5:$F$8,MATCH($F174,'Rules of Credit'!$A$5:$A$8,0),5)),0)</f>
        <v>0</v>
      </c>
      <c r="Q174" s="163" t="n">
        <f aca="false">IF(OR($H174="",$I174=""),0,IF('Tracker Summary'!$C$3&lt;$H174,0,IF('Tracker Summary'!$C$3&gt;=$I174,1,('Tracker Summary'!$C$3-$H174)/($I174-$H174+1))))</f>
        <v>0</v>
      </c>
      <c r="R174" s="163" t="n">
        <f aca="false">P174-Q174</f>
        <v>0</v>
      </c>
      <c r="S174" s="160" t="str">
        <f aca="false">IF($I174="","Not scheduled",IF(P174&gt;=1,"Complete",IF('Tracker Summary'!$C$3&gt;$I174,"Overdue",IF(P174-Q174&lt;-0.1,"Behind",IF(AND(P174=0,'Tracker Summary'!$C$3&lt;$H174),"Not started","On track")))))</f>
        <v>Not started</v>
      </c>
      <c r="T174" s="90"/>
      <c r="U174" s="160" t="str">
        <f aca="false">IFERROR(INDEX(Schedule!$D$2:$D$147,MATCH($G174,Schedule!$A$2:$A$147,0)),"")</f>
        <v>Electrical, Instrumentation &amp; Controls — 480V service, MCC and PLC panel</v>
      </c>
      <c r="V174" s="162" t="n">
        <f aca="false">IFERROR(INDEX(Schedule!$F$2:$F$147,MATCH("26-P01",Schedule!$A$2:$A$147,0)),"")</f>
        <v>44999</v>
      </c>
      <c r="W174" s="160" t="s">
        <v>99</v>
      </c>
      <c r="X174" s="160" t="s">
        <v>99</v>
      </c>
      <c r="Y174" s="160" t="n">
        <v>9</v>
      </c>
      <c r="Z174" s="160" t="n">
        <v>3</v>
      </c>
      <c r="AA174" s="160" t="s">
        <v>854</v>
      </c>
      <c r="AB174" s="160" t="s">
        <v>855</v>
      </c>
      <c r="AC174" s="160" t="s">
        <v>120</v>
      </c>
      <c r="AD174" s="160" t="s">
        <v>414</v>
      </c>
      <c r="AE174" s="160"/>
      <c r="AF174" s="160" t="s">
        <v>856</v>
      </c>
      <c r="AG174" s="160" t="s">
        <v>857</v>
      </c>
      <c r="AH174" s="160" t="s">
        <v>109</v>
      </c>
    </row>
    <row r="175" customFormat="false" ht="15" hidden="false" customHeight="false" outlineLevel="0" collapsed="false">
      <c r="A175" s="160" t="s">
        <v>60</v>
      </c>
      <c r="B175" s="161" t="s">
        <v>37</v>
      </c>
      <c r="C175" s="160" t="s">
        <v>858</v>
      </c>
      <c r="D175" s="160" t="s">
        <v>859</v>
      </c>
      <c r="E175" s="160" t="s">
        <v>115</v>
      </c>
      <c r="F175" s="90" t="s">
        <v>234</v>
      </c>
      <c r="G175" s="160" t="s">
        <v>801</v>
      </c>
      <c r="H175" s="162" t="n">
        <f aca="false">IFERROR(INDEX(Schedule!$E$2:$E$147,MATCH($G175,Schedule!$A$2:$A$147,0)),"")</f>
        <v>45017</v>
      </c>
      <c r="I175" s="162" t="n">
        <f aca="false">IFERROR(INDEX(Schedule!$F$2:$F$147,MATCH($G175,Schedule!$A$2:$A$147,0)),"")</f>
        <v>45203</v>
      </c>
      <c r="J175" s="92"/>
      <c r="K175" s="92"/>
      <c r="L175" s="92"/>
      <c r="M175" s="92"/>
      <c r="N175" s="92"/>
      <c r="O175" s="90" t="n">
        <v>1</v>
      </c>
      <c r="P175" s="163" t="n">
        <f aca="false">IFERROR((IF(OR(ISNUMBER(J175),UPPER(TRIM(J175))="N/A"),1,0)*IF($W175="N",0,INDEX('Rules of Credit'!$B$5:$F$8,MATCH($F175,'Rules of Credit'!$A$5:$A$8,0),1))+IF(OR(ISNUMBER(K175),UPPER(TRIM(K175))="N/A"),1,0)*INDEX('Rules of Credit'!$B$5:$F$8,MATCH($F175,'Rules of Credit'!$A$5:$A$8,0),2)+IF(OR(ISNUMBER(L175),UPPER(TRIM(L175))="N/A"),1,0)*INDEX('Rules of Credit'!$B$5:$F$8,MATCH($F175,'Rules of Credit'!$A$5:$A$8,0),3)+IF(OR(ISNUMBER(M175),UPPER(TRIM(M175))="N/A"),1,0)*IF($X175="N",0,INDEX('Rules of Credit'!$B$5:$F$8,MATCH($F175,'Rules of Credit'!$A$5:$A$8,0),4))+IF(OR(ISNUMBER(N175),UPPER(TRIM(N175))="N/A"),1,0)*INDEX('Rules of Credit'!$B$5:$F$8,MATCH($F175,'Rules of Credit'!$A$5:$A$8,0),5))/(IF($W175="N",0,INDEX('Rules of Credit'!$B$5:$F$8,MATCH($F175,'Rules of Credit'!$A$5:$A$8,0),1))+INDEX('Rules of Credit'!$B$5:$F$8,MATCH($F175,'Rules of Credit'!$A$5:$A$8,0),2)+INDEX('Rules of Credit'!$B$5:$F$8,MATCH($F175,'Rules of Credit'!$A$5:$A$8,0),3)+IF($X175="N",0,INDEX('Rules of Credit'!$B$5:$F$8,MATCH($F175,'Rules of Credit'!$A$5:$A$8,0),4))+INDEX('Rules of Credit'!$B$5:$F$8,MATCH($F175,'Rules of Credit'!$A$5:$A$8,0),5)),0)</f>
        <v>0</v>
      </c>
      <c r="Q175" s="163" t="n">
        <f aca="false">IF(OR($H175="",$I175=""),0,IF('Tracker Summary'!$C$3&lt;$H175,0,IF('Tracker Summary'!$C$3&gt;=$I175,1,('Tracker Summary'!$C$3-$H175)/($I175-$H175+1))))</f>
        <v>0</v>
      </c>
      <c r="R175" s="163" t="n">
        <f aca="false">P175-Q175</f>
        <v>0</v>
      </c>
      <c r="S175" s="160" t="str">
        <f aca="false">IF($I175="","Not scheduled",IF(P175&gt;=1,"Complete",IF('Tracker Summary'!$C$3&gt;$I175,"Overdue",IF(P175-Q175&lt;-0.1,"Behind",IF(AND(P175=0,'Tracker Summary'!$C$3&lt;$H175),"Not started","On track")))))</f>
        <v>Not started</v>
      </c>
      <c r="T175" s="90"/>
      <c r="U175" s="160" t="str">
        <f aca="false">IFERROR(INDEX(Schedule!$D$2:$D$147,MATCH($G175,Schedule!$A$2:$A$147,0)),"")</f>
        <v>Electrical, Instrumentation &amp; Controls — 480V service, MCC and PLC panel</v>
      </c>
      <c r="V175" s="162" t="n">
        <f aca="false">IFERROR(INDEX(Schedule!$F$2:$F$147,MATCH("26-P01",Schedule!$A$2:$A$147,0)),"")</f>
        <v>44999</v>
      </c>
      <c r="W175" s="160" t="s">
        <v>99</v>
      </c>
      <c r="X175" s="160" t="s">
        <v>99</v>
      </c>
      <c r="Y175" s="160" t="n">
        <v>9</v>
      </c>
      <c r="Z175" s="160" t="n">
        <v>3</v>
      </c>
      <c r="AA175" s="160"/>
      <c r="AB175" s="160" t="s">
        <v>860</v>
      </c>
      <c r="AC175" s="160" t="s">
        <v>92</v>
      </c>
      <c r="AD175" s="160" t="s">
        <v>499</v>
      </c>
      <c r="AE175" s="160"/>
      <c r="AF175" s="160" t="s">
        <v>786</v>
      </c>
      <c r="AG175" s="160" t="s">
        <v>786</v>
      </c>
      <c r="AH175" s="160" t="s">
        <v>109</v>
      </c>
    </row>
    <row r="176" customFormat="false" ht="15" hidden="false" customHeight="false" outlineLevel="0" collapsed="false">
      <c r="A176" s="160" t="s">
        <v>60</v>
      </c>
      <c r="B176" s="161" t="s">
        <v>37</v>
      </c>
      <c r="C176" s="160" t="s">
        <v>861</v>
      </c>
      <c r="D176" s="160" t="s">
        <v>862</v>
      </c>
      <c r="E176" s="160" t="s">
        <v>115</v>
      </c>
      <c r="F176" s="90" t="s">
        <v>234</v>
      </c>
      <c r="G176" s="160" t="s">
        <v>801</v>
      </c>
      <c r="H176" s="162" t="n">
        <f aca="false">IFERROR(INDEX(Schedule!$E$2:$E$147,MATCH($G176,Schedule!$A$2:$A$147,0)),"")</f>
        <v>45017</v>
      </c>
      <c r="I176" s="162" t="n">
        <f aca="false">IFERROR(INDEX(Schedule!$F$2:$F$147,MATCH($G176,Schedule!$A$2:$A$147,0)),"")</f>
        <v>45203</v>
      </c>
      <c r="J176" s="92"/>
      <c r="K176" s="92"/>
      <c r="L176" s="92"/>
      <c r="M176" s="92"/>
      <c r="N176" s="92"/>
      <c r="O176" s="90" t="n">
        <v>1</v>
      </c>
      <c r="P176" s="163" t="n">
        <f aca="false">IFERROR((IF(OR(ISNUMBER(J176),UPPER(TRIM(J176))="N/A"),1,0)*IF($W176="N",0,INDEX('Rules of Credit'!$B$5:$F$8,MATCH($F176,'Rules of Credit'!$A$5:$A$8,0),1))+IF(OR(ISNUMBER(K176),UPPER(TRIM(K176))="N/A"),1,0)*INDEX('Rules of Credit'!$B$5:$F$8,MATCH($F176,'Rules of Credit'!$A$5:$A$8,0),2)+IF(OR(ISNUMBER(L176),UPPER(TRIM(L176))="N/A"),1,0)*INDEX('Rules of Credit'!$B$5:$F$8,MATCH($F176,'Rules of Credit'!$A$5:$A$8,0),3)+IF(OR(ISNUMBER(M176),UPPER(TRIM(M176))="N/A"),1,0)*IF($X176="N",0,INDEX('Rules of Credit'!$B$5:$F$8,MATCH($F176,'Rules of Credit'!$A$5:$A$8,0),4))+IF(OR(ISNUMBER(N176),UPPER(TRIM(N176))="N/A"),1,0)*INDEX('Rules of Credit'!$B$5:$F$8,MATCH($F176,'Rules of Credit'!$A$5:$A$8,0),5))/(IF($W176="N",0,INDEX('Rules of Credit'!$B$5:$F$8,MATCH($F176,'Rules of Credit'!$A$5:$A$8,0),1))+INDEX('Rules of Credit'!$B$5:$F$8,MATCH($F176,'Rules of Credit'!$A$5:$A$8,0),2)+INDEX('Rules of Credit'!$B$5:$F$8,MATCH($F176,'Rules of Credit'!$A$5:$A$8,0),3)+IF($X176="N",0,INDEX('Rules of Credit'!$B$5:$F$8,MATCH($F176,'Rules of Credit'!$A$5:$A$8,0),4))+INDEX('Rules of Credit'!$B$5:$F$8,MATCH($F176,'Rules of Credit'!$A$5:$A$8,0),5)),0)</f>
        <v>0</v>
      </c>
      <c r="Q176" s="163" t="n">
        <f aca="false">IF(OR($H176="",$I176=""),0,IF('Tracker Summary'!$C$3&lt;$H176,0,IF('Tracker Summary'!$C$3&gt;=$I176,1,('Tracker Summary'!$C$3-$H176)/($I176-$H176+1))))</f>
        <v>0</v>
      </c>
      <c r="R176" s="163" t="n">
        <f aca="false">P176-Q176</f>
        <v>0</v>
      </c>
      <c r="S176" s="160" t="str">
        <f aca="false">IF($I176="","Not scheduled",IF(P176&gt;=1,"Complete",IF('Tracker Summary'!$C$3&gt;$I176,"Overdue",IF(P176-Q176&lt;-0.1,"Behind",IF(AND(P176=0,'Tracker Summary'!$C$3&lt;$H176),"Not started","On track")))))</f>
        <v>Not started</v>
      </c>
      <c r="T176" s="90"/>
      <c r="U176" s="160" t="str">
        <f aca="false">IFERROR(INDEX(Schedule!$D$2:$D$147,MATCH($G176,Schedule!$A$2:$A$147,0)),"")</f>
        <v>Electrical, Instrumentation &amp; Controls — 480V service, MCC and PLC panel</v>
      </c>
      <c r="V176" s="162" t="n">
        <f aca="false">IFERROR(INDEX(Schedule!$F$2:$F$147,MATCH("26-P01",Schedule!$A$2:$A$147,0)),"")</f>
        <v>44999</v>
      </c>
      <c r="W176" s="160" t="s">
        <v>99</v>
      </c>
      <c r="X176" s="160" t="s">
        <v>99</v>
      </c>
      <c r="Y176" s="160" t="n">
        <v>10</v>
      </c>
      <c r="Z176" s="160" t="n">
        <v>5</v>
      </c>
      <c r="AA176" s="160" t="s">
        <v>863</v>
      </c>
      <c r="AB176" s="160" t="s">
        <v>864</v>
      </c>
      <c r="AC176" s="160" t="s">
        <v>92</v>
      </c>
      <c r="AD176" s="160" t="s">
        <v>499</v>
      </c>
      <c r="AE176" s="160"/>
      <c r="AF176" s="160" t="s">
        <v>865</v>
      </c>
      <c r="AG176" s="160" t="s">
        <v>865</v>
      </c>
      <c r="AH176" s="160" t="s">
        <v>109</v>
      </c>
    </row>
    <row r="177" customFormat="false" ht="15" hidden="false" customHeight="false" outlineLevel="0" collapsed="false">
      <c r="A177" s="160" t="s">
        <v>60</v>
      </c>
      <c r="B177" s="161" t="s">
        <v>37</v>
      </c>
      <c r="C177" s="160" t="s">
        <v>866</v>
      </c>
      <c r="D177" s="160" t="s">
        <v>867</v>
      </c>
      <c r="E177" s="160" t="s">
        <v>115</v>
      </c>
      <c r="F177" s="90" t="s">
        <v>234</v>
      </c>
      <c r="G177" s="160" t="s">
        <v>801</v>
      </c>
      <c r="H177" s="162" t="n">
        <f aca="false">IFERROR(INDEX(Schedule!$E$2:$E$147,MATCH($G177,Schedule!$A$2:$A$147,0)),"")</f>
        <v>45017</v>
      </c>
      <c r="I177" s="162" t="n">
        <f aca="false">IFERROR(INDEX(Schedule!$F$2:$F$147,MATCH($G177,Schedule!$A$2:$A$147,0)),"")</f>
        <v>45203</v>
      </c>
      <c r="J177" s="92"/>
      <c r="K177" s="92"/>
      <c r="L177" s="92"/>
      <c r="M177" s="92"/>
      <c r="N177" s="92"/>
      <c r="O177" s="90" t="n">
        <v>1</v>
      </c>
      <c r="P177" s="163" t="n">
        <f aca="false">IFERROR((IF(OR(ISNUMBER(J177),UPPER(TRIM(J177))="N/A"),1,0)*IF($W177="N",0,INDEX('Rules of Credit'!$B$5:$F$8,MATCH($F177,'Rules of Credit'!$A$5:$A$8,0),1))+IF(OR(ISNUMBER(K177),UPPER(TRIM(K177))="N/A"),1,0)*INDEX('Rules of Credit'!$B$5:$F$8,MATCH($F177,'Rules of Credit'!$A$5:$A$8,0),2)+IF(OR(ISNUMBER(L177),UPPER(TRIM(L177))="N/A"),1,0)*INDEX('Rules of Credit'!$B$5:$F$8,MATCH($F177,'Rules of Credit'!$A$5:$A$8,0),3)+IF(OR(ISNUMBER(M177),UPPER(TRIM(M177))="N/A"),1,0)*IF($X177="N",0,INDEX('Rules of Credit'!$B$5:$F$8,MATCH($F177,'Rules of Credit'!$A$5:$A$8,0),4))+IF(OR(ISNUMBER(N177),UPPER(TRIM(N177))="N/A"),1,0)*INDEX('Rules of Credit'!$B$5:$F$8,MATCH($F177,'Rules of Credit'!$A$5:$A$8,0),5))/(IF($W177="N",0,INDEX('Rules of Credit'!$B$5:$F$8,MATCH($F177,'Rules of Credit'!$A$5:$A$8,0),1))+INDEX('Rules of Credit'!$B$5:$F$8,MATCH($F177,'Rules of Credit'!$A$5:$A$8,0),2)+INDEX('Rules of Credit'!$B$5:$F$8,MATCH($F177,'Rules of Credit'!$A$5:$A$8,0),3)+IF($X177="N",0,INDEX('Rules of Credit'!$B$5:$F$8,MATCH($F177,'Rules of Credit'!$A$5:$A$8,0),4))+INDEX('Rules of Credit'!$B$5:$F$8,MATCH($F177,'Rules of Credit'!$A$5:$A$8,0),5)),0)</f>
        <v>0</v>
      </c>
      <c r="Q177" s="163" t="n">
        <f aca="false">IF(OR($H177="",$I177=""),0,IF('Tracker Summary'!$C$3&lt;$H177,0,IF('Tracker Summary'!$C$3&gt;=$I177,1,('Tracker Summary'!$C$3-$H177)/($I177-$H177+1))))</f>
        <v>0</v>
      </c>
      <c r="R177" s="163" t="n">
        <f aca="false">P177-Q177</f>
        <v>0</v>
      </c>
      <c r="S177" s="160" t="str">
        <f aca="false">IF($I177="","Not scheduled",IF(P177&gt;=1,"Complete",IF('Tracker Summary'!$C$3&gt;$I177,"Overdue",IF(P177-Q177&lt;-0.1,"Behind",IF(AND(P177=0,'Tracker Summary'!$C$3&lt;$H177),"Not started","On track")))))</f>
        <v>Not started</v>
      </c>
      <c r="T177" s="90"/>
      <c r="U177" s="160" t="str">
        <f aca="false">IFERROR(INDEX(Schedule!$D$2:$D$147,MATCH($G177,Schedule!$A$2:$A$147,0)),"")</f>
        <v>Electrical, Instrumentation &amp; Controls — 480V service, MCC and PLC panel</v>
      </c>
      <c r="V177" s="162" t="n">
        <f aca="false">IFERROR(INDEX(Schedule!$F$2:$F$147,MATCH("26-P01",Schedule!$A$2:$A$147,0)),"")</f>
        <v>44999</v>
      </c>
      <c r="W177" s="160" t="s">
        <v>99</v>
      </c>
      <c r="X177" s="160" t="s">
        <v>99</v>
      </c>
      <c r="Y177" s="160" t="n">
        <v>11</v>
      </c>
      <c r="Z177" s="160" t="n">
        <v>4</v>
      </c>
      <c r="AA177" s="160"/>
      <c r="AB177" s="160" t="s">
        <v>868</v>
      </c>
      <c r="AC177" s="160" t="s">
        <v>92</v>
      </c>
      <c r="AD177" s="160" t="s">
        <v>115</v>
      </c>
      <c r="AE177" s="160"/>
      <c r="AF177" s="160" t="s">
        <v>869</v>
      </c>
      <c r="AG177" s="160" t="s">
        <v>869</v>
      </c>
      <c r="AH177" s="160" t="s">
        <v>109</v>
      </c>
    </row>
    <row r="178" customFormat="false" ht="15" hidden="false" customHeight="false" outlineLevel="0" collapsed="false">
      <c r="A178" s="160" t="s">
        <v>60</v>
      </c>
      <c r="B178" s="161" t="s">
        <v>37</v>
      </c>
      <c r="C178" s="160" t="s">
        <v>870</v>
      </c>
      <c r="D178" s="160" t="s">
        <v>871</v>
      </c>
      <c r="E178" s="160" t="s">
        <v>507</v>
      </c>
      <c r="F178" s="90" t="s">
        <v>234</v>
      </c>
      <c r="G178" s="160" t="s">
        <v>872</v>
      </c>
      <c r="H178" s="162" t="n">
        <f aca="false">IFERROR(INDEX(Schedule!$E$2:$E$147,MATCH($G178,Schedule!$A$2:$A$147,0)),"")</f>
        <v>45017</v>
      </c>
      <c r="I178" s="162" t="n">
        <f aca="false">IFERROR(INDEX(Schedule!$F$2:$F$147,MATCH($G178,Schedule!$A$2:$A$147,0)),"")</f>
        <v>45231</v>
      </c>
      <c r="J178" s="92"/>
      <c r="K178" s="92"/>
      <c r="L178" s="92"/>
      <c r="M178" s="92"/>
      <c r="N178" s="92"/>
      <c r="O178" s="90" t="n">
        <v>1</v>
      </c>
      <c r="P178" s="163" t="n">
        <f aca="false">IFERROR((IF(OR(ISNUMBER(J178),UPPER(TRIM(J178))="N/A"),1,0)*IF($W178="N",0,INDEX('Rules of Credit'!$B$5:$F$8,MATCH($F178,'Rules of Credit'!$A$5:$A$8,0),1))+IF(OR(ISNUMBER(K178),UPPER(TRIM(K178))="N/A"),1,0)*INDEX('Rules of Credit'!$B$5:$F$8,MATCH($F178,'Rules of Credit'!$A$5:$A$8,0),2)+IF(OR(ISNUMBER(L178),UPPER(TRIM(L178))="N/A"),1,0)*INDEX('Rules of Credit'!$B$5:$F$8,MATCH($F178,'Rules of Credit'!$A$5:$A$8,0),3)+IF(OR(ISNUMBER(M178),UPPER(TRIM(M178))="N/A"),1,0)*IF($X178="N",0,INDEX('Rules of Credit'!$B$5:$F$8,MATCH($F178,'Rules of Credit'!$A$5:$A$8,0),4))+IF(OR(ISNUMBER(N178),UPPER(TRIM(N178))="N/A"),1,0)*INDEX('Rules of Credit'!$B$5:$F$8,MATCH($F178,'Rules of Credit'!$A$5:$A$8,0),5))/(IF($W178="N",0,INDEX('Rules of Credit'!$B$5:$F$8,MATCH($F178,'Rules of Credit'!$A$5:$A$8,0),1))+INDEX('Rules of Credit'!$B$5:$F$8,MATCH($F178,'Rules of Credit'!$A$5:$A$8,0),2)+INDEX('Rules of Credit'!$B$5:$F$8,MATCH($F178,'Rules of Credit'!$A$5:$A$8,0),3)+IF($X178="N",0,INDEX('Rules of Credit'!$B$5:$F$8,MATCH($F178,'Rules of Credit'!$A$5:$A$8,0),4))+INDEX('Rules of Credit'!$B$5:$F$8,MATCH($F178,'Rules of Credit'!$A$5:$A$8,0),5)),0)</f>
        <v>0</v>
      </c>
      <c r="Q178" s="163" t="n">
        <f aca="false">IF(OR($H178="",$I178=""),0,IF('Tracker Summary'!$C$3&lt;$H178,0,IF('Tracker Summary'!$C$3&gt;=$I178,1,('Tracker Summary'!$C$3-$H178)/($I178-$H178+1))))</f>
        <v>0</v>
      </c>
      <c r="R178" s="163" t="n">
        <f aca="false">P178-Q178</f>
        <v>0</v>
      </c>
      <c r="S178" s="160" t="str">
        <f aca="false">IF($I178="","Not scheduled",IF(P178&gt;=1,"Complete",IF('Tracker Summary'!$C$3&gt;$I178,"Overdue",IF(P178-Q178&lt;-0.1,"Behind",IF(AND(P178=0,'Tracker Summary'!$C$3&lt;$H178),"Not started","On track")))))</f>
        <v>Not started</v>
      </c>
      <c r="T178" s="90"/>
      <c r="U178" s="160" t="str">
        <f aca="false">IFERROR(INDEX(Schedule!$D$2:$D$147,MATCH($G178,Schedule!$A$2:$A$147,0)),"")</f>
        <v>Electrical, Instrumentation &amp; Controls — Sludge pumps and valving</v>
      </c>
      <c r="V178" s="162" t="n">
        <f aca="false">IFERROR(INDEX(Schedule!$F$2:$F$147,MATCH("26-P01",Schedule!$A$2:$A$147,0)),"")</f>
        <v>44999</v>
      </c>
      <c r="W178" s="160" t="s">
        <v>91</v>
      </c>
      <c r="X178" s="160" t="s">
        <v>91</v>
      </c>
      <c r="Y178" s="160" t="n">
        <v>0</v>
      </c>
      <c r="Z178" s="160" t="n">
        <v>0</v>
      </c>
      <c r="AA178" s="160" t="s">
        <v>873</v>
      </c>
      <c r="AB178" s="160" t="s">
        <v>874</v>
      </c>
      <c r="AC178" s="160" t="s">
        <v>120</v>
      </c>
      <c r="AD178" s="160" t="s">
        <v>499</v>
      </c>
      <c r="AE178" s="160" t="s">
        <v>875</v>
      </c>
      <c r="AF178" s="160"/>
      <c r="AG178" s="160" t="s">
        <v>875</v>
      </c>
      <c r="AH178" s="160" t="s">
        <v>213</v>
      </c>
    </row>
    <row r="179" customFormat="false" ht="15" hidden="false" customHeight="false" outlineLevel="0" collapsed="false">
      <c r="A179" s="160" t="s">
        <v>60</v>
      </c>
      <c r="B179" s="161" t="s">
        <v>37</v>
      </c>
      <c r="C179" s="160" t="s">
        <v>876</v>
      </c>
      <c r="D179" s="160" t="s">
        <v>877</v>
      </c>
      <c r="E179" s="160" t="s">
        <v>878</v>
      </c>
      <c r="F179" s="90" t="s">
        <v>234</v>
      </c>
      <c r="G179" s="160" t="s">
        <v>879</v>
      </c>
      <c r="H179" s="162" t="n">
        <f aca="false">IFERROR(INDEX(Schedule!$E$2:$E$147,MATCH($G179,Schedule!$A$2:$A$147,0)),"")</f>
        <v>45017</v>
      </c>
      <c r="I179" s="162" t="n">
        <f aca="false">IFERROR(INDEX(Schedule!$F$2:$F$147,MATCH($G179,Schedule!$A$2:$A$147,0)),"")</f>
        <v>45331</v>
      </c>
      <c r="J179" s="92"/>
      <c r="K179" s="92"/>
      <c r="L179" s="92"/>
      <c r="M179" s="92"/>
      <c r="N179" s="92"/>
      <c r="O179" s="90" t="n">
        <v>1</v>
      </c>
      <c r="P179" s="163" t="n">
        <f aca="false">IFERROR((IF(OR(ISNUMBER(J179),UPPER(TRIM(J179))="N/A"),1,0)*IF($W179="N",0,INDEX('Rules of Credit'!$B$5:$F$8,MATCH($F179,'Rules of Credit'!$A$5:$A$8,0),1))+IF(OR(ISNUMBER(K179),UPPER(TRIM(K179))="N/A"),1,0)*INDEX('Rules of Credit'!$B$5:$F$8,MATCH($F179,'Rules of Credit'!$A$5:$A$8,0),2)+IF(OR(ISNUMBER(L179),UPPER(TRIM(L179))="N/A"),1,0)*INDEX('Rules of Credit'!$B$5:$F$8,MATCH($F179,'Rules of Credit'!$A$5:$A$8,0),3)+IF(OR(ISNUMBER(M179),UPPER(TRIM(M179))="N/A"),1,0)*IF($X179="N",0,INDEX('Rules of Credit'!$B$5:$F$8,MATCH($F179,'Rules of Credit'!$A$5:$A$8,0),4))+IF(OR(ISNUMBER(N179),UPPER(TRIM(N179))="N/A"),1,0)*INDEX('Rules of Credit'!$B$5:$F$8,MATCH($F179,'Rules of Credit'!$A$5:$A$8,0),5))/(IF($W179="N",0,INDEX('Rules of Credit'!$B$5:$F$8,MATCH($F179,'Rules of Credit'!$A$5:$A$8,0),1))+INDEX('Rules of Credit'!$B$5:$F$8,MATCH($F179,'Rules of Credit'!$A$5:$A$8,0),2)+INDEX('Rules of Credit'!$B$5:$F$8,MATCH($F179,'Rules of Credit'!$A$5:$A$8,0),3)+IF($X179="N",0,INDEX('Rules of Credit'!$B$5:$F$8,MATCH($F179,'Rules of Credit'!$A$5:$A$8,0),4))+INDEX('Rules of Credit'!$B$5:$F$8,MATCH($F179,'Rules of Credit'!$A$5:$A$8,0),5)),0)</f>
        <v>0</v>
      </c>
      <c r="Q179" s="163" t="n">
        <f aca="false">IF(OR($H179="",$I179=""),0,IF('Tracker Summary'!$C$3&lt;$H179,0,IF('Tracker Summary'!$C$3&gt;=$I179,1,('Tracker Summary'!$C$3-$H179)/($I179-$H179+1))))</f>
        <v>0</v>
      </c>
      <c r="R179" s="163" t="n">
        <f aca="false">P179-Q179</f>
        <v>0</v>
      </c>
      <c r="S179" s="160" t="str">
        <f aca="false">IF($I179="","Not scheduled",IF(P179&gt;=1,"Complete",IF('Tracker Summary'!$C$3&gt;$I179,"Overdue",IF(P179-Q179&lt;-0.1,"Behind",IF(AND(P179=0,'Tracker Summary'!$C$3&lt;$H179),"Not started","On track")))))</f>
        <v>Not started</v>
      </c>
      <c r="T179" s="90"/>
      <c r="U179" s="160" t="str">
        <f aca="false">IFERROR(INDEX(Schedule!$D$2:$D$147,MATCH($G179,Schedule!$A$2:$A$147,0)),"")</f>
        <v>Electrical, Instrumentation &amp; Controls — Existing dewatering / treatment building</v>
      </c>
      <c r="V179" s="162" t="n">
        <f aca="false">IFERROR(INDEX(Schedule!$F$2:$F$147,MATCH("26-P01",Schedule!$A$2:$A$147,0)),"")</f>
        <v>44999</v>
      </c>
      <c r="W179" s="160" t="s">
        <v>91</v>
      </c>
      <c r="X179" s="160" t="s">
        <v>99</v>
      </c>
      <c r="Y179" s="160" t="n">
        <v>0</v>
      </c>
      <c r="Z179" s="160" t="n">
        <v>3</v>
      </c>
      <c r="AA179" s="160"/>
      <c r="AB179" s="160"/>
      <c r="AC179" s="160" t="s">
        <v>498</v>
      </c>
      <c r="AD179" s="160" t="s">
        <v>499</v>
      </c>
      <c r="AE179" s="160" t="s">
        <v>880</v>
      </c>
      <c r="AF179" s="160" t="s">
        <v>846</v>
      </c>
      <c r="AG179" s="160" t="s">
        <v>880</v>
      </c>
      <c r="AH179" s="160" t="s">
        <v>501</v>
      </c>
    </row>
    <row r="180" customFormat="false" ht="15" hidden="false" customHeight="false" outlineLevel="0" collapsed="false">
      <c r="A180" s="160" t="s">
        <v>60</v>
      </c>
      <c r="B180" s="161" t="s">
        <v>37</v>
      </c>
      <c r="C180" s="160" t="s">
        <v>881</v>
      </c>
      <c r="D180" s="160" t="s">
        <v>882</v>
      </c>
      <c r="E180" s="160" t="s">
        <v>883</v>
      </c>
      <c r="F180" s="90" t="s">
        <v>216</v>
      </c>
      <c r="G180" s="160" t="s">
        <v>879</v>
      </c>
      <c r="H180" s="162" t="n">
        <f aca="false">IFERROR(INDEX(Schedule!$E$2:$E$147,MATCH($G180,Schedule!$A$2:$A$147,0)),"")</f>
        <v>45017</v>
      </c>
      <c r="I180" s="162" t="n">
        <f aca="false">IFERROR(INDEX(Schedule!$F$2:$F$147,MATCH($G180,Schedule!$A$2:$A$147,0)),"")</f>
        <v>45331</v>
      </c>
      <c r="J180" s="92"/>
      <c r="K180" s="92"/>
      <c r="L180" s="92"/>
      <c r="M180" s="92"/>
      <c r="N180" s="92"/>
      <c r="O180" s="90" t="n">
        <v>1</v>
      </c>
      <c r="P180" s="163" t="n">
        <f aca="false">IFERROR((IF(OR(ISNUMBER(J180),UPPER(TRIM(J180))="N/A"),1,0)*IF($W180="N",0,INDEX('Rules of Credit'!$B$5:$F$8,MATCH($F180,'Rules of Credit'!$A$5:$A$8,0),1))+IF(OR(ISNUMBER(K180),UPPER(TRIM(K180))="N/A"),1,0)*INDEX('Rules of Credit'!$B$5:$F$8,MATCH($F180,'Rules of Credit'!$A$5:$A$8,0),2)+IF(OR(ISNUMBER(L180),UPPER(TRIM(L180))="N/A"),1,0)*INDEX('Rules of Credit'!$B$5:$F$8,MATCH($F180,'Rules of Credit'!$A$5:$A$8,0),3)+IF(OR(ISNUMBER(M180),UPPER(TRIM(M180))="N/A"),1,0)*IF($X180="N",0,INDEX('Rules of Credit'!$B$5:$F$8,MATCH($F180,'Rules of Credit'!$A$5:$A$8,0),4))+IF(OR(ISNUMBER(N180),UPPER(TRIM(N180))="N/A"),1,0)*INDEX('Rules of Credit'!$B$5:$F$8,MATCH($F180,'Rules of Credit'!$A$5:$A$8,0),5))/(IF($W180="N",0,INDEX('Rules of Credit'!$B$5:$F$8,MATCH($F180,'Rules of Credit'!$A$5:$A$8,0),1))+INDEX('Rules of Credit'!$B$5:$F$8,MATCH($F180,'Rules of Credit'!$A$5:$A$8,0),2)+INDEX('Rules of Credit'!$B$5:$F$8,MATCH($F180,'Rules of Credit'!$A$5:$A$8,0),3)+IF($X180="N",0,INDEX('Rules of Credit'!$B$5:$F$8,MATCH($F180,'Rules of Credit'!$A$5:$A$8,0),4))+INDEX('Rules of Credit'!$B$5:$F$8,MATCH($F180,'Rules of Credit'!$A$5:$A$8,0),5)),0)</f>
        <v>0</v>
      </c>
      <c r="Q180" s="163" t="n">
        <f aca="false">IF(OR($H180="",$I180=""),0,IF('Tracker Summary'!$C$3&lt;$H180,0,IF('Tracker Summary'!$C$3&gt;=$I180,1,('Tracker Summary'!$C$3-$H180)/($I180-$H180+1))))</f>
        <v>0</v>
      </c>
      <c r="R180" s="163" t="n">
        <f aca="false">P180-Q180</f>
        <v>0</v>
      </c>
      <c r="S180" s="160" t="str">
        <f aca="false">IF($I180="","Not scheduled",IF(P180&gt;=1,"Complete",IF('Tracker Summary'!$C$3&gt;$I180,"Overdue",IF(P180-Q180&lt;-0.1,"Behind",IF(AND(P180=0,'Tracker Summary'!$C$3&lt;$H180),"Not started","On track")))))</f>
        <v>Not started</v>
      </c>
      <c r="T180" s="90"/>
      <c r="U180" s="160" t="str">
        <f aca="false">IFERROR(INDEX(Schedule!$D$2:$D$147,MATCH($G180,Schedule!$A$2:$A$147,0)),"")</f>
        <v>Electrical, Instrumentation &amp; Controls — Existing dewatering / treatment building</v>
      </c>
      <c r="V180" s="162" t="n">
        <f aca="false">IFERROR(INDEX(Schedule!$F$2:$F$147,MATCH("26-P01",Schedule!$A$2:$A$147,0)),"")</f>
        <v>44999</v>
      </c>
      <c r="W180" s="160" t="s">
        <v>115</v>
      </c>
      <c r="X180" s="160" t="s">
        <v>115</v>
      </c>
      <c r="Y180" s="160" t="n">
        <v>0</v>
      </c>
      <c r="Z180" s="160" t="n">
        <v>0</v>
      </c>
      <c r="AA180" s="160"/>
      <c r="AB180" s="160"/>
      <c r="AC180" s="160" t="s">
        <v>498</v>
      </c>
      <c r="AD180" s="160" t="s">
        <v>499</v>
      </c>
      <c r="AE180" s="160" t="s">
        <v>884</v>
      </c>
      <c r="AF180" s="160"/>
      <c r="AG180" s="160" t="s">
        <v>884</v>
      </c>
      <c r="AH180" s="160" t="s">
        <v>501</v>
      </c>
    </row>
    <row r="181" customFormat="false" ht="15" hidden="false" customHeight="false" outlineLevel="0" collapsed="false">
      <c r="A181" s="160" t="s">
        <v>60</v>
      </c>
      <c r="B181" s="161" t="s">
        <v>37</v>
      </c>
      <c r="C181" s="160" t="s">
        <v>885</v>
      </c>
      <c r="D181" s="160" t="s">
        <v>886</v>
      </c>
      <c r="E181" s="160" t="s">
        <v>475</v>
      </c>
      <c r="F181" s="90" t="s">
        <v>216</v>
      </c>
      <c r="G181" s="160" t="s">
        <v>879</v>
      </c>
      <c r="H181" s="162" t="n">
        <f aca="false">IFERROR(INDEX(Schedule!$E$2:$E$147,MATCH($G181,Schedule!$A$2:$A$147,0)),"")</f>
        <v>45017</v>
      </c>
      <c r="I181" s="162" t="n">
        <f aca="false">IFERROR(INDEX(Schedule!$F$2:$F$147,MATCH($G181,Schedule!$A$2:$A$147,0)),"")</f>
        <v>45331</v>
      </c>
      <c r="J181" s="92"/>
      <c r="K181" s="92"/>
      <c r="L181" s="92"/>
      <c r="M181" s="92"/>
      <c r="N181" s="92"/>
      <c r="O181" s="90" t="n">
        <v>1</v>
      </c>
      <c r="P181" s="163" t="n">
        <f aca="false">IFERROR((IF(OR(ISNUMBER(J181),UPPER(TRIM(J181))="N/A"),1,0)*IF($W181="N",0,INDEX('Rules of Credit'!$B$5:$F$8,MATCH($F181,'Rules of Credit'!$A$5:$A$8,0),1))+IF(OR(ISNUMBER(K181),UPPER(TRIM(K181))="N/A"),1,0)*INDEX('Rules of Credit'!$B$5:$F$8,MATCH($F181,'Rules of Credit'!$A$5:$A$8,0),2)+IF(OR(ISNUMBER(L181),UPPER(TRIM(L181))="N/A"),1,0)*INDEX('Rules of Credit'!$B$5:$F$8,MATCH($F181,'Rules of Credit'!$A$5:$A$8,0),3)+IF(OR(ISNUMBER(M181),UPPER(TRIM(M181))="N/A"),1,0)*IF($X181="N",0,INDEX('Rules of Credit'!$B$5:$F$8,MATCH($F181,'Rules of Credit'!$A$5:$A$8,0),4))+IF(OR(ISNUMBER(N181),UPPER(TRIM(N181))="N/A"),1,0)*INDEX('Rules of Credit'!$B$5:$F$8,MATCH($F181,'Rules of Credit'!$A$5:$A$8,0),5))/(IF($W181="N",0,INDEX('Rules of Credit'!$B$5:$F$8,MATCH($F181,'Rules of Credit'!$A$5:$A$8,0),1))+INDEX('Rules of Credit'!$B$5:$F$8,MATCH($F181,'Rules of Credit'!$A$5:$A$8,0),2)+INDEX('Rules of Credit'!$B$5:$F$8,MATCH($F181,'Rules of Credit'!$A$5:$A$8,0),3)+IF($X181="N",0,INDEX('Rules of Credit'!$B$5:$F$8,MATCH($F181,'Rules of Credit'!$A$5:$A$8,0),4))+INDEX('Rules of Credit'!$B$5:$F$8,MATCH($F181,'Rules of Credit'!$A$5:$A$8,0),5)),0)</f>
        <v>0</v>
      </c>
      <c r="Q181" s="163" t="n">
        <f aca="false">IF(OR($H181="",$I181=""),0,IF('Tracker Summary'!$C$3&lt;$H181,0,IF('Tracker Summary'!$C$3&gt;=$I181,1,('Tracker Summary'!$C$3-$H181)/($I181-$H181+1))))</f>
        <v>0</v>
      </c>
      <c r="R181" s="163" t="n">
        <f aca="false">P181-Q181</f>
        <v>0</v>
      </c>
      <c r="S181" s="160" t="str">
        <f aca="false">IF($I181="","Not scheduled",IF(P181&gt;=1,"Complete",IF('Tracker Summary'!$C$3&gt;$I181,"Overdue",IF(P181-Q181&lt;-0.1,"Behind",IF(AND(P181=0,'Tracker Summary'!$C$3&lt;$H181),"Not started","On track")))))</f>
        <v>Not started</v>
      </c>
      <c r="T181" s="90"/>
      <c r="U181" s="160" t="str">
        <f aca="false">IFERROR(INDEX(Schedule!$D$2:$D$147,MATCH($G181,Schedule!$A$2:$A$147,0)),"")</f>
        <v>Electrical, Instrumentation &amp; Controls — Existing dewatering / treatment building</v>
      </c>
      <c r="V181" s="162" t="n">
        <f aca="false">IFERROR(INDEX(Schedule!$F$2:$F$147,MATCH("26-P01",Schedule!$A$2:$A$147,0)),"")</f>
        <v>44999</v>
      </c>
      <c r="W181" s="160" t="s">
        <v>115</v>
      </c>
      <c r="X181" s="160" t="s">
        <v>115</v>
      </c>
      <c r="Y181" s="160" t="n">
        <v>0</v>
      </c>
      <c r="Z181" s="160" t="n">
        <v>0</v>
      </c>
      <c r="AA181" s="160"/>
      <c r="AB181" s="160"/>
      <c r="AC181" s="160" t="s">
        <v>92</v>
      </c>
      <c r="AD181" s="160" t="s">
        <v>499</v>
      </c>
      <c r="AE181" s="160" t="s">
        <v>822</v>
      </c>
      <c r="AF181" s="160"/>
      <c r="AG181" s="160" t="s">
        <v>822</v>
      </c>
      <c r="AH181" s="160" t="s">
        <v>501</v>
      </c>
    </row>
    <row r="182" customFormat="false" ht="15" hidden="false" customHeight="false" outlineLevel="0" collapsed="false">
      <c r="A182" s="160" t="s">
        <v>60</v>
      </c>
      <c r="B182" s="161" t="s">
        <v>37</v>
      </c>
      <c r="C182" s="160" t="s">
        <v>887</v>
      </c>
      <c r="D182" s="160" t="s">
        <v>888</v>
      </c>
      <c r="E182" s="160" t="s">
        <v>537</v>
      </c>
      <c r="F182" s="90" t="s">
        <v>234</v>
      </c>
      <c r="G182" s="160" t="s">
        <v>879</v>
      </c>
      <c r="H182" s="162" t="n">
        <f aca="false">IFERROR(INDEX(Schedule!$E$2:$E$147,MATCH($G182,Schedule!$A$2:$A$147,0)),"")</f>
        <v>45017</v>
      </c>
      <c r="I182" s="162" t="n">
        <f aca="false">IFERROR(INDEX(Schedule!$F$2:$F$147,MATCH($G182,Schedule!$A$2:$A$147,0)),"")</f>
        <v>45331</v>
      </c>
      <c r="J182" s="92"/>
      <c r="K182" s="92"/>
      <c r="L182" s="92"/>
      <c r="M182" s="92"/>
      <c r="N182" s="92"/>
      <c r="O182" s="90" t="n">
        <v>1</v>
      </c>
      <c r="P182" s="163" t="n">
        <f aca="false">IFERROR((IF(OR(ISNUMBER(J182),UPPER(TRIM(J182))="N/A"),1,0)*IF($W182="N",0,INDEX('Rules of Credit'!$B$5:$F$8,MATCH($F182,'Rules of Credit'!$A$5:$A$8,0),1))+IF(OR(ISNUMBER(K182),UPPER(TRIM(K182))="N/A"),1,0)*INDEX('Rules of Credit'!$B$5:$F$8,MATCH($F182,'Rules of Credit'!$A$5:$A$8,0),2)+IF(OR(ISNUMBER(L182),UPPER(TRIM(L182))="N/A"),1,0)*INDEX('Rules of Credit'!$B$5:$F$8,MATCH($F182,'Rules of Credit'!$A$5:$A$8,0),3)+IF(OR(ISNUMBER(M182),UPPER(TRIM(M182))="N/A"),1,0)*IF($X182="N",0,INDEX('Rules of Credit'!$B$5:$F$8,MATCH($F182,'Rules of Credit'!$A$5:$A$8,0),4))+IF(OR(ISNUMBER(N182),UPPER(TRIM(N182))="N/A"),1,0)*INDEX('Rules of Credit'!$B$5:$F$8,MATCH($F182,'Rules of Credit'!$A$5:$A$8,0),5))/(IF($W182="N",0,INDEX('Rules of Credit'!$B$5:$F$8,MATCH($F182,'Rules of Credit'!$A$5:$A$8,0),1))+INDEX('Rules of Credit'!$B$5:$F$8,MATCH($F182,'Rules of Credit'!$A$5:$A$8,0),2)+INDEX('Rules of Credit'!$B$5:$F$8,MATCH($F182,'Rules of Credit'!$A$5:$A$8,0),3)+IF($X182="N",0,INDEX('Rules of Credit'!$B$5:$F$8,MATCH($F182,'Rules of Credit'!$A$5:$A$8,0),4))+INDEX('Rules of Credit'!$B$5:$F$8,MATCH($F182,'Rules of Credit'!$A$5:$A$8,0),5)),0)</f>
        <v>0</v>
      </c>
      <c r="Q182" s="163" t="n">
        <f aca="false">IF(OR($H182="",$I182=""),0,IF('Tracker Summary'!$C$3&lt;$H182,0,IF('Tracker Summary'!$C$3&gt;=$I182,1,('Tracker Summary'!$C$3-$H182)/($I182-$H182+1))))</f>
        <v>0</v>
      </c>
      <c r="R182" s="163" t="n">
        <f aca="false">P182-Q182</f>
        <v>0</v>
      </c>
      <c r="S182" s="160" t="str">
        <f aca="false">IF($I182="","Not scheduled",IF(P182&gt;=1,"Complete",IF('Tracker Summary'!$C$3&gt;$I182,"Overdue",IF(P182-Q182&lt;-0.1,"Behind",IF(AND(P182=0,'Tracker Summary'!$C$3&lt;$H182),"Not started","On track")))))</f>
        <v>Not started</v>
      </c>
      <c r="T182" s="90"/>
      <c r="U182" s="160" t="str">
        <f aca="false">IFERROR(INDEX(Schedule!$D$2:$D$147,MATCH($G182,Schedule!$A$2:$A$147,0)),"")</f>
        <v>Electrical, Instrumentation &amp; Controls — Existing dewatering / treatment building</v>
      </c>
      <c r="V182" s="162" t="n">
        <f aca="false">IFERROR(INDEX(Schedule!$F$2:$F$147,MATCH("26-P01",Schedule!$A$2:$A$147,0)),"")</f>
        <v>44999</v>
      </c>
      <c r="W182" s="160" t="s">
        <v>91</v>
      </c>
      <c r="X182" s="160" t="s">
        <v>91</v>
      </c>
      <c r="Y182" s="160" t="n">
        <v>0</v>
      </c>
      <c r="Z182" s="160" t="n">
        <v>0</v>
      </c>
      <c r="AA182" s="160"/>
      <c r="AB182" s="160"/>
      <c r="AC182" s="160" t="s">
        <v>498</v>
      </c>
      <c r="AD182" s="160" t="s">
        <v>499</v>
      </c>
      <c r="AE182" s="160" t="s">
        <v>889</v>
      </c>
      <c r="AF182" s="160" t="s">
        <v>725</v>
      </c>
      <c r="AG182" s="160" t="s">
        <v>890</v>
      </c>
      <c r="AH182" s="160" t="s">
        <v>501</v>
      </c>
    </row>
    <row r="183" customFormat="false" ht="15" hidden="false" customHeight="false" outlineLevel="0" collapsed="false">
      <c r="A183" s="160" t="s">
        <v>60</v>
      </c>
      <c r="B183" s="161" t="s">
        <v>37</v>
      </c>
      <c r="C183" s="160" t="s">
        <v>891</v>
      </c>
      <c r="D183" s="160" t="s">
        <v>892</v>
      </c>
      <c r="E183" s="160" t="s">
        <v>537</v>
      </c>
      <c r="F183" s="90" t="s">
        <v>234</v>
      </c>
      <c r="G183" s="160" t="s">
        <v>879</v>
      </c>
      <c r="H183" s="162" t="n">
        <f aca="false">IFERROR(INDEX(Schedule!$E$2:$E$147,MATCH($G183,Schedule!$A$2:$A$147,0)),"")</f>
        <v>45017</v>
      </c>
      <c r="I183" s="162" t="n">
        <f aca="false">IFERROR(INDEX(Schedule!$F$2:$F$147,MATCH($G183,Schedule!$A$2:$A$147,0)),"")</f>
        <v>45331</v>
      </c>
      <c r="J183" s="92"/>
      <c r="K183" s="92"/>
      <c r="L183" s="92"/>
      <c r="M183" s="92"/>
      <c r="N183" s="92"/>
      <c r="O183" s="90" t="n">
        <v>1</v>
      </c>
      <c r="P183" s="163" t="n">
        <f aca="false">IFERROR((IF(OR(ISNUMBER(J183),UPPER(TRIM(J183))="N/A"),1,0)*IF($W183="N",0,INDEX('Rules of Credit'!$B$5:$F$8,MATCH($F183,'Rules of Credit'!$A$5:$A$8,0),1))+IF(OR(ISNUMBER(K183),UPPER(TRIM(K183))="N/A"),1,0)*INDEX('Rules of Credit'!$B$5:$F$8,MATCH($F183,'Rules of Credit'!$A$5:$A$8,0),2)+IF(OR(ISNUMBER(L183),UPPER(TRIM(L183))="N/A"),1,0)*INDEX('Rules of Credit'!$B$5:$F$8,MATCH($F183,'Rules of Credit'!$A$5:$A$8,0),3)+IF(OR(ISNUMBER(M183),UPPER(TRIM(M183))="N/A"),1,0)*IF($X183="N",0,INDEX('Rules of Credit'!$B$5:$F$8,MATCH($F183,'Rules of Credit'!$A$5:$A$8,0),4))+IF(OR(ISNUMBER(N183),UPPER(TRIM(N183))="N/A"),1,0)*INDEX('Rules of Credit'!$B$5:$F$8,MATCH($F183,'Rules of Credit'!$A$5:$A$8,0),5))/(IF($W183="N",0,INDEX('Rules of Credit'!$B$5:$F$8,MATCH($F183,'Rules of Credit'!$A$5:$A$8,0),1))+INDEX('Rules of Credit'!$B$5:$F$8,MATCH($F183,'Rules of Credit'!$A$5:$A$8,0),2)+INDEX('Rules of Credit'!$B$5:$F$8,MATCH($F183,'Rules of Credit'!$A$5:$A$8,0),3)+IF($X183="N",0,INDEX('Rules of Credit'!$B$5:$F$8,MATCH($F183,'Rules of Credit'!$A$5:$A$8,0),4))+INDEX('Rules of Credit'!$B$5:$F$8,MATCH($F183,'Rules of Credit'!$A$5:$A$8,0),5)),0)</f>
        <v>0</v>
      </c>
      <c r="Q183" s="163" t="n">
        <f aca="false">IF(OR($H183="",$I183=""),0,IF('Tracker Summary'!$C$3&lt;$H183,0,IF('Tracker Summary'!$C$3&gt;=$I183,1,('Tracker Summary'!$C$3-$H183)/($I183-$H183+1))))</f>
        <v>0</v>
      </c>
      <c r="R183" s="163" t="n">
        <f aca="false">P183-Q183</f>
        <v>0</v>
      </c>
      <c r="S183" s="160" t="str">
        <f aca="false">IF($I183="","Not scheduled",IF(P183&gt;=1,"Complete",IF('Tracker Summary'!$C$3&gt;$I183,"Overdue",IF(P183-Q183&lt;-0.1,"Behind",IF(AND(P183=0,'Tracker Summary'!$C$3&lt;$H183),"Not started","On track")))))</f>
        <v>Not started</v>
      </c>
      <c r="T183" s="90"/>
      <c r="U183" s="160" t="str">
        <f aca="false">IFERROR(INDEX(Schedule!$D$2:$D$147,MATCH($G183,Schedule!$A$2:$A$147,0)),"")</f>
        <v>Electrical, Instrumentation &amp; Controls — Existing dewatering / treatment building</v>
      </c>
      <c r="V183" s="162" t="n">
        <f aca="false">IFERROR(INDEX(Schedule!$F$2:$F$147,MATCH("26-P01",Schedule!$A$2:$A$147,0)),"")</f>
        <v>44999</v>
      </c>
      <c r="W183" s="160" t="s">
        <v>91</v>
      </c>
      <c r="X183" s="160" t="s">
        <v>91</v>
      </c>
      <c r="Y183" s="160" t="n">
        <v>0</v>
      </c>
      <c r="Z183" s="160" t="n">
        <v>0</v>
      </c>
      <c r="AA183" s="160"/>
      <c r="AB183" s="160"/>
      <c r="AC183" s="160" t="s">
        <v>498</v>
      </c>
      <c r="AD183" s="160" t="s">
        <v>499</v>
      </c>
      <c r="AE183" s="160" t="s">
        <v>893</v>
      </c>
      <c r="AF183" s="160" t="s">
        <v>725</v>
      </c>
      <c r="AG183" s="160" t="s">
        <v>894</v>
      </c>
      <c r="AH183" s="160" t="s">
        <v>501</v>
      </c>
    </row>
    <row r="184" customFormat="false" ht="15" hidden="false" customHeight="false" outlineLevel="0" collapsed="false">
      <c r="A184" s="160" t="s">
        <v>60</v>
      </c>
      <c r="B184" s="161" t="s">
        <v>37</v>
      </c>
      <c r="C184" s="160" t="s">
        <v>895</v>
      </c>
      <c r="D184" s="160" t="s">
        <v>896</v>
      </c>
      <c r="E184" s="160" t="s">
        <v>537</v>
      </c>
      <c r="F184" s="90" t="s">
        <v>234</v>
      </c>
      <c r="G184" s="160" t="s">
        <v>879</v>
      </c>
      <c r="H184" s="162" t="n">
        <f aca="false">IFERROR(INDEX(Schedule!$E$2:$E$147,MATCH($G184,Schedule!$A$2:$A$147,0)),"")</f>
        <v>45017</v>
      </c>
      <c r="I184" s="162" t="n">
        <f aca="false">IFERROR(INDEX(Schedule!$F$2:$F$147,MATCH($G184,Schedule!$A$2:$A$147,0)),"")</f>
        <v>45331</v>
      </c>
      <c r="J184" s="92"/>
      <c r="K184" s="92"/>
      <c r="L184" s="92"/>
      <c r="M184" s="92"/>
      <c r="N184" s="92"/>
      <c r="O184" s="90" t="n">
        <v>1</v>
      </c>
      <c r="P184" s="163" t="n">
        <f aca="false">IFERROR((IF(OR(ISNUMBER(J184),UPPER(TRIM(J184))="N/A"),1,0)*IF($W184="N",0,INDEX('Rules of Credit'!$B$5:$F$8,MATCH($F184,'Rules of Credit'!$A$5:$A$8,0),1))+IF(OR(ISNUMBER(K184),UPPER(TRIM(K184))="N/A"),1,0)*INDEX('Rules of Credit'!$B$5:$F$8,MATCH($F184,'Rules of Credit'!$A$5:$A$8,0),2)+IF(OR(ISNUMBER(L184),UPPER(TRIM(L184))="N/A"),1,0)*INDEX('Rules of Credit'!$B$5:$F$8,MATCH($F184,'Rules of Credit'!$A$5:$A$8,0),3)+IF(OR(ISNUMBER(M184),UPPER(TRIM(M184))="N/A"),1,0)*IF($X184="N",0,INDEX('Rules of Credit'!$B$5:$F$8,MATCH($F184,'Rules of Credit'!$A$5:$A$8,0),4))+IF(OR(ISNUMBER(N184),UPPER(TRIM(N184))="N/A"),1,0)*INDEX('Rules of Credit'!$B$5:$F$8,MATCH($F184,'Rules of Credit'!$A$5:$A$8,0),5))/(IF($W184="N",0,INDEX('Rules of Credit'!$B$5:$F$8,MATCH($F184,'Rules of Credit'!$A$5:$A$8,0),1))+INDEX('Rules of Credit'!$B$5:$F$8,MATCH($F184,'Rules of Credit'!$A$5:$A$8,0),2)+INDEX('Rules of Credit'!$B$5:$F$8,MATCH($F184,'Rules of Credit'!$A$5:$A$8,0),3)+IF($X184="N",0,INDEX('Rules of Credit'!$B$5:$F$8,MATCH($F184,'Rules of Credit'!$A$5:$A$8,0),4))+INDEX('Rules of Credit'!$B$5:$F$8,MATCH($F184,'Rules of Credit'!$A$5:$A$8,0),5)),0)</f>
        <v>0</v>
      </c>
      <c r="Q184" s="163" t="n">
        <f aca="false">IF(OR($H184="",$I184=""),0,IF('Tracker Summary'!$C$3&lt;$H184,0,IF('Tracker Summary'!$C$3&gt;=$I184,1,('Tracker Summary'!$C$3-$H184)/($I184-$H184+1))))</f>
        <v>0</v>
      </c>
      <c r="R184" s="163" t="n">
        <f aca="false">P184-Q184</f>
        <v>0</v>
      </c>
      <c r="S184" s="160" t="str">
        <f aca="false">IF($I184="","Not scheduled",IF(P184&gt;=1,"Complete",IF('Tracker Summary'!$C$3&gt;$I184,"Overdue",IF(P184-Q184&lt;-0.1,"Behind",IF(AND(P184=0,'Tracker Summary'!$C$3&lt;$H184),"Not started","On track")))))</f>
        <v>Not started</v>
      </c>
      <c r="T184" s="90"/>
      <c r="U184" s="160" t="str">
        <f aca="false">IFERROR(INDEX(Schedule!$D$2:$D$147,MATCH($G184,Schedule!$A$2:$A$147,0)),"")</f>
        <v>Electrical, Instrumentation &amp; Controls — Existing dewatering / treatment building</v>
      </c>
      <c r="V184" s="162" t="n">
        <f aca="false">IFERROR(INDEX(Schedule!$F$2:$F$147,MATCH("26-P01",Schedule!$A$2:$A$147,0)),"")</f>
        <v>44999</v>
      </c>
      <c r="W184" s="160" t="s">
        <v>99</v>
      </c>
      <c r="X184" s="160" t="s">
        <v>99</v>
      </c>
      <c r="Y184" s="160" t="n">
        <v>2</v>
      </c>
      <c r="Z184" s="160" t="n">
        <v>3</v>
      </c>
      <c r="AA184" s="160" t="s">
        <v>897</v>
      </c>
      <c r="AB184" s="160" t="s">
        <v>898</v>
      </c>
      <c r="AC184" s="160" t="s">
        <v>92</v>
      </c>
      <c r="AD184" s="160" t="s">
        <v>499</v>
      </c>
      <c r="AE184" s="160" t="s">
        <v>899</v>
      </c>
      <c r="AF184" s="160" t="s">
        <v>715</v>
      </c>
      <c r="AG184" s="160" t="s">
        <v>899</v>
      </c>
      <c r="AH184" s="160" t="s">
        <v>501</v>
      </c>
    </row>
    <row r="185" customFormat="false" ht="15" hidden="false" customHeight="false" outlineLevel="0" collapsed="false">
      <c r="A185" s="160" t="s">
        <v>60</v>
      </c>
      <c r="B185" s="161" t="s">
        <v>37</v>
      </c>
      <c r="C185" s="160" t="s">
        <v>900</v>
      </c>
      <c r="D185" s="160" t="s">
        <v>901</v>
      </c>
      <c r="E185" s="160" t="s">
        <v>537</v>
      </c>
      <c r="F185" s="90" t="s">
        <v>234</v>
      </c>
      <c r="G185" s="160" t="s">
        <v>879</v>
      </c>
      <c r="H185" s="162" t="n">
        <f aca="false">IFERROR(INDEX(Schedule!$E$2:$E$147,MATCH($G185,Schedule!$A$2:$A$147,0)),"")</f>
        <v>45017</v>
      </c>
      <c r="I185" s="162" t="n">
        <f aca="false">IFERROR(INDEX(Schedule!$F$2:$F$147,MATCH($G185,Schedule!$A$2:$A$147,0)),"")</f>
        <v>45331</v>
      </c>
      <c r="J185" s="92"/>
      <c r="K185" s="92"/>
      <c r="L185" s="92"/>
      <c r="M185" s="92"/>
      <c r="N185" s="92"/>
      <c r="O185" s="90" t="n">
        <v>1</v>
      </c>
      <c r="P185" s="163" t="n">
        <f aca="false">IFERROR((IF(OR(ISNUMBER(J185),UPPER(TRIM(J185))="N/A"),1,0)*IF($W185="N",0,INDEX('Rules of Credit'!$B$5:$F$8,MATCH($F185,'Rules of Credit'!$A$5:$A$8,0),1))+IF(OR(ISNUMBER(K185),UPPER(TRIM(K185))="N/A"),1,0)*INDEX('Rules of Credit'!$B$5:$F$8,MATCH($F185,'Rules of Credit'!$A$5:$A$8,0),2)+IF(OR(ISNUMBER(L185),UPPER(TRIM(L185))="N/A"),1,0)*INDEX('Rules of Credit'!$B$5:$F$8,MATCH($F185,'Rules of Credit'!$A$5:$A$8,0),3)+IF(OR(ISNUMBER(M185),UPPER(TRIM(M185))="N/A"),1,0)*IF($X185="N",0,INDEX('Rules of Credit'!$B$5:$F$8,MATCH($F185,'Rules of Credit'!$A$5:$A$8,0),4))+IF(OR(ISNUMBER(N185),UPPER(TRIM(N185))="N/A"),1,0)*INDEX('Rules of Credit'!$B$5:$F$8,MATCH($F185,'Rules of Credit'!$A$5:$A$8,0),5))/(IF($W185="N",0,INDEX('Rules of Credit'!$B$5:$F$8,MATCH($F185,'Rules of Credit'!$A$5:$A$8,0),1))+INDEX('Rules of Credit'!$B$5:$F$8,MATCH($F185,'Rules of Credit'!$A$5:$A$8,0),2)+INDEX('Rules of Credit'!$B$5:$F$8,MATCH($F185,'Rules of Credit'!$A$5:$A$8,0),3)+IF($X185="N",0,INDEX('Rules of Credit'!$B$5:$F$8,MATCH($F185,'Rules of Credit'!$A$5:$A$8,0),4))+INDEX('Rules of Credit'!$B$5:$F$8,MATCH($F185,'Rules of Credit'!$A$5:$A$8,0),5)),0)</f>
        <v>0</v>
      </c>
      <c r="Q185" s="163" t="n">
        <f aca="false">IF(OR($H185="",$I185=""),0,IF('Tracker Summary'!$C$3&lt;$H185,0,IF('Tracker Summary'!$C$3&gt;=$I185,1,('Tracker Summary'!$C$3-$H185)/($I185-$H185+1))))</f>
        <v>0</v>
      </c>
      <c r="R185" s="163" t="n">
        <f aca="false">P185-Q185</f>
        <v>0</v>
      </c>
      <c r="S185" s="160" t="str">
        <f aca="false">IF($I185="","Not scheduled",IF(P185&gt;=1,"Complete",IF('Tracker Summary'!$C$3&gt;$I185,"Overdue",IF(P185-Q185&lt;-0.1,"Behind",IF(AND(P185=0,'Tracker Summary'!$C$3&lt;$H185),"Not started","On track")))))</f>
        <v>Not started</v>
      </c>
      <c r="T185" s="90"/>
      <c r="U185" s="160" t="str">
        <f aca="false">IFERROR(INDEX(Schedule!$D$2:$D$147,MATCH($G185,Schedule!$A$2:$A$147,0)),"")</f>
        <v>Electrical, Instrumentation &amp; Controls — Existing dewatering / treatment building</v>
      </c>
      <c r="V185" s="162" t="n">
        <f aca="false">IFERROR(INDEX(Schedule!$F$2:$F$147,MATCH("26-P01",Schedule!$A$2:$A$147,0)),"")</f>
        <v>44999</v>
      </c>
      <c r="W185" s="160" t="s">
        <v>99</v>
      </c>
      <c r="X185" s="160" t="s">
        <v>91</v>
      </c>
      <c r="Y185" s="160" t="n">
        <v>3</v>
      </c>
      <c r="Z185" s="160" t="n">
        <v>0</v>
      </c>
      <c r="AA185" s="160" t="s">
        <v>902</v>
      </c>
      <c r="AB185" s="160" t="s">
        <v>528</v>
      </c>
      <c r="AC185" s="160" t="s">
        <v>92</v>
      </c>
      <c r="AD185" s="160" t="s">
        <v>499</v>
      </c>
      <c r="AE185" s="160" t="s">
        <v>903</v>
      </c>
      <c r="AF185" s="160" t="s">
        <v>792</v>
      </c>
      <c r="AG185" s="160" t="s">
        <v>903</v>
      </c>
      <c r="AH185" s="160" t="s">
        <v>501</v>
      </c>
    </row>
    <row r="186" customFormat="false" ht="15" hidden="false" customHeight="false" outlineLevel="0" collapsed="false">
      <c r="A186" s="160" t="s">
        <v>60</v>
      </c>
      <c r="B186" s="161" t="s">
        <v>37</v>
      </c>
      <c r="C186" s="160" t="s">
        <v>904</v>
      </c>
      <c r="D186" s="160" t="s">
        <v>905</v>
      </c>
      <c r="E186" s="160" t="s">
        <v>537</v>
      </c>
      <c r="F186" s="90" t="s">
        <v>234</v>
      </c>
      <c r="G186" s="160" t="s">
        <v>879</v>
      </c>
      <c r="H186" s="162" t="n">
        <f aca="false">IFERROR(INDEX(Schedule!$E$2:$E$147,MATCH($G186,Schedule!$A$2:$A$147,0)),"")</f>
        <v>45017</v>
      </c>
      <c r="I186" s="162" t="n">
        <f aca="false">IFERROR(INDEX(Schedule!$F$2:$F$147,MATCH($G186,Schedule!$A$2:$A$147,0)),"")</f>
        <v>45331</v>
      </c>
      <c r="J186" s="92"/>
      <c r="K186" s="92"/>
      <c r="L186" s="92"/>
      <c r="M186" s="92"/>
      <c r="N186" s="92"/>
      <c r="O186" s="90" t="n">
        <v>1</v>
      </c>
      <c r="P186" s="163" t="n">
        <f aca="false">IFERROR((IF(OR(ISNUMBER(J186),UPPER(TRIM(J186))="N/A"),1,0)*IF($W186="N",0,INDEX('Rules of Credit'!$B$5:$F$8,MATCH($F186,'Rules of Credit'!$A$5:$A$8,0),1))+IF(OR(ISNUMBER(K186),UPPER(TRIM(K186))="N/A"),1,0)*INDEX('Rules of Credit'!$B$5:$F$8,MATCH($F186,'Rules of Credit'!$A$5:$A$8,0),2)+IF(OR(ISNUMBER(L186),UPPER(TRIM(L186))="N/A"),1,0)*INDEX('Rules of Credit'!$B$5:$F$8,MATCH($F186,'Rules of Credit'!$A$5:$A$8,0),3)+IF(OR(ISNUMBER(M186),UPPER(TRIM(M186))="N/A"),1,0)*IF($X186="N",0,INDEX('Rules of Credit'!$B$5:$F$8,MATCH($F186,'Rules of Credit'!$A$5:$A$8,0),4))+IF(OR(ISNUMBER(N186),UPPER(TRIM(N186))="N/A"),1,0)*INDEX('Rules of Credit'!$B$5:$F$8,MATCH($F186,'Rules of Credit'!$A$5:$A$8,0),5))/(IF($W186="N",0,INDEX('Rules of Credit'!$B$5:$F$8,MATCH($F186,'Rules of Credit'!$A$5:$A$8,0),1))+INDEX('Rules of Credit'!$B$5:$F$8,MATCH($F186,'Rules of Credit'!$A$5:$A$8,0),2)+INDEX('Rules of Credit'!$B$5:$F$8,MATCH($F186,'Rules of Credit'!$A$5:$A$8,0),3)+IF($X186="N",0,INDEX('Rules of Credit'!$B$5:$F$8,MATCH($F186,'Rules of Credit'!$A$5:$A$8,0),4))+INDEX('Rules of Credit'!$B$5:$F$8,MATCH($F186,'Rules of Credit'!$A$5:$A$8,0),5)),0)</f>
        <v>0</v>
      </c>
      <c r="Q186" s="163" t="n">
        <f aca="false">IF(OR($H186="",$I186=""),0,IF('Tracker Summary'!$C$3&lt;$H186,0,IF('Tracker Summary'!$C$3&gt;=$I186,1,('Tracker Summary'!$C$3-$H186)/($I186-$H186+1))))</f>
        <v>0</v>
      </c>
      <c r="R186" s="163" t="n">
        <f aca="false">P186-Q186</f>
        <v>0</v>
      </c>
      <c r="S186" s="160" t="str">
        <f aca="false">IF($I186="","Not scheduled",IF(P186&gt;=1,"Complete",IF('Tracker Summary'!$C$3&gt;$I186,"Overdue",IF(P186-Q186&lt;-0.1,"Behind",IF(AND(P186=0,'Tracker Summary'!$C$3&lt;$H186),"Not started","On track")))))</f>
        <v>Not started</v>
      </c>
      <c r="T186" s="90"/>
      <c r="U186" s="160" t="str">
        <f aca="false">IFERROR(INDEX(Schedule!$D$2:$D$147,MATCH($G186,Schedule!$A$2:$A$147,0)),"")</f>
        <v>Electrical, Instrumentation &amp; Controls — Existing dewatering / treatment building</v>
      </c>
      <c r="V186" s="162" t="n">
        <f aca="false">IFERROR(INDEX(Schedule!$F$2:$F$147,MATCH("26-P01",Schedule!$A$2:$A$147,0)),"")</f>
        <v>44999</v>
      </c>
      <c r="W186" s="160" t="s">
        <v>99</v>
      </c>
      <c r="X186" s="160" t="s">
        <v>99</v>
      </c>
      <c r="Y186" s="160" t="n">
        <v>3</v>
      </c>
      <c r="Z186" s="160" t="n">
        <v>4</v>
      </c>
      <c r="AA186" s="160"/>
      <c r="AB186" s="160"/>
      <c r="AC186" s="160" t="s">
        <v>120</v>
      </c>
      <c r="AD186" s="160" t="s">
        <v>499</v>
      </c>
      <c r="AE186" s="160" t="s">
        <v>906</v>
      </c>
      <c r="AF186" s="160" t="s">
        <v>715</v>
      </c>
      <c r="AG186" s="160" t="s">
        <v>907</v>
      </c>
      <c r="AH186" s="160" t="s">
        <v>501</v>
      </c>
    </row>
    <row r="187" customFormat="false" ht="15" hidden="false" customHeight="false" outlineLevel="0" collapsed="false">
      <c r="A187" s="160" t="s">
        <v>60</v>
      </c>
      <c r="B187" s="161" t="s">
        <v>37</v>
      </c>
      <c r="C187" s="160" t="s">
        <v>908</v>
      </c>
      <c r="D187" s="160" t="s">
        <v>909</v>
      </c>
      <c r="E187" s="160" t="s">
        <v>537</v>
      </c>
      <c r="F187" s="90" t="s">
        <v>234</v>
      </c>
      <c r="G187" s="160" t="s">
        <v>879</v>
      </c>
      <c r="H187" s="162" t="n">
        <f aca="false">IFERROR(INDEX(Schedule!$E$2:$E$147,MATCH($G187,Schedule!$A$2:$A$147,0)),"")</f>
        <v>45017</v>
      </c>
      <c r="I187" s="162" t="n">
        <f aca="false">IFERROR(INDEX(Schedule!$F$2:$F$147,MATCH($G187,Schedule!$A$2:$A$147,0)),"")</f>
        <v>45331</v>
      </c>
      <c r="J187" s="92"/>
      <c r="K187" s="92"/>
      <c r="L187" s="92"/>
      <c r="M187" s="92"/>
      <c r="N187" s="92"/>
      <c r="O187" s="90" t="n">
        <v>1</v>
      </c>
      <c r="P187" s="163" t="n">
        <f aca="false">IFERROR((IF(OR(ISNUMBER(J187),UPPER(TRIM(J187))="N/A"),1,0)*IF($W187="N",0,INDEX('Rules of Credit'!$B$5:$F$8,MATCH($F187,'Rules of Credit'!$A$5:$A$8,0),1))+IF(OR(ISNUMBER(K187),UPPER(TRIM(K187))="N/A"),1,0)*INDEX('Rules of Credit'!$B$5:$F$8,MATCH($F187,'Rules of Credit'!$A$5:$A$8,0),2)+IF(OR(ISNUMBER(L187),UPPER(TRIM(L187))="N/A"),1,0)*INDEX('Rules of Credit'!$B$5:$F$8,MATCH($F187,'Rules of Credit'!$A$5:$A$8,0),3)+IF(OR(ISNUMBER(M187),UPPER(TRIM(M187))="N/A"),1,0)*IF($X187="N",0,INDEX('Rules of Credit'!$B$5:$F$8,MATCH($F187,'Rules of Credit'!$A$5:$A$8,0),4))+IF(OR(ISNUMBER(N187),UPPER(TRIM(N187))="N/A"),1,0)*INDEX('Rules of Credit'!$B$5:$F$8,MATCH($F187,'Rules of Credit'!$A$5:$A$8,0),5))/(IF($W187="N",0,INDEX('Rules of Credit'!$B$5:$F$8,MATCH($F187,'Rules of Credit'!$A$5:$A$8,0),1))+INDEX('Rules of Credit'!$B$5:$F$8,MATCH($F187,'Rules of Credit'!$A$5:$A$8,0),2)+INDEX('Rules of Credit'!$B$5:$F$8,MATCH($F187,'Rules of Credit'!$A$5:$A$8,0),3)+IF($X187="N",0,INDEX('Rules of Credit'!$B$5:$F$8,MATCH($F187,'Rules of Credit'!$A$5:$A$8,0),4))+INDEX('Rules of Credit'!$B$5:$F$8,MATCH($F187,'Rules of Credit'!$A$5:$A$8,0),5)),0)</f>
        <v>0</v>
      </c>
      <c r="Q187" s="163" t="n">
        <f aca="false">IF(OR($H187="",$I187=""),0,IF('Tracker Summary'!$C$3&lt;$H187,0,IF('Tracker Summary'!$C$3&gt;=$I187,1,('Tracker Summary'!$C$3-$H187)/($I187-$H187+1))))</f>
        <v>0</v>
      </c>
      <c r="R187" s="163" t="n">
        <f aca="false">P187-Q187</f>
        <v>0</v>
      </c>
      <c r="S187" s="160" t="str">
        <f aca="false">IF($I187="","Not scheduled",IF(P187&gt;=1,"Complete",IF('Tracker Summary'!$C$3&gt;$I187,"Overdue",IF(P187-Q187&lt;-0.1,"Behind",IF(AND(P187=0,'Tracker Summary'!$C$3&lt;$H187),"Not started","On track")))))</f>
        <v>Not started</v>
      </c>
      <c r="T187" s="90"/>
      <c r="U187" s="160" t="str">
        <f aca="false">IFERROR(INDEX(Schedule!$D$2:$D$147,MATCH($G187,Schedule!$A$2:$A$147,0)),"")</f>
        <v>Electrical, Instrumentation &amp; Controls — Existing dewatering / treatment building</v>
      </c>
      <c r="V187" s="162" t="n">
        <f aca="false">IFERROR(INDEX(Schedule!$F$2:$F$147,MATCH("26-P01",Schedule!$A$2:$A$147,0)),"")</f>
        <v>44999</v>
      </c>
      <c r="W187" s="160" t="s">
        <v>99</v>
      </c>
      <c r="X187" s="160" t="s">
        <v>99</v>
      </c>
      <c r="Y187" s="160" t="n">
        <v>3</v>
      </c>
      <c r="Z187" s="160" t="n">
        <v>3</v>
      </c>
      <c r="AA187" s="160"/>
      <c r="AB187" s="160"/>
      <c r="AC187" s="160" t="s">
        <v>541</v>
      </c>
      <c r="AD187" s="160" t="s">
        <v>499</v>
      </c>
      <c r="AE187" s="160" t="s">
        <v>910</v>
      </c>
      <c r="AF187" s="160" t="s">
        <v>715</v>
      </c>
      <c r="AG187" s="160" t="s">
        <v>911</v>
      </c>
      <c r="AH187" s="160" t="s">
        <v>501</v>
      </c>
    </row>
    <row r="188" customFormat="false" ht="15" hidden="false" customHeight="false" outlineLevel="0" collapsed="false">
      <c r="A188" s="160" t="s">
        <v>60</v>
      </c>
      <c r="B188" s="161" t="s">
        <v>37</v>
      </c>
      <c r="C188" s="160" t="s">
        <v>912</v>
      </c>
      <c r="D188" s="160" t="s">
        <v>913</v>
      </c>
      <c r="E188" s="160" t="s">
        <v>537</v>
      </c>
      <c r="F188" s="90" t="s">
        <v>234</v>
      </c>
      <c r="G188" s="160" t="s">
        <v>879</v>
      </c>
      <c r="H188" s="162" t="n">
        <f aca="false">IFERROR(INDEX(Schedule!$E$2:$E$147,MATCH($G188,Schedule!$A$2:$A$147,0)),"")</f>
        <v>45017</v>
      </c>
      <c r="I188" s="162" t="n">
        <f aca="false">IFERROR(INDEX(Schedule!$F$2:$F$147,MATCH($G188,Schedule!$A$2:$A$147,0)),"")</f>
        <v>45331</v>
      </c>
      <c r="J188" s="92"/>
      <c r="K188" s="92"/>
      <c r="L188" s="92"/>
      <c r="M188" s="92"/>
      <c r="N188" s="92"/>
      <c r="O188" s="90" t="n">
        <v>1</v>
      </c>
      <c r="P188" s="163" t="n">
        <f aca="false">IFERROR((IF(OR(ISNUMBER(J188),UPPER(TRIM(J188))="N/A"),1,0)*IF($W188="N",0,INDEX('Rules of Credit'!$B$5:$F$8,MATCH($F188,'Rules of Credit'!$A$5:$A$8,0),1))+IF(OR(ISNUMBER(K188),UPPER(TRIM(K188))="N/A"),1,0)*INDEX('Rules of Credit'!$B$5:$F$8,MATCH($F188,'Rules of Credit'!$A$5:$A$8,0),2)+IF(OR(ISNUMBER(L188),UPPER(TRIM(L188))="N/A"),1,0)*INDEX('Rules of Credit'!$B$5:$F$8,MATCH($F188,'Rules of Credit'!$A$5:$A$8,0),3)+IF(OR(ISNUMBER(M188),UPPER(TRIM(M188))="N/A"),1,0)*IF($X188="N",0,INDEX('Rules of Credit'!$B$5:$F$8,MATCH($F188,'Rules of Credit'!$A$5:$A$8,0),4))+IF(OR(ISNUMBER(N188),UPPER(TRIM(N188))="N/A"),1,0)*INDEX('Rules of Credit'!$B$5:$F$8,MATCH($F188,'Rules of Credit'!$A$5:$A$8,0),5))/(IF($W188="N",0,INDEX('Rules of Credit'!$B$5:$F$8,MATCH($F188,'Rules of Credit'!$A$5:$A$8,0),1))+INDEX('Rules of Credit'!$B$5:$F$8,MATCH($F188,'Rules of Credit'!$A$5:$A$8,0),2)+INDEX('Rules of Credit'!$B$5:$F$8,MATCH($F188,'Rules of Credit'!$A$5:$A$8,0),3)+IF($X188="N",0,INDEX('Rules of Credit'!$B$5:$F$8,MATCH($F188,'Rules of Credit'!$A$5:$A$8,0),4))+INDEX('Rules of Credit'!$B$5:$F$8,MATCH($F188,'Rules of Credit'!$A$5:$A$8,0),5)),0)</f>
        <v>0</v>
      </c>
      <c r="Q188" s="163" t="n">
        <f aca="false">IF(OR($H188="",$I188=""),0,IF('Tracker Summary'!$C$3&lt;$H188,0,IF('Tracker Summary'!$C$3&gt;=$I188,1,('Tracker Summary'!$C$3-$H188)/($I188-$H188+1))))</f>
        <v>0</v>
      </c>
      <c r="R188" s="163" t="n">
        <f aca="false">P188-Q188</f>
        <v>0</v>
      </c>
      <c r="S188" s="160" t="str">
        <f aca="false">IF($I188="","Not scheduled",IF(P188&gt;=1,"Complete",IF('Tracker Summary'!$C$3&gt;$I188,"Overdue",IF(P188-Q188&lt;-0.1,"Behind",IF(AND(P188=0,'Tracker Summary'!$C$3&lt;$H188),"Not started","On track")))))</f>
        <v>Not started</v>
      </c>
      <c r="T188" s="90"/>
      <c r="U188" s="160" t="str">
        <f aca="false">IFERROR(INDEX(Schedule!$D$2:$D$147,MATCH($G188,Schedule!$A$2:$A$147,0)),"")</f>
        <v>Electrical, Instrumentation &amp; Controls — Existing dewatering / treatment building</v>
      </c>
      <c r="V188" s="162" t="n">
        <f aca="false">IFERROR(INDEX(Schedule!$F$2:$F$147,MATCH("26-P01",Schedule!$A$2:$A$147,0)),"")</f>
        <v>44999</v>
      </c>
      <c r="W188" s="160" t="s">
        <v>99</v>
      </c>
      <c r="X188" s="160" t="s">
        <v>99</v>
      </c>
      <c r="Y188" s="160" t="n">
        <v>3</v>
      </c>
      <c r="Z188" s="160" t="n">
        <v>3</v>
      </c>
      <c r="AA188" s="160"/>
      <c r="AB188" s="160"/>
      <c r="AC188" s="160" t="s">
        <v>541</v>
      </c>
      <c r="AD188" s="160" t="s">
        <v>499</v>
      </c>
      <c r="AE188" s="160" t="s">
        <v>910</v>
      </c>
      <c r="AF188" s="160" t="s">
        <v>715</v>
      </c>
      <c r="AG188" s="160" t="s">
        <v>911</v>
      </c>
      <c r="AH188" s="160" t="s">
        <v>501</v>
      </c>
    </row>
    <row r="189" customFormat="false" ht="15" hidden="false" customHeight="false" outlineLevel="0" collapsed="false">
      <c r="A189" s="160" t="s">
        <v>60</v>
      </c>
      <c r="B189" s="161" t="s">
        <v>37</v>
      </c>
      <c r="C189" s="160" t="s">
        <v>914</v>
      </c>
      <c r="D189" s="160" t="s">
        <v>915</v>
      </c>
      <c r="E189" s="160" t="s">
        <v>537</v>
      </c>
      <c r="F189" s="90" t="s">
        <v>234</v>
      </c>
      <c r="G189" s="160" t="s">
        <v>879</v>
      </c>
      <c r="H189" s="162" t="n">
        <f aca="false">IFERROR(INDEX(Schedule!$E$2:$E$147,MATCH($G189,Schedule!$A$2:$A$147,0)),"")</f>
        <v>45017</v>
      </c>
      <c r="I189" s="162" t="n">
        <f aca="false">IFERROR(INDEX(Schedule!$F$2:$F$147,MATCH($G189,Schedule!$A$2:$A$147,0)),"")</f>
        <v>45331</v>
      </c>
      <c r="J189" s="92"/>
      <c r="K189" s="92"/>
      <c r="L189" s="92"/>
      <c r="M189" s="92"/>
      <c r="N189" s="92"/>
      <c r="O189" s="90" t="n">
        <v>1</v>
      </c>
      <c r="P189" s="163" t="n">
        <f aca="false">IFERROR((IF(OR(ISNUMBER(J189),UPPER(TRIM(J189))="N/A"),1,0)*IF($W189="N",0,INDEX('Rules of Credit'!$B$5:$F$8,MATCH($F189,'Rules of Credit'!$A$5:$A$8,0),1))+IF(OR(ISNUMBER(K189),UPPER(TRIM(K189))="N/A"),1,0)*INDEX('Rules of Credit'!$B$5:$F$8,MATCH($F189,'Rules of Credit'!$A$5:$A$8,0),2)+IF(OR(ISNUMBER(L189),UPPER(TRIM(L189))="N/A"),1,0)*INDEX('Rules of Credit'!$B$5:$F$8,MATCH($F189,'Rules of Credit'!$A$5:$A$8,0),3)+IF(OR(ISNUMBER(M189),UPPER(TRIM(M189))="N/A"),1,0)*IF($X189="N",0,INDEX('Rules of Credit'!$B$5:$F$8,MATCH($F189,'Rules of Credit'!$A$5:$A$8,0),4))+IF(OR(ISNUMBER(N189),UPPER(TRIM(N189))="N/A"),1,0)*INDEX('Rules of Credit'!$B$5:$F$8,MATCH($F189,'Rules of Credit'!$A$5:$A$8,0),5))/(IF($W189="N",0,INDEX('Rules of Credit'!$B$5:$F$8,MATCH($F189,'Rules of Credit'!$A$5:$A$8,0),1))+INDEX('Rules of Credit'!$B$5:$F$8,MATCH($F189,'Rules of Credit'!$A$5:$A$8,0),2)+INDEX('Rules of Credit'!$B$5:$F$8,MATCH($F189,'Rules of Credit'!$A$5:$A$8,0),3)+IF($X189="N",0,INDEX('Rules of Credit'!$B$5:$F$8,MATCH($F189,'Rules of Credit'!$A$5:$A$8,0),4))+INDEX('Rules of Credit'!$B$5:$F$8,MATCH($F189,'Rules of Credit'!$A$5:$A$8,0),5)),0)</f>
        <v>0</v>
      </c>
      <c r="Q189" s="163" t="n">
        <f aca="false">IF(OR($H189="",$I189=""),0,IF('Tracker Summary'!$C$3&lt;$H189,0,IF('Tracker Summary'!$C$3&gt;=$I189,1,('Tracker Summary'!$C$3-$H189)/($I189-$H189+1))))</f>
        <v>0</v>
      </c>
      <c r="R189" s="163" t="n">
        <f aca="false">P189-Q189</f>
        <v>0</v>
      </c>
      <c r="S189" s="160" t="str">
        <f aca="false">IF($I189="","Not scheduled",IF(P189&gt;=1,"Complete",IF('Tracker Summary'!$C$3&gt;$I189,"Overdue",IF(P189-Q189&lt;-0.1,"Behind",IF(AND(P189=0,'Tracker Summary'!$C$3&lt;$H189),"Not started","On track")))))</f>
        <v>Not started</v>
      </c>
      <c r="T189" s="90"/>
      <c r="U189" s="160" t="str">
        <f aca="false">IFERROR(INDEX(Schedule!$D$2:$D$147,MATCH($G189,Schedule!$A$2:$A$147,0)),"")</f>
        <v>Electrical, Instrumentation &amp; Controls — Existing dewatering / treatment building</v>
      </c>
      <c r="V189" s="162" t="n">
        <f aca="false">IFERROR(INDEX(Schedule!$F$2:$F$147,MATCH("26-P01",Schedule!$A$2:$A$147,0)),"")</f>
        <v>44999</v>
      </c>
      <c r="W189" s="160" t="s">
        <v>99</v>
      </c>
      <c r="X189" s="160" t="s">
        <v>99</v>
      </c>
      <c r="Y189" s="160" t="n">
        <v>2</v>
      </c>
      <c r="Z189" s="160" t="n">
        <v>3</v>
      </c>
      <c r="AA189" s="160"/>
      <c r="AB189" s="160"/>
      <c r="AC189" s="160" t="s">
        <v>541</v>
      </c>
      <c r="AD189" s="160" t="s">
        <v>499</v>
      </c>
      <c r="AE189" s="160" t="s">
        <v>916</v>
      </c>
      <c r="AF189" s="160" t="s">
        <v>715</v>
      </c>
      <c r="AG189" s="160" t="s">
        <v>917</v>
      </c>
      <c r="AH189" s="160" t="s">
        <v>501</v>
      </c>
    </row>
    <row r="190" customFormat="false" ht="15" hidden="false" customHeight="false" outlineLevel="0" collapsed="false">
      <c r="A190" s="160" t="s">
        <v>60</v>
      </c>
      <c r="B190" s="161" t="s">
        <v>37</v>
      </c>
      <c r="C190" s="160" t="s">
        <v>918</v>
      </c>
      <c r="D190" s="160" t="s">
        <v>919</v>
      </c>
      <c r="E190" s="160" t="s">
        <v>537</v>
      </c>
      <c r="F190" s="90" t="s">
        <v>234</v>
      </c>
      <c r="G190" s="160" t="s">
        <v>879</v>
      </c>
      <c r="H190" s="162" t="n">
        <f aca="false">IFERROR(INDEX(Schedule!$E$2:$E$147,MATCH($G190,Schedule!$A$2:$A$147,0)),"")</f>
        <v>45017</v>
      </c>
      <c r="I190" s="162" t="n">
        <f aca="false">IFERROR(INDEX(Schedule!$F$2:$F$147,MATCH($G190,Schedule!$A$2:$A$147,0)),"")</f>
        <v>45331</v>
      </c>
      <c r="J190" s="92"/>
      <c r="K190" s="92"/>
      <c r="L190" s="92"/>
      <c r="M190" s="92"/>
      <c r="N190" s="92"/>
      <c r="O190" s="90" t="n">
        <v>1</v>
      </c>
      <c r="P190" s="163" t="n">
        <f aca="false">IFERROR((IF(OR(ISNUMBER(J190),UPPER(TRIM(J190))="N/A"),1,0)*IF($W190="N",0,INDEX('Rules of Credit'!$B$5:$F$8,MATCH($F190,'Rules of Credit'!$A$5:$A$8,0),1))+IF(OR(ISNUMBER(K190),UPPER(TRIM(K190))="N/A"),1,0)*INDEX('Rules of Credit'!$B$5:$F$8,MATCH($F190,'Rules of Credit'!$A$5:$A$8,0),2)+IF(OR(ISNUMBER(L190),UPPER(TRIM(L190))="N/A"),1,0)*INDEX('Rules of Credit'!$B$5:$F$8,MATCH($F190,'Rules of Credit'!$A$5:$A$8,0),3)+IF(OR(ISNUMBER(M190),UPPER(TRIM(M190))="N/A"),1,0)*IF($X190="N",0,INDEX('Rules of Credit'!$B$5:$F$8,MATCH($F190,'Rules of Credit'!$A$5:$A$8,0),4))+IF(OR(ISNUMBER(N190),UPPER(TRIM(N190))="N/A"),1,0)*INDEX('Rules of Credit'!$B$5:$F$8,MATCH($F190,'Rules of Credit'!$A$5:$A$8,0),5))/(IF($W190="N",0,INDEX('Rules of Credit'!$B$5:$F$8,MATCH($F190,'Rules of Credit'!$A$5:$A$8,0),1))+INDEX('Rules of Credit'!$B$5:$F$8,MATCH($F190,'Rules of Credit'!$A$5:$A$8,0),2)+INDEX('Rules of Credit'!$B$5:$F$8,MATCH($F190,'Rules of Credit'!$A$5:$A$8,0),3)+IF($X190="N",0,INDEX('Rules of Credit'!$B$5:$F$8,MATCH($F190,'Rules of Credit'!$A$5:$A$8,0),4))+INDEX('Rules of Credit'!$B$5:$F$8,MATCH($F190,'Rules of Credit'!$A$5:$A$8,0),5)),0)</f>
        <v>0</v>
      </c>
      <c r="Q190" s="163" t="n">
        <f aca="false">IF(OR($H190="",$I190=""),0,IF('Tracker Summary'!$C$3&lt;$H190,0,IF('Tracker Summary'!$C$3&gt;=$I190,1,('Tracker Summary'!$C$3-$H190)/($I190-$H190+1))))</f>
        <v>0</v>
      </c>
      <c r="R190" s="163" t="n">
        <f aca="false">P190-Q190</f>
        <v>0</v>
      </c>
      <c r="S190" s="160" t="str">
        <f aca="false">IF($I190="","Not scheduled",IF(P190&gt;=1,"Complete",IF('Tracker Summary'!$C$3&gt;$I190,"Overdue",IF(P190-Q190&lt;-0.1,"Behind",IF(AND(P190=0,'Tracker Summary'!$C$3&lt;$H190),"Not started","On track")))))</f>
        <v>Not started</v>
      </c>
      <c r="T190" s="90"/>
      <c r="U190" s="160" t="str">
        <f aca="false">IFERROR(INDEX(Schedule!$D$2:$D$147,MATCH($G190,Schedule!$A$2:$A$147,0)),"")</f>
        <v>Electrical, Instrumentation &amp; Controls — Existing dewatering / treatment building</v>
      </c>
      <c r="V190" s="162" t="n">
        <f aca="false">IFERROR(INDEX(Schedule!$F$2:$F$147,MATCH("26-P01",Schedule!$A$2:$A$147,0)),"")</f>
        <v>44999</v>
      </c>
      <c r="W190" s="160" t="s">
        <v>99</v>
      </c>
      <c r="X190" s="160" t="s">
        <v>99</v>
      </c>
      <c r="Y190" s="160" t="n">
        <v>4</v>
      </c>
      <c r="Z190" s="160" t="n">
        <v>3</v>
      </c>
      <c r="AA190" s="160"/>
      <c r="AB190" s="160"/>
      <c r="AC190" s="160" t="s">
        <v>92</v>
      </c>
      <c r="AD190" s="160" t="s">
        <v>499</v>
      </c>
      <c r="AE190" s="160" t="s">
        <v>920</v>
      </c>
      <c r="AF190" s="160" t="s">
        <v>752</v>
      </c>
      <c r="AG190" s="160" t="s">
        <v>920</v>
      </c>
      <c r="AH190" s="160" t="s">
        <v>501</v>
      </c>
    </row>
    <row r="191" customFormat="false" ht="15" hidden="false" customHeight="false" outlineLevel="0" collapsed="false">
      <c r="A191" s="160" t="s">
        <v>60</v>
      </c>
      <c r="B191" s="161" t="s">
        <v>37</v>
      </c>
      <c r="C191" s="160" t="s">
        <v>921</v>
      </c>
      <c r="D191" s="160" t="s">
        <v>922</v>
      </c>
      <c r="E191" s="160" t="s">
        <v>923</v>
      </c>
      <c r="F191" s="90" t="s">
        <v>234</v>
      </c>
      <c r="G191" s="160" t="s">
        <v>924</v>
      </c>
      <c r="H191" s="162" t="n">
        <f aca="false">IFERROR(INDEX(Schedule!$E$2:$E$147,MATCH($G191,Schedule!$A$2:$A$147,0)),"")</f>
        <v>45017</v>
      </c>
      <c r="I191" s="162" t="n">
        <f aca="false">IFERROR(INDEX(Schedule!$F$2:$F$147,MATCH($G191,Schedule!$A$2:$A$147,0)),"")</f>
        <v>45210</v>
      </c>
      <c r="J191" s="92"/>
      <c r="K191" s="92"/>
      <c r="L191" s="92"/>
      <c r="M191" s="92"/>
      <c r="N191" s="92"/>
      <c r="O191" s="90" t="n">
        <v>1</v>
      </c>
      <c r="P191" s="163" t="n">
        <f aca="false">IFERROR((IF(OR(ISNUMBER(J191),UPPER(TRIM(J191))="N/A"),1,0)*IF($W191="N",0,INDEX('Rules of Credit'!$B$5:$F$8,MATCH($F191,'Rules of Credit'!$A$5:$A$8,0),1))+IF(OR(ISNUMBER(K191),UPPER(TRIM(K191))="N/A"),1,0)*INDEX('Rules of Credit'!$B$5:$F$8,MATCH($F191,'Rules of Credit'!$A$5:$A$8,0),2)+IF(OR(ISNUMBER(L191),UPPER(TRIM(L191))="N/A"),1,0)*INDEX('Rules of Credit'!$B$5:$F$8,MATCH($F191,'Rules of Credit'!$A$5:$A$8,0),3)+IF(OR(ISNUMBER(M191),UPPER(TRIM(M191))="N/A"),1,0)*IF($X191="N",0,INDEX('Rules of Credit'!$B$5:$F$8,MATCH($F191,'Rules of Credit'!$A$5:$A$8,0),4))+IF(OR(ISNUMBER(N191),UPPER(TRIM(N191))="N/A"),1,0)*INDEX('Rules of Credit'!$B$5:$F$8,MATCH($F191,'Rules of Credit'!$A$5:$A$8,0),5))/(IF($W191="N",0,INDEX('Rules of Credit'!$B$5:$F$8,MATCH($F191,'Rules of Credit'!$A$5:$A$8,0),1))+INDEX('Rules of Credit'!$B$5:$F$8,MATCH($F191,'Rules of Credit'!$A$5:$A$8,0),2)+INDEX('Rules of Credit'!$B$5:$F$8,MATCH($F191,'Rules of Credit'!$A$5:$A$8,0),3)+IF($X191="N",0,INDEX('Rules of Credit'!$B$5:$F$8,MATCH($F191,'Rules of Credit'!$A$5:$A$8,0),4))+INDEX('Rules of Credit'!$B$5:$F$8,MATCH($F191,'Rules of Credit'!$A$5:$A$8,0),5)),0)</f>
        <v>0</v>
      </c>
      <c r="Q191" s="163" t="n">
        <f aca="false">IF(OR($H191="",$I191=""),0,IF('Tracker Summary'!$C$3&lt;$H191,0,IF('Tracker Summary'!$C$3&gt;=$I191,1,('Tracker Summary'!$C$3-$H191)/($I191-$H191+1))))</f>
        <v>0</v>
      </c>
      <c r="R191" s="163" t="n">
        <f aca="false">P191-Q191</f>
        <v>0</v>
      </c>
      <c r="S191" s="160" t="str">
        <f aca="false">IF($I191="","Not scheduled",IF(P191&gt;=1,"Complete",IF('Tracker Summary'!$C$3&gt;$I191,"Overdue",IF(P191-Q191&lt;-0.1,"Behind",IF(AND(P191=0,'Tracker Summary'!$C$3&lt;$H191),"Not started","On track")))))</f>
        <v>Not started</v>
      </c>
      <c r="T191" s="90"/>
      <c r="U191" s="160" t="str">
        <f aca="false">IFERROR(INDEX(Schedule!$D$2:$D$147,MATCH($G191,Schedule!$A$2:$A$147,0)),"")</f>
        <v>Electrical, Instrumentation &amp; Controls — UV chamber</v>
      </c>
      <c r="V191" s="162" t="n">
        <f aca="false">IFERROR(INDEX(Schedule!$F$2:$F$147,MATCH("26-P01",Schedule!$A$2:$A$147,0)),"")</f>
        <v>44999</v>
      </c>
      <c r="W191" s="160" t="s">
        <v>99</v>
      </c>
      <c r="X191" s="160" t="s">
        <v>99</v>
      </c>
      <c r="Y191" s="160" t="n">
        <v>1</v>
      </c>
      <c r="Z191" s="160" t="n">
        <v>3</v>
      </c>
      <c r="AA191" s="160" t="s">
        <v>925</v>
      </c>
      <c r="AB191" s="160" t="s">
        <v>810</v>
      </c>
      <c r="AC191" s="160" t="s">
        <v>92</v>
      </c>
      <c r="AD191" s="160" t="s">
        <v>499</v>
      </c>
      <c r="AE191" s="160" t="s">
        <v>926</v>
      </c>
      <c r="AF191" s="160" t="s">
        <v>715</v>
      </c>
      <c r="AG191" s="160" t="s">
        <v>926</v>
      </c>
      <c r="AH191" s="160" t="s">
        <v>501</v>
      </c>
    </row>
    <row r="192" customFormat="false" ht="15" hidden="false" customHeight="false" outlineLevel="0" collapsed="false">
      <c r="A192" s="160" t="s">
        <v>60</v>
      </c>
      <c r="B192" s="161" t="s">
        <v>37</v>
      </c>
      <c r="C192" s="160" t="s">
        <v>927</v>
      </c>
      <c r="D192" s="160" t="s">
        <v>928</v>
      </c>
      <c r="E192" s="160" t="s">
        <v>923</v>
      </c>
      <c r="F192" s="90" t="s">
        <v>234</v>
      </c>
      <c r="G192" s="160" t="s">
        <v>924</v>
      </c>
      <c r="H192" s="162" t="n">
        <f aca="false">IFERROR(INDEX(Schedule!$E$2:$E$147,MATCH($G192,Schedule!$A$2:$A$147,0)),"")</f>
        <v>45017</v>
      </c>
      <c r="I192" s="162" t="n">
        <f aca="false">IFERROR(INDEX(Schedule!$F$2:$F$147,MATCH($G192,Schedule!$A$2:$A$147,0)),"")</f>
        <v>45210</v>
      </c>
      <c r="J192" s="92"/>
      <c r="K192" s="92"/>
      <c r="L192" s="92"/>
      <c r="M192" s="92"/>
      <c r="N192" s="92"/>
      <c r="O192" s="90" t="n">
        <v>1</v>
      </c>
      <c r="P192" s="163" t="n">
        <f aca="false">IFERROR((IF(OR(ISNUMBER(J192),UPPER(TRIM(J192))="N/A"),1,0)*IF($W192="N",0,INDEX('Rules of Credit'!$B$5:$F$8,MATCH($F192,'Rules of Credit'!$A$5:$A$8,0),1))+IF(OR(ISNUMBER(K192),UPPER(TRIM(K192))="N/A"),1,0)*INDEX('Rules of Credit'!$B$5:$F$8,MATCH($F192,'Rules of Credit'!$A$5:$A$8,0),2)+IF(OR(ISNUMBER(L192),UPPER(TRIM(L192))="N/A"),1,0)*INDEX('Rules of Credit'!$B$5:$F$8,MATCH($F192,'Rules of Credit'!$A$5:$A$8,0),3)+IF(OR(ISNUMBER(M192),UPPER(TRIM(M192))="N/A"),1,0)*IF($X192="N",0,INDEX('Rules of Credit'!$B$5:$F$8,MATCH($F192,'Rules of Credit'!$A$5:$A$8,0),4))+IF(OR(ISNUMBER(N192),UPPER(TRIM(N192))="N/A"),1,0)*INDEX('Rules of Credit'!$B$5:$F$8,MATCH($F192,'Rules of Credit'!$A$5:$A$8,0),5))/(IF($W192="N",0,INDEX('Rules of Credit'!$B$5:$F$8,MATCH($F192,'Rules of Credit'!$A$5:$A$8,0),1))+INDEX('Rules of Credit'!$B$5:$F$8,MATCH($F192,'Rules of Credit'!$A$5:$A$8,0),2)+INDEX('Rules of Credit'!$B$5:$F$8,MATCH($F192,'Rules of Credit'!$A$5:$A$8,0),3)+IF($X192="N",0,INDEX('Rules of Credit'!$B$5:$F$8,MATCH($F192,'Rules of Credit'!$A$5:$A$8,0),4))+INDEX('Rules of Credit'!$B$5:$F$8,MATCH($F192,'Rules of Credit'!$A$5:$A$8,0),5)),0)</f>
        <v>0</v>
      </c>
      <c r="Q192" s="163" t="n">
        <f aca="false">IF(OR($H192="",$I192=""),0,IF('Tracker Summary'!$C$3&lt;$H192,0,IF('Tracker Summary'!$C$3&gt;=$I192,1,('Tracker Summary'!$C$3-$H192)/($I192-$H192+1))))</f>
        <v>0</v>
      </c>
      <c r="R192" s="163" t="n">
        <f aca="false">P192-Q192</f>
        <v>0</v>
      </c>
      <c r="S192" s="160" t="str">
        <f aca="false">IF($I192="","Not scheduled",IF(P192&gt;=1,"Complete",IF('Tracker Summary'!$C$3&gt;$I192,"Overdue",IF(P192-Q192&lt;-0.1,"Behind",IF(AND(P192=0,'Tracker Summary'!$C$3&lt;$H192),"Not started","On track")))))</f>
        <v>Not started</v>
      </c>
      <c r="T192" s="90"/>
      <c r="U192" s="160" t="str">
        <f aca="false">IFERROR(INDEX(Schedule!$D$2:$D$147,MATCH($G192,Schedule!$A$2:$A$147,0)),"")</f>
        <v>Electrical, Instrumentation &amp; Controls — UV chamber</v>
      </c>
      <c r="V192" s="162" t="n">
        <f aca="false">IFERROR(INDEX(Schedule!$F$2:$F$147,MATCH("26-P01",Schedule!$A$2:$A$147,0)),"")</f>
        <v>44999</v>
      </c>
      <c r="W192" s="160" t="s">
        <v>99</v>
      </c>
      <c r="X192" s="160" t="s">
        <v>99</v>
      </c>
      <c r="Y192" s="160" t="n">
        <v>1</v>
      </c>
      <c r="Z192" s="160" t="n">
        <v>3</v>
      </c>
      <c r="AA192" s="160"/>
      <c r="AB192" s="160"/>
      <c r="AC192" s="160" t="s">
        <v>498</v>
      </c>
      <c r="AD192" s="160" t="s">
        <v>499</v>
      </c>
      <c r="AE192" s="160" t="s">
        <v>929</v>
      </c>
      <c r="AF192" s="160" t="s">
        <v>715</v>
      </c>
      <c r="AG192" s="160" t="s">
        <v>930</v>
      </c>
      <c r="AH192" s="160" t="s">
        <v>501</v>
      </c>
    </row>
    <row r="193" customFormat="false" ht="15" hidden="false" customHeight="false" outlineLevel="0" collapsed="false">
      <c r="A193" s="160" t="s">
        <v>60</v>
      </c>
      <c r="B193" s="161" t="s">
        <v>37</v>
      </c>
      <c r="C193" s="160" t="s">
        <v>931</v>
      </c>
      <c r="D193" s="160" t="s">
        <v>932</v>
      </c>
      <c r="E193" s="160" t="s">
        <v>923</v>
      </c>
      <c r="F193" s="90" t="s">
        <v>234</v>
      </c>
      <c r="G193" s="160" t="s">
        <v>924</v>
      </c>
      <c r="H193" s="162" t="n">
        <f aca="false">IFERROR(INDEX(Schedule!$E$2:$E$147,MATCH($G193,Schedule!$A$2:$A$147,0)),"")</f>
        <v>45017</v>
      </c>
      <c r="I193" s="162" t="n">
        <f aca="false">IFERROR(INDEX(Schedule!$F$2:$F$147,MATCH($G193,Schedule!$A$2:$A$147,0)),"")</f>
        <v>45210</v>
      </c>
      <c r="J193" s="92"/>
      <c r="K193" s="92"/>
      <c r="L193" s="92"/>
      <c r="M193" s="92"/>
      <c r="N193" s="92"/>
      <c r="O193" s="90" t="n">
        <v>1</v>
      </c>
      <c r="P193" s="163" t="n">
        <f aca="false">IFERROR((IF(OR(ISNUMBER(J193),UPPER(TRIM(J193))="N/A"),1,0)*IF($W193="N",0,INDEX('Rules of Credit'!$B$5:$F$8,MATCH($F193,'Rules of Credit'!$A$5:$A$8,0),1))+IF(OR(ISNUMBER(K193),UPPER(TRIM(K193))="N/A"),1,0)*INDEX('Rules of Credit'!$B$5:$F$8,MATCH($F193,'Rules of Credit'!$A$5:$A$8,0),2)+IF(OR(ISNUMBER(L193),UPPER(TRIM(L193))="N/A"),1,0)*INDEX('Rules of Credit'!$B$5:$F$8,MATCH($F193,'Rules of Credit'!$A$5:$A$8,0),3)+IF(OR(ISNUMBER(M193),UPPER(TRIM(M193))="N/A"),1,0)*IF($X193="N",0,INDEX('Rules of Credit'!$B$5:$F$8,MATCH($F193,'Rules of Credit'!$A$5:$A$8,0),4))+IF(OR(ISNUMBER(N193),UPPER(TRIM(N193))="N/A"),1,0)*INDEX('Rules of Credit'!$B$5:$F$8,MATCH($F193,'Rules of Credit'!$A$5:$A$8,0),5))/(IF($W193="N",0,INDEX('Rules of Credit'!$B$5:$F$8,MATCH($F193,'Rules of Credit'!$A$5:$A$8,0),1))+INDEX('Rules of Credit'!$B$5:$F$8,MATCH($F193,'Rules of Credit'!$A$5:$A$8,0),2)+INDEX('Rules of Credit'!$B$5:$F$8,MATCH($F193,'Rules of Credit'!$A$5:$A$8,0),3)+IF($X193="N",0,INDEX('Rules of Credit'!$B$5:$F$8,MATCH($F193,'Rules of Credit'!$A$5:$A$8,0),4))+INDEX('Rules of Credit'!$B$5:$F$8,MATCH($F193,'Rules of Credit'!$A$5:$A$8,0),5)),0)</f>
        <v>0</v>
      </c>
      <c r="Q193" s="163" t="n">
        <f aca="false">IF(OR($H193="",$I193=""),0,IF('Tracker Summary'!$C$3&lt;$H193,0,IF('Tracker Summary'!$C$3&gt;=$I193,1,('Tracker Summary'!$C$3-$H193)/($I193-$H193+1))))</f>
        <v>0</v>
      </c>
      <c r="R193" s="163" t="n">
        <f aca="false">P193-Q193</f>
        <v>0</v>
      </c>
      <c r="S193" s="160" t="str">
        <f aca="false">IF($I193="","Not scheduled",IF(P193&gt;=1,"Complete",IF('Tracker Summary'!$C$3&gt;$I193,"Overdue",IF(P193-Q193&lt;-0.1,"Behind",IF(AND(P193=0,'Tracker Summary'!$C$3&lt;$H193),"Not started","On track")))))</f>
        <v>Not started</v>
      </c>
      <c r="T193" s="90"/>
      <c r="U193" s="160" t="str">
        <f aca="false">IFERROR(INDEX(Schedule!$D$2:$D$147,MATCH($G193,Schedule!$A$2:$A$147,0)),"")</f>
        <v>Electrical, Instrumentation &amp; Controls — UV chamber</v>
      </c>
      <c r="V193" s="162" t="n">
        <f aca="false">IFERROR(INDEX(Schedule!$F$2:$F$147,MATCH("26-P01",Schedule!$A$2:$A$147,0)),"")</f>
        <v>44999</v>
      </c>
      <c r="W193" s="160" t="s">
        <v>115</v>
      </c>
      <c r="X193" s="160" t="s">
        <v>115</v>
      </c>
      <c r="Y193" s="160" t="n">
        <v>0</v>
      </c>
      <c r="Z193" s="160" t="n">
        <v>0</v>
      </c>
      <c r="AA193" s="160" t="s">
        <v>933</v>
      </c>
      <c r="AB193" s="160" t="s">
        <v>934</v>
      </c>
      <c r="AC193" s="160" t="s">
        <v>92</v>
      </c>
      <c r="AD193" s="160" t="s">
        <v>542</v>
      </c>
      <c r="AE193" s="160" t="s">
        <v>929</v>
      </c>
      <c r="AF193" s="160"/>
      <c r="AG193" s="160" t="s">
        <v>929</v>
      </c>
      <c r="AH193" s="160" t="s">
        <v>501</v>
      </c>
    </row>
    <row r="194" customFormat="false" ht="15" hidden="false" customHeight="false" outlineLevel="0" collapsed="false">
      <c r="A194" s="160" t="s">
        <v>60</v>
      </c>
      <c r="B194" s="161" t="s">
        <v>37</v>
      </c>
      <c r="C194" s="160" t="s">
        <v>935</v>
      </c>
      <c r="D194" s="160" t="s">
        <v>936</v>
      </c>
      <c r="E194" s="160" t="s">
        <v>923</v>
      </c>
      <c r="F194" s="90" t="s">
        <v>234</v>
      </c>
      <c r="G194" s="160" t="s">
        <v>924</v>
      </c>
      <c r="H194" s="162" t="n">
        <f aca="false">IFERROR(INDEX(Schedule!$E$2:$E$147,MATCH($G194,Schedule!$A$2:$A$147,0)),"")</f>
        <v>45017</v>
      </c>
      <c r="I194" s="162" t="n">
        <f aca="false">IFERROR(INDEX(Schedule!$F$2:$F$147,MATCH($G194,Schedule!$A$2:$A$147,0)),"")</f>
        <v>45210</v>
      </c>
      <c r="J194" s="92"/>
      <c r="K194" s="92"/>
      <c r="L194" s="92"/>
      <c r="M194" s="92"/>
      <c r="N194" s="92"/>
      <c r="O194" s="90" t="n">
        <v>1</v>
      </c>
      <c r="P194" s="163" t="n">
        <f aca="false">IFERROR((IF(OR(ISNUMBER(J194),UPPER(TRIM(J194))="N/A"),1,0)*IF($W194="N",0,INDEX('Rules of Credit'!$B$5:$F$8,MATCH($F194,'Rules of Credit'!$A$5:$A$8,0),1))+IF(OR(ISNUMBER(K194),UPPER(TRIM(K194))="N/A"),1,0)*INDEX('Rules of Credit'!$B$5:$F$8,MATCH($F194,'Rules of Credit'!$A$5:$A$8,0),2)+IF(OR(ISNUMBER(L194),UPPER(TRIM(L194))="N/A"),1,0)*INDEX('Rules of Credit'!$B$5:$F$8,MATCH($F194,'Rules of Credit'!$A$5:$A$8,0),3)+IF(OR(ISNUMBER(M194),UPPER(TRIM(M194))="N/A"),1,0)*IF($X194="N",0,INDEX('Rules of Credit'!$B$5:$F$8,MATCH($F194,'Rules of Credit'!$A$5:$A$8,0),4))+IF(OR(ISNUMBER(N194),UPPER(TRIM(N194))="N/A"),1,0)*INDEX('Rules of Credit'!$B$5:$F$8,MATCH($F194,'Rules of Credit'!$A$5:$A$8,0),5))/(IF($W194="N",0,INDEX('Rules of Credit'!$B$5:$F$8,MATCH($F194,'Rules of Credit'!$A$5:$A$8,0),1))+INDEX('Rules of Credit'!$B$5:$F$8,MATCH($F194,'Rules of Credit'!$A$5:$A$8,0),2)+INDEX('Rules of Credit'!$B$5:$F$8,MATCH($F194,'Rules of Credit'!$A$5:$A$8,0),3)+IF($X194="N",0,INDEX('Rules of Credit'!$B$5:$F$8,MATCH($F194,'Rules of Credit'!$A$5:$A$8,0),4))+INDEX('Rules of Credit'!$B$5:$F$8,MATCH($F194,'Rules of Credit'!$A$5:$A$8,0),5)),0)</f>
        <v>0</v>
      </c>
      <c r="Q194" s="163" t="n">
        <f aca="false">IF(OR($H194="",$I194=""),0,IF('Tracker Summary'!$C$3&lt;$H194,0,IF('Tracker Summary'!$C$3&gt;=$I194,1,('Tracker Summary'!$C$3-$H194)/($I194-$H194+1))))</f>
        <v>0</v>
      </c>
      <c r="R194" s="163" t="n">
        <f aca="false">P194-Q194</f>
        <v>0</v>
      </c>
      <c r="S194" s="160" t="str">
        <f aca="false">IF($I194="","Not scheduled",IF(P194&gt;=1,"Complete",IF('Tracker Summary'!$C$3&gt;$I194,"Overdue",IF(P194-Q194&lt;-0.1,"Behind",IF(AND(P194=0,'Tracker Summary'!$C$3&lt;$H194),"Not started","On track")))))</f>
        <v>Not started</v>
      </c>
      <c r="T194" s="90"/>
      <c r="U194" s="160" t="str">
        <f aca="false">IFERROR(INDEX(Schedule!$D$2:$D$147,MATCH($G194,Schedule!$A$2:$A$147,0)),"")</f>
        <v>Electrical, Instrumentation &amp; Controls — UV chamber</v>
      </c>
      <c r="V194" s="162" t="n">
        <f aca="false">IFERROR(INDEX(Schedule!$F$2:$F$147,MATCH("26-P01",Schedule!$A$2:$A$147,0)),"")</f>
        <v>44999</v>
      </c>
      <c r="W194" s="160" t="s">
        <v>115</v>
      </c>
      <c r="X194" s="160" t="s">
        <v>115</v>
      </c>
      <c r="Y194" s="160" t="n">
        <v>0</v>
      </c>
      <c r="Z194" s="160" t="n">
        <v>0</v>
      </c>
      <c r="AA194" s="160" t="s">
        <v>933</v>
      </c>
      <c r="AB194" s="160" t="s">
        <v>934</v>
      </c>
      <c r="AC194" s="160" t="s">
        <v>92</v>
      </c>
      <c r="AD194" s="160" t="s">
        <v>542</v>
      </c>
      <c r="AE194" s="160" t="s">
        <v>929</v>
      </c>
      <c r="AF194" s="160"/>
      <c r="AG194" s="160" t="s">
        <v>929</v>
      </c>
      <c r="AH194" s="160" t="s">
        <v>501</v>
      </c>
    </row>
    <row r="195" customFormat="false" ht="15" hidden="false" customHeight="false" outlineLevel="0" collapsed="false">
      <c r="A195" s="160" t="s">
        <v>60</v>
      </c>
      <c r="B195" s="161" t="s">
        <v>37</v>
      </c>
      <c r="C195" s="160" t="s">
        <v>937</v>
      </c>
      <c r="D195" s="160" t="s">
        <v>938</v>
      </c>
      <c r="E195" s="160" t="s">
        <v>923</v>
      </c>
      <c r="F195" s="90" t="s">
        <v>234</v>
      </c>
      <c r="G195" s="160" t="s">
        <v>924</v>
      </c>
      <c r="H195" s="162" t="n">
        <f aca="false">IFERROR(INDEX(Schedule!$E$2:$E$147,MATCH($G195,Schedule!$A$2:$A$147,0)),"")</f>
        <v>45017</v>
      </c>
      <c r="I195" s="162" t="n">
        <f aca="false">IFERROR(INDEX(Schedule!$F$2:$F$147,MATCH($G195,Schedule!$A$2:$A$147,0)),"")</f>
        <v>45210</v>
      </c>
      <c r="J195" s="92"/>
      <c r="K195" s="92"/>
      <c r="L195" s="92"/>
      <c r="M195" s="92"/>
      <c r="N195" s="92"/>
      <c r="O195" s="90" t="n">
        <v>1</v>
      </c>
      <c r="P195" s="163" t="n">
        <f aca="false">IFERROR((IF(OR(ISNUMBER(J195),UPPER(TRIM(J195))="N/A"),1,0)*IF($W195="N",0,INDEX('Rules of Credit'!$B$5:$F$8,MATCH($F195,'Rules of Credit'!$A$5:$A$8,0),1))+IF(OR(ISNUMBER(K195),UPPER(TRIM(K195))="N/A"),1,0)*INDEX('Rules of Credit'!$B$5:$F$8,MATCH($F195,'Rules of Credit'!$A$5:$A$8,0),2)+IF(OR(ISNUMBER(L195),UPPER(TRIM(L195))="N/A"),1,0)*INDEX('Rules of Credit'!$B$5:$F$8,MATCH($F195,'Rules of Credit'!$A$5:$A$8,0),3)+IF(OR(ISNUMBER(M195),UPPER(TRIM(M195))="N/A"),1,0)*IF($X195="N",0,INDEX('Rules of Credit'!$B$5:$F$8,MATCH($F195,'Rules of Credit'!$A$5:$A$8,0),4))+IF(OR(ISNUMBER(N195),UPPER(TRIM(N195))="N/A"),1,0)*INDEX('Rules of Credit'!$B$5:$F$8,MATCH($F195,'Rules of Credit'!$A$5:$A$8,0),5))/(IF($W195="N",0,INDEX('Rules of Credit'!$B$5:$F$8,MATCH($F195,'Rules of Credit'!$A$5:$A$8,0),1))+INDEX('Rules of Credit'!$B$5:$F$8,MATCH($F195,'Rules of Credit'!$A$5:$A$8,0),2)+INDEX('Rules of Credit'!$B$5:$F$8,MATCH($F195,'Rules of Credit'!$A$5:$A$8,0),3)+IF($X195="N",0,INDEX('Rules of Credit'!$B$5:$F$8,MATCH($F195,'Rules of Credit'!$A$5:$A$8,0),4))+INDEX('Rules of Credit'!$B$5:$F$8,MATCH($F195,'Rules of Credit'!$A$5:$A$8,0),5)),0)</f>
        <v>0</v>
      </c>
      <c r="Q195" s="163" t="n">
        <f aca="false">IF(OR($H195="",$I195=""),0,IF('Tracker Summary'!$C$3&lt;$H195,0,IF('Tracker Summary'!$C$3&gt;=$I195,1,('Tracker Summary'!$C$3-$H195)/($I195-$H195+1))))</f>
        <v>0</v>
      </c>
      <c r="R195" s="163" t="n">
        <f aca="false">P195-Q195</f>
        <v>0</v>
      </c>
      <c r="S195" s="160" t="str">
        <f aca="false">IF($I195="","Not scheduled",IF(P195&gt;=1,"Complete",IF('Tracker Summary'!$C$3&gt;$I195,"Overdue",IF(P195-Q195&lt;-0.1,"Behind",IF(AND(P195=0,'Tracker Summary'!$C$3&lt;$H195),"Not started","On track")))))</f>
        <v>Not started</v>
      </c>
      <c r="T195" s="90"/>
      <c r="U195" s="160" t="str">
        <f aca="false">IFERROR(INDEX(Schedule!$D$2:$D$147,MATCH($G195,Schedule!$A$2:$A$147,0)),"")</f>
        <v>Electrical, Instrumentation &amp; Controls — UV chamber</v>
      </c>
      <c r="V195" s="162" t="n">
        <f aca="false">IFERROR(INDEX(Schedule!$F$2:$F$147,MATCH("26-P01",Schedule!$A$2:$A$147,0)),"")</f>
        <v>44999</v>
      </c>
      <c r="W195" s="160" t="s">
        <v>91</v>
      </c>
      <c r="X195" s="160" t="s">
        <v>99</v>
      </c>
      <c r="Y195" s="160" t="n">
        <v>0</v>
      </c>
      <c r="Z195" s="160" t="n">
        <v>2</v>
      </c>
      <c r="AA195" s="160" t="s">
        <v>933</v>
      </c>
      <c r="AB195" s="160" t="s">
        <v>934</v>
      </c>
      <c r="AC195" s="160" t="s">
        <v>541</v>
      </c>
      <c r="AD195" s="160" t="s">
        <v>499</v>
      </c>
      <c r="AE195" s="160" t="s">
        <v>939</v>
      </c>
      <c r="AF195" s="160" t="s">
        <v>940</v>
      </c>
      <c r="AG195" s="160" t="s">
        <v>939</v>
      </c>
      <c r="AH195" s="160" t="s">
        <v>501</v>
      </c>
    </row>
    <row r="196" customFormat="false" ht="15" hidden="false" customHeight="false" outlineLevel="0" collapsed="false">
      <c r="A196" s="160" t="s">
        <v>60</v>
      </c>
      <c r="B196" s="161" t="s">
        <v>37</v>
      </c>
      <c r="C196" s="160" t="s">
        <v>941</v>
      </c>
      <c r="D196" s="160" t="s">
        <v>942</v>
      </c>
      <c r="E196" s="160" t="s">
        <v>923</v>
      </c>
      <c r="F196" s="90" t="s">
        <v>234</v>
      </c>
      <c r="G196" s="160" t="s">
        <v>924</v>
      </c>
      <c r="H196" s="162" t="n">
        <f aca="false">IFERROR(INDEX(Schedule!$E$2:$E$147,MATCH($G196,Schedule!$A$2:$A$147,0)),"")</f>
        <v>45017</v>
      </c>
      <c r="I196" s="162" t="n">
        <f aca="false">IFERROR(INDEX(Schedule!$F$2:$F$147,MATCH($G196,Schedule!$A$2:$A$147,0)),"")</f>
        <v>45210</v>
      </c>
      <c r="J196" s="92"/>
      <c r="K196" s="92"/>
      <c r="L196" s="92"/>
      <c r="M196" s="92"/>
      <c r="N196" s="92"/>
      <c r="O196" s="90" t="n">
        <v>1</v>
      </c>
      <c r="P196" s="163" t="n">
        <f aca="false">IFERROR((IF(OR(ISNUMBER(J196),UPPER(TRIM(J196))="N/A"),1,0)*IF($W196="N",0,INDEX('Rules of Credit'!$B$5:$F$8,MATCH($F196,'Rules of Credit'!$A$5:$A$8,0),1))+IF(OR(ISNUMBER(K196),UPPER(TRIM(K196))="N/A"),1,0)*INDEX('Rules of Credit'!$B$5:$F$8,MATCH($F196,'Rules of Credit'!$A$5:$A$8,0),2)+IF(OR(ISNUMBER(L196),UPPER(TRIM(L196))="N/A"),1,0)*INDEX('Rules of Credit'!$B$5:$F$8,MATCH($F196,'Rules of Credit'!$A$5:$A$8,0),3)+IF(OR(ISNUMBER(M196),UPPER(TRIM(M196))="N/A"),1,0)*IF($X196="N",0,INDEX('Rules of Credit'!$B$5:$F$8,MATCH($F196,'Rules of Credit'!$A$5:$A$8,0),4))+IF(OR(ISNUMBER(N196),UPPER(TRIM(N196))="N/A"),1,0)*INDEX('Rules of Credit'!$B$5:$F$8,MATCH($F196,'Rules of Credit'!$A$5:$A$8,0),5))/(IF($W196="N",0,INDEX('Rules of Credit'!$B$5:$F$8,MATCH($F196,'Rules of Credit'!$A$5:$A$8,0),1))+INDEX('Rules of Credit'!$B$5:$F$8,MATCH($F196,'Rules of Credit'!$A$5:$A$8,0),2)+INDEX('Rules of Credit'!$B$5:$F$8,MATCH($F196,'Rules of Credit'!$A$5:$A$8,0),3)+IF($X196="N",0,INDEX('Rules of Credit'!$B$5:$F$8,MATCH($F196,'Rules of Credit'!$A$5:$A$8,0),4))+INDEX('Rules of Credit'!$B$5:$F$8,MATCH($F196,'Rules of Credit'!$A$5:$A$8,0),5)),0)</f>
        <v>0</v>
      </c>
      <c r="Q196" s="163" t="n">
        <f aca="false">IF(OR($H196="",$I196=""),0,IF('Tracker Summary'!$C$3&lt;$H196,0,IF('Tracker Summary'!$C$3&gt;=$I196,1,('Tracker Summary'!$C$3-$H196)/($I196-$H196+1))))</f>
        <v>0</v>
      </c>
      <c r="R196" s="163" t="n">
        <f aca="false">P196-Q196</f>
        <v>0</v>
      </c>
      <c r="S196" s="160" t="str">
        <f aca="false">IF($I196="","Not scheduled",IF(P196&gt;=1,"Complete",IF('Tracker Summary'!$C$3&gt;$I196,"Overdue",IF(P196-Q196&lt;-0.1,"Behind",IF(AND(P196=0,'Tracker Summary'!$C$3&lt;$H196),"Not started","On track")))))</f>
        <v>Not started</v>
      </c>
      <c r="T196" s="90"/>
      <c r="U196" s="160" t="str">
        <f aca="false">IFERROR(INDEX(Schedule!$D$2:$D$147,MATCH($G196,Schedule!$A$2:$A$147,0)),"")</f>
        <v>Electrical, Instrumentation &amp; Controls — UV chamber</v>
      </c>
      <c r="V196" s="162" t="n">
        <f aca="false">IFERROR(INDEX(Schedule!$F$2:$F$147,MATCH("26-P01",Schedule!$A$2:$A$147,0)),"")</f>
        <v>44999</v>
      </c>
      <c r="W196" s="160" t="s">
        <v>91</v>
      </c>
      <c r="X196" s="160" t="s">
        <v>99</v>
      </c>
      <c r="Y196" s="160" t="n">
        <v>0</v>
      </c>
      <c r="Z196" s="160" t="n">
        <v>2</v>
      </c>
      <c r="AA196" s="160" t="s">
        <v>933</v>
      </c>
      <c r="AB196" s="160" t="s">
        <v>934</v>
      </c>
      <c r="AC196" s="160" t="s">
        <v>541</v>
      </c>
      <c r="AD196" s="160" t="s">
        <v>499</v>
      </c>
      <c r="AE196" s="160" t="s">
        <v>939</v>
      </c>
      <c r="AF196" s="160" t="s">
        <v>940</v>
      </c>
      <c r="AG196" s="160" t="s">
        <v>939</v>
      </c>
      <c r="AH196" s="160" t="s">
        <v>501</v>
      </c>
    </row>
    <row r="197" customFormat="false" ht="15" hidden="false" customHeight="false" outlineLevel="0" collapsed="false">
      <c r="A197" s="160" t="s">
        <v>60</v>
      </c>
      <c r="B197" s="161" t="s">
        <v>37</v>
      </c>
      <c r="C197" s="160" t="s">
        <v>943</v>
      </c>
      <c r="D197" s="160" t="s">
        <v>944</v>
      </c>
      <c r="E197" s="160" t="s">
        <v>923</v>
      </c>
      <c r="F197" s="90" t="s">
        <v>234</v>
      </c>
      <c r="G197" s="160" t="s">
        <v>924</v>
      </c>
      <c r="H197" s="162" t="n">
        <f aca="false">IFERROR(INDEX(Schedule!$E$2:$E$147,MATCH($G197,Schedule!$A$2:$A$147,0)),"")</f>
        <v>45017</v>
      </c>
      <c r="I197" s="162" t="n">
        <f aca="false">IFERROR(INDEX(Schedule!$F$2:$F$147,MATCH($G197,Schedule!$A$2:$A$147,0)),"")</f>
        <v>45210</v>
      </c>
      <c r="J197" s="92"/>
      <c r="K197" s="92"/>
      <c r="L197" s="92"/>
      <c r="M197" s="92"/>
      <c r="N197" s="92"/>
      <c r="O197" s="90" t="n">
        <v>1</v>
      </c>
      <c r="P197" s="163" t="n">
        <f aca="false">IFERROR((IF(OR(ISNUMBER(J197),UPPER(TRIM(J197))="N/A"),1,0)*IF($W197="N",0,INDEX('Rules of Credit'!$B$5:$F$8,MATCH($F197,'Rules of Credit'!$A$5:$A$8,0),1))+IF(OR(ISNUMBER(K197),UPPER(TRIM(K197))="N/A"),1,0)*INDEX('Rules of Credit'!$B$5:$F$8,MATCH($F197,'Rules of Credit'!$A$5:$A$8,0),2)+IF(OR(ISNUMBER(L197),UPPER(TRIM(L197))="N/A"),1,0)*INDEX('Rules of Credit'!$B$5:$F$8,MATCH($F197,'Rules of Credit'!$A$5:$A$8,0),3)+IF(OR(ISNUMBER(M197),UPPER(TRIM(M197))="N/A"),1,0)*IF($X197="N",0,INDEX('Rules of Credit'!$B$5:$F$8,MATCH($F197,'Rules of Credit'!$A$5:$A$8,0),4))+IF(OR(ISNUMBER(N197),UPPER(TRIM(N197))="N/A"),1,0)*INDEX('Rules of Credit'!$B$5:$F$8,MATCH($F197,'Rules of Credit'!$A$5:$A$8,0),5))/(IF($W197="N",0,INDEX('Rules of Credit'!$B$5:$F$8,MATCH($F197,'Rules of Credit'!$A$5:$A$8,0),1))+INDEX('Rules of Credit'!$B$5:$F$8,MATCH($F197,'Rules of Credit'!$A$5:$A$8,0),2)+INDEX('Rules of Credit'!$B$5:$F$8,MATCH($F197,'Rules of Credit'!$A$5:$A$8,0),3)+IF($X197="N",0,INDEX('Rules of Credit'!$B$5:$F$8,MATCH($F197,'Rules of Credit'!$A$5:$A$8,0),4))+INDEX('Rules of Credit'!$B$5:$F$8,MATCH($F197,'Rules of Credit'!$A$5:$A$8,0),5)),0)</f>
        <v>0</v>
      </c>
      <c r="Q197" s="163" t="n">
        <f aca="false">IF(OR($H197="",$I197=""),0,IF('Tracker Summary'!$C$3&lt;$H197,0,IF('Tracker Summary'!$C$3&gt;=$I197,1,('Tracker Summary'!$C$3-$H197)/($I197-$H197+1))))</f>
        <v>0</v>
      </c>
      <c r="R197" s="163" t="n">
        <f aca="false">P197-Q197</f>
        <v>0</v>
      </c>
      <c r="S197" s="160" t="str">
        <f aca="false">IF($I197="","Not scheduled",IF(P197&gt;=1,"Complete",IF('Tracker Summary'!$C$3&gt;$I197,"Overdue",IF(P197-Q197&lt;-0.1,"Behind",IF(AND(P197=0,'Tracker Summary'!$C$3&lt;$H197),"Not started","On track")))))</f>
        <v>Not started</v>
      </c>
      <c r="T197" s="90"/>
      <c r="U197" s="160" t="str">
        <f aca="false">IFERROR(INDEX(Schedule!$D$2:$D$147,MATCH($G197,Schedule!$A$2:$A$147,0)),"")</f>
        <v>Electrical, Instrumentation &amp; Controls — UV chamber</v>
      </c>
      <c r="V197" s="162" t="n">
        <f aca="false">IFERROR(INDEX(Schedule!$F$2:$F$147,MATCH("26-P01",Schedule!$A$2:$A$147,0)),"")</f>
        <v>44999</v>
      </c>
      <c r="W197" s="160" t="s">
        <v>99</v>
      </c>
      <c r="X197" s="160" t="s">
        <v>99</v>
      </c>
      <c r="Y197" s="160" t="n">
        <v>2</v>
      </c>
      <c r="Z197" s="160" t="n">
        <v>2</v>
      </c>
      <c r="AA197" s="160"/>
      <c r="AB197" s="160"/>
      <c r="AC197" s="160" t="s">
        <v>120</v>
      </c>
      <c r="AD197" s="160" t="s">
        <v>499</v>
      </c>
      <c r="AE197" s="160" t="s">
        <v>929</v>
      </c>
      <c r="AF197" s="160" t="s">
        <v>752</v>
      </c>
      <c r="AG197" s="160" t="s">
        <v>929</v>
      </c>
      <c r="AH197" s="160" t="s">
        <v>501</v>
      </c>
    </row>
    <row r="198" customFormat="false" ht="15" hidden="false" customHeight="false" outlineLevel="0" collapsed="false">
      <c r="A198" s="160" t="s">
        <v>60</v>
      </c>
      <c r="B198" s="161" t="s">
        <v>37</v>
      </c>
      <c r="C198" s="160" t="s">
        <v>945</v>
      </c>
      <c r="D198" s="160" t="s">
        <v>946</v>
      </c>
      <c r="E198" s="160" t="s">
        <v>256</v>
      </c>
      <c r="F198" s="90" t="s">
        <v>234</v>
      </c>
      <c r="G198" s="160" t="s">
        <v>947</v>
      </c>
      <c r="H198" s="162" t="n">
        <f aca="false">IFERROR(INDEX(Schedule!$E$2:$E$147,MATCH($G198,Schedule!$A$2:$A$147,0)),"")</f>
        <v>45017</v>
      </c>
      <c r="I198" s="162" t="n">
        <f aca="false">IFERROR(INDEX(Schedule!$F$2:$F$147,MATCH($G198,Schedule!$A$2:$A$147,0)),"")</f>
        <v>45231</v>
      </c>
      <c r="J198" s="92"/>
      <c r="K198" s="92"/>
      <c r="L198" s="92"/>
      <c r="M198" s="92"/>
      <c r="N198" s="92"/>
      <c r="O198" s="90" t="n">
        <v>1</v>
      </c>
      <c r="P198" s="163" t="n">
        <f aca="false">IFERROR((IF(OR(ISNUMBER(J198),UPPER(TRIM(J198))="N/A"),1,0)*IF($W198="N",0,INDEX('Rules of Credit'!$B$5:$F$8,MATCH($F198,'Rules of Credit'!$A$5:$A$8,0),1))+IF(OR(ISNUMBER(K198),UPPER(TRIM(K198))="N/A"),1,0)*INDEX('Rules of Credit'!$B$5:$F$8,MATCH($F198,'Rules of Credit'!$A$5:$A$8,0),2)+IF(OR(ISNUMBER(L198),UPPER(TRIM(L198))="N/A"),1,0)*INDEX('Rules of Credit'!$B$5:$F$8,MATCH($F198,'Rules of Credit'!$A$5:$A$8,0),3)+IF(OR(ISNUMBER(M198),UPPER(TRIM(M198))="N/A"),1,0)*IF($X198="N",0,INDEX('Rules of Credit'!$B$5:$F$8,MATCH($F198,'Rules of Credit'!$A$5:$A$8,0),4))+IF(OR(ISNUMBER(N198),UPPER(TRIM(N198))="N/A"),1,0)*INDEX('Rules of Credit'!$B$5:$F$8,MATCH($F198,'Rules of Credit'!$A$5:$A$8,0),5))/(IF($W198="N",0,INDEX('Rules of Credit'!$B$5:$F$8,MATCH($F198,'Rules of Credit'!$A$5:$A$8,0),1))+INDEX('Rules of Credit'!$B$5:$F$8,MATCH($F198,'Rules of Credit'!$A$5:$A$8,0),2)+INDEX('Rules of Credit'!$B$5:$F$8,MATCH($F198,'Rules of Credit'!$A$5:$A$8,0),3)+IF($X198="N",0,INDEX('Rules of Credit'!$B$5:$F$8,MATCH($F198,'Rules of Credit'!$A$5:$A$8,0),4))+INDEX('Rules of Credit'!$B$5:$F$8,MATCH($F198,'Rules of Credit'!$A$5:$A$8,0),5)),0)</f>
        <v>0</v>
      </c>
      <c r="Q198" s="163" t="n">
        <f aca="false">IF(OR($H198="",$I198=""),0,IF('Tracker Summary'!$C$3&lt;$H198,0,IF('Tracker Summary'!$C$3&gt;=$I198,1,('Tracker Summary'!$C$3-$H198)/($I198-$H198+1))))</f>
        <v>0</v>
      </c>
      <c r="R198" s="163" t="n">
        <f aca="false">P198-Q198</f>
        <v>0</v>
      </c>
      <c r="S198" s="160" t="str">
        <f aca="false">IF($I198="","Not scheduled",IF(P198&gt;=1,"Complete",IF('Tracker Summary'!$C$3&gt;$I198,"Overdue",IF(P198-Q198&lt;-0.1,"Behind",IF(AND(P198=0,'Tracker Summary'!$C$3&lt;$H198),"Not started","On track")))))</f>
        <v>Not started</v>
      </c>
      <c r="T198" s="90"/>
      <c r="U198" s="160" t="str">
        <f aca="false">IFERROR(INDEX(Schedule!$D$2:$D$147,MATCH($G198,Schedule!$A$2:$A$147,0)),"")</f>
        <v>Electrical, Instrumentation &amp; Controls — UV chamber and digester</v>
      </c>
      <c r="V198" s="162" t="n">
        <f aca="false">IFERROR(INDEX(Schedule!$F$2:$F$147,MATCH("26-P01",Schedule!$A$2:$A$147,0)),"")</f>
        <v>44999</v>
      </c>
      <c r="W198" s="160" t="s">
        <v>91</v>
      </c>
      <c r="X198" s="160" t="s">
        <v>91</v>
      </c>
      <c r="Y198" s="160" t="n">
        <v>0</v>
      </c>
      <c r="Z198" s="160" t="n">
        <v>0</v>
      </c>
      <c r="AA198" s="160" t="s">
        <v>948</v>
      </c>
      <c r="AB198" s="160" t="s">
        <v>797</v>
      </c>
      <c r="AC198" s="160" t="s">
        <v>92</v>
      </c>
      <c r="AD198" s="160" t="s">
        <v>93</v>
      </c>
      <c r="AE198" s="160" t="s">
        <v>949</v>
      </c>
      <c r="AF198" s="160"/>
      <c r="AG198" s="160" t="s">
        <v>949</v>
      </c>
      <c r="AH198" s="160" t="s">
        <v>213</v>
      </c>
    </row>
    <row r="199" customFormat="false" ht="15" hidden="false" customHeight="false" outlineLevel="0" collapsed="false">
      <c r="A199" s="160" t="s">
        <v>60</v>
      </c>
      <c r="B199" s="161" t="s">
        <v>37</v>
      </c>
      <c r="C199" s="160" t="s">
        <v>950</v>
      </c>
      <c r="D199" s="160" t="s">
        <v>951</v>
      </c>
      <c r="E199" s="160" t="s">
        <v>310</v>
      </c>
      <c r="F199" s="90" t="s">
        <v>234</v>
      </c>
      <c r="G199" s="160" t="s">
        <v>952</v>
      </c>
      <c r="H199" s="162" t="n">
        <f aca="false">IFERROR(INDEX(Schedule!$E$2:$E$147,MATCH($G199,Schedule!$A$2:$A$147,0)),"")</f>
        <v>45047</v>
      </c>
      <c r="I199" s="162" t="n">
        <f aca="false">IFERROR(INDEX(Schedule!$F$2:$F$147,MATCH($G199,Schedule!$A$2:$A$147,0)),"")</f>
        <v>45217</v>
      </c>
      <c r="J199" s="92"/>
      <c r="K199" s="92"/>
      <c r="L199" s="92"/>
      <c r="M199" s="92"/>
      <c r="N199" s="92"/>
      <c r="O199" s="90" t="n">
        <v>1</v>
      </c>
      <c r="P199" s="163" t="n">
        <f aca="false">IFERROR((IF(OR(ISNUMBER(J199),UPPER(TRIM(J199))="N/A"),1,0)*IF($W199="N",0,INDEX('Rules of Credit'!$B$5:$F$8,MATCH($F199,'Rules of Credit'!$A$5:$A$8,0),1))+IF(OR(ISNUMBER(K199),UPPER(TRIM(K199))="N/A"),1,0)*INDEX('Rules of Credit'!$B$5:$F$8,MATCH($F199,'Rules of Credit'!$A$5:$A$8,0),2)+IF(OR(ISNUMBER(L199),UPPER(TRIM(L199))="N/A"),1,0)*INDEX('Rules of Credit'!$B$5:$F$8,MATCH($F199,'Rules of Credit'!$A$5:$A$8,0),3)+IF(OR(ISNUMBER(M199),UPPER(TRIM(M199))="N/A"),1,0)*IF($X199="N",0,INDEX('Rules of Credit'!$B$5:$F$8,MATCH($F199,'Rules of Credit'!$A$5:$A$8,0),4))+IF(OR(ISNUMBER(N199),UPPER(TRIM(N199))="N/A"),1,0)*INDEX('Rules of Credit'!$B$5:$F$8,MATCH($F199,'Rules of Credit'!$A$5:$A$8,0),5))/(IF($W199="N",0,INDEX('Rules of Credit'!$B$5:$F$8,MATCH($F199,'Rules of Credit'!$A$5:$A$8,0),1))+INDEX('Rules of Credit'!$B$5:$F$8,MATCH($F199,'Rules of Credit'!$A$5:$A$8,0),2)+INDEX('Rules of Credit'!$B$5:$F$8,MATCH($F199,'Rules of Credit'!$A$5:$A$8,0),3)+IF($X199="N",0,INDEX('Rules of Credit'!$B$5:$F$8,MATCH($F199,'Rules of Credit'!$A$5:$A$8,0),4))+INDEX('Rules of Credit'!$B$5:$F$8,MATCH($F199,'Rules of Credit'!$A$5:$A$8,0),5)),0)</f>
        <v>0</v>
      </c>
      <c r="Q199" s="163" t="n">
        <f aca="false">IF(OR($H199="",$I199=""),0,IF('Tracker Summary'!$C$3&lt;$H199,0,IF('Tracker Summary'!$C$3&gt;=$I199,1,('Tracker Summary'!$C$3-$H199)/($I199-$H199+1))))</f>
        <v>0</v>
      </c>
      <c r="R199" s="163" t="n">
        <f aca="false">P199-Q199</f>
        <v>0</v>
      </c>
      <c r="S199" s="160" t="str">
        <f aca="false">IF($I199="","Not scheduled",IF(P199&gt;=1,"Complete",IF('Tracker Summary'!$C$3&gt;$I199,"Overdue",IF(P199-Q199&lt;-0.1,"Behind",IF(AND(P199=0,'Tracker Summary'!$C$3&lt;$H199),"Not started","On track")))))</f>
        <v>Not started</v>
      </c>
      <c r="T199" s="90"/>
      <c r="U199" s="160" t="str">
        <f aca="false">IFERROR(INDEX(Schedule!$D$2:$D$147,MATCH($G199,Schedule!$A$2:$A$147,0)),"")</f>
        <v>Electrical, Instrumentation &amp; Controls — 2W air gap water system</v>
      </c>
      <c r="V199" s="162" t="n">
        <f aca="false">IFERROR(INDEX(Schedule!$F$2:$F$147,MATCH("26-P01",Schedule!$A$2:$A$147,0)),"")</f>
        <v>44999</v>
      </c>
      <c r="W199" s="160" t="s">
        <v>99</v>
      </c>
      <c r="X199" s="160" t="s">
        <v>99</v>
      </c>
      <c r="Y199" s="160" t="n">
        <v>1</v>
      </c>
      <c r="Z199" s="160" t="n">
        <v>2</v>
      </c>
      <c r="AA199" s="160" t="s">
        <v>953</v>
      </c>
      <c r="AB199" s="160" t="s">
        <v>803</v>
      </c>
      <c r="AC199" s="160" t="s">
        <v>92</v>
      </c>
      <c r="AD199" s="160" t="s">
        <v>499</v>
      </c>
      <c r="AE199" s="160" t="s">
        <v>954</v>
      </c>
      <c r="AF199" s="160" t="s">
        <v>715</v>
      </c>
      <c r="AG199" s="160" t="s">
        <v>954</v>
      </c>
      <c r="AH199" s="160" t="s">
        <v>501</v>
      </c>
    </row>
    <row r="200" customFormat="false" ht="15" hidden="false" customHeight="false" outlineLevel="0" collapsed="false">
      <c r="A200" s="160" t="s">
        <v>60</v>
      </c>
      <c r="B200" s="161" t="s">
        <v>37</v>
      </c>
      <c r="C200" s="160" t="s">
        <v>955</v>
      </c>
      <c r="D200" s="160" t="s">
        <v>956</v>
      </c>
      <c r="E200" s="160" t="s">
        <v>310</v>
      </c>
      <c r="F200" s="90" t="s">
        <v>234</v>
      </c>
      <c r="G200" s="160" t="s">
        <v>952</v>
      </c>
      <c r="H200" s="162" t="n">
        <f aca="false">IFERROR(INDEX(Schedule!$E$2:$E$147,MATCH($G200,Schedule!$A$2:$A$147,0)),"")</f>
        <v>45047</v>
      </c>
      <c r="I200" s="162" t="n">
        <f aca="false">IFERROR(INDEX(Schedule!$F$2:$F$147,MATCH($G200,Schedule!$A$2:$A$147,0)),"")</f>
        <v>45217</v>
      </c>
      <c r="J200" s="92"/>
      <c r="K200" s="92"/>
      <c r="L200" s="92"/>
      <c r="M200" s="92"/>
      <c r="N200" s="92"/>
      <c r="O200" s="90" t="n">
        <v>1</v>
      </c>
      <c r="P200" s="163" t="n">
        <f aca="false">IFERROR((IF(OR(ISNUMBER(J200),UPPER(TRIM(J200))="N/A"),1,0)*IF($W200="N",0,INDEX('Rules of Credit'!$B$5:$F$8,MATCH($F200,'Rules of Credit'!$A$5:$A$8,0),1))+IF(OR(ISNUMBER(K200),UPPER(TRIM(K200))="N/A"),1,0)*INDEX('Rules of Credit'!$B$5:$F$8,MATCH($F200,'Rules of Credit'!$A$5:$A$8,0),2)+IF(OR(ISNUMBER(L200),UPPER(TRIM(L200))="N/A"),1,0)*INDEX('Rules of Credit'!$B$5:$F$8,MATCH($F200,'Rules of Credit'!$A$5:$A$8,0),3)+IF(OR(ISNUMBER(M200),UPPER(TRIM(M200))="N/A"),1,0)*IF($X200="N",0,INDEX('Rules of Credit'!$B$5:$F$8,MATCH($F200,'Rules of Credit'!$A$5:$A$8,0),4))+IF(OR(ISNUMBER(N200),UPPER(TRIM(N200))="N/A"),1,0)*INDEX('Rules of Credit'!$B$5:$F$8,MATCH($F200,'Rules of Credit'!$A$5:$A$8,0),5))/(IF($W200="N",0,INDEX('Rules of Credit'!$B$5:$F$8,MATCH($F200,'Rules of Credit'!$A$5:$A$8,0),1))+INDEX('Rules of Credit'!$B$5:$F$8,MATCH($F200,'Rules of Credit'!$A$5:$A$8,0),2)+INDEX('Rules of Credit'!$B$5:$F$8,MATCH($F200,'Rules of Credit'!$A$5:$A$8,0),3)+IF($X200="N",0,INDEX('Rules of Credit'!$B$5:$F$8,MATCH($F200,'Rules of Credit'!$A$5:$A$8,0),4))+INDEX('Rules of Credit'!$B$5:$F$8,MATCH($F200,'Rules of Credit'!$A$5:$A$8,0),5)),0)</f>
        <v>0</v>
      </c>
      <c r="Q200" s="163" t="n">
        <f aca="false">IF(OR($H200="",$I200=""),0,IF('Tracker Summary'!$C$3&lt;$H200,0,IF('Tracker Summary'!$C$3&gt;=$I200,1,('Tracker Summary'!$C$3-$H200)/($I200-$H200+1))))</f>
        <v>0</v>
      </c>
      <c r="R200" s="163" t="n">
        <f aca="false">P200-Q200</f>
        <v>0</v>
      </c>
      <c r="S200" s="160" t="str">
        <f aca="false">IF($I200="","Not scheduled",IF(P200&gt;=1,"Complete",IF('Tracker Summary'!$C$3&gt;$I200,"Overdue",IF(P200-Q200&lt;-0.1,"Behind",IF(AND(P200=0,'Tracker Summary'!$C$3&lt;$H200),"Not started","On track")))))</f>
        <v>Not started</v>
      </c>
      <c r="T200" s="90"/>
      <c r="U200" s="160" t="str">
        <f aca="false">IFERROR(INDEX(Schedule!$D$2:$D$147,MATCH($G200,Schedule!$A$2:$A$147,0)),"")</f>
        <v>Electrical, Instrumentation &amp; Controls — 2W air gap water system</v>
      </c>
      <c r="V200" s="162" t="n">
        <f aca="false">IFERROR(INDEX(Schedule!$F$2:$F$147,MATCH("26-P01",Schedule!$A$2:$A$147,0)),"")</f>
        <v>44999</v>
      </c>
      <c r="W200" s="160" t="s">
        <v>99</v>
      </c>
      <c r="X200" s="160" t="s">
        <v>99</v>
      </c>
      <c r="Y200" s="160" t="n">
        <v>1</v>
      </c>
      <c r="Z200" s="160" t="n">
        <v>2</v>
      </c>
      <c r="AA200" s="160" t="s">
        <v>957</v>
      </c>
      <c r="AB200" s="160" t="s">
        <v>958</v>
      </c>
      <c r="AC200" s="160" t="s">
        <v>541</v>
      </c>
      <c r="AD200" s="160" t="s">
        <v>499</v>
      </c>
      <c r="AE200" s="160" t="s">
        <v>959</v>
      </c>
      <c r="AF200" s="160" t="s">
        <v>715</v>
      </c>
      <c r="AG200" s="160" t="s">
        <v>959</v>
      </c>
      <c r="AH200" s="160" t="s">
        <v>501</v>
      </c>
    </row>
    <row r="201" customFormat="false" ht="15" hidden="false" customHeight="false" outlineLevel="0" collapsed="false">
      <c r="A201" s="160" t="s">
        <v>60</v>
      </c>
      <c r="B201" s="161" t="s">
        <v>37</v>
      </c>
      <c r="C201" s="160" t="s">
        <v>960</v>
      </c>
      <c r="D201" s="160" t="s">
        <v>961</v>
      </c>
      <c r="E201" s="160" t="s">
        <v>310</v>
      </c>
      <c r="F201" s="90" t="s">
        <v>234</v>
      </c>
      <c r="G201" s="160" t="s">
        <v>952</v>
      </c>
      <c r="H201" s="162" t="n">
        <f aca="false">IFERROR(INDEX(Schedule!$E$2:$E$147,MATCH($G201,Schedule!$A$2:$A$147,0)),"")</f>
        <v>45047</v>
      </c>
      <c r="I201" s="162" t="n">
        <f aca="false">IFERROR(INDEX(Schedule!$F$2:$F$147,MATCH($G201,Schedule!$A$2:$A$147,0)),"")</f>
        <v>45217</v>
      </c>
      <c r="J201" s="92"/>
      <c r="K201" s="92"/>
      <c r="L201" s="92"/>
      <c r="M201" s="92"/>
      <c r="N201" s="92"/>
      <c r="O201" s="90" t="n">
        <v>1</v>
      </c>
      <c r="P201" s="163" t="n">
        <f aca="false">IFERROR((IF(OR(ISNUMBER(J201),UPPER(TRIM(J201))="N/A"),1,0)*IF($W201="N",0,INDEX('Rules of Credit'!$B$5:$F$8,MATCH($F201,'Rules of Credit'!$A$5:$A$8,0),1))+IF(OR(ISNUMBER(K201),UPPER(TRIM(K201))="N/A"),1,0)*INDEX('Rules of Credit'!$B$5:$F$8,MATCH($F201,'Rules of Credit'!$A$5:$A$8,0),2)+IF(OR(ISNUMBER(L201),UPPER(TRIM(L201))="N/A"),1,0)*INDEX('Rules of Credit'!$B$5:$F$8,MATCH($F201,'Rules of Credit'!$A$5:$A$8,0),3)+IF(OR(ISNUMBER(M201),UPPER(TRIM(M201))="N/A"),1,0)*IF($X201="N",0,INDEX('Rules of Credit'!$B$5:$F$8,MATCH($F201,'Rules of Credit'!$A$5:$A$8,0),4))+IF(OR(ISNUMBER(N201),UPPER(TRIM(N201))="N/A"),1,0)*INDEX('Rules of Credit'!$B$5:$F$8,MATCH($F201,'Rules of Credit'!$A$5:$A$8,0),5))/(IF($W201="N",0,INDEX('Rules of Credit'!$B$5:$F$8,MATCH($F201,'Rules of Credit'!$A$5:$A$8,0),1))+INDEX('Rules of Credit'!$B$5:$F$8,MATCH($F201,'Rules of Credit'!$A$5:$A$8,0),2)+INDEX('Rules of Credit'!$B$5:$F$8,MATCH($F201,'Rules of Credit'!$A$5:$A$8,0),3)+IF($X201="N",0,INDEX('Rules of Credit'!$B$5:$F$8,MATCH($F201,'Rules of Credit'!$A$5:$A$8,0),4))+INDEX('Rules of Credit'!$B$5:$F$8,MATCH($F201,'Rules of Credit'!$A$5:$A$8,0),5)),0)</f>
        <v>0</v>
      </c>
      <c r="Q201" s="163" t="n">
        <f aca="false">IF(OR($H201="",$I201=""),0,IF('Tracker Summary'!$C$3&lt;$H201,0,IF('Tracker Summary'!$C$3&gt;=$I201,1,('Tracker Summary'!$C$3-$H201)/($I201-$H201+1))))</f>
        <v>0</v>
      </c>
      <c r="R201" s="163" t="n">
        <f aca="false">P201-Q201</f>
        <v>0</v>
      </c>
      <c r="S201" s="160" t="str">
        <f aca="false">IF($I201="","Not scheduled",IF(P201&gt;=1,"Complete",IF('Tracker Summary'!$C$3&gt;$I201,"Overdue",IF(P201-Q201&lt;-0.1,"Behind",IF(AND(P201=0,'Tracker Summary'!$C$3&lt;$H201),"Not started","On track")))))</f>
        <v>Not started</v>
      </c>
      <c r="T201" s="90"/>
      <c r="U201" s="160" t="str">
        <f aca="false">IFERROR(INDEX(Schedule!$D$2:$D$147,MATCH($G201,Schedule!$A$2:$A$147,0)),"")</f>
        <v>Electrical, Instrumentation &amp; Controls — 2W air gap water system</v>
      </c>
      <c r="V201" s="162" t="n">
        <f aca="false">IFERROR(INDEX(Schedule!$F$2:$F$147,MATCH("26-P01",Schedule!$A$2:$A$147,0)),"")</f>
        <v>44999</v>
      </c>
      <c r="W201" s="160" t="s">
        <v>99</v>
      </c>
      <c r="X201" s="160" t="s">
        <v>99</v>
      </c>
      <c r="Y201" s="160" t="n">
        <v>1</v>
      </c>
      <c r="Z201" s="160" t="n">
        <v>2</v>
      </c>
      <c r="AA201" s="160" t="s">
        <v>957</v>
      </c>
      <c r="AB201" s="160" t="s">
        <v>958</v>
      </c>
      <c r="AC201" s="160" t="s">
        <v>541</v>
      </c>
      <c r="AD201" s="160" t="s">
        <v>499</v>
      </c>
      <c r="AE201" s="160" t="s">
        <v>959</v>
      </c>
      <c r="AF201" s="160" t="s">
        <v>715</v>
      </c>
      <c r="AG201" s="160" t="s">
        <v>959</v>
      </c>
      <c r="AH201" s="160" t="s">
        <v>501</v>
      </c>
    </row>
    <row r="202" customFormat="false" ht="15" hidden="false" customHeight="false" outlineLevel="0" collapsed="false">
      <c r="A202" s="160" t="s">
        <v>60</v>
      </c>
      <c r="B202" s="161" t="s">
        <v>37</v>
      </c>
      <c r="C202" s="160" t="s">
        <v>962</v>
      </c>
      <c r="D202" s="160" t="s">
        <v>963</v>
      </c>
      <c r="E202" s="160" t="s">
        <v>310</v>
      </c>
      <c r="F202" s="90" t="s">
        <v>234</v>
      </c>
      <c r="G202" s="160" t="s">
        <v>952</v>
      </c>
      <c r="H202" s="162" t="n">
        <f aca="false">IFERROR(INDEX(Schedule!$E$2:$E$147,MATCH($G202,Schedule!$A$2:$A$147,0)),"")</f>
        <v>45047</v>
      </c>
      <c r="I202" s="162" t="n">
        <f aca="false">IFERROR(INDEX(Schedule!$F$2:$F$147,MATCH($G202,Schedule!$A$2:$A$147,0)),"")</f>
        <v>45217</v>
      </c>
      <c r="J202" s="92"/>
      <c r="K202" s="92"/>
      <c r="L202" s="92"/>
      <c r="M202" s="92"/>
      <c r="N202" s="92"/>
      <c r="O202" s="90" t="n">
        <v>1</v>
      </c>
      <c r="P202" s="163" t="n">
        <f aca="false">IFERROR((IF(OR(ISNUMBER(J202),UPPER(TRIM(J202))="N/A"),1,0)*IF($W202="N",0,INDEX('Rules of Credit'!$B$5:$F$8,MATCH($F202,'Rules of Credit'!$A$5:$A$8,0),1))+IF(OR(ISNUMBER(K202),UPPER(TRIM(K202))="N/A"),1,0)*INDEX('Rules of Credit'!$B$5:$F$8,MATCH($F202,'Rules of Credit'!$A$5:$A$8,0),2)+IF(OR(ISNUMBER(L202),UPPER(TRIM(L202))="N/A"),1,0)*INDEX('Rules of Credit'!$B$5:$F$8,MATCH($F202,'Rules of Credit'!$A$5:$A$8,0),3)+IF(OR(ISNUMBER(M202),UPPER(TRIM(M202))="N/A"),1,0)*IF($X202="N",0,INDEX('Rules of Credit'!$B$5:$F$8,MATCH($F202,'Rules of Credit'!$A$5:$A$8,0),4))+IF(OR(ISNUMBER(N202),UPPER(TRIM(N202))="N/A"),1,0)*INDEX('Rules of Credit'!$B$5:$F$8,MATCH($F202,'Rules of Credit'!$A$5:$A$8,0),5))/(IF($W202="N",0,INDEX('Rules of Credit'!$B$5:$F$8,MATCH($F202,'Rules of Credit'!$A$5:$A$8,0),1))+INDEX('Rules of Credit'!$B$5:$F$8,MATCH($F202,'Rules of Credit'!$A$5:$A$8,0),2)+INDEX('Rules of Credit'!$B$5:$F$8,MATCH($F202,'Rules of Credit'!$A$5:$A$8,0),3)+IF($X202="N",0,INDEX('Rules of Credit'!$B$5:$F$8,MATCH($F202,'Rules of Credit'!$A$5:$A$8,0),4))+INDEX('Rules of Credit'!$B$5:$F$8,MATCH($F202,'Rules of Credit'!$A$5:$A$8,0),5)),0)</f>
        <v>0</v>
      </c>
      <c r="Q202" s="163" t="n">
        <f aca="false">IF(OR($H202="",$I202=""),0,IF('Tracker Summary'!$C$3&lt;$H202,0,IF('Tracker Summary'!$C$3&gt;=$I202,1,('Tracker Summary'!$C$3-$H202)/($I202-$H202+1))))</f>
        <v>0</v>
      </c>
      <c r="R202" s="163" t="n">
        <f aca="false">P202-Q202</f>
        <v>0</v>
      </c>
      <c r="S202" s="160" t="str">
        <f aca="false">IF($I202="","Not scheduled",IF(P202&gt;=1,"Complete",IF('Tracker Summary'!$C$3&gt;$I202,"Overdue",IF(P202-Q202&lt;-0.1,"Behind",IF(AND(P202=0,'Tracker Summary'!$C$3&lt;$H202),"Not started","On track")))))</f>
        <v>Not started</v>
      </c>
      <c r="T202" s="90"/>
      <c r="U202" s="160" t="str">
        <f aca="false">IFERROR(INDEX(Schedule!$D$2:$D$147,MATCH($G202,Schedule!$A$2:$A$147,0)),"")</f>
        <v>Electrical, Instrumentation &amp; Controls — 2W air gap water system</v>
      </c>
      <c r="V202" s="162" t="n">
        <f aca="false">IFERROR(INDEX(Schedule!$F$2:$F$147,MATCH("26-P01",Schedule!$A$2:$A$147,0)),"")</f>
        <v>44999</v>
      </c>
      <c r="W202" s="160" t="s">
        <v>99</v>
      </c>
      <c r="X202" s="160" t="s">
        <v>99</v>
      </c>
      <c r="Y202" s="160" t="n">
        <v>1</v>
      </c>
      <c r="Z202" s="160" t="n">
        <v>2</v>
      </c>
      <c r="AA202" s="160" t="s">
        <v>957</v>
      </c>
      <c r="AB202" s="160" t="s">
        <v>958</v>
      </c>
      <c r="AC202" s="160" t="s">
        <v>541</v>
      </c>
      <c r="AD202" s="160" t="s">
        <v>499</v>
      </c>
      <c r="AE202" s="160" t="s">
        <v>959</v>
      </c>
      <c r="AF202" s="160" t="s">
        <v>715</v>
      </c>
      <c r="AG202" s="160" t="s">
        <v>959</v>
      </c>
      <c r="AH202" s="160" t="s">
        <v>501</v>
      </c>
    </row>
    <row r="203" customFormat="false" ht="15" hidden="false" customHeight="false" outlineLevel="0" collapsed="false">
      <c r="A203" s="160" t="s">
        <v>60</v>
      </c>
      <c r="B203" s="161" t="s">
        <v>37</v>
      </c>
      <c r="C203" s="160" t="s">
        <v>964</v>
      </c>
      <c r="D203" s="160" t="s">
        <v>965</v>
      </c>
      <c r="E203" s="160" t="s">
        <v>310</v>
      </c>
      <c r="F203" s="90" t="s">
        <v>234</v>
      </c>
      <c r="G203" s="160" t="s">
        <v>952</v>
      </c>
      <c r="H203" s="162" t="n">
        <f aca="false">IFERROR(INDEX(Schedule!$E$2:$E$147,MATCH($G203,Schedule!$A$2:$A$147,0)),"")</f>
        <v>45047</v>
      </c>
      <c r="I203" s="162" t="n">
        <f aca="false">IFERROR(INDEX(Schedule!$F$2:$F$147,MATCH($G203,Schedule!$A$2:$A$147,0)),"")</f>
        <v>45217</v>
      </c>
      <c r="J203" s="92"/>
      <c r="K203" s="92"/>
      <c r="L203" s="92"/>
      <c r="M203" s="92"/>
      <c r="N203" s="92"/>
      <c r="O203" s="90" t="n">
        <v>1</v>
      </c>
      <c r="P203" s="163" t="n">
        <f aca="false">IFERROR((IF(OR(ISNUMBER(J203),UPPER(TRIM(J203))="N/A"),1,0)*IF($W203="N",0,INDEX('Rules of Credit'!$B$5:$F$8,MATCH($F203,'Rules of Credit'!$A$5:$A$8,0),1))+IF(OR(ISNUMBER(K203),UPPER(TRIM(K203))="N/A"),1,0)*INDEX('Rules of Credit'!$B$5:$F$8,MATCH($F203,'Rules of Credit'!$A$5:$A$8,0),2)+IF(OR(ISNUMBER(L203),UPPER(TRIM(L203))="N/A"),1,0)*INDEX('Rules of Credit'!$B$5:$F$8,MATCH($F203,'Rules of Credit'!$A$5:$A$8,0),3)+IF(OR(ISNUMBER(M203),UPPER(TRIM(M203))="N/A"),1,0)*IF($X203="N",0,INDEX('Rules of Credit'!$B$5:$F$8,MATCH($F203,'Rules of Credit'!$A$5:$A$8,0),4))+IF(OR(ISNUMBER(N203),UPPER(TRIM(N203))="N/A"),1,0)*INDEX('Rules of Credit'!$B$5:$F$8,MATCH($F203,'Rules of Credit'!$A$5:$A$8,0),5))/(IF($W203="N",0,INDEX('Rules of Credit'!$B$5:$F$8,MATCH($F203,'Rules of Credit'!$A$5:$A$8,0),1))+INDEX('Rules of Credit'!$B$5:$F$8,MATCH($F203,'Rules of Credit'!$A$5:$A$8,0),2)+INDEX('Rules of Credit'!$B$5:$F$8,MATCH($F203,'Rules of Credit'!$A$5:$A$8,0),3)+IF($X203="N",0,INDEX('Rules of Credit'!$B$5:$F$8,MATCH($F203,'Rules of Credit'!$A$5:$A$8,0),4))+INDEX('Rules of Credit'!$B$5:$F$8,MATCH($F203,'Rules of Credit'!$A$5:$A$8,0),5)),0)</f>
        <v>0</v>
      </c>
      <c r="Q203" s="163" t="n">
        <f aca="false">IF(OR($H203="",$I203=""),0,IF('Tracker Summary'!$C$3&lt;$H203,0,IF('Tracker Summary'!$C$3&gt;=$I203,1,('Tracker Summary'!$C$3-$H203)/($I203-$H203+1))))</f>
        <v>0</v>
      </c>
      <c r="R203" s="163" t="n">
        <f aca="false">P203-Q203</f>
        <v>0</v>
      </c>
      <c r="S203" s="160" t="str">
        <f aca="false">IF($I203="","Not scheduled",IF(P203&gt;=1,"Complete",IF('Tracker Summary'!$C$3&gt;$I203,"Overdue",IF(P203-Q203&lt;-0.1,"Behind",IF(AND(P203=0,'Tracker Summary'!$C$3&lt;$H203),"Not started","On track")))))</f>
        <v>Not started</v>
      </c>
      <c r="T203" s="90"/>
      <c r="U203" s="160" t="str">
        <f aca="false">IFERROR(INDEX(Schedule!$D$2:$D$147,MATCH($G203,Schedule!$A$2:$A$147,0)),"")</f>
        <v>Electrical, Instrumentation &amp; Controls — 2W air gap water system</v>
      </c>
      <c r="V203" s="162" t="n">
        <f aca="false">IFERROR(INDEX(Schedule!$F$2:$F$147,MATCH("26-P01",Schedule!$A$2:$A$147,0)),"")</f>
        <v>44999</v>
      </c>
      <c r="W203" s="160" t="s">
        <v>99</v>
      </c>
      <c r="X203" s="160" t="s">
        <v>99</v>
      </c>
      <c r="Y203" s="160" t="n">
        <v>1</v>
      </c>
      <c r="Z203" s="160" t="n">
        <v>2</v>
      </c>
      <c r="AA203" s="160" t="s">
        <v>957</v>
      </c>
      <c r="AB203" s="160" t="s">
        <v>958</v>
      </c>
      <c r="AC203" s="160" t="s">
        <v>541</v>
      </c>
      <c r="AD203" s="160" t="s">
        <v>499</v>
      </c>
      <c r="AE203" s="160" t="s">
        <v>959</v>
      </c>
      <c r="AF203" s="160" t="s">
        <v>715</v>
      </c>
      <c r="AG203" s="160" t="s">
        <v>959</v>
      </c>
      <c r="AH203" s="160" t="s">
        <v>501</v>
      </c>
    </row>
    <row r="204" customFormat="false" ht="15" hidden="false" customHeight="false" outlineLevel="0" collapsed="false">
      <c r="A204" s="160" t="s">
        <v>60</v>
      </c>
      <c r="B204" s="161" t="s">
        <v>37</v>
      </c>
      <c r="C204" s="160" t="s">
        <v>966</v>
      </c>
      <c r="D204" s="160" t="s">
        <v>967</v>
      </c>
      <c r="E204" s="160" t="s">
        <v>310</v>
      </c>
      <c r="F204" s="90" t="s">
        <v>234</v>
      </c>
      <c r="G204" s="160" t="s">
        <v>952</v>
      </c>
      <c r="H204" s="162" t="n">
        <f aca="false">IFERROR(INDEX(Schedule!$E$2:$E$147,MATCH($G204,Schedule!$A$2:$A$147,0)),"")</f>
        <v>45047</v>
      </c>
      <c r="I204" s="162" t="n">
        <f aca="false">IFERROR(INDEX(Schedule!$F$2:$F$147,MATCH($G204,Schedule!$A$2:$A$147,0)),"")</f>
        <v>45217</v>
      </c>
      <c r="J204" s="92"/>
      <c r="K204" s="92"/>
      <c r="L204" s="92"/>
      <c r="M204" s="92"/>
      <c r="N204" s="92"/>
      <c r="O204" s="90" t="n">
        <v>1</v>
      </c>
      <c r="P204" s="163" t="n">
        <f aca="false">IFERROR((IF(OR(ISNUMBER(J204),UPPER(TRIM(J204))="N/A"),1,0)*IF($W204="N",0,INDEX('Rules of Credit'!$B$5:$F$8,MATCH($F204,'Rules of Credit'!$A$5:$A$8,0),1))+IF(OR(ISNUMBER(K204),UPPER(TRIM(K204))="N/A"),1,0)*INDEX('Rules of Credit'!$B$5:$F$8,MATCH($F204,'Rules of Credit'!$A$5:$A$8,0),2)+IF(OR(ISNUMBER(L204),UPPER(TRIM(L204))="N/A"),1,0)*INDEX('Rules of Credit'!$B$5:$F$8,MATCH($F204,'Rules of Credit'!$A$5:$A$8,0),3)+IF(OR(ISNUMBER(M204),UPPER(TRIM(M204))="N/A"),1,0)*IF($X204="N",0,INDEX('Rules of Credit'!$B$5:$F$8,MATCH($F204,'Rules of Credit'!$A$5:$A$8,0),4))+IF(OR(ISNUMBER(N204),UPPER(TRIM(N204))="N/A"),1,0)*INDEX('Rules of Credit'!$B$5:$F$8,MATCH($F204,'Rules of Credit'!$A$5:$A$8,0),5))/(IF($W204="N",0,INDEX('Rules of Credit'!$B$5:$F$8,MATCH($F204,'Rules of Credit'!$A$5:$A$8,0),1))+INDEX('Rules of Credit'!$B$5:$F$8,MATCH($F204,'Rules of Credit'!$A$5:$A$8,0),2)+INDEX('Rules of Credit'!$B$5:$F$8,MATCH($F204,'Rules of Credit'!$A$5:$A$8,0),3)+IF($X204="N",0,INDEX('Rules of Credit'!$B$5:$F$8,MATCH($F204,'Rules of Credit'!$A$5:$A$8,0),4))+INDEX('Rules of Credit'!$B$5:$F$8,MATCH($F204,'Rules of Credit'!$A$5:$A$8,0),5)),0)</f>
        <v>0</v>
      </c>
      <c r="Q204" s="163" t="n">
        <f aca="false">IF(OR($H204="",$I204=""),0,IF('Tracker Summary'!$C$3&lt;$H204,0,IF('Tracker Summary'!$C$3&gt;=$I204,1,('Tracker Summary'!$C$3-$H204)/($I204-$H204+1))))</f>
        <v>0</v>
      </c>
      <c r="R204" s="163" t="n">
        <f aca="false">P204-Q204</f>
        <v>0</v>
      </c>
      <c r="S204" s="160" t="str">
        <f aca="false">IF($I204="","Not scheduled",IF(P204&gt;=1,"Complete",IF('Tracker Summary'!$C$3&gt;$I204,"Overdue",IF(P204-Q204&lt;-0.1,"Behind",IF(AND(P204=0,'Tracker Summary'!$C$3&lt;$H204),"Not started","On track")))))</f>
        <v>Not started</v>
      </c>
      <c r="T204" s="90"/>
      <c r="U204" s="160" t="str">
        <f aca="false">IFERROR(INDEX(Schedule!$D$2:$D$147,MATCH($G204,Schedule!$A$2:$A$147,0)),"")</f>
        <v>Electrical, Instrumentation &amp; Controls — 2W air gap water system</v>
      </c>
      <c r="V204" s="162" t="n">
        <f aca="false">IFERROR(INDEX(Schedule!$F$2:$F$147,MATCH("26-P01",Schedule!$A$2:$A$147,0)),"")</f>
        <v>44999</v>
      </c>
      <c r="W204" s="160" t="s">
        <v>99</v>
      </c>
      <c r="X204" s="160" t="s">
        <v>91</v>
      </c>
      <c r="Y204" s="160" t="n">
        <v>2</v>
      </c>
      <c r="Z204" s="160" t="n">
        <v>0</v>
      </c>
      <c r="AA204" s="160"/>
      <c r="AB204" s="160"/>
      <c r="AC204" s="160" t="s">
        <v>92</v>
      </c>
      <c r="AD204" s="160" t="s">
        <v>499</v>
      </c>
      <c r="AE204" s="160" t="s">
        <v>968</v>
      </c>
      <c r="AF204" s="160" t="s">
        <v>792</v>
      </c>
      <c r="AG204" s="160" t="s">
        <v>968</v>
      </c>
      <c r="AH204" s="160" t="s">
        <v>501</v>
      </c>
    </row>
    <row r="205" customFormat="false" ht="15" hidden="false" customHeight="false" outlineLevel="0" collapsed="false">
      <c r="A205" s="160" t="s">
        <v>60</v>
      </c>
      <c r="B205" s="161" t="s">
        <v>37</v>
      </c>
      <c r="C205" s="160" t="s">
        <v>969</v>
      </c>
      <c r="D205" s="160" t="s">
        <v>970</v>
      </c>
      <c r="E205" s="160" t="s">
        <v>310</v>
      </c>
      <c r="F205" s="90" t="s">
        <v>234</v>
      </c>
      <c r="G205" s="160" t="s">
        <v>952</v>
      </c>
      <c r="H205" s="162" t="n">
        <f aca="false">IFERROR(INDEX(Schedule!$E$2:$E$147,MATCH($G205,Schedule!$A$2:$A$147,0)),"")</f>
        <v>45047</v>
      </c>
      <c r="I205" s="162" t="n">
        <f aca="false">IFERROR(INDEX(Schedule!$F$2:$F$147,MATCH($G205,Schedule!$A$2:$A$147,0)),"")</f>
        <v>45217</v>
      </c>
      <c r="J205" s="92"/>
      <c r="K205" s="92"/>
      <c r="L205" s="92"/>
      <c r="M205" s="92"/>
      <c r="N205" s="92"/>
      <c r="O205" s="90" t="n">
        <v>1</v>
      </c>
      <c r="P205" s="163" t="n">
        <f aca="false">IFERROR((IF(OR(ISNUMBER(J205),UPPER(TRIM(J205))="N/A"),1,0)*IF($W205="N",0,INDEX('Rules of Credit'!$B$5:$F$8,MATCH($F205,'Rules of Credit'!$A$5:$A$8,0),1))+IF(OR(ISNUMBER(K205),UPPER(TRIM(K205))="N/A"),1,0)*INDEX('Rules of Credit'!$B$5:$F$8,MATCH($F205,'Rules of Credit'!$A$5:$A$8,0),2)+IF(OR(ISNUMBER(L205),UPPER(TRIM(L205))="N/A"),1,0)*INDEX('Rules of Credit'!$B$5:$F$8,MATCH($F205,'Rules of Credit'!$A$5:$A$8,0),3)+IF(OR(ISNUMBER(M205),UPPER(TRIM(M205))="N/A"),1,0)*IF($X205="N",0,INDEX('Rules of Credit'!$B$5:$F$8,MATCH($F205,'Rules of Credit'!$A$5:$A$8,0),4))+IF(OR(ISNUMBER(N205),UPPER(TRIM(N205))="N/A"),1,0)*INDEX('Rules of Credit'!$B$5:$F$8,MATCH($F205,'Rules of Credit'!$A$5:$A$8,0),5))/(IF($W205="N",0,INDEX('Rules of Credit'!$B$5:$F$8,MATCH($F205,'Rules of Credit'!$A$5:$A$8,0),1))+INDEX('Rules of Credit'!$B$5:$F$8,MATCH($F205,'Rules of Credit'!$A$5:$A$8,0),2)+INDEX('Rules of Credit'!$B$5:$F$8,MATCH($F205,'Rules of Credit'!$A$5:$A$8,0),3)+IF($X205="N",0,INDEX('Rules of Credit'!$B$5:$F$8,MATCH($F205,'Rules of Credit'!$A$5:$A$8,0),4))+INDEX('Rules of Credit'!$B$5:$F$8,MATCH($F205,'Rules of Credit'!$A$5:$A$8,0),5)),0)</f>
        <v>0</v>
      </c>
      <c r="Q205" s="163" t="n">
        <f aca="false">IF(OR($H205="",$I205=""),0,IF('Tracker Summary'!$C$3&lt;$H205,0,IF('Tracker Summary'!$C$3&gt;=$I205,1,('Tracker Summary'!$C$3-$H205)/($I205-$H205+1))))</f>
        <v>0</v>
      </c>
      <c r="R205" s="163" t="n">
        <f aca="false">P205-Q205</f>
        <v>0</v>
      </c>
      <c r="S205" s="160" t="str">
        <f aca="false">IF($I205="","Not scheduled",IF(P205&gt;=1,"Complete",IF('Tracker Summary'!$C$3&gt;$I205,"Overdue",IF(P205-Q205&lt;-0.1,"Behind",IF(AND(P205=0,'Tracker Summary'!$C$3&lt;$H205),"Not started","On track")))))</f>
        <v>Not started</v>
      </c>
      <c r="T205" s="90"/>
      <c r="U205" s="160" t="str">
        <f aca="false">IFERROR(INDEX(Schedule!$D$2:$D$147,MATCH($G205,Schedule!$A$2:$A$147,0)),"")</f>
        <v>Electrical, Instrumentation &amp; Controls — 2W air gap water system</v>
      </c>
      <c r="V205" s="162" t="n">
        <f aca="false">IFERROR(INDEX(Schedule!$F$2:$F$147,MATCH("26-P01",Schedule!$A$2:$A$147,0)),"")</f>
        <v>44999</v>
      </c>
      <c r="W205" s="160" t="s">
        <v>115</v>
      </c>
      <c r="X205" s="160" t="s">
        <v>115</v>
      </c>
      <c r="Y205" s="160" t="n">
        <v>0</v>
      </c>
      <c r="Z205" s="160" t="n">
        <v>0</v>
      </c>
      <c r="AA205" s="160"/>
      <c r="AB205" s="160" t="s">
        <v>971</v>
      </c>
      <c r="AC205" s="160" t="s">
        <v>498</v>
      </c>
      <c r="AD205" s="160" t="s">
        <v>499</v>
      </c>
      <c r="AE205" s="160" t="s">
        <v>972</v>
      </c>
      <c r="AF205" s="160"/>
      <c r="AG205" s="160" t="s">
        <v>972</v>
      </c>
      <c r="AH205" s="160" t="s">
        <v>501</v>
      </c>
    </row>
    <row r="206" customFormat="false" ht="15" hidden="false" customHeight="false" outlineLevel="0" collapsed="false">
      <c r="A206" s="160" t="s">
        <v>60</v>
      </c>
      <c r="B206" s="161" t="s">
        <v>37</v>
      </c>
      <c r="C206" s="160" t="s">
        <v>973</v>
      </c>
      <c r="D206" s="160" t="s">
        <v>974</v>
      </c>
      <c r="E206" s="160" t="s">
        <v>975</v>
      </c>
      <c r="F206" s="90" t="s">
        <v>234</v>
      </c>
      <c r="G206" s="160" t="s">
        <v>976</v>
      </c>
      <c r="H206" s="162" t="n">
        <f aca="false">IFERROR(INDEX(Schedule!$E$2:$E$147,MATCH($G206,Schedule!$A$2:$A$147,0)),"")</f>
        <v>45078</v>
      </c>
      <c r="I206" s="162" t="n">
        <f aca="false">IFERROR(INDEX(Schedule!$F$2:$F$147,MATCH($G206,Schedule!$A$2:$A$147,0)),"")</f>
        <v>45224</v>
      </c>
      <c r="J206" s="92"/>
      <c r="K206" s="92"/>
      <c r="L206" s="92"/>
      <c r="M206" s="92"/>
      <c r="N206" s="92"/>
      <c r="O206" s="90" t="n">
        <v>1</v>
      </c>
      <c r="P206" s="163" t="n">
        <f aca="false">IFERROR((IF(OR(ISNUMBER(J206),UPPER(TRIM(J206))="N/A"),1,0)*IF($W206="N",0,INDEX('Rules of Credit'!$B$5:$F$8,MATCH($F206,'Rules of Credit'!$A$5:$A$8,0),1))+IF(OR(ISNUMBER(K206),UPPER(TRIM(K206))="N/A"),1,0)*INDEX('Rules of Credit'!$B$5:$F$8,MATCH($F206,'Rules of Credit'!$A$5:$A$8,0),2)+IF(OR(ISNUMBER(L206),UPPER(TRIM(L206))="N/A"),1,0)*INDEX('Rules of Credit'!$B$5:$F$8,MATCH($F206,'Rules of Credit'!$A$5:$A$8,0),3)+IF(OR(ISNUMBER(M206),UPPER(TRIM(M206))="N/A"),1,0)*IF($X206="N",0,INDEX('Rules of Credit'!$B$5:$F$8,MATCH($F206,'Rules of Credit'!$A$5:$A$8,0),4))+IF(OR(ISNUMBER(N206),UPPER(TRIM(N206))="N/A"),1,0)*INDEX('Rules of Credit'!$B$5:$F$8,MATCH($F206,'Rules of Credit'!$A$5:$A$8,0),5))/(IF($W206="N",0,INDEX('Rules of Credit'!$B$5:$F$8,MATCH($F206,'Rules of Credit'!$A$5:$A$8,0),1))+INDEX('Rules of Credit'!$B$5:$F$8,MATCH($F206,'Rules of Credit'!$A$5:$A$8,0),2)+INDEX('Rules of Credit'!$B$5:$F$8,MATCH($F206,'Rules of Credit'!$A$5:$A$8,0),3)+IF($X206="N",0,INDEX('Rules of Credit'!$B$5:$F$8,MATCH($F206,'Rules of Credit'!$A$5:$A$8,0),4))+INDEX('Rules of Credit'!$B$5:$F$8,MATCH($F206,'Rules of Credit'!$A$5:$A$8,0),5)),0)</f>
        <v>0</v>
      </c>
      <c r="Q206" s="163" t="n">
        <f aca="false">IF(OR($H206="",$I206=""),0,IF('Tracker Summary'!$C$3&lt;$H206,0,IF('Tracker Summary'!$C$3&gt;=$I206,1,('Tracker Summary'!$C$3-$H206)/($I206-$H206+1))))</f>
        <v>0</v>
      </c>
      <c r="R206" s="163" t="n">
        <f aca="false">P206-Q206</f>
        <v>0</v>
      </c>
      <c r="S206" s="160" t="str">
        <f aca="false">IF($I206="","Not scheduled",IF(P206&gt;=1,"Complete",IF('Tracker Summary'!$C$3&gt;$I206,"Overdue",IF(P206-Q206&lt;-0.1,"Behind",IF(AND(P206=0,'Tracker Summary'!$C$3&lt;$H206),"Not started","On track")))))</f>
        <v>Not started</v>
      </c>
      <c r="T206" s="90"/>
      <c r="U206" s="160" t="str">
        <f aca="false">IFERROR(INDEX(Schedule!$D$2:$D$147,MATCH($G206,Schedule!$A$2:$A$147,0)),"")</f>
        <v>Electrical, Instrumentation &amp; Controls — Influent pump station and flow splitter</v>
      </c>
      <c r="V206" s="162" t="n">
        <f aca="false">IFERROR(INDEX(Schedule!$F$2:$F$147,MATCH("26-P01",Schedule!$A$2:$A$147,0)),"")</f>
        <v>44999</v>
      </c>
      <c r="W206" s="160" t="s">
        <v>91</v>
      </c>
      <c r="X206" s="160" t="s">
        <v>91</v>
      </c>
      <c r="Y206" s="160" t="n">
        <v>0</v>
      </c>
      <c r="Z206" s="160" t="n">
        <v>0</v>
      </c>
      <c r="AA206" s="160" t="s">
        <v>977</v>
      </c>
      <c r="AB206" s="160" t="s">
        <v>978</v>
      </c>
      <c r="AC206" s="160" t="s">
        <v>92</v>
      </c>
      <c r="AD206" s="160" t="s">
        <v>93</v>
      </c>
      <c r="AE206" s="160" t="s">
        <v>979</v>
      </c>
      <c r="AF206" s="160"/>
      <c r="AG206" s="160" t="s">
        <v>980</v>
      </c>
      <c r="AH206" s="160" t="s">
        <v>95</v>
      </c>
    </row>
    <row r="207" customFormat="false" ht="15" hidden="false" customHeight="false" outlineLevel="0" collapsed="false">
      <c r="A207" s="160" t="s">
        <v>60</v>
      </c>
      <c r="B207" s="161" t="s">
        <v>37</v>
      </c>
      <c r="C207" s="160" t="s">
        <v>981</v>
      </c>
      <c r="D207" s="160" t="s">
        <v>982</v>
      </c>
      <c r="E207" s="160" t="s">
        <v>209</v>
      </c>
      <c r="F207" s="90" t="s">
        <v>234</v>
      </c>
      <c r="G207" s="160" t="s">
        <v>976</v>
      </c>
      <c r="H207" s="162" t="n">
        <f aca="false">IFERROR(INDEX(Schedule!$E$2:$E$147,MATCH($G207,Schedule!$A$2:$A$147,0)),"")</f>
        <v>45078</v>
      </c>
      <c r="I207" s="162" t="n">
        <f aca="false">IFERROR(INDEX(Schedule!$F$2:$F$147,MATCH($G207,Schedule!$A$2:$A$147,0)),"")</f>
        <v>45224</v>
      </c>
      <c r="J207" s="92"/>
      <c r="K207" s="92"/>
      <c r="L207" s="92"/>
      <c r="M207" s="92"/>
      <c r="N207" s="92"/>
      <c r="O207" s="90" t="n">
        <v>1</v>
      </c>
      <c r="P207" s="163" t="n">
        <f aca="false">IFERROR((IF(OR(ISNUMBER(J207),UPPER(TRIM(J207))="N/A"),1,0)*IF($W207="N",0,INDEX('Rules of Credit'!$B$5:$F$8,MATCH($F207,'Rules of Credit'!$A$5:$A$8,0),1))+IF(OR(ISNUMBER(K207),UPPER(TRIM(K207))="N/A"),1,0)*INDEX('Rules of Credit'!$B$5:$F$8,MATCH($F207,'Rules of Credit'!$A$5:$A$8,0),2)+IF(OR(ISNUMBER(L207),UPPER(TRIM(L207))="N/A"),1,0)*INDEX('Rules of Credit'!$B$5:$F$8,MATCH($F207,'Rules of Credit'!$A$5:$A$8,0),3)+IF(OR(ISNUMBER(M207),UPPER(TRIM(M207))="N/A"),1,0)*IF($X207="N",0,INDEX('Rules of Credit'!$B$5:$F$8,MATCH($F207,'Rules of Credit'!$A$5:$A$8,0),4))+IF(OR(ISNUMBER(N207),UPPER(TRIM(N207))="N/A"),1,0)*INDEX('Rules of Credit'!$B$5:$F$8,MATCH($F207,'Rules of Credit'!$A$5:$A$8,0),5))/(IF($W207="N",0,INDEX('Rules of Credit'!$B$5:$F$8,MATCH($F207,'Rules of Credit'!$A$5:$A$8,0),1))+INDEX('Rules of Credit'!$B$5:$F$8,MATCH($F207,'Rules of Credit'!$A$5:$A$8,0),2)+INDEX('Rules of Credit'!$B$5:$F$8,MATCH($F207,'Rules of Credit'!$A$5:$A$8,0),3)+IF($X207="N",0,INDEX('Rules of Credit'!$B$5:$F$8,MATCH($F207,'Rules of Credit'!$A$5:$A$8,0),4))+INDEX('Rules of Credit'!$B$5:$F$8,MATCH($F207,'Rules of Credit'!$A$5:$A$8,0),5)),0)</f>
        <v>0</v>
      </c>
      <c r="Q207" s="163" t="n">
        <f aca="false">IF(OR($H207="",$I207=""),0,IF('Tracker Summary'!$C$3&lt;$H207,0,IF('Tracker Summary'!$C$3&gt;=$I207,1,('Tracker Summary'!$C$3-$H207)/($I207-$H207+1))))</f>
        <v>0</v>
      </c>
      <c r="R207" s="163" t="n">
        <f aca="false">P207-Q207</f>
        <v>0</v>
      </c>
      <c r="S207" s="160" t="str">
        <f aca="false">IF($I207="","Not scheduled",IF(P207&gt;=1,"Complete",IF('Tracker Summary'!$C$3&gt;$I207,"Overdue",IF(P207-Q207&lt;-0.1,"Behind",IF(AND(P207=0,'Tracker Summary'!$C$3&lt;$H207),"Not started","On track")))))</f>
        <v>Not started</v>
      </c>
      <c r="T207" s="90"/>
      <c r="U207" s="160" t="str">
        <f aca="false">IFERROR(INDEX(Schedule!$D$2:$D$147,MATCH($G207,Schedule!$A$2:$A$147,0)),"")</f>
        <v>Electrical, Instrumentation &amp; Controls — Influent pump station and flow splitter</v>
      </c>
      <c r="V207" s="162" t="n">
        <f aca="false">IFERROR(INDEX(Schedule!$F$2:$F$147,MATCH("26-P01",Schedule!$A$2:$A$147,0)),"")</f>
        <v>44999</v>
      </c>
      <c r="W207" s="160" t="s">
        <v>91</v>
      </c>
      <c r="X207" s="160" t="s">
        <v>91</v>
      </c>
      <c r="Y207" s="160" t="n">
        <v>0</v>
      </c>
      <c r="Z207" s="160" t="n">
        <v>0</v>
      </c>
      <c r="AA207" s="160" t="s">
        <v>983</v>
      </c>
      <c r="AB207" s="160" t="s">
        <v>984</v>
      </c>
      <c r="AC207" s="160" t="s">
        <v>92</v>
      </c>
      <c r="AD207" s="160" t="s">
        <v>499</v>
      </c>
      <c r="AE207" s="160" t="s">
        <v>985</v>
      </c>
      <c r="AF207" s="160"/>
      <c r="AG207" s="160" t="s">
        <v>985</v>
      </c>
      <c r="AH207" s="160" t="s">
        <v>213</v>
      </c>
    </row>
    <row r="208" customFormat="false" ht="15" hidden="false" customHeight="false" outlineLevel="0" collapsed="false">
      <c r="A208" s="160" t="s">
        <v>60</v>
      </c>
      <c r="B208" s="161" t="s">
        <v>37</v>
      </c>
      <c r="C208" s="160" t="s">
        <v>986</v>
      </c>
      <c r="D208" s="160" t="s">
        <v>987</v>
      </c>
      <c r="E208" s="160" t="s">
        <v>209</v>
      </c>
      <c r="F208" s="90" t="s">
        <v>234</v>
      </c>
      <c r="G208" s="160" t="s">
        <v>976</v>
      </c>
      <c r="H208" s="162" t="n">
        <f aca="false">IFERROR(INDEX(Schedule!$E$2:$E$147,MATCH($G208,Schedule!$A$2:$A$147,0)),"")</f>
        <v>45078</v>
      </c>
      <c r="I208" s="162" t="n">
        <f aca="false">IFERROR(INDEX(Schedule!$F$2:$F$147,MATCH($G208,Schedule!$A$2:$A$147,0)),"")</f>
        <v>45224</v>
      </c>
      <c r="J208" s="92"/>
      <c r="K208" s="92"/>
      <c r="L208" s="92"/>
      <c r="M208" s="92"/>
      <c r="N208" s="92"/>
      <c r="O208" s="90" t="n">
        <v>1</v>
      </c>
      <c r="P208" s="163" t="n">
        <f aca="false">IFERROR((IF(OR(ISNUMBER(J208),UPPER(TRIM(J208))="N/A"),1,0)*IF($W208="N",0,INDEX('Rules of Credit'!$B$5:$F$8,MATCH($F208,'Rules of Credit'!$A$5:$A$8,0),1))+IF(OR(ISNUMBER(K208),UPPER(TRIM(K208))="N/A"),1,0)*INDEX('Rules of Credit'!$B$5:$F$8,MATCH($F208,'Rules of Credit'!$A$5:$A$8,0),2)+IF(OR(ISNUMBER(L208),UPPER(TRIM(L208))="N/A"),1,0)*INDEX('Rules of Credit'!$B$5:$F$8,MATCH($F208,'Rules of Credit'!$A$5:$A$8,0),3)+IF(OR(ISNUMBER(M208),UPPER(TRIM(M208))="N/A"),1,0)*IF($X208="N",0,INDEX('Rules of Credit'!$B$5:$F$8,MATCH($F208,'Rules of Credit'!$A$5:$A$8,0),4))+IF(OR(ISNUMBER(N208),UPPER(TRIM(N208))="N/A"),1,0)*INDEX('Rules of Credit'!$B$5:$F$8,MATCH($F208,'Rules of Credit'!$A$5:$A$8,0),5))/(IF($W208="N",0,INDEX('Rules of Credit'!$B$5:$F$8,MATCH($F208,'Rules of Credit'!$A$5:$A$8,0),1))+INDEX('Rules of Credit'!$B$5:$F$8,MATCH($F208,'Rules of Credit'!$A$5:$A$8,0),2)+INDEX('Rules of Credit'!$B$5:$F$8,MATCH($F208,'Rules of Credit'!$A$5:$A$8,0),3)+IF($X208="N",0,INDEX('Rules of Credit'!$B$5:$F$8,MATCH($F208,'Rules of Credit'!$A$5:$A$8,0),4))+INDEX('Rules of Credit'!$B$5:$F$8,MATCH($F208,'Rules of Credit'!$A$5:$A$8,0),5)),0)</f>
        <v>0</v>
      </c>
      <c r="Q208" s="163" t="n">
        <f aca="false">IF(OR($H208="",$I208=""),0,IF('Tracker Summary'!$C$3&lt;$H208,0,IF('Tracker Summary'!$C$3&gt;=$I208,1,('Tracker Summary'!$C$3-$H208)/($I208-$H208+1))))</f>
        <v>0</v>
      </c>
      <c r="R208" s="163" t="n">
        <f aca="false">P208-Q208</f>
        <v>0</v>
      </c>
      <c r="S208" s="160" t="str">
        <f aca="false">IF($I208="","Not scheduled",IF(P208&gt;=1,"Complete",IF('Tracker Summary'!$C$3&gt;$I208,"Overdue",IF(P208-Q208&lt;-0.1,"Behind",IF(AND(P208=0,'Tracker Summary'!$C$3&lt;$H208),"Not started","On track")))))</f>
        <v>Not started</v>
      </c>
      <c r="T208" s="90"/>
      <c r="U208" s="160" t="str">
        <f aca="false">IFERROR(INDEX(Schedule!$D$2:$D$147,MATCH($G208,Schedule!$A$2:$A$147,0)),"")</f>
        <v>Electrical, Instrumentation &amp; Controls — Influent pump station and flow splitter</v>
      </c>
      <c r="V208" s="162" t="n">
        <f aca="false">IFERROR(INDEX(Schedule!$F$2:$F$147,MATCH("26-P01",Schedule!$A$2:$A$147,0)),"")</f>
        <v>44999</v>
      </c>
      <c r="W208" s="160" t="s">
        <v>91</v>
      </c>
      <c r="X208" s="160" t="s">
        <v>91</v>
      </c>
      <c r="Y208" s="160" t="n">
        <v>0</v>
      </c>
      <c r="Z208" s="160" t="n">
        <v>0</v>
      </c>
      <c r="AA208" s="160" t="s">
        <v>988</v>
      </c>
      <c r="AB208" s="160" t="s">
        <v>978</v>
      </c>
      <c r="AC208" s="160" t="s">
        <v>92</v>
      </c>
      <c r="AD208" s="160" t="s">
        <v>499</v>
      </c>
      <c r="AE208" s="160" t="s">
        <v>985</v>
      </c>
      <c r="AF208" s="160"/>
      <c r="AG208" s="160" t="s">
        <v>985</v>
      </c>
      <c r="AH208" s="160" t="s">
        <v>213</v>
      </c>
    </row>
    <row r="209" customFormat="false" ht="15" hidden="false" customHeight="false" outlineLevel="0" collapsed="false">
      <c r="A209" s="160" t="s">
        <v>60</v>
      </c>
      <c r="B209" s="161" t="s">
        <v>37</v>
      </c>
      <c r="C209" s="160" t="s">
        <v>989</v>
      </c>
      <c r="D209" s="160" t="s">
        <v>990</v>
      </c>
      <c r="E209" s="160" t="s">
        <v>209</v>
      </c>
      <c r="F209" s="90" t="s">
        <v>234</v>
      </c>
      <c r="G209" s="160" t="s">
        <v>976</v>
      </c>
      <c r="H209" s="162" t="n">
        <f aca="false">IFERROR(INDEX(Schedule!$E$2:$E$147,MATCH($G209,Schedule!$A$2:$A$147,0)),"")</f>
        <v>45078</v>
      </c>
      <c r="I209" s="162" t="n">
        <f aca="false">IFERROR(INDEX(Schedule!$F$2:$F$147,MATCH($G209,Schedule!$A$2:$A$147,0)),"")</f>
        <v>45224</v>
      </c>
      <c r="J209" s="92"/>
      <c r="K209" s="92"/>
      <c r="L209" s="92"/>
      <c r="M209" s="92"/>
      <c r="N209" s="92"/>
      <c r="O209" s="90" t="n">
        <v>1</v>
      </c>
      <c r="P209" s="163" t="n">
        <f aca="false">IFERROR((IF(OR(ISNUMBER(J209),UPPER(TRIM(J209))="N/A"),1,0)*IF($W209="N",0,INDEX('Rules of Credit'!$B$5:$F$8,MATCH($F209,'Rules of Credit'!$A$5:$A$8,0),1))+IF(OR(ISNUMBER(K209),UPPER(TRIM(K209))="N/A"),1,0)*INDEX('Rules of Credit'!$B$5:$F$8,MATCH($F209,'Rules of Credit'!$A$5:$A$8,0),2)+IF(OR(ISNUMBER(L209),UPPER(TRIM(L209))="N/A"),1,0)*INDEX('Rules of Credit'!$B$5:$F$8,MATCH($F209,'Rules of Credit'!$A$5:$A$8,0),3)+IF(OR(ISNUMBER(M209),UPPER(TRIM(M209))="N/A"),1,0)*IF($X209="N",0,INDEX('Rules of Credit'!$B$5:$F$8,MATCH($F209,'Rules of Credit'!$A$5:$A$8,0),4))+IF(OR(ISNUMBER(N209),UPPER(TRIM(N209))="N/A"),1,0)*INDEX('Rules of Credit'!$B$5:$F$8,MATCH($F209,'Rules of Credit'!$A$5:$A$8,0),5))/(IF($W209="N",0,INDEX('Rules of Credit'!$B$5:$F$8,MATCH($F209,'Rules of Credit'!$A$5:$A$8,0),1))+INDEX('Rules of Credit'!$B$5:$F$8,MATCH($F209,'Rules of Credit'!$A$5:$A$8,0),2)+INDEX('Rules of Credit'!$B$5:$F$8,MATCH($F209,'Rules of Credit'!$A$5:$A$8,0),3)+IF($X209="N",0,INDEX('Rules of Credit'!$B$5:$F$8,MATCH($F209,'Rules of Credit'!$A$5:$A$8,0),4))+INDEX('Rules of Credit'!$B$5:$F$8,MATCH($F209,'Rules of Credit'!$A$5:$A$8,0),5)),0)</f>
        <v>0</v>
      </c>
      <c r="Q209" s="163" t="n">
        <f aca="false">IF(OR($H209="",$I209=""),0,IF('Tracker Summary'!$C$3&lt;$H209,0,IF('Tracker Summary'!$C$3&gt;=$I209,1,('Tracker Summary'!$C$3-$H209)/($I209-$H209+1))))</f>
        <v>0</v>
      </c>
      <c r="R209" s="163" t="n">
        <f aca="false">P209-Q209</f>
        <v>0</v>
      </c>
      <c r="S209" s="160" t="str">
        <f aca="false">IF($I209="","Not scheduled",IF(P209&gt;=1,"Complete",IF('Tracker Summary'!$C$3&gt;$I209,"Overdue",IF(P209-Q209&lt;-0.1,"Behind",IF(AND(P209=0,'Tracker Summary'!$C$3&lt;$H209),"Not started","On track")))))</f>
        <v>Not started</v>
      </c>
      <c r="T209" s="90"/>
      <c r="U209" s="160" t="str">
        <f aca="false">IFERROR(INDEX(Schedule!$D$2:$D$147,MATCH($G209,Schedule!$A$2:$A$147,0)),"")</f>
        <v>Electrical, Instrumentation &amp; Controls — Influent pump station and flow splitter</v>
      </c>
      <c r="V209" s="162" t="n">
        <f aca="false">IFERROR(INDEX(Schedule!$F$2:$F$147,MATCH("26-P01",Schedule!$A$2:$A$147,0)),"")</f>
        <v>44999</v>
      </c>
      <c r="W209" s="160" t="s">
        <v>91</v>
      </c>
      <c r="X209" s="160" t="s">
        <v>91</v>
      </c>
      <c r="Y209" s="160" t="n">
        <v>0</v>
      </c>
      <c r="Z209" s="160" t="n">
        <v>0</v>
      </c>
      <c r="AA209" s="160" t="s">
        <v>991</v>
      </c>
      <c r="AB209" s="160" t="s">
        <v>992</v>
      </c>
      <c r="AC209" s="160" t="s">
        <v>92</v>
      </c>
      <c r="AD209" s="160" t="s">
        <v>499</v>
      </c>
      <c r="AE209" s="160" t="s">
        <v>985</v>
      </c>
      <c r="AF209" s="160"/>
      <c r="AG209" s="160" t="s">
        <v>985</v>
      </c>
      <c r="AH209" s="160" t="s">
        <v>213</v>
      </c>
    </row>
    <row r="210" customFormat="false" ht="15" hidden="false" customHeight="false" outlineLevel="0" collapsed="false">
      <c r="A210" s="160" t="s">
        <v>60</v>
      </c>
      <c r="B210" s="161" t="s">
        <v>37</v>
      </c>
      <c r="C210" s="160" t="s">
        <v>993</v>
      </c>
      <c r="D210" s="160" t="s">
        <v>994</v>
      </c>
      <c r="E210" s="160" t="s">
        <v>334</v>
      </c>
      <c r="F210" s="90" t="s">
        <v>234</v>
      </c>
      <c r="G210" s="160" t="s">
        <v>976</v>
      </c>
      <c r="H210" s="162" t="n">
        <f aca="false">IFERROR(INDEX(Schedule!$E$2:$E$147,MATCH($G210,Schedule!$A$2:$A$147,0)),"")</f>
        <v>45078</v>
      </c>
      <c r="I210" s="162" t="n">
        <f aca="false">IFERROR(INDEX(Schedule!$F$2:$F$147,MATCH($G210,Schedule!$A$2:$A$147,0)),"")</f>
        <v>45224</v>
      </c>
      <c r="J210" s="92"/>
      <c r="K210" s="92"/>
      <c r="L210" s="92"/>
      <c r="M210" s="92"/>
      <c r="N210" s="92"/>
      <c r="O210" s="90" t="n">
        <v>1</v>
      </c>
      <c r="P210" s="163" t="n">
        <f aca="false">IFERROR((IF(OR(ISNUMBER(J210),UPPER(TRIM(J210))="N/A"),1,0)*IF($W210="N",0,INDEX('Rules of Credit'!$B$5:$F$8,MATCH($F210,'Rules of Credit'!$A$5:$A$8,0),1))+IF(OR(ISNUMBER(K210),UPPER(TRIM(K210))="N/A"),1,0)*INDEX('Rules of Credit'!$B$5:$F$8,MATCH($F210,'Rules of Credit'!$A$5:$A$8,0),2)+IF(OR(ISNUMBER(L210),UPPER(TRIM(L210))="N/A"),1,0)*INDEX('Rules of Credit'!$B$5:$F$8,MATCH($F210,'Rules of Credit'!$A$5:$A$8,0),3)+IF(OR(ISNUMBER(M210),UPPER(TRIM(M210))="N/A"),1,0)*IF($X210="N",0,INDEX('Rules of Credit'!$B$5:$F$8,MATCH($F210,'Rules of Credit'!$A$5:$A$8,0),4))+IF(OR(ISNUMBER(N210),UPPER(TRIM(N210))="N/A"),1,0)*INDEX('Rules of Credit'!$B$5:$F$8,MATCH($F210,'Rules of Credit'!$A$5:$A$8,0),5))/(IF($W210="N",0,INDEX('Rules of Credit'!$B$5:$F$8,MATCH($F210,'Rules of Credit'!$A$5:$A$8,0),1))+INDEX('Rules of Credit'!$B$5:$F$8,MATCH($F210,'Rules of Credit'!$A$5:$A$8,0),2)+INDEX('Rules of Credit'!$B$5:$F$8,MATCH($F210,'Rules of Credit'!$A$5:$A$8,0),3)+IF($X210="N",0,INDEX('Rules of Credit'!$B$5:$F$8,MATCH($F210,'Rules of Credit'!$A$5:$A$8,0),4))+INDEX('Rules of Credit'!$B$5:$F$8,MATCH($F210,'Rules of Credit'!$A$5:$A$8,0),5)),0)</f>
        <v>0</v>
      </c>
      <c r="Q210" s="163" t="n">
        <f aca="false">IF(OR($H210="",$I210=""),0,IF('Tracker Summary'!$C$3&lt;$H210,0,IF('Tracker Summary'!$C$3&gt;=$I210,1,('Tracker Summary'!$C$3-$H210)/($I210-$H210+1))))</f>
        <v>0</v>
      </c>
      <c r="R210" s="163" t="n">
        <f aca="false">P210-Q210</f>
        <v>0</v>
      </c>
      <c r="S210" s="160" t="str">
        <f aca="false">IF($I210="","Not scheduled",IF(P210&gt;=1,"Complete",IF('Tracker Summary'!$C$3&gt;$I210,"Overdue",IF(P210-Q210&lt;-0.1,"Behind",IF(AND(P210=0,'Tracker Summary'!$C$3&lt;$H210),"Not started","On track")))))</f>
        <v>Not started</v>
      </c>
      <c r="T210" s="90"/>
      <c r="U210" s="160" t="str">
        <f aca="false">IFERROR(INDEX(Schedule!$D$2:$D$147,MATCH($G210,Schedule!$A$2:$A$147,0)),"")</f>
        <v>Electrical, Instrumentation &amp; Controls — Influent pump station and flow splitter</v>
      </c>
      <c r="V210" s="162" t="n">
        <f aca="false">IFERROR(INDEX(Schedule!$F$2:$F$147,MATCH("26-P01",Schedule!$A$2:$A$147,0)),"")</f>
        <v>44999</v>
      </c>
      <c r="W210" s="160" t="s">
        <v>99</v>
      </c>
      <c r="X210" s="160" t="s">
        <v>99</v>
      </c>
      <c r="Y210" s="160" t="n">
        <v>3</v>
      </c>
      <c r="Z210" s="160" t="n">
        <v>5</v>
      </c>
      <c r="AA210" s="160"/>
      <c r="AB210" s="160"/>
      <c r="AC210" s="160" t="s">
        <v>92</v>
      </c>
      <c r="AD210" s="160" t="s">
        <v>499</v>
      </c>
      <c r="AE210" s="160" t="s">
        <v>995</v>
      </c>
      <c r="AF210" s="160" t="s">
        <v>715</v>
      </c>
      <c r="AG210" s="160" t="s">
        <v>995</v>
      </c>
      <c r="AH210" s="160" t="s">
        <v>996</v>
      </c>
    </row>
    <row r="211" customFormat="false" ht="15" hidden="false" customHeight="false" outlineLevel="0" collapsed="false">
      <c r="A211" s="160" t="s">
        <v>60</v>
      </c>
      <c r="B211" s="161" t="s">
        <v>37</v>
      </c>
      <c r="C211" s="160" t="s">
        <v>997</v>
      </c>
      <c r="D211" s="160" t="s">
        <v>998</v>
      </c>
      <c r="E211" s="160" t="s">
        <v>334</v>
      </c>
      <c r="F211" s="90" t="s">
        <v>234</v>
      </c>
      <c r="G211" s="160" t="s">
        <v>976</v>
      </c>
      <c r="H211" s="162" t="n">
        <f aca="false">IFERROR(INDEX(Schedule!$E$2:$E$147,MATCH($G211,Schedule!$A$2:$A$147,0)),"")</f>
        <v>45078</v>
      </c>
      <c r="I211" s="162" t="n">
        <f aca="false">IFERROR(INDEX(Schedule!$F$2:$F$147,MATCH($G211,Schedule!$A$2:$A$147,0)),"")</f>
        <v>45224</v>
      </c>
      <c r="J211" s="92"/>
      <c r="K211" s="92"/>
      <c r="L211" s="92"/>
      <c r="M211" s="92"/>
      <c r="N211" s="92"/>
      <c r="O211" s="90" t="n">
        <v>1</v>
      </c>
      <c r="P211" s="163" t="n">
        <f aca="false">IFERROR((IF(OR(ISNUMBER(J211),UPPER(TRIM(J211))="N/A"),1,0)*IF($W211="N",0,INDEX('Rules of Credit'!$B$5:$F$8,MATCH($F211,'Rules of Credit'!$A$5:$A$8,0),1))+IF(OR(ISNUMBER(K211),UPPER(TRIM(K211))="N/A"),1,0)*INDEX('Rules of Credit'!$B$5:$F$8,MATCH($F211,'Rules of Credit'!$A$5:$A$8,0),2)+IF(OR(ISNUMBER(L211),UPPER(TRIM(L211))="N/A"),1,0)*INDEX('Rules of Credit'!$B$5:$F$8,MATCH($F211,'Rules of Credit'!$A$5:$A$8,0),3)+IF(OR(ISNUMBER(M211),UPPER(TRIM(M211))="N/A"),1,0)*IF($X211="N",0,INDEX('Rules of Credit'!$B$5:$F$8,MATCH($F211,'Rules of Credit'!$A$5:$A$8,0),4))+IF(OR(ISNUMBER(N211),UPPER(TRIM(N211))="N/A"),1,0)*INDEX('Rules of Credit'!$B$5:$F$8,MATCH($F211,'Rules of Credit'!$A$5:$A$8,0),5))/(IF($W211="N",0,INDEX('Rules of Credit'!$B$5:$F$8,MATCH($F211,'Rules of Credit'!$A$5:$A$8,0),1))+INDEX('Rules of Credit'!$B$5:$F$8,MATCH($F211,'Rules of Credit'!$A$5:$A$8,0),2)+INDEX('Rules of Credit'!$B$5:$F$8,MATCH($F211,'Rules of Credit'!$A$5:$A$8,0),3)+IF($X211="N",0,INDEX('Rules of Credit'!$B$5:$F$8,MATCH($F211,'Rules of Credit'!$A$5:$A$8,0),4))+INDEX('Rules of Credit'!$B$5:$F$8,MATCH($F211,'Rules of Credit'!$A$5:$A$8,0),5)),0)</f>
        <v>0</v>
      </c>
      <c r="Q211" s="163" t="n">
        <f aca="false">IF(OR($H211="",$I211=""),0,IF('Tracker Summary'!$C$3&lt;$H211,0,IF('Tracker Summary'!$C$3&gt;=$I211,1,('Tracker Summary'!$C$3-$H211)/($I211-$H211+1))))</f>
        <v>0</v>
      </c>
      <c r="R211" s="163" t="n">
        <f aca="false">P211-Q211</f>
        <v>0</v>
      </c>
      <c r="S211" s="160" t="str">
        <f aca="false">IF($I211="","Not scheduled",IF(P211&gt;=1,"Complete",IF('Tracker Summary'!$C$3&gt;$I211,"Overdue",IF(P211-Q211&lt;-0.1,"Behind",IF(AND(P211=0,'Tracker Summary'!$C$3&lt;$H211),"Not started","On track")))))</f>
        <v>Not started</v>
      </c>
      <c r="T211" s="90"/>
      <c r="U211" s="160" t="str">
        <f aca="false">IFERROR(INDEX(Schedule!$D$2:$D$147,MATCH($G211,Schedule!$A$2:$A$147,0)),"")</f>
        <v>Electrical, Instrumentation &amp; Controls — Influent pump station and flow splitter</v>
      </c>
      <c r="V211" s="162" t="n">
        <f aca="false">IFERROR(INDEX(Schedule!$F$2:$F$147,MATCH("26-P01",Schedule!$A$2:$A$147,0)),"")</f>
        <v>44999</v>
      </c>
      <c r="W211" s="160" t="s">
        <v>99</v>
      </c>
      <c r="X211" s="160" t="s">
        <v>99</v>
      </c>
      <c r="Y211" s="160" t="n">
        <v>3</v>
      </c>
      <c r="Z211" s="160" t="n">
        <v>5</v>
      </c>
      <c r="AA211" s="160" t="s">
        <v>999</v>
      </c>
      <c r="AB211" s="160" t="s">
        <v>597</v>
      </c>
      <c r="AC211" s="160" t="s">
        <v>92</v>
      </c>
      <c r="AD211" s="160" t="s">
        <v>499</v>
      </c>
      <c r="AE211" s="160" t="s">
        <v>1000</v>
      </c>
      <c r="AF211" s="160" t="s">
        <v>715</v>
      </c>
      <c r="AG211" s="160" t="s">
        <v>1000</v>
      </c>
      <c r="AH211" s="160" t="s">
        <v>501</v>
      </c>
    </row>
    <row r="212" customFormat="false" ht="15" hidden="false" customHeight="false" outlineLevel="0" collapsed="false">
      <c r="A212" s="160" t="s">
        <v>60</v>
      </c>
      <c r="B212" s="161" t="s">
        <v>37</v>
      </c>
      <c r="C212" s="160" t="s">
        <v>1001</v>
      </c>
      <c r="D212" s="160" t="s">
        <v>1002</v>
      </c>
      <c r="E212" s="160" t="s">
        <v>334</v>
      </c>
      <c r="F212" s="90" t="s">
        <v>234</v>
      </c>
      <c r="G212" s="160" t="s">
        <v>976</v>
      </c>
      <c r="H212" s="162" t="n">
        <f aca="false">IFERROR(INDEX(Schedule!$E$2:$E$147,MATCH($G212,Schedule!$A$2:$A$147,0)),"")</f>
        <v>45078</v>
      </c>
      <c r="I212" s="162" t="n">
        <f aca="false">IFERROR(INDEX(Schedule!$F$2:$F$147,MATCH($G212,Schedule!$A$2:$A$147,0)),"")</f>
        <v>45224</v>
      </c>
      <c r="J212" s="92"/>
      <c r="K212" s="92"/>
      <c r="L212" s="92"/>
      <c r="M212" s="92"/>
      <c r="N212" s="92"/>
      <c r="O212" s="90" t="n">
        <v>1</v>
      </c>
      <c r="P212" s="163" t="n">
        <f aca="false">IFERROR((IF(OR(ISNUMBER(J212),UPPER(TRIM(J212))="N/A"),1,0)*IF($W212="N",0,INDEX('Rules of Credit'!$B$5:$F$8,MATCH($F212,'Rules of Credit'!$A$5:$A$8,0),1))+IF(OR(ISNUMBER(K212),UPPER(TRIM(K212))="N/A"),1,0)*INDEX('Rules of Credit'!$B$5:$F$8,MATCH($F212,'Rules of Credit'!$A$5:$A$8,0),2)+IF(OR(ISNUMBER(L212),UPPER(TRIM(L212))="N/A"),1,0)*INDEX('Rules of Credit'!$B$5:$F$8,MATCH($F212,'Rules of Credit'!$A$5:$A$8,0),3)+IF(OR(ISNUMBER(M212),UPPER(TRIM(M212))="N/A"),1,0)*IF($X212="N",0,INDEX('Rules of Credit'!$B$5:$F$8,MATCH($F212,'Rules of Credit'!$A$5:$A$8,0),4))+IF(OR(ISNUMBER(N212),UPPER(TRIM(N212))="N/A"),1,0)*INDEX('Rules of Credit'!$B$5:$F$8,MATCH($F212,'Rules of Credit'!$A$5:$A$8,0),5))/(IF($W212="N",0,INDEX('Rules of Credit'!$B$5:$F$8,MATCH($F212,'Rules of Credit'!$A$5:$A$8,0),1))+INDEX('Rules of Credit'!$B$5:$F$8,MATCH($F212,'Rules of Credit'!$A$5:$A$8,0),2)+INDEX('Rules of Credit'!$B$5:$F$8,MATCH($F212,'Rules of Credit'!$A$5:$A$8,0),3)+IF($X212="N",0,INDEX('Rules of Credit'!$B$5:$F$8,MATCH($F212,'Rules of Credit'!$A$5:$A$8,0),4))+INDEX('Rules of Credit'!$B$5:$F$8,MATCH($F212,'Rules of Credit'!$A$5:$A$8,0),5)),0)</f>
        <v>0</v>
      </c>
      <c r="Q212" s="163" t="n">
        <f aca="false">IF(OR($H212="",$I212=""),0,IF('Tracker Summary'!$C$3&lt;$H212,0,IF('Tracker Summary'!$C$3&gt;=$I212,1,('Tracker Summary'!$C$3-$H212)/($I212-$H212+1))))</f>
        <v>0</v>
      </c>
      <c r="R212" s="163" t="n">
        <f aca="false">P212-Q212</f>
        <v>0</v>
      </c>
      <c r="S212" s="160" t="str">
        <f aca="false">IF($I212="","Not scheduled",IF(P212&gt;=1,"Complete",IF('Tracker Summary'!$C$3&gt;$I212,"Overdue",IF(P212-Q212&lt;-0.1,"Behind",IF(AND(P212=0,'Tracker Summary'!$C$3&lt;$H212),"Not started","On track")))))</f>
        <v>Not started</v>
      </c>
      <c r="T212" s="90"/>
      <c r="U212" s="160" t="str">
        <f aca="false">IFERROR(INDEX(Schedule!$D$2:$D$147,MATCH($G212,Schedule!$A$2:$A$147,0)),"")</f>
        <v>Electrical, Instrumentation &amp; Controls — Influent pump station and flow splitter</v>
      </c>
      <c r="V212" s="162" t="n">
        <f aca="false">IFERROR(INDEX(Schedule!$F$2:$F$147,MATCH("26-P01",Schedule!$A$2:$A$147,0)),"")</f>
        <v>44999</v>
      </c>
      <c r="W212" s="160" t="s">
        <v>99</v>
      </c>
      <c r="X212" s="160" t="s">
        <v>99</v>
      </c>
      <c r="Y212" s="160" t="n">
        <v>3</v>
      </c>
      <c r="Z212" s="160" t="n">
        <v>5</v>
      </c>
      <c r="AA212" s="160" t="s">
        <v>999</v>
      </c>
      <c r="AB212" s="160" t="s">
        <v>597</v>
      </c>
      <c r="AC212" s="160" t="s">
        <v>92</v>
      </c>
      <c r="AD212" s="160" t="s">
        <v>499</v>
      </c>
      <c r="AE212" s="160" t="s">
        <v>1000</v>
      </c>
      <c r="AF212" s="160" t="s">
        <v>715</v>
      </c>
      <c r="AG212" s="160" t="s">
        <v>1000</v>
      </c>
      <c r="AH212" s="160" t="s">
        <v>501</v>
      </c>
    </row>
    <row r="213" customFormat="false" ht="15" hidden="false" customHeight="false" outlineLevel="0" collapsed="false">
      <c r="A213" s="160" t="s">
        <v>60</v>
      </c>
      <c r="B213" s="161" t="s">
        <v>37</v>
      </c>
      <c r="C213" s="160" t="s">
        <v>1003</v>
      </c>
      <c r="D213" s="160" t="s">
        <v>1004</v>
      </c>
      <c r="E213" s="160" t="s">
        <v>334</v>
      </c>
      <c r="F213" s="90" t="s">
        <v>234</v>
      </c>
      <c r="G213" s="160" t="s">
        <v>976</v>
      </c>
      <c r="H213" s="162" t="n">
        <f aca="false">IFERROR(INDEX(Schedule!$E$2:$E$147,MATCH($G213,Schedule!$A$2:$A$147,0)),"")</f>
        <v>45078</v>
      </c>
      <c r="I213" s="162" t="n">
        <f aca="false">IFERROR(INDEX(Schedule!$F$2:$F$147,MATCH($G213,Schedule!$A$2:$A$147,0)),"")</f>
        <v>45224</v>
      </c>
      <c r="J213" s="92"/>
      <c r="K213" s="92"/>
      <c r="L213" s="92"/>
      <c r="M213" s="92"/>
      <c r="N213" s="92"/>
      <c r="O213" s="90" t="n">
        <v>1</v>
      </c>
      <c r="P213" s="163" t="n">
        <f aca="false">IFERROR((IF(OR(ISNUMBER(J213),UPPER(TRIM(J213))="N/A"),1,0)*IF($W213="N",0,INDEX('Rules of Credit'!$B$5:$F$8,MATCH($F213,'Rules of Credit'!$A$5:$A$8,0),1))+IF(OR(ISNUMBER(K213),UPPER(TRIM(K213))="N/A"),1,0)*INDEX('Rules of Credit'!$B$5:$F$8,MATCH($F213,'Rules of Credit'!$A$5:$A$8,0),2)+IF(OR(ISNUMBER(L213),UPPER(TRIM(L213))="N/A"),1,0)*INDEX('Rules of Credit'!$B$5:$F$8,MATCH($F213,'Rules of Credit'!$A$5:$A$8,0),3)+IF(OR(ISNUMBER(M213),UPPER(TRIM(M213))="N/A"),1,0)*IF($X213="N",0,INDEX('Rules of Credit'!$B$5:$F$8,MATCH($F213,'Rules of Credit'!$A$5:$A$8,0),4))+IF(OR(ISNUMBER(N213),UPPER(TRIM(N213))="N/A"),1,0)*INDEX('Rules of Credit'!$B$5:$F$8,MATCH($F213,'Rules of Credit'!$A$5:$A$8,0),5))/(IF($W213="N",0,INDEX('Rules of Credit'!$B$5:$F$8,MATCH($F213,'Rules of Credit'!$A$5:$A$8,0),1))+INDEX('Rules of Credit'!$B$5:$F$8,MATCH($F213,'Rules of Credit'!$A$5:$A$8,0),2)+INDEX('Rules of Credit'!$B$5:$F$8,MATCH($F213,'Rules of Credit'!$A$5:$A$8,0),3)+IF($X213="N",0,INDEX('Rules of Credit'!$B$5:$F$8,MATCH($F213,'Rules of Credit'!$A$5:$A$8,0),4))+INDEX('Rules of Credit'!$B$5:$F$8,MATCH($F213,'Rules of Credit'!$A$5:$A$8,0),5)),0)</f>
        <v>0</v>
      </c>
      <c r="Q213" s="163" t="n">
        <f aca="false">IF(OR($H213="",$I213=""),0,IF('Tracker Summary'!$C$3&lt;$H213,0,IF('Tracker Summary'!$C$3&gt;=$I213,1,('Tracker Summary'!$C$3-$H213)/($I213-$H213+1))))</f>
        <v>0</v>
      </c>
      <c r="R213" s="163" t="n">
        <f aca="false">P213-Q213</f>
        <v>0</v>
      </c>
      <c r="S213" s="160" t="str">
        <f aca="false">IF($I213="","Not scheduled",IF(P213&gt;=1,"Complete",IF('Tracker Summary'!$C$3&gt;$I213,"Overdue",IF(P213-Q213&lt;-0.1,"Behind",IF(AND(P213=0,'Tracker Summary'!$C$3&lt;$H213),"Not started","On track")))))</f>
        <v>Not started</v>
      </c>
      <c r="T213" s="90"/>
      <c r="U213" s="160" t="str">
        <f aca="false">IFERROR(INDEX(Schedule!$D$2:$D$147,MATCH($G213,Schedule!$A$2:$A$147,0)),"")</f>
        <v>Electrical, Instrumentation &amp; Controls — Influent pump station and flow splitter</v>
      </c>
      <c r="V213" s="162" t="n">
        <f aca="false">IFERROR(INDEX(Schedule!$F$2:$F$147,MATCH("26-P01",Schedule!$A$2:$A$147,0)),"")</f>
        <v>44999</v>
      </c>
      <c r="W213" s="160" t="s">
        <v>99</v>
      </c>
      <c r="X213" s="160" t="s">
        <v>99</v>
      </c>
      <c r="Y213" s="160" t="n">
        <v>3</v>
      </c>
      <c r="Z213" s="160" t="n">
        <v>5</v>
      </c>
      <c r="AA213" s="160" t="s">
        <v>999</v>
      </c>
      <c r="AB213" s="160" t="s">
        <v>597</v>
      </c>
      <c r="AC213" s="160" t="s">
        <v>92</v>
      </c>
      <c r="AD213" s="160" t="s">
        <v>499</v>
      </c>
      <c r="AE213" s="160" t="s">
        <v>1000</v>
      </c>
      <c r="AF213" s="160" t="s">
        <v>715</v>
      </c>
      <c r="AG213" s="160" t="s">
        <v>1000</v>
      </c>
      <c r="AH213" s="160" t="s">
        <v>501</v>
      </c>
    </row>
    <row r="214" customFormat="false" ht="15" hidden="false" customHeight="false" outlineLevel="0" collapsed="false">
      <c r="A214" s="160" t="s">
        <v>60</v>
      </c>
      <c r="B214" s="161" t="s">
        <v>37</v>
      </c>
      <c r="C214" s="160" t="s">
        <v>1005</v>
      </c>
      <c r="D214" s="160" t="s">
        <v>1006</v>
      </c>
      <c r="E214" s="160" t="s">
        <v>334</v>
      </c>
      <c r="F214" s="90" t="s">
        <v>234</v>
      </c>
      <c r="G214" s="160" t="s">
        <v>976</v>
      </c>
      <c r="H214" s="162" t="n">
        <f aca="false">IFERROR(INDEX(Schedule!$E$2:$E$147,MATCH($G214,Schedule!$A$2:$A$147,0)),"")</f>
        <v>45078</v>
      </c>
      <c r="I214" s="162" t="n">
        <f aca="false">IFERROR(INDEX(Schedule!$F$2:$F$147,MATCH($G214,Schedule!$A$2:$A$147,0)),"")</f>
        <v>45224</v>
      </c>
      <c r="J214" s="92"/>
      <c r="K214" s="92"/>
      <c r="L214" s="92"/>
      <c r="M214" s="92"/>
      <c r="N214" s="92"/>
      <c r="O214" s="90" t="n">
        <v>1</v>
      </c>
      <c r="P214" s="163" t="n">
        <f aca="false">IFERROR((IF(OR(ISNUMBER(J214),UPPER(TRIM(J214))="N/A"),1,0)*IF($W214="N",0,INDEX('Rules of Credit'!$B$5:$F$8,MATCH($F214,'Rules of Credit'!$A$5:$A$8,0),1))+IF(OR(ISNUMBER(K214),UPPER(TRIM(K214))="N/A"),1,0)*INDEX('Rules of Credit'!$B$5:$F$8,MATCH($F214,'Rules of Credit'!$A$5:$A$8,0),2)+IF(OR(ISNUMBER(L214),UPPER(TRIM(L214))="N/A"),1,0)*INDEX('Rules of Credit'!$B$5:$F$8,MATCH($F214,'Rules of Credit'!$A$5:$A$8,0),3)+IF(OR(ISNUMBER(M214),UPPER(TRIM(M214))="N/A"),1,0)*IF($X214="N",0,INDEX('Rules of Credit'!$B$5:$F$8,MATCH($F214,'Rules of Credit'!$A$5:$A$8,0),4))+IF(OR(ISNUMBER(N214),UPPER(TRIM(N214))="N/A"),1,0)*INDEX('Rules of Credit'!$B$5:$F$8,MATCH($F214,'Rules of Credit'!$A$5:$A$8,0),5))/(IF($W214="N",0,INDEX('Rules of Credit'!$B$5:$F$8,MATCH($F214,'Rules of Credit'!$A$5:$A$8,0),1))+INDEX('Rules of Credit'!$B$5:$F$8,MATCH($F214,'Rules of Credit'!$A$5:$A$8,0),2)+INDEX('Rules of Credit'!$B$5:$F$8,MATCH($F214,'Rules of Credit'!$A$5:$A$8,0),3)+IF($X214="N",0,INDEX('Rules of Credit'!$B$5:$F$8,MATCH($F214,'Rules of Credit'!$A$5:$A$8,0),4))+INDEX('Rules of Credit'!$B$5:$F$8,MATCH($F214,'Rules of Credit'!$A$5:$A$8,0),5)),0)</f>
        <v>0</v>
      </c>
      <c r="Q214" s="163" t="n">
        <f aca="false">IF(OR($H214="",$I214=""),0,IF('Tracker Summary'!$C$3&lt;$H214,0,IF('Tracker Summary'!$C$3&gt;=$I214,1,('Tracker Summary'!$C$3-$H214)/($I214-$H214+1))))</f>
        <v>0</v>
      </c>
      <c r="R214" s="163" t="n">
        <f aca="false">P214-Q214</f>
        <v>0</v>
      </c>
      <c r="S214" s="160" t="str">
        <f aca="false">IF($I214="","Not scheduled",IF(P214&gt;=1,"Complete",IF('Tracker Summary'!$C$3&gt;$I214,"Overdue",IF(P214-Q214&lt;-0.1,"Behind",IF(AND(P214=0,'Tracker Summary'!$C$3&lt;$H214),"Not started","On track")))))</f>
        <v>Not started</v>
      </c>
      <c r="T214" s="90"/>
      <c r="U214" s="160" t="str">
        <f aca="false">IFERROR(INDEX(Schedule!$D$2:$D$147,MATCH($G214,Schedule!$A$2:$A$147,0)),"")</f>
        <v>Electrical, Instrumentation &amp; Controls — Influent pump station and flow splitter</v>
      </c>
      <c r="V214" s="162" t="n">
        <f aca="false">IFERROR(INDEX(Schedule!$F$2:$F$147,MATCH("26-P01",Schedule!$A$2:$A$147,0)),"")</f>
        <v>44999</v>
      </c>
      <c r="W214" s="160" t="s">
        <v>99</v>
      </c>
      <c r="X214" s="160" t="s">
        <v>99</v>
      </c>
      <c r="Y214" s="160" t="n">
        <v>3</v>
      </c>
      <c r="Z214" s="160" t="n">
        <v>5</v>
      </c>
      <c r="AA214" s="160" t="s">
        <v>999</v>
      </c>
      <c r="AB214" s="160" t="s">
        <v>597</v>
      </c>
      <c r="AC214" s="160" t="s">
        <v>92</v>
      </c>
      <c r="AD214" s="160" t="s">
        <v>499</v>
      </c>
      <c r="AE214" s="160" t="s">
        <v>1000</v>
      </c>
      <c r="AF214" s="160" t="s">
        <v>715</v>
      </c>
      <c r="AG214" s="160" t="s">
        <v>1000</v>
      </c>
      <c r="AH214" s="160" t="s">
        <v>501</v>
      </c>
    </row>
    <row r="215" customFormat="false" ht="15" hidden="false" customHeight="false" outlineLevel="0" collapsed="false">
      <c r="A215" s="160" t="s">
        <v>60</v>
      </c>
      <c r="B215" s="161" t="s">
        <v>37</v>
      </c>
      <c r="C215" s="160" t="s">
        <v>1007</v>
      </c>
      <c r="D215" s="160" t="s">
        <v>1008</v>
      </c>
      <c r="E215" s="160" t="s">
        <v>334</v>
      </c>
      <c r="F215" s="90" t="s">
        <v>234</v>
      </c>
      <c r="G215" s="160" t="s">
        <v>976</v>
      </c>
      <c r="H215" s="162" t="n">
        <f aca="false">IFERROR(INDEX(Schedule!$E$2:$E$147,MATCH($G215,Schedule!$A$2:$A$147,0)),"")</f>
        <v>45078</v>
      </c>
      <c r="I215" s="162" t="n">
        <f aca="false">IFERROR(INDEX(Schedule!$F$2:$F$147,MATCH($G215,Schedule!$A$2:$A$147,0)),"")</f>
        <v>45224</v>
      </c>
      <c r="J215" s="92"/>
      <c r="K215" s="92"/>
      <c r="L215" s="92"/>
      <c r="M215" s="92"/>
      <c r="N215" s="92"/>
      <c r="O215" s="90" t="n">
        <v>1</v>
      </c>
      <c r="P215" s="163" t="n">
        <f aca="false">IFERROR((IF(OR(ISNUMBER(J215),UPPER(TRIM(J215))="N/A"),1,0)*IF($W215="N",0,INDEX('Rules of Credit'!$B$5:$F$8,MATCH($F215,'Rules of Credit'!$A$5:$A$8,0),1))+IF(OR(ISNUMBER(K215),UPPER(TRIM(K215))="N/A"),1,0)*INDEX('Rules of Credit'!$B$5:$F$8,MATCH($F215,'Rules of Credit'!$A$5:$A$8,0),2)+IF(OR(ISNUMBER(L215),UPPER(TRIM(L215))="N/A"),1,0)*INDEX('Rules of Credit'!$B$5:$F$8,MATCH($F215,'Rules of Credit'!$A$5:$A$8,0),3)+IF(OR(ISNUMBER(M215),UPPER(TRIM(M215))="N/A"),1,0)*IF($X215="N",0,INDEX('Rules of Credit'!$B$5:$F$8,MATCH($F215,'Rules of Credit'!$A$5:$A$8,0),4))+IF(OR(ISNUMBER(N215),UPPER(TRIM(N215))="N/A"),1,0)*INDEX('Rules of Credit'!$B$5:$F$8,MATCH($F215,'Rules of Credit'!$A$5:$A$8,0),5))/(IF($W215="N",0,INDEX('Rules of Credit'!$B$5:$F$8,MATCH($F215,'Rules of Credit'!$A$5:$A$8,0),1))+INDEX('Rules of Credit'!$B$5:$F$8,MATCH($F215,'Rules of Credit'!$A$5:$A$8,0),2)+INDEX('Rules of Credit'!$B$5:$F$8,MATCH($F215,'Rules of Credit'!$A$5:$A$8,0),3)+IF($X215="N",0,INDEX('Rules of Credit'!$B$5:$F$8,MATCH($F215,'Rules of Credit'!$A$5:$A$8,0),4))+INDEX('Rules of Credit'!$B$5:$F$8,MATCH($F215,'Rules of Credit'!$A$5:$A$8,0),5)),0)</f>
        <v>0</v>
      </c>
      <c r="Q215" s="163" t="n">
        <f aca="false">IF(OR($H215="",$I215=""),0,IF('Tracker Summary'!$C$3&lt;$H215,0,IF('Tracker Summary'!$C$3&gt;=$I215,1,('Tracker Summary'!$C$3-$H215)/($I215-$H215+1))))</f>
        <v>0</v>
      </c>
      <c r="R215" s="163" t="n">
        <f aca="false">P215-Q215</f>
        <v>0</v>
      </c>
      <c r="S215" s="160" t="str">
        <f aca="false">IF($I215="","Not scheduled",IF(P215&gt;=1,"Complete",IF('Tracker Summary'!$C$3&gt;$I215,"Overdue",IF(P215-Q215&lt;-0.1,"Behind",IF(AND(P215=0,'Tracker Summary'!$C$3&lt;$H215),"Not started","On track")))))</f>
        <v>Not started</v>
      </c>
      <c r="T215" s="90"/>
      <c r="U215" s="160" t="str">
        <f aca="false">IFERROR(INDEX(Schedule!$D$2:$D$147,MATCH($G215,Schedule!$A$2:$A$147,0)),"")</f>
        <v>Electrical, Instrumentation &amp; Controls — Influent pump station and flow splitter</v>
      </c>
      <c r="V215" s="162" t="n">
        <f aca="false">IFERROR(INDEX(Schedule!$F$2:$F$147,MATCH("26-P01",Schedule!$A$2:$A$147,0)),"")</f>
        <v>44999</v>
      </c>
      <c r="W215" s="160" t="s">
        <v>99</v>
      </c>
      <c r="X215" s="160" t="s">
        <v>99</v>
      </c>
      <c r="Y215" s="160" t="n">
        <v>3</v>
      </c>
      <c r="Z215" s="160" t="n">
        <v>4</v>
      </c>
      <c r="AA215" s="160" t="s">
        <v>1009</v>
      </c>
      <c r="AB215" s="160" t="s">
        <v>592</v>
      </c>
      <c r="AC215" s="160" t="s">
        <v>120</v>
      </c>
      <c r="AD215" s="160" t="s">
        <v>499</v>
      </c>
      <c r="AE215" s="160" t="s">
        <v>1010</v>
      </c>
      <c r="AF215" s="160" t="s">
        <v>715</v>
      </c>
      <c r="AG215" s="160" t="s">
        <v>1010</v>
      </c>
      <c r="AH215" s="160" t="s">
        <v>501</v>
      </c>
    </row>
    <row r="216" customFormat="false" ht="15" hidden="false" customHeight="false" outlineLevel="0" collapsed="false">
      <c r="A216" s="160" t="s">
        <v>60</v>
      </c>
      <c r="B216" s="161" t="s">
        <v>37</v>
      </c>
      <c r="C216" s="160" t="s">
        <v>1011</v>
      </c>
      <c r="D216" s="160" t="s">
        <v>1012</v>
      </c>
      <c r="E216" s="160" t="s">
        <v>334</v>
      </c>
      <c r="F216" s="90" t="s">
        <v>234</v>
      </c>
      <c r="G216" s="160" t="s">
        <v>976</v>
      </c>
      <c r="H216" s="162" t="n">
        <f aca="false">IFERROR(INDEX(Schedule!$E$2:$E$147,MATCH($G216,Schedule!$A$2:$A$147,0)),"")</f>
        <v>45078</v>
      </c>
      <c r="I216" s="162" t="n">
        <f aca="false">IFERROR(INDEX(Schedule!$F$2:$F$147,MATCH($G216,Schedule!$A$2:$A$147,0)),"")</f>
        <v>45224</v>
      </c>
      <c r="J216" s="92"/>
      <c r="K216" s="92"/>
      <c r="L216" s="92"/>
      <c r="M216" s="92"/>
      <c r="N216" s="92"/>
      <c r="O216" s="90" t="n">
        <v>1</v>
      </c>
      <c r="P216" s="163" t="n">
        <f aca="false">IFERROR((IF(OR(ISNUMBER(J216),UPPER(TRIM(J216))="N/A"),1,0)*IF($W216="N",0,INDEX('Rules of Credit'!$B$5:$F$8,MATCH($F216,'Rules of Credit'!$A$5:$A$8,0),1))+IF(OR(ISNUMBER(K216),UPPER(TRIM(K216))="N/A"),1,0)*INDEX('Rules of Credit'!$B$5:$F$8,MATCH($F216,'Rules of Credit'!$A$5:$A$8,0),2)+IF(OR(ISNUMBER(L216),UPPER(TRIM(L216))="N/A"),1,0)*INDEX('Rules of Credit'!$B$5:$F$8,MATCH($F216,'Rules of Credit'!$A$5:$A$8,0),3)+IF(OR(ISNUMBER(M216),UPPER(TRIM(M216))="N/A"),1,0)*IF($X216="N",0,INDEX('Rules of Credit'!$B$5:$F$8,MATCH($F216,'Rules of Credit'!$A$5:$A$8,0),4))+IF(OR(ISNUMBER(N216),UPPER(TRIM(N216))="N/A"),1,0)*INDEX('Rules of Credit'!$B$5:$F$8,MATCH($F216,'Rules of Credit'!$A$5:$A$8,0),5))/(IF($W216="N",0,INDEX('Rules of Credit'!$B$5:$F$8,MATCH($F216,'Rules of Credit'!$A$5:$A$8,0),1))+INDEX('Rules of Credit'!$B$5:$F$8,MATCH($F216,'Rules of Credit'!$A$5:$A$8,0),2)+INDEX('Rules of Credit'!$B$5:$F$8,MATCH($F216,'Rules of Credit'!$A$5:$A$8,0),3)+IF($X216="N",0,INDEX('Rules of Credit'!$B$5:$F$8,MATCH($F216,'Rules of Credit'!$A$5:$A$8,0),4))+INDEX('Rules of Credit'!$B$5:$F$8,MATCH($F216,'Rules of Credit'!$A$5:$A$8,0),5)),0)</f>
        <v>0</v>
      </c>
      <c r="Q216" s="163" t="n">
        <f aca="false">IF(OR($H216="",$I216=""),0,IF('Tracker Summary'!$C$3&lt;$H216,0,IF('Tracker Summary'!$C$3&gt;=$I216,1,('Tracker Summary'!$C$3-$H216)/($I216-$H216+1))))</f>
        <v>0</v>
      </c>
      <c r="R216" s="163" t="n">
        <f aca="false">P216-Q216</f>
        <v>0</v>
      </c>
      <c r="S216" s="160" t="str">
        <f aca="false">IF($I216="","Not scheduled",IF(P216&gt;=1,"Complete",IF('Tracker Summary'!$C$3&gt;$I216,"Overdue",IF(P216-Q216&lt;-0.1,"Behind",IF(AND(P216=0,'Tracker Summary'!$C$3&lt;$H216),"Not started","On track")))))</f>
        <v>Not started</v>
      </c>
      <c r="T216" s="90"/>
      <c r="U216" s="160" t="str">
        <f aca="false">IFERROR(INDEX(Schedule!$D$2:$D$147,MATCH($G216,Schedule!$A$2:$A$147,0)),"")</f>
        <v>Electrical, Instrumentation &amp; Controls — Influent pump station and flow splitter</v>
      </c>
      <c r="V216" s="162" t="n">
        <f aca="false">IFERROR(INDEX(Schedule!$F$2:$F$147,MATCH("26-P01",Schedule!$A$2:$A$147,0)),"")</f>
        <v>44999</v>
      </c>
      <c r="W216" s="160" t="s">
        <v>99</v>
      </c>
      <c r="X216" s="160" t="s">
        <v>99</v>
      </c>
      <c r="Y216" s="160" t="n">
        <v>4</v>
      </c>
      <c r="Z216" s="160" t="n">
        <v>5</v>
      </c>
      <c r="AA216" s="160"/>
      <c r="AB216" s="160"/>
      <c r="AC216" s="160" t="s">
        <v>120</v>
      </c>
      <c r="AD216" s="160" t="s">
        <v>499</v>
      </c>
      <c r="AE216" s="160" t="s">
        <v>1013</v>
      </c>
      <c r="AF216" s="160" t="s">
        <v>715</v>
      </c>
      <c r="AG216" s="160" t="s">
        <v>1014</v>
      </c>
      <c r="AH216" s="160" t="s">
        <v>501</v>
      </c>
    </row>
    <row r="217" customFormat="false" ht="15" hidden="false" customHeight="false" outlineLevel="0" collapsed="false">
      <c r="A217" s="160" t="s">
        <v>60</v>
      </c>
      <c r="B217" s="161" t="s">
        <v>37</v>
      </c>
      <c r="C217" s="160" t="s">
        <v>1015</v>
      </c>
      <c r="D217" s="160" t="s">
        <v>1016</v>
      </c>
      <c r="E217" s="160" t="s">
        <v>334</v>
      </c>
      <c r="F217" s="90" t="s">
        <v>234</v>
      </c>
      <c r="G217" s="160" t="s">
        <v>976</v>
      </c>
      <c r="H217" s="162" t="n">
        <f aca="false">IFERROR(INDEX(Schedule!$E$2:$E$147,MATCH($G217,Schedule!$A$2:$A$147,0)),"")</f>
        <v>45078</v>
      </c>
      <c r="I217" s="162" t="n">
        <f aca="false">IFERROR(INDEX(Schedule!$F$2:$F$147,MATCH($G217,Schedule!$A$2:$A$147,0)),"")</f>
        <v>45224</v>
      </c>
      <c r="J217" s="92"/>
      <c r="K217" s="92"/>
      <c r="L217" s="92"/>
      <c r="M217" s="92"/>
      <c r="N217" s="92"/>
      <c r="O217" s="90" t="n">
        <v>1</v>
      </c>
      <c r="P217" s="163" t="n">
        <f aca="false">IFERROR((IF(OR(ISNUMBER(J217),UPPER(TRIM(J217))="N/A"),1,0)*IF($W217="N",0,INDEX('Rules of Credit'!$B$5:$F$8,MATCH($F217,'Rules of Credit'!$A$5:$A$8,0),1))+IF(OR(ISNUMBER(K217),UPPER(TRIM(K217))="N/A"),1,0)*INDEX('Rules of Credit'!$B$5:$F$8,MATCH($F217,'Rules of Credit'!$A$5:$A$8,0),2)+IF(OR(ISNUMBER(L217),UPPER(TRIM(L217))="N/A"),1,0)*INDEX('Rules of Credit'!$B$5:$F$8,MATCH($F217,'Rules of Credit'!$A$5:$A$8,0),3)+IF(OR(ISNUMBER(M217),UPPER(TRIM(M217))="N/A"),1,0)*IF($X217="N",0,INDEX('Rules of Credit'!$B$5:$F$8,MATCH($F217,'Rules of Credit'!$A$5:$A$8,0),4))+IF(OR(ISNUMBER(N217),UPPER(TRIM(N217))="N/A"),1,0)*INDEX('Rules of Credit'!$B$5:$F$8,MATCH($F217,'Rules of Credit'!$A$5:$A$8,0),5))/(IF($W217="N",0,INDEX('Rules of Credit'!$B$5:$F$8,MATCH($F217,'Rules of Credit'!$A$5:$A$8,0),1))+INDEX('Rules of Credit'!$B$5:$F$8,MATCH($F217,'Rules of Credit'!$A$5:$A$8,0),2)+INDEX('Rules of Credit'!$B$5:$F$8,MATCH($F217,'Rules of Credit'!$A$5:$A$8,0),3)+IF($X217="N",0,INDEX('Rules of Credit'!$B$5:$F$8,MATCH($F217,'Rules of Credit'!$A$5:$A$8,0),4))+INDEX('Rules of Credit'!$B$5:$F$8,MATCH($F217,'Rules of Credit'!$A$5:$A$8,0),5)),0)</f>
        <v>0</v>
      </c>
      <c r="Q217" s="163" t="n">
        <f aca="false">IF(OR($H217="",$I217=""),0,IF('Tracker Summary'!$C$3&lt;$H217,0,IF('Tracker Summary'!$C$3&gt;=$I217,1,('Tracker Summary'!$C$3-$H217)/($I217-$H217+1))))</f>
        <v>0</v>
      </c>
      <c r="R217" s="163" t="n">
        <f aca="false">P217-Q217</f>
        <v>0</v>
      </c>
      <c r="S217" s="160" t="str">
        <f aca="false">IF($I217="","Not scheduled",IF(P217&gt;=1,"Complete",IF('Tracker Summary'!$C$3&gt;$I217,"Overdue",IF(P217-Q217&lt;-0.1,"Behind",IF(AND(P217=0,'Tracker Summary'!$C$3&lt;$H217),"Not started","On track")))))</f>
        <v>Not started</v>
      </c>
      <c r="T217" s="90"/>
      <c r="U217" s="160" t="str">
        <f aca="false">IFERROR(INDEX(Schedule!$D$2:$D$147,MATCH($G217,Schedule!$A$2:$A$147,0)),"")</f>
        <v>Electrical, Instrumentation &amp; Controls — Influent pump station and flow splitter</v>
      </c>
      <c r="V217" s="162" t="n">
        <f aca="false">IFERROR(INDEX(Schedule!$F$2:$F$147,MATCH("26-P01",Schedule!$A$2:$A$147,0)),"")</f>
        <v>44999</v>
      </c>
      <c r="W217" s="160" t="s">
        <v>99</v>
      </c>
      <c r="X217" s="160" t="s">
        <v>91</v>
      </c>
      <c r="Y217" s="160" t="n">
        <v>2</v>
      </c>
      <c r="Z217" s="160" t="n">
        <v>0</v>
      </c>
      <c r="AA217" s="160"/>
      <c r="AB217" s="160"/>
      <c r="AC217" s="160" t="s">
        <v>92</v>
      </c>
      <c r="AD217" s="160" t="s">
        <v>499</v>
      </c>
      <c r="AE217" s="160" t="s">
        <v>1017</v>
      </c>
      <c r="AF217" s="160" t="s">
        <v>763</v>
      </c>
      <c r="AG217" s="160" t="s">
        <v>1018</v>
      </c>
      <c r="AH217" s="160" t="s">
        <v>501</v>
      </c>
    </row>
    <row r="218" customFormat="false" ht="15" hidden="false" customHeight="false" outlineLevel="0" collapsed="false">
      <c r="A218" s="160" t="s">
        <v>60</v>
      </c>
      <c r="B218" s="161" t="s">
        <v>37</v>
      </c>
      <c r="C218" s="160" t="s">
        <v>1019</v>
      </c>
      <c r="D218" s="160" t="s">
        <v>1020</v>
      </c>
      <c r="E218" s="160" t="s">
        <v>334</v>
      </c>
      <c r="F218" s="90" t="s">
        <v>234</v>
      </c>
      <c r="G218" s="160" t="s">
        <v>976</v>
      </c>
      <c r="H218" s="162" t="n">
        <f aca="false">IFERROR(INDEX(Schedule!$E$2:$E$147,MATCH($G218,Schedule!$A$2:$A$147,0)),"")</f>
        <v>45078</v>
      </c>
      <c r="I218" s="162" t="n">
        <f aca="false">IFERROR(INDEX(Schedule!$F$2:$F$147,MATCH($G218,Schedule!$A$2:$A$147,0)),"")</f>
        <v>45224</v>
      </c>
      <c r="J218" s="92"/>
      <c r="K218" s="92"/>
      <c r="L218" s="92"/>
      <c r="M218" s="92"/>
      <c r="N218" s="92"/>
      <c r="O218" s="90" t="n">
        <v>1</v>
      </c>
      <c r="P218" s="163" t="n">
        <f aca="false">IFERROR((IF(OR(ISNUMBER(J218),UPPER(TRIM(J218))="N/A"),1,0)*IF($W218="N",0,INDEX('Rules of Credit'!$B$5:$F$8,MATCH($F218,'Rules of Credit'!$A$5:$A$8,0),1))+IF(OR(ISNUMBER(K218),UPPER(TRIM(K218))="N/A"),1,0)*INDEX('Rules of Credit'!$B$5:$F$8,MATCH($F218,'Rules of Credit'!$A$5:$A$8,0),2)+IF(OR(ISNUMBER(L218),UPPER(TRIM(L218))="N/A"),1,0)*INDEX('Rules of Credit'!$B$5:$F$8,MATCH($F218,'Rules of Credit'!$A$5:$A$8,0),3)+IF(OR(ISNUMBER(M218),UPPER(TRIM(M218))="N/A"),1,0)*IF($X218="N",0,INDEX('Rules of Credit'!$B$5:$F$8,MATCH($F218,'Rules of Credit'!$A$5:$A$8,0),4))+IF(OR(ISNUMBER(N218),UPPER(TRIM(N218))="N/A"),1,0)*INDEX('Rules of Credit'!$B$5:$F$8,MATCH($F218,'Rules of Credit'!$A$5:$A$8,0),5))/(IF($W218="N",0,INDEX('Rules of Credit'!$B$5:$F$8,MATCH($F218,'Rules of Credit'!$A$5:$A$8,0),1))+INDEX('Rules of Credit'!$B$5:$F$8,MATCH($F218,'Rules of Credit'!$A$5:$A$8,0),2)+INDEX('Rules of Credit'!$B$5:$F$8,MATCH($F218,'Rules of Credit'!$A$5:$A$8,0),3)+IF($X218="N",0,INDEX('Rules of Credit'!$B$5:$F$8,MATCH($F218,'Rules of Credit'!$A$5:$A$8,0),4))+INDEX('Rules of Credit'!$B$5:$F$8,MATCH($F218,'Rules of Credit'!$A$5:$A$8,0),5)),0)</f>
        <v>0</v>
      </c>
      <c r="Q218" s="163" t="n">
        <f aca="false">IF(OR($H218="",$I218=""),0,IF('Tracker Summary'!$C$3&lt;$H218,0,IF('Tracker Summary'!$C$3&gt;=$I218,1,('Tracker Summary'!$C$3-$H218)/($I218-$H218+1))))</f>
        <v>0</v>
      </c>
      <c r="R218" s="163" t="n">
        <f aca="false">P218-Q218</f>
        <v>0</v>
      </c>
      <c r="S218" s="160" t="str">
        <f aca="false">IF($I218="","Not scheduled",IF(P218&gt;=1,"Complete",IF('Tracker Summary'!$C$3&gt;$I218,"Overdue",IF(P218-Q218&lt;-0.1,"Behind",IF(AND(P218=0,'Tracker Summary'!$C$3&lt;$H218),"Not started","On track")))))</f>
        <v>Not started</v>
      </c>
      <c r="T218" s="90"/>
      <c r="U218" s="160" t="str">
        <f aca="false">IFERROR(INDEX(Schedule!$D$2:$D$147,MATCH($G218,Schedule!$A$2:$A$147,0)),"")</f>
        <v>Electrical, Instrumentation &amp; Controls — Influent pump station and flow splitter</v>
      </c>
      <c r="V218" s="162" t="n">
        <f aca="false">IFERROR(INDEX(Schedule!$F$2:$F$147,MATCH("26-P01",Schedule!$A$2:$A$147,0)),"")</f>
        <v>44999</v>
      </c>
      <c r="W218" s="160" t="s">
        <v>99</v>
      </c>
      <c r="X218" s="160" t="s">
        <v>99</v>
      </c>
      <c r="Y218" s="160" t="n">
        <v>4</v>
      </c>
      <c r="Z218" s="160" t="n">
        <v>3</v>
      </c>
      <c r="AA218" s="160"/>
      <c r="AB218" s="160"/>
      <c r="AC218" s="160" t="s">
        <v>92</v>
      </c>
      <c r="AD218" s="160" t="s">
        <v>499</v>
      </c>
      <c r="AE218" s="160" t="s">
        <v>1021</v>
      </c>
      <c r="AF218" s="160" t="s">
        <v>720</v>
      </c>
      <c r="AG218" s="160" t="s">
        <v>1022</v>
      </c>
      <c r="AH218" s="160" t="s">
        <v>501</v>
      </c>
    </row>
    <row r="219" customFormat="false" ht="15" hidden="false" customHeight="false" outlineLevel="0" collapsed="false">
      <c r="A219" s="160" t="s">
        <v>60</v>
      </c>
      <c r="B219" s="161" t="s">
        <v>37</v>
      </c>
      <c r="C219" s="160" t="s">
        <v>1023</v>
      </c>
      <c r="D219" s="160" t="s">
        <v>1024</v>
      </c>
      <c r="E219" s="160" t="s">
        <v>334</v>
      </c>
      <c r="F219" s="90" t="s">
        <v>234</v>
      </c>
      <c r="G219" s="160" t="s">
        <v>976</v>
      </c>
      <c r="H219" s="162" t="n">
        <f aca="false">IFERROR(INDEX(Schedule!$E$2:$E$147,MATCH($G219,Schedule!$A$2:$A$147,0)),"")</f>
        <v>45078</v>
      </c>
      <c r="I219" s="162" t="n">
        <f aca="false">IFERROR(INDEX(Schedule!$F$2:$F$147,MATCH($G219,Schedule!$A$2:$A$147,0)),"")</f>
        <v>45224</v>
      </c>
      <c r="J219" s="92"/>
      <c r="K219" s="92"/>
      <c r="L219" s="92"/>
      <c r="M219" s="92"/>
      <c r="N219" s="92"/>
      <c r="O219" s="90" t="n">
        <v>1</v>
      </c>
      <c r="P219" s="163" t="n">
        <f aca="false">IFERROR((IF(OR(ISNUMBER(J219),UPPER(TRIM(J219))="N/A"),1,0)*IF($W219="N",0,INDEX('Rules of Credit'!$B$5:$F$8,MATCH($F219,'Rules of Credit'!$A$5:$A$8,0),1))+IF(OR(ISNUMBER(K219),UPPER(TRIM(K219))="N/A"),1,0)*INDEX('Rules of Credit'!$B$5:$F$8,MATCH($F219,'Rules of Credit'!$A$5:$A$8,0),2)+IF(OR(ISNUMBER(L219),UPPER(TRIM(L219))="N/A"),1,0)*INDEX('Rules of Credit'!$B$5:$F$8,MATCH($F219,'Rules of Credit'!$A$5:$A$8,0),3)+IF(OR(ISNUMBER(M219),UPPER(TRIM(M219))="N/A"),1,0)*IF($X219="N",0,INDEX('Rules of Credit'!$B$5:$F$8,MATCH($F219,'Rules of Credit'!$A$5:$A$8,0),4))+IF(OR(ISNUMBER(N219),UPPER(TRIM(N219))="N/A"),1,0)*INDEX('Rules of Credit'!$B$5:$F$8,MATCH($F219,'Rules of Credit'!$A$5:$A$8,0),5))/(IF($W219="N",0,INDEX('Rules of Credit'!$B$5:$F$8,MATCH($F219,'Rules of Credit'!$A$5:$A$8,0),1))+INDEX('Rules of Credit'!$B$5:$F$8,MATCH($F219,'Rules of Credit'!$A$5:$A$8,0),2)+INDEX('Rules of Credit'!$B$5:$F$8,MATCH($F219,'Rules of Credit'!$A$5:$A$8,0),3)+IF($X219="N",0,INDEX('Rules of Credit'!$B$5:$F$8,MATCH($F219,'Rules of Credit'!$A$5:$A$8,0),4))+INDEX('Rules of Credit'!$B$5:$F$8,MATCH($F219,'Rules of Credit'!$A$5:$A$8,0),5)),0)</f>
        <v>0</v>
      </c>
      <c r="Q219" s="163" t="n">
        <f aca="false">IF(OR($H219="",$I219=""),0,IF('Tracker Summary'!$C$3&lt;$H219,0,IF('Tracker Summary'!$C$3&gt;=$I219,1,('Tracker Summary'!$C$3-$H219)/($I219-$H219+1))))</f>
        <v>0</v>
      </c>
      <c r="R219" s="163" t="n">
        <f aca="false">P219-Q219</f>
        <v>0</v>
      </c>
      <c r="S219" s="160" t="str">
        <f aca="false">IF($I219="","Not scheduled",IF(P219&gt;=1,"Complete",IF('Tracker Summary'!$C$3&gt;$I219,"Overdue",IF(P219-Q219&lt;-0.1,"Behind",IF(AND(P219=0,'Tracker Summary'!$C$3&lt;$H219),"Not started","On track")))))</f>
        <v>Not started</v>
      </c>
      <c r="T219" s="90"/>
      <c r="U219" s="160" t="str">
        <f aca="false">IFERROR(INDEX(Schedule!$D$2:$D$147,MATCH($G219,Schedule!$A$2:$A$147,0)),"")</f>
        <v>Electrical, Instrumentation &amp; Controls — Influent pump station and flow splitter</v>
      </c>
      <c r="V219" s="162" t="n">
        <f aca="false">IFERROR(INDEX(Schedule!$F$2:$F$147,MATCH("26-P01",Schedule!$A$2:$A$147,0)),"")</f>
        <v>44999</v>
      </c>
      <c r="W219" s="160" t="s">
        <v>99</v>
      </c>
      <c r="X219" s="160" t="s">
        <v>91</v>
      </c>
      <c r="Y219" s="160" t="n">
        <v>3</v>
      </c>
      <c r="Z219" s="160" t="n">
        <v>0</v>
      </c>
      <c r="AA219" s="160"/>
      <c r="AB219" s="160"/>
      <c r="AC219" s="160" t="s">
        <v>541</v>
      </c>
      <c r="AD219" s="160" t="s">
        <v>499</v>
      </c>
      <c r="AE219" s="160" t="s">
        <v>903</v>
      </c>
      <c r="AF219" s="160" t="s">
        <v>792</v>
      </c>
      <c r="AG219" s="160" t="s">
        <v>903</v>
      </c>
      <c r="AH219" s="160" t="s">
        <v>501</v>
      </c>
    </row>
    <row r="220" customFormat="false" ht="15" hidden="false" customHeight="false" outlineLevel="0" collapsed="false">
      <c r="A220" s="160" t="s">
        <v>60</v>
      </c>
      <c r="B220" s="161" t="s">
        <v>37</v>
      </c>
      <c r="C220" s="160" t="s">
        <v>1025</v>
      </c>
      <c r="D220" s="160" t="s">
        <v>1026</v>
      </c>
      <c r="E220" s="160" t="s">
        <v>334</v>
      </c>
      <c r="F220" s="90" t="s">
        <v>234</v>
      </c>
      <c r="G220" s="160" t="s">
        <v>976</v>
      </c>
      <c r="H220" s="162" t="n">
        <f aca="false">IFERROR(INDEX(Schedule!$E$2:$E$147,MATCH($G220,Schedule!$A$2:$A$147,0)),"")</f>
        <v>45078</v>
      </c>
      <c r="I220" s="162" t="n">
        <f aca="false">IFERROR(INDEX(Schedule!$F$2:$F$147,MATCH($G220,Schedule!$A$2:$A$147,0)),"")</f>
        <v>45224</v>
      </c>
      <c r="J220" s="92"/>
      <c r="K220" s="92"/>
      <c r="L220" s="92"/>
      <c r="M220" s="92"/>
      <c r="N220" s="92"/>
      <c r="O220" s="90" t="n">
        <v>1</v>
      </c>
      <c r="P220" s="163" t="n">
        <f aca="false">IFERROR((IF(OR(ISNUMBER(J220),UPPER(TRIM(J220))="N/A"),1,0)*IF($W220="N",0,INDEX('Rules of Credit'!$B$5:$F$8,MATCH($F220,'Rules of Credit'!$A$5:$A$8,0),1))+IF(OR(ISNUMBER(K220),UPPER(TRIM(K220))="N/A"),1,0)*INDEX('Rules of Credit'!$B$5:$F$8,MATCH($F220,'Rules of Credit'!$A$5:$A$8,0),2)+IF(OR(ISNUMBER(L220),UPPER(TRIM(L220))="N/A"),1,0)*INDEX('Rules of Credit'!$B$5:$F$8,MATCH($F220,'Rules of Credit'!$A$5:$A$8,0),3)+IF(OR(ISNUMBER(M220),UPPER(TRIM(M220))="N/A"),1,0)*IF($X220="N",0,INDEX('Rules of Credit'!$B$5:$F$8,MATCH($F220,'Rules of Credit'!$A$5:$A$8,0),4))+IF(OR(ISNUMBER(N220),UPPER(TRIM(N220))="N/A"),1,0)*INDEX('Rules of Credit'!$B$5:$F$8,MATCH($F220,'Rules of Credit'!$A$5:$A$8,0),5))/(IF($W220="N",0,INDEX('Rules of Credit'!$B$5:$F$8,MATCH($F220,'Rules of Credit'!$A$5:$A$8,0),1))+INDEX('Rules of Credit'!$B$5:$F$8,MATCH($F220,'Rules of Credit'!$A$5:$A$8,0),2)+INDEX('Rules of Credit'!$B$5:$F$8,MATCH($F220,'Rules of Credit'!$A$5:$A$8,0),3)+IF($X220="N",0,INDEX('Rules of Credit'!$B$5:$F$8,MATCH($F220,'Rules of Credit'!$A$5:$A$8,0),4))+INDEX('Rules of Credit'!$B$5:$F$8,MATCH($F220,'Rules of Credit'!$A$5:$A$8,0),5)),0)</f>
        <v>0</v>
      </c>
      <c r="Q220" s="163" t="n">
        <f aca="false">IF(OR($H220="",$I220=""),0,IF('Tracker Summary'!$C$3&lt;$H220,0,IF('Tracker Summary'!$C$3&gt;=$I220,1,('Tracker Summary'!$C$3-$H220)/($I220-$H220+1))))</f>
        <v>0</v>
      </c>
      <c r="R220" s="163" t="n">
        <f aca="false">P220-Q220</f>
        <v>0</v>
      </c>
      <c r="S220" s="160" t="str">
        <f aca="false">IF($I220="","Not scheduled",IF(P220&gt;=1,"Complete",IF('Tracker Summary'!$C$3&gt;$I220,"Overdue",IF(P220-Q220&lt;-0.1,"Behind",IF(AND(P220=0,'Tracker Summary'!$C$3&lt;$H220),"Not started","On track")))))</f>
        <v>Not started</v>
      </c>
      <c r="T220" s="90"/>
      <c r="U220" s="160" t="str">
        <f aca="false">IFERROR(INDEX(Schedule!$D$2:$D$147,MATCH($G220,Schedule!$A$2:$A$147,0)),"")</f>
        <v>Electrical, Instrumentation &amp; Controls — Influent pump station and flow splitter</v>
      </c>
      <c r="V220" s="162" t="n">
        <f aca="false">IFERROR(INDEX(Schedule!$F$2:$F$147,MATCH("26-P01",Schedule!$A$2:$A$147,0)),"")</f>
        <v>44999</v>
      </c>
      <c r="W220" s="160" t="s">
        <v>91</v>
      </c>
      <c r="X220" s="160" t="s">
        <v>91</v>
      </c>
      <c r="Y220" s="160" t="n">
        <v>0</v>
      </c>
      <c r="Z220" s="160" t="n">
        <v>0</v>
      </c>
      <c r="AA220" s="160"/>
      <c r="AB220" s="160"/>
      <c r="AC220" s="160" t="s">
        <v>541</v>
      </c>
      <c r="AD220" s="160" t="s">
        <v>499</v>
      </c>
      <c r="AE220" s="160" t="s">
        <v>1027</v>
      </c>
      <c r="AF220" s="160" t="s">
        <v>725</v>
      </c>
      <c r="AG220" s="160" t="s">
        <v>1028</v>
      </c>
      <c r="AH220" s="160" t="s">
        <v>501</v>
      </c>
    </row>
    <row r="221" customFormat="false" ht="15" hidden="false" customHeight="false" outlineLevel="0" collapsed="false">
      <c r="A221" s="160" t="s">
        <v>60</v>
      </c>
      <c r="B221" s="161" t="s">
        <v>37</v>
      </c>
      <c r="C221" s="160" t="s">
        <v>1029</v>
      </c>
      <c r="D221" s="160" t="s">
        <v>1030</v>
      </c>
      <c r="E221" s="160" t="s">
        <v>334</v>
      </c>
      <c r="F221" s="90" t="s">
        <v>234</v>
      </c>
      <c r="G221" s="160" t="s">
        <v>976</v>
      </c>
      <c r="H221" s="162" t="n">
        <f aca="false">IFERROR(INDEX(Schedule!$E$2:$E$147,MATCH($G221,Schedule!$A$2:$A$147,0)),"")</f>
        <v>45078</v>
      </c>
      <c r="I221" s="162" t="n">
        <f aca="false">IFERROR(INDEX(Schedule!$F$2:$F$147,MATCH($G221,Schedule!$A$2:$A$147,0)),"")</f>
        <v>45224</v>
      </c>
      <c r="J221" s="92"/>
      <c r="K221" s="92"/>
      <c r="L221" s="92"/>
      <c r="M221" s="92"/>
      <c r="N221" s="92"/>
      <c r="O221" s="90" t="n">
        <v>1</v>
      </c>
      <c r="P221" s="163" t="n">
        <f aca="false">IFERROR((IF(OR(ISNUMBER(J221),UPPER(TRIM(J221))="N/A"),1,0)*IF($W221="N",0,INDEX('Rules of Credit'!$B$5:$F$8,MATCH($F221,'Rules of Credit'!$A$5:$A$8,0),1))+IF(OR(ISNUMBER(K221),UPPER(TRIM(K221))="N/A"),1,0)*INDEX('Rules of Credit'!$B$5:$F$8,MATCH($F221,'Rules of Credit'!$A$5:$A$8,0),2)+IF(OR(ISNUMBER(L221),UPPER(TRIM(L221))="N/A"),1,0)*INDEX('Rules of Credit'!$B$5:$F$8,MATCH($F221,'Rules of Credit'!$A$5:$A$8,0),3)+IF(OR(ISNUMBER(M221),UPPER(TRIM(M221))="N/A"),1,0)*IF($X221="N",0,INDEX('Rules of Credit'!$B$5:$F$8,MATCH($F221,'Rules of Credit'!$A$5:$A$8,0),4))+IF(OR(ISNUMBER(N221),UPPER(TRIM(N221))="N/A"),1,0)*INDEX('Rules of Credit'!$B$5:$F$8,MATCH($F221,'Rules of Credit'!$A$5:$A$8,0),5))/(IF($W221="N",0,INDEX('Rules of Credit'!$B$5:$F$8,MATCH($F221,'Rules of Credit'!$A$5:$A$8,0),1))+INDEX('Rules of Credit'!$B$5:$F$8,MATCH($F221,'Rules of Credit'!$A$5:$A$8,0),2)+INDEX('Rules of Credit'!$B$5:$F$8,MATCH($F221,'Rules of Credit'!$A$5:$A$8,0),3)+IF($X221="N",0,INDEX('Rules of Credit'!$B$5:$F$8,MATCH($F221,'Rules of Credit'!$A$5:$A$8,0),4))+INDEX('Rules of Credit'!$B$5:$F$8,MATCH($F221,'Rules of Credit'!$A$5:$A$8,0),5)),0)</f>
        <v>0</v>
      </c>
      <c r="Q221" s="163" t="n">
        <f aca="false">IF(OR($H221="",$I221=""),0,IF('Tracker Summary'!$C$3&lt;$H221,0,IF('Tracker Summary'!$C$3&gt;=$I221,1,('Tracker Summary'!$C$3-$H221)/($I221-$H221+1))))</f>
        <v>0</v>
      </c>
      <c r="R221" s="163" t="n">
        <f aca="false">P221-Q221</f>
        <v>0</v>
      </c>
      <c r="S221" s="160" t="str">
        <f aca="false">IF($I221="","Not scheduled",IF(P221&gt;=1,"Complete",IF('Tracker Summary'!$C$3&gt;$I221,"Overdue",IF(P221-Q221&lt;-0.1,"Behind",IF(AND(P221=0,'Tracker Summary'!$C$3&lt;$H221),"Not started","On track")))))</f>
        <v>Not started</v>
      </c>
      <c r="T221" s="90"/>
      <c r="U221" s="160" t="str">
        <f aca="false">IFERROR(INDEX(Schedule!$D$2:$D$147,MATCH($G221,Schedule!$A$2:$A$147,0)),"")</f>
        <v>Electrical, Instrumentation &amp; Controls — Influent pump station and flow splitter</v>
      </c>
      <c r="V221" s="162" t="n">
        <f aca="false">IFERROR(INDEX(Schedule!$F$2:$F$147,MATCH("26-P01",Schedule!$A$2:$A$147,0)),"")</f>
        <v>44999</v>
      </c>
      <c r="W221" s="160" t="s">
        <v>91</v>
      </c>
      <c r="X221" s="160" t="s">
        <v>91</v>
      </c>
      <c r="Y221" s="160" t="n">
        <v>0</v>
      </c>
      <c r="Z221" s="160" t="n">
        <v>0</v>
      </c>
      <c r="AA221" s="160"/>
      <c r="AB221" s="160"/>
      <c r="AC221" s="160" t="s">
        <v>541</v>
      </c>
      <c r="AD221" s="160" t="s">
        <v>499</v>
      </c>
      <c r="AE221" s="160" t="s">
        <v>1031</v>
      </c>
      <c r="AF221" s="160" t="s">
        <v>725</v>
      </c>
      <c r="AG221" s="160" t="s">
        <v>1032</v>
      </c>
      <c r="AH221" s="160" t="s">
        <v>501</v>
      </c>
    </row>
    <row r="222" customFormat="false" ht="15" hidden="false" customHeight="false" outlineLevel="0" collapsed="false">
      <c r="A222" s="160" t="s">
        <v>60</v>
      </c>
      <c r="B222" s="161" t="s">
        <v>37</v>
      </c>
      <c r="C222" s="160" t="s">
        <v>1033</v>
      </c>
      <c r="D222" s="160" t="s">
        <v>1034</v>
      </c>
      <c r="E222" s="160" t="s">
        <v>334</v>
      </c>
      <c r="F222" s="90" t="s">
        <v>234</v>
      </c>
      <c r="G222" s="160" t="s">
        <v>976</v>
      </c>
      <c r="H222" s="162" t="n">
        <f aca="false">IFERROR(INDEX(Schedule!$E$2:$E$147,MATCH($G222,Schedule!$A$2:$A$147,0)),"")</f>
        <v>45078</v>
      </c>
      <c r="I222" s="162" t="n">
        <f aca="false">IFERROR(INDEX(Schedule!$F$2:$F$147,MATCH($G222,Schedule!$A$2:$A$147,0)),"")</f>
        <v>45224</v>
      </c>
      <c r="J222" s="92"/>
      <c r="K222" s="92"/>
      <c r="L222" s="92"/>
      <c r="M222" s="92"/>
      <c r="N222" s="92"/>
      <c r="O222" s="90" t="n">
        <v>1</v>
      </c>
      <c r="P222" s="163" t="n">
        <f aca="false">IFERROR((IF(OR(ISNUMBER(J222),UPPER(TRIM(J222))="N/A"),1,0)*IF($W222="N",0,INDEX('Rules of Credit'!$B$5:$F$8,MATCH($F222,'Rules of Credit'!$A$5:$A$8,0),1))+IF(OR(ISNUMBER(K222),UPPER(TRIM(K222))="N/A"),1,0)*INDEX('Rules of Credit'!$B$5:$F$8,MATCH($F222,'Rules of Credit'!$A$5:$A$8,0),2)+IF(OR(ISNUMBER(L222),UPPER(TRIM(L222))="N/A"),1,0)*INDEX('Rules of Credit'!$B$5:$F$8,MATCH($F222,'Rules of Credit'!$A$5:$A$8,0),3)+IF(OR(ISNUMBER(M222),UPPER(TRIM(M222))="N/A"),1,0)*IF($X222="N",0,INDEX('Rules of Credit'!$B$5:$F$8,MATCH($F222,'Rules of Credit'!$A$5:$A$8,0),4))+IF(OR(ISNUMBER(N222),UPPER(TRIM(N222))="N/A"),1,0)*INDEX('Rules of Credit'!$B$5:$F$8,MATCH($F222,'Rules of Credit'!$A$5:$A$8,0),5))/(IF($W222="N",0,INDEX('Rules of Credit'!$B$5:$F$8,MATCH($F222,'Rules of Credit'!$A$5:$A$8,0),1))+INDEX('Rules of Credit'!$B$5:$F$8,MATCH($F222,'Rules of Credit'!$A$5:$A$8,0),2)+INDEX('Rules of Credit'!$B$5:$F$8,MATCH($F222,'Rules of Credit'!$A$5:$A$8,0),3)+IF($X222="N",0,INDEX('Rules of Credit'!$B$5:$F$8,MATCH($F222,'Rules of Credit'!$A$5:$A$8,0),4))+INDEX('Rules of Credit'!$B$5:$F$8,MATCH($F222,'Rules of Credit'!$A$5:$A$8,0),5)),0)</f>
        <v>0</v>
      </c>
      <c r="Q222" s="163" t="n">
        <f aca="false">IF(OR($H222="",$I222=""),0,IF('Tracker Summary'!$C$3&lt;$H222,0,IF('Tracker Summary'!$C$3&gt;=$I222,1,('Tracker Summary'!$C$3-$H222)/($I222-$H222+1))))</f>
        <v>0</v>
      </c>
      <c r="R222" s="163" t="n">
        <f aca="false">P222-Q222</f>
        <v>0</v>
      </c>
      <c r="S222" s="160" t="str">
        <f aca="false">IF($I222="","Not scheduled",IF(P222&gt;=1,"Complete",IF('Tracker Summary'!$C$3&gt;$I222,"Overdue",IF(P222-Q222&lt;-0.1,"Behind",IF(AND(P222=0,'Tracker Summary'!$C$3&lt;$H222),"Not started","On track")))))</f>
        <v>Not started</v>
      </c>
      <c r="T222" s="90"/>
      <c r="U222" s="160" t="str">
        <f aca="false">IFERROR(INDEX(Schedule!$D$2:$D$147,MATCH($G222,Schedule!$A$2:$A$147,0)),"")</f>
        <v>Electrical, Instrumentation &amp; Controls — Influent pump station and flow splitter</v>
      </c>
      <c r="V222" s="162" t="n">
        <f aca="false">IFERROR(INDEX(Schedule!$F$2:$F$147,MATCH("26-P01",Schedule!$A$2:$A$147,0)),"")</f>
        <v>44999</v>
      </c>
      <c r="W222" s="160" t="s">
        <v>99</v>
      </c>
      <c r="X222" s="160" t="s">
        <v>99</v>
      </c>
      <c r="Y222" s="160" t="n">
        <v>2</v>
      </c>
      <c r="Z222" s="160" t="n">
        <v>4</v>
      </c>
      <c r="AA222" s="160" t="s">
        <v>1035</v>
      </c>
      <c r="AB222" s="160" t="s">
        <v>984</v>
      </c>
      <c r="AC222" s="160" t="s">
        <v>92</v>
      </c>
      <c r="AD222" s="160" t="s">
        <v>499</v>
      </c>
      <c r="AE222" s="160" t="s">
        <v>1036</v>
      </c>
      <c r="AF222" s="160" t="s">
        <v>715</v>
      </c>
      <c r="AG222" s="160" t="s">
        <v>1036</v>
      </c>
      <c r="AH222" s="160" t="s">
        <v>501</v>
      </c>
    </row>
    <row r="223" customFormat="false" ht="15" hidden="false" customHeight="false" outlineLevel="0" collapsed="false">
      <c r="A223" s="160" t="s">
        <v>60</v>
      </c>
      <c r="B223" s="161" t="s">
        <v>37</v>
      </c>
      <c r="C223" s="160" t="s">
        <v>1037</v>
      </c>
      <c r="D223" s="160" t="s">
        <v>1038</v>
      </c>
      <c r="E223" s="160" t="s">
        <v>334</v>
      </c>
      <c r="F223" s="90" t="s">
        <v>234</v>
      </c>
      <c r="G223" s="160" t="s">
        <v>976</v>
      </c>
      <c r="H223" s="162" t="n">
        <f aca="false">IFERROR(INDEX(Schedule!$E$2:$E$147,MATCH($G223,Schedule!$A$2:$A$147,0)),"")</f>
        <v>45078</v>
      </c>
      <c r="I223" s="162" t="n">
        <f aca="false">IFERROR(INDEX(Schedule!$F$2:$F$147,MATCH($G223,Schedule!$A$2:$A$147,0)),"")</f>
        <v>45224</v>
      </c>
      <c r="J223" s="92"/>
      <c r="K223" s="92"/>
      <c r="L223" s="92"/>
      <c r="M223" s="92"/>
      <c r="N223" s="92"/>
      <c r="O223" s="90" t="n">
        <v>1</v>
      </c>
      <c r="P223" s="163" t="n">
        <f aca="false">IFERROR((IF(OR(ISNUMBER(J223),UPPER(TRIM(J223))="N/A"),1,0)*IF($W223="N",0,INDEX('Rules of Credit'!$B$5:$F$8,MATCH($F223,'Rules of Credit'!$A$5:$A$8,0),1))+IF(OR(ISNUMBER(K223),UPPER(TRIM(K223))="N/A"),1,0)*INDEX('Rules of Credit'!$B$5:$F$8,MATCH($F223,'Rules of Credit'!$A$5:$A$8,0),2)+IF(OR(ISNUMBER(L223),UPPER(TRIM(L223))="N/A"),1,0)*INDEX('Rules of Credit'!$B$5:$F$8,MATCH($F223,'Rules of Credit'!$A$5:$A$8,0),3)+IF(OR(ISNUMBER(M223),UPPER(TRIM(M223))="N/A"),1,0)*IF($X223="N",0,INDEX('Rules of Credit'!$B$5:$F$8,MATCH($F223,'Rules of Credit'!$A$5:$A$8,0),4))+IF(OR(ISNUMBER(N223),UPPER(TRIM(N223))="N/A"),1,0)*INDEX('Rules of Credit'!$B$5:$F$8,MATCH($F223,'Rules of Credit'!$A$5:$A$8,0),5))/(IF($W223="N",0,INDEX('Rules of Credit'!$B$5:$F$8,MATCH($F223,'Rules of Credit'!$A$5:$A$8,0),1))+INDEX('Rules of Credit'!$B$5:$F$8,MATCH($F223,'Rules of Credit'!$A$5:$A$8,0),2)+INDEX('Rules of Credit'!$B$5:$F$8,MATCH($F223,'Rules of Credit'!$A$5:$A$8,0),3)+IF($X223="N",0,INDEX('Rules of Credit'!$B$5:$F$8,MATCH($F223,'Rules of Credit'!$A$5:$A$8,0),4))+INDEX('Rules of Credit'!$B$5:$F$8,MATCH($F223,'Rules of Credit'!$A$5:$A$8,0),5)),0)</f>
        <v>0</v>
      </c>
      <c r="Q223" s="163" t="n">
        <f aca="false">IF(OR($H223="",$I223=""),0,IF('Tracker Summary'!$C$3&lt;$H223,0,IF('Tracker Summary'!$C$3&gt;=$I223,1,('Tracker Summary'!$C$3-$H223)/($I223-$H223+1))))</f>
        <v>0</v>
      </c>
      <c r="R223" s="163" t="n">
        <f aca="false">P223-Q223</f>
        <v>0</v>
      </c>
      <c r="S223" s="160" t="str">
        <f aca="false">IF($I223="","Not scheduled",IF(P223&gt;=1,"Complete",IF('Tracker Summary'!$C$3&gt;$I223,"Overdue",IF(P223-Q223&lt;-0.1,"Behind",IF(AND(P223=0,'Tracker Summary'!$C$3&lt;$H223),"Not started","On track")))))</f>
        <v>Not started</v>
      </c>
      <c r="T223" s="90"/>
      <c r="U223" s="160" t="str">
        <f aca="false">IFERROR(INDEX(Schedule!$D$2:$D$147,MATCH($G223,Schedule!$A$2:$A$147,0)),"")</f>
        <v>Electrical, Instrumentation &amp; Controls — Influent pump station and flow splitter</v>
      </c>
      <c r="V223" s="162" t="n">
        <f aca="false">IFERROR(INDEX(Schedule!$F$2:$F$147,MATCH("26-P01",Schedule!$A$2:$A$147,0)),"")</f>
        <v>44999</v>
      </c>
      <c r="W223" s="160" t="s">
        <v>99</v>
      </c>
      <c r="X223" s="160" t="s">
        <v>99</v>
      </c>
      <c r="Y223" s="160" t="n">
        <v>2</v>
      </c>
      <c r="Z223" s="160" t="n">
        <v>4</v>
      </c>
      <c r="AA223" s="160" t="s">
        <v>1039</v>
      </c>
      <c r="AB223" s="160" t="s">
        <v>978</v>
      </c>
      <c r="AC223" s="160" t="s">
        <v>92</v>
      </c>
      <c r="AD223" s="160" t="s">
        <v>499</v>
      </c>
      <c r="AE223" s="160" t="s">
        <v>1036</v>
      </c>
      <c r="AF223" s="160" t="s">
        <v>715</v>
      </c>
      <c r="AG223" s="160" t="s">
        <v>1036</v>
      </c>
      <c r="AH223" s="160" t="s">
        <v>501</v>
      </c>
    </row>
    <row r="224" customFormat="false" ht="15" hidden="false" customHeight="false" outlineLevel="0" collapsed="false">
      <c r="A224" s="160" t="s">
        <v>60</v>
      </c>
      <c r="B224" s="161" t="s">
        <v>37</v>
      </c>
      <c r="C224" s="160" t="s">
        <v>1040</v>
      </c>
      <c r="D224" s="160" t="s">
        <v>1041</v>
      </c>
      <c r="E224" s="160" t="s">
        <v>334</v>
      </c>
      <c r="F224" s="90" t="s">
        <v>234</v>
      </c>
      <c r="G224" s="160" t="s">
        <v>976</v>
      </c>
      <c r="H224" s="162" t="n">
        <f aca="false">IFERROR(INDEX(Schedule!$E$2:$E$147,MATCH($G224,Schedule!$A$2:$A$147,0)),"")</f>
        <v>45078</v>
      </c>
      <c r="I224" s="162" t="n">
        <f aca="false">IFERROR(INDEX(Schedule!$F$2:$F$147,MATCH($G224,Schedule!$A$2:$A$147,0)),"")</f>
        <v>45224</v>
      </c>
      <c r="J224" s="92"/>
      <c r="K224" s="92"/>
      <c r="L224" s="92"/>
      <c r="M224" s="92"/>
      <c r="N224" s="92"/>
      <c r="O224" s="90" t="n">
        <v>1</v>
      </c>
      <c r="P224" s="163" t="n">
        <f aca="false">IFERROR((IF(OR(ISNUMBER(J224),UPPER(TRIM(J224))="N/A"),1,0)*IF($W224="N",0,INDEX('Rules of Credit'!$B$5:$F$8,MATCH($F224,'Rules of Credit'!$A$5:$A$8,0),1))+IF(OR(ISNUMBER(K224),UPPER(TRIM(K224))="N/A"),1,0)*INDEX('Rules of Credit'!$B$5:$F$8,MATCH($F224,'Rules of Credit'!$A$5:$A$8,0),2)+IF(OR(ISNUMBER(L224),UPPER(TRIM(L224))="N/A"),1,0)*INDEX('Rules of Credit'!$B$5:$F$8,MATCH($F224,'Rules of Credit'!$A$5:$A$8,0),3)+IF(OR(ISNUMBER(M224),UPPER(TRIM(M224))="N/A"),1,0)*IF($X224="N",0,INDEX('Rules of Credit'!$B$5:$F$8,MATCH($F224,'Rules of Credit'!$A$5:$A$8,0),4))+IF(OR(ISNUMBER(N224),UPPER(TRIM(N224))="N/A"),1,0)*INDEX('Rules of Credit'!$B$5:$F$8,MATCH($F224,'Rules of Credit'!$A$5:$A$8,0),5))/(IF($W224="N",0,INDEX('Rules of Credit'!$B$5:$F$8,MATCH($F224,'Rules of Credit'!$A$5:$A$8,0),1))+INDEX('Rules of Credit'!$B$5:$F$8,MATCH($F224,'Rules of Credit'!$A$5:$A$8,0),2)+INDEX('Rules of Credit'!$B$5:$F$8,MATCH($F224,'Rules of Credit'!$A$5:$A$8,0),3)+IF($X224="N",0,INDEX('Rules of Credit'!$B$5:$F$8,MATCH($F224,'Rules of Credit'!$A$5:$A$8,0),4))+INDEX('Rules of Credit'!$B$5:$F$8,MATCH($F224,'Rules of Credit'!$A$5:$A$8,0),5)),0)</f>
        <v>0</v>
      </c>
      <c r="Q224" s="163" t="n">
        <f aca="false">IF(OR($H224="",$I224=""),0,IF('Tracker Summary'!$C$3&lt;$H224,0,IF('Tracker Summary'!$C$3&gt;=$I224,1,('Tracker Summary'!$C$3-$H224)/($I224-$H224+1))))</f>
        <v>0</v>
      </c>
      <c r="R224" s="163" t="n">
        <f aca="false">P224-Q224</f>
        <v>0</v>
      </c>
      <c r="S224" s="160" t="str">
        <f aca="false">IF($I224="","Not scheduled",IF(P224&gt;=1,"Complete",IF('Tracker Summary'!$C$3&gt;$I224,"Overdue",IF(P224-Q224&lt;-0.1,"Behind",IF(AND(P224=0,'Tracker Summary'!$C$3&lt;$H224),"Not started","On track")))))</f>
        <v>Not started</v>
      </c>
      <c r="T224" s="90"/>
      <c r="U224" s="160" t="str">
        <f aca="false">IFERROR(INDEX(Schedule!$D$2:$D$147,MATCH($G224,Schedule!$A$2:$A$147,0)),"")</f>
        <v>Electrical, Instrumentation &amp; Controls — Influent pump station and flow splitter</v>
      </c>
      <c r="V224" s="162" t="n">
        <f aca="false">IFERROR(INDEX(Schedule!$F$2:$F$147,MATCH("26-P01",Schedule!$A$2:$A$147,0)),"")</f>
        <v>44999</v>
      </c>
      <c r="W224" s="160" t="s">
        <v>99</v>
      </c>
      <c r="X224" s="160" t="s">
        <v>99</v>
      </c>
      <c r="Y224" s="160" t="n">
        <v>2</v>
      </c>
      <c r="Z224" s="160" t="n">
        <v>4</v>
      </c>
      <c r="AA224" s="160" t="s">
        <v>1042</v>
      </c>
      <c r="AB224" s="160" t="s">
        <v>992</v>
      </c>
      <c r="AC224" s="160" t="s">
        <v>92</v>
      </c>
      <c r="AD224" s="160" t="s">
        <v>499</v>
      </c>
      <c r="AE224" s="160" t="s">
        <v>1036</v>
      </c>
      <c r="AF224" s="160" t="s">
        <v>715</v>
      </c>
      <c r="AG224" s="160" t="s">
        <v>1036</v>
      </c>
      <c r="AH224" s="160" t="s">
        <v>501</v>
      </c>
    </row>
    <row r="225" customFormat="false" ht="15" hidden="false" customHeight="false" outlineLevel="0" collapsed="false">
      <c r="A225" s="160" t="s">
        <v>60</v>
      </c>
      <c r="B225" s="161" t="s">
        <v>37</v>
      </c>
      <c r="C225" s="160" t="s">
        <v>1043</v>
      </c>
      <c r="D225" s="160" t="s">
        <v>1044</v>
      </c>
      <c r="E225" s="160" t="s">
        <v>376</v>
      </c>
      <c r="F225" s="90" t="s">
        <v>234</v>
      </c>
      <c r="G225" s="160" t="s">
        <v>1045</v>
      </c>
      <c r="H225" s="162" t="n">
        <f aca="false">IFERROR(INDEX(Schedule!$E$2:$E$147,MATCH($G225,Schedule!$A$2:$A$147,0)),"")</f>
        <v>45139</v>
      </c>
      <c r="I225" s="162" t="n">
        <f aca="false">IFERROR(INDEX(Schedule!$F$2:$F$147,MATCH($G225,Schedule!$A$2:$A$147,0)),"")</f>
        <v>45481</v>
      </c>
      <c r="J225" s="92"/>
      <c r="K225" s="92"/>
      <c r="L225" s="92"/>
      <c r="M225" s="92"/>
      <c r="N225" s="92"/>
      <c r="O225" s="90" t="n">
        <v>1</v>
      </c>
      <c r="P225" s="163" t="n">
        <f aca="false">IFERROR((IF(OR(ISNUMBER(J225),UPPER(TRIM(J225))="N/A"),1,0)*IF($W225="N",0,INDEX('Rules of Credit'!$B$5:$F$8,MATCH($F225,'Rules of Credit'!$A$5:$A$8,0),1))+IF(OR(ISNUMBER(K225),UPPER(TRIM(K225))="N/A"),1,0)*INDEX('Rules of Credit'!$B$5:$F$8,MATCH($F225,'Rules of Credit'!$A$5:$A$8,0),2)+IF(OR(ISNUMBER(L225),UPPER(TRIM(L225))="N/A"),1,0)*INDEX('Rules of Credit'!$B$5:$F$8,MATCH($F225,'Rules of Credit'!$A$5:$A$8,0),3)+IF(OR(ISNUMBER(M225),UPPER(TRIM(M225))="N/A"),1,0)*IF($X225="N",0,INDEX('Rules of Credit'!$B$5:$F$8,MATCH($F225,'Rules of Credit'!$A$5:$A$8,0),4))+IF(OR(ISNUMBER(N225),UPPER(TRIM(N225))="N/A"),1,0)*INDEX('Rules of Credit'!$B$5:$F$8,MATCH($F225,'Rules of Credit'!$A$5:$A$8,0),5))/(IF($W225="N",0,INDEX('Rules of Credit'!$B$5:$F$8,MATCH($F225,'Rules of Credit'!$A$5:$A$8,0),1))+INDEX('Rules of Credit'!$B$5:$F$8,MATCH($F225,'Rules of Credit'!$A$5:$A$8,0),2)+INDEX('Rules of Credit'!$B$5:$F$8,MATCH($F225,'Rules of Credit'!$A$5:$A$8,0),3)+IF($X225="N",0,INDEX('Rules of Credit'!$B$5:$F$8,MATCH($F225,'Rules of Credit'!$A$5:$A$8,0),4))+INDEX('Rules of Credit'!$B$5:$F$8,MATCH($F225,'Rules of Credit'!$A$5:$A$8,0),5)),0)</f>
        <v>0</v>
      </c>
      <c r="Q225" s="163" t="n">
        <f aca="false">IF(OR($H225="",$I225=""),0,IF('Tracker Summary'!$C$3&lt;$H225,0,IF('Tracker Summary'!$C$3&gt;=$I225,1,('Tracker Summary'!$C$3-$H225)/($I225-$H225+1))))</f>
        <v>0</v>
      </c>
      <c r="R225" s="163" t="n">
        <f aca="false">P225-Q225</f>
        <v>0</v>
      </c>
      <c r="S225" s="160" t="str">
        <f aca="false">IF($I225="","Not scheduled",IF(P225&gt;=1,"Complete",IF('Tracker Summary'!$C$3&gt;$I225,"Overdue",IF(P225-Q225&lt;-0.1,"Behind",IF(AND(P225=0,'Tracker Summary'!$C$3&lt;$H225),"Not started","On track")))))</f>
        <v>Not started</v>
      </c>
      <c r="T225" s="90"/>
      <c r="U225" s="160" t="str">
        <f aca="false">IFERROR(INDEX(Schedule!$D$2:$D$147,MATCH($G225,Schedule!$A$2:$A$147,0)),"")</f>
        <v>Electrical, Instrumentation &amp; Controls — Train 3</v>
      </c>
      <c r="V225" s="162" t="n">
        <f aca="false">IFERROR(INDEX(Schedule!$F$2:$F$147,MATCH("26-P01",Schedule!$A$2:$A$147,0)),"")</f>
        <v>44999</v>
      </c>
      <c r="W225" s="160" t="s">
        <v>91</v>
      </c>
      <c r="X225" s="160" t="s">
        <v>91</v>
      </c>
      <c r="Y225" s="160" t="n">
        <v>0</v>
      </c>
      <c r="Z225" s="160" t="n">
        <v>0</v>
      </c>
      <c r="AA225" s="160" t="s">
        <v>1046</v>
      </c>
      <c r="AB225" s="160" t="s">
        <v>992</v>
      </c>
      <c r="AC225" s="160" t="s">
        <v>92</v>
      </c>
      <c r="AD225" s="160" t="s">
        <v>93</v>
      </c>
      <c r="AE225" s="160" t="s">
        <v>1047</v>
      </c>
      <c r="AF225" s="160"/>
      <c r="AG225" s="160" t="s">
        <v>980</v>
      </c>
      <c r="AH225" s="160" t="s">
        <v>95</v>
      </c>
    </row>
    <row r="226" customFormat="false" ht="15" hidden="false" customHeight="false" outlineLevel="0" collapsed="false">
      <c r="A226" s="160" t="s">
        <v>60</v>
      </c>
      <c r="B226" s="161" t="s">
        <v>37</v>
      </c>
      <c r="C226" s="160" t="s">
        <v>1048</v>
      </c>
      <c r="D226" s="160" t="s">
        <v>1049</v>
      </c>
      <c r="E226" s="160" t="s">
        <v>1050</v>
      </c>
      <c r="F226" s="90" t="s">
        <v>234</v>
      </c>
      <c r="G226" s="160" t="s">
        <v>1045</v>
      </c>
      <c r="H226" s="162" t="n">
        <f aca="false">IFERROR(INDEX(Schedule!$E$2:$E$147,MATCH($G226,Schedule!$A$2:$A$147,0)),"")</f>
        <v>45139</v>
      </c>
      <c r="I226" s="162" t="n">
        <f aca="false">IFERROR(INDEX(Schedule!$F$2:$F$147,MATCH($G226,Schedule!$A$2:$A$147,0)),"")</f>
        <v>45481</v>
      </c>
      <c r="J226" s="92"/>
      <c r="K226" s="92"/>
      <c r="L226" s="92"/>
      <c r="M226" s="92"/>
      <c r="N226" s="92"/>
      <c r="O226" s="90" t="n">
        <v>1</v>
      </c>
      <c r="P226" s="163" t="n">
        <f aca="false">IFERROR((IF(OR(ISNUMBER(J226),UPPER(TRIM(J226))="N/A"),1,0)*IF($W226="N",0,INDEX('Rules of Credit'!$B$5:$F$8,MATCH($F226,'Rules of Credit'!$A$5:$A$8,0),1))+IF(OR(ISNUMBER(K226),UPPER(TRIM(K226))="N/A"),1,0)*INDEX('Rules of Credit'!$B$5:$F$8,MATCH($F226,'Rules of Credit'!$A$5:$A$8,0),2)+IF(OR(ISNUMBER(L226),UPPER(TRIM(L226))="N/A"),1,0)*INDEX('Rules of Credit'!$B$5:$F$8,MATCH($F226,'Rules of Credit'!$A$5:$A$8,0),3)+IF(OR(ISNUMBER(M226),UPPER(TRIM(M226))="N/A"),1,0)*IF($X226="N",0,INDEX('Rules of Credit'!$B$5:$F$8,MATCH($F226,'Rules of Credit'!$A$5:$A$8,0),4))+IF(OR(ISNUMBER(N226),UPPER(TRIM(N226))="N/A"),1,0)*INDEX('Rules of Credit'!$B$5:$F$8,MATCH($F226,'Rules of Credit'!$A$5:$A$8,0),5))/(IF($W226="N",0,INDEX('Rules of Credit'!$B$5:$F$8,MATCH($F226,'Rules of Credit'!$A$5:$A$8,0),1))+INDEX('Rules of Credit'!$B$5:$F$8,MATCH($F226,'Rules of Credit'!$A$5:$A$8,0),2)+INDEX('Rules of Credit'!$B$5:$F$8,MATCH($F226,'Rules of Credit'!$A$5:$A$8,0),3)+IF($X226="N",0,INDEX('Rules of Credit'!$B$5:$F$8,MATCH($F226,'Rules of Credit'!$A$5:$A$8,0),4))+INDEX('Rules of Credit'!$B$5:$F$8,MATCH($F226,'Rules of Credit'!$A$5:$A$8,0),5)),0)</f>
        <v>0</v>
      </c>
      <c r="Q226" s="163" t="n">
        <f aca="false">IF(OR($H226="",$I226=""),0,IF('Tracker Summary'!$C$3&lt;$H226,0,IF('Tracker Summary'!$C$3&gt;=$I226,1,('Tracker Summary'!$C$3-$H226)/($I226-$H226+1))))</f>
        <v>0</v>
      </c>
      <c r="R226" s="163" t="n">
        <f aca="false">P226-Q226</f>
        <v>0</v>
      </c>
      <c r="S226" s="160" t="str">
        <f aca="false">IF($I226="","Not scheduled",IF(P226&gt;=1,"Complete",IF('Tracker Summary'!$C$3&gt;$I226,"Overdue",IF(P226-Q226&lt;-0.1,"Behind",IF(AND(P226=0,'Tracker Summary'!$C$3&lt;$H226),"Not started","On track")))))</f>
        <v>Not started</v>
      </c>
      <c r="T226" s="90"/>
      <c r="U226" s="160" t="str">
        <f aca="false">IFERROR(INDEX(Schedule!$D$2:$D$147,MATCH($G226,Schedule!$A$2:$A$147,0)),"")</f>
        <v>Electrical, Instrumentation &amp; Controls — Train 3</v>
      </c>
      <c r="V226" s="162" t="n">
        <f aca="false">IFERROR(INDEX(Schedule!$F$2:$F$147,MATCH("26-P01",Schedule!$A$2:$A$147,0)),"")</f>
        <v>44999</v>
      </c>
      <c r="W226" s="160" t="s">
        <v>99</v>
      </c>
      <c r="X226" s="160" t="s">
        <v>91</v>
      </c>
      <c r="Y226" s="160" t="n">
        <v>2</v>
      </c>
      <c r="Z226" s="160" t="n">
        <v>0</v>
      </c>
      <c r="AA226" s="160"/>
      <c r="AB226" s="160"/>
      <c r="AC226" s="160" t="s">
        <v>92</v>
      </c>
      <c r="AD226" s="160" t="s">
        <v>499</v>
      </c>
      <c r="AE226" s="160" t="s">
        <v>1051</v>
      </c>
      <c r="AF226" s="160" t="s">
        <v>792</v>
      </c>
      <c r="AG226" s="160" t="s">
        <v>1051</v>
      </c>
      <c r="AH226" s="160" t="s">
        <v>501</v>
      </c>
    </row>
    <row r="227" customFormat="false" ht="15" hidden="false" customHeight="false" outlineLevel="0" collapsed="false">
      <c r="A227" s="160" t="s">
        <v>60</v>
      </c>
      <c r="B227" s="161" t="s">
        <v>37</v>
      </c>
      <c r="C227" s="160" t="s">
        <v>1052</v>
      </c>
      <c r="D227" s="160" t="s">
        <v>1053</v>
      </c>
      <c r="E227" s="160" t="s">
        <v>1050</v>
      </c>
      <c r="F227" s="90" t="s">
        <v>234</v>
      </c>
      <c r="G227" s="160" t="s">
        <v>1045</v>
      </c>
      <c r="H227" s="162" t="n">
        <f aca="false">IFERROR(INDEX(Schedule!$E$2:$E$147,MATCH($G227,Schedule!$A$2:$A$147,0)),"")</f>
        <v>45139</v>
      </c>
      <c r="I227" s="162" t="n">
        <f aca="false">IFERROR(INDEX(Schedule!$F$2:$F$147,MATCH($G227,Schedule!$A$2:$A$147,0)),"")</f>
        <v>45481</v>
      </c>
      <c r="J227" s="92"/>
      <c r="K227" s="92"/>
      <c r="L227" s="92"/>
      <c r="M227" s="92"/>
      <c r="N227" s="92"/>
      <c r="O227" s="90" t="n">
        <v>1</v>
      </c>
      <c r="P227" s="163" t="n">
        <f aca="false">IFERROR((IF(OR(ISNUMBER(J227),UPPER(TRIM(J227))="N/A"),1,0)*IF($W227="N",0,INDEX('Rules of Credit'!$B$5:$F$8,MATCH($F227,'Rules of Credit'!$A$5:$A$8,0),1))+IF(OR(ISNUMBER(K227),UPPER(TRIM(K227))="N/A"),1,0)*INDEX('Rules of Credit'!$B$5:$F$8,MATCH($F227,'Rules of Credit'!$A$5:$A$8,0),2)+IF(OR(ISNUMBER(L227),UPPER(TRIM(L227))="N/A"),1,0)*INDEX('Rules of Credit'!$B$5:$F$8,MATCH($F227,'Rules of Credit'!$A$5:$A$8,0),3)+IF(OR(ISNUMBER(M227),UPPER(TRIM(M227))="N/A"),1,0)*IF($X227="N",0,INDEX('Rules of Credit'!$B$5:$F$8,MATCH($F227,'Rules of Credit'!$A$5:$A$8,0),4))+IF(OR(ISNUMBER(N227),UPPER(TRIM(N227))="N/A"),1,0)*INDEX('Rules of Credit'!$B$5:$F$8,MATCH($F227,'Rules of Credit'!$A$5:$A$8,0),5))/(IF($W227="N",0,INDEX('Rules of Credit'!$B$5:$F$8,MATCH($F227,'Rules of Credit'!$A$5:$A$8,0),1))+INDEX('Rules of Credit'!$B$5:$F$8,MATCH($F227,'Rules of Credit'!$A$5:$A$8,0),2)+INDEX('Rules of Credit'!$B$5:$F$8,MATCH($F227,'Rules of Credit'!$A$5:$A$8,0),3)+IF($X227="N",0,INDEX('Rules of Credit'!$B$5:$F$8,MATCH($F227,'Rules of Credit'!$A$5:$A$8,0),4))+INDEX('Rules of Credit'!$B$5:$F$8,MATCH($F227,'Rules of Credit'!$A$5:$A$8,0),5)),0)</f>
        <v>0</v>
      </c>
      <c r="Q227" s="163" t="n">
        <f aca="false">IF(OR($H227="",$I227=""),0,IF('Tracker Summary'!$C$3&lt;$H227,0,IF('Tracker Summary'!$C$3&gt;=$I227,1,('Tracker Summary'!$C$3-$H227)/($I227-$H227+1))))</f>
        <v>0</v>
      </c>
      <c r="R227" s="163" t="n">
        <f aca="false">P227-Q227</f>
        <v>0</v>
      </c>
      <c r="S227" s="160" t="str">
        <f aca="false">IF($I227="","Not scheduled",IF(P227&gt;=1,"Complete",IF('Tracker Summary'!$C$3&gt;$I227,"Overdue",IF(P227-Q227&lt;-0.1,"Behind",IF(AND(P227=0,'Tracker Summary'!$C$3&lt;$H227),"Not started","On track")))))</f>
        <v>Not started</v>
      </c>
      <c r="T227" s="90"/>
      <c r="U227" s="160" t="str">
        <f aca="false">IFERROR(INDEX(Schedule!$D$2:$D$147,MATCH($G227,Schedule!$A$2:$A$147,0)),"")</f>
        <v>Electrical, Instrumentation &amp; Controls — Train 3</v>
      </c>
      <c r="V227" s="162" t="n">
        <f aca="false">IFERROR(INDEX(Schedule!$F$2:$F$147,MATCH("26-P01",Schedule!$A$2:$A$147,0)),"")</f>
        <v>44999</v>
      </c>
      <c r="W227" s="160" t="s">
        <v>99</v>
      </c>
      <c r="X227" s="160" t="s">
        <v>99</v>
      </c>
      <c r="Y227" s="160" t="n">
        <v>3</v>
      </c>
      <c r="Z227" s="160" t="n">
        <v>1</v>
      </c>
      <c r="AA227" s="160"/>
      <c r="AB227" s="160"/>
      <c r="AC227" s="160" t="s">
        <v>498</v>
      </c>
      <c r="AD227" s="160" t="s">
        <v>499</v>
      </c>
      <c r="AE227" s="160" t="s">
        <v>1054</v>
      </c>
      <c r="AF227" s="160" t="s">
        <v>752</v>
      </c>
      <c r="AG227" s="160" t="s">
        <v>1054</v>
      </c>
      <c r="AH227" s="160" t="s">
        <v>501</v>
      </c>
    </row>
    <row r="228" customFormat="false" ht="15" hidden="false" customHeight="false" outlineLevel="0" collapsed="false">
      <c r="A228" s="160" t="s">
        <v>60</v>
      </c>
      <c r="B228" s="161" t="s">
        <v>37</v>
      </c>
      <c r="C228" s="160" t="s">
        <v>1055</v>
      </c>
      <c r="D228" s="160" t="s">
        <v>1056</v>
      </c>
      <c r="E228" s="160" t="s">
        <v>98</v>
      </c>
      <c r="F228" s="90" t="s">
        <v>89</v>
      </c>
      <c r="G228" s="160" t="s">
        <v>1057</v>
      </c>
      <c r="H228" s="162" t="n">
        <f aca="false">IFERROR(INDEX(Schedule!$E$2:$E$147,MATCH($G228,Schedule!$A$2:$A$147,0)),"")</f>
        <v>45194</v>
      </c>
      <c r="I228" s="162" t="n">
        <f aca="false">IFERROR(INDEX(Schedule!$F$2:$F$147,MATCH($G228,Schedule!$A$2:$A$147,0)),"")</f>
        <v>45412</v>
      </c>
      <c r="J228" s="92"/>
      <c r="K228" s="92"/>
      <c r="L228" s="92"/>
      <c r="M228" s="92"/>
      <c r="N228" s="92"/>
      <c r="O228" s="90" t="n">
        <v>1</v>
      </c>
      <c r="P228" s="163" t="n">
        <f aca="false">IFERROR((IF(OR(ISNUMBER(J228),UPPER(TRIM(J228))="N/A"),1,0)*IF($W228="N",0,INDEX('Rules of Credit'!$B$5:$F$8,MATCH($F228,'Rules of Credit'!$A$5:$A$8,0),1))+IF(OR(ISNUMBER(K228),UPPER(TRIM(K228))="N/A"),1,0)*INDEX('Rules of Credit'!$B$5:$F$8,MATCH($F228,'Rules of Credit'!$A$5:$A$8,0),2)+IF(OR(ISNUMBER(L228),UPPER(TRIM(L228))="N/A"),1,0)*INDEX('Rules of Credit'!$B$5:$F$8,MATCH($F228,'Rules of Credit'!$A$5:$A$8,0),3)+IF(OR(ISNUMBER(M228),UPPER(TRIM(M228))="N/A"),1,0)*IF($X228="N",0,INDEX('Rules of Credit'!$B$5:$F$8,MATCH($F228,'Rules of Credit'!$A$5:$A$8,0),4))+IF(OR(ISNUMBER(N228),UPPER(TRIM(N228))="N/A"),1,0)*INDEX('Rules of Credit'!$B$5:$F$8,MATCH($F228,'Rules of Credit'!$A$5:$A$8,0),5))/(IF($W228="N",0,INDEX('Rules of Credit'!$B$5:$F$8,MATCH($F228,'Rules of Credit'!$A$5:$A$8,0),1))+INDEX('Rules of Credit'!$B$5:$F$8,MATCH($F228,'Rules of Credit'!$A$5:$A$8,0),2)+INDEX('Rules of Credit'!$B$5:$F$8,MATCH($F228,'Rules of Credit'!$A$5:$A$8,0),3)+IF($X228="N",0,INDEX('Rules of Credit'!$B$5:$F$8,MATCH($F228,'Rules of Credit'!$A$5:$A$8,0),4))+INDEX('Rules of Credit'!$B$5:$F$8,MATCH($F228,'Rules of Credit'!$A$5:$A$8,0),5)),0)</f>
        <v>0</v>
      </c>
      <c r="Q228" s="163" t="n">
        <f aca="false">IF(OR($H228="",$I228=""),0,IF('Tracker Summary'!$C$3&lt;$H228,0,IF('Tracker Summary'!$C$3&gt;=$I228,1,('Tracker Summary'!$C$3-$H228)/($I228-$H228+1))))</f>
        <v>0</v>
      </c>
      <c r="R228" s="163" t="n">
        <f aca="false">P228-Q228</f>
        <v>0</v>
      </c>
      <c r="S228" s="160" t="str">
        <f aca="false">IF($I228="","Not scheduled",IF(P228&gt;=1,"Complete",IF('Tracker Summary'!$C$3&gt;$I228,"Overdue",IF(P228-Q228&lt;-0.1,"Behind",IF(AND(P228=0,'Tracker Summary'!$C$3&lt;$H228),"Not started","On track")))))</f>
        <v>Not started</v>
      </c>
      <c r="T228" s="90"/>
      <c r="U228" s="160" t="str">
        <f aca="false">IFERROR(INDEX(Schedule!$D$2:$D$147,MATCH($G228,Schedule!$A$2:$A$147,0)),"")</f>
        <v>Electrical, Instrumentation &amp; Controls — Temporary back-up generator (rental)</v>
      </c>
      <c r="V228" s="162" t="n">
        <f aca="false">IFERROR(INDEX(Schedule!$F$2:$F$147,MATCH("26-P01",Schedule!$A$2:$A$147,0)),"")</f>
        <v>44999</v>
      </c>
      <c r="W228" s="160" t="s">
        <v>91</v>
      </c>
      <c r="X228" s="160" t="s">
        <v>99</v>
      </c>
      <c r="Y228" s="160" t="n">
        <v>0</v>
      </c>
      <c r="Z228" s="160" t="n">
        <v>1</v>
      </c>
      <c r="AA228" s="160" t="s">
        <v>1058</v>
      </c>
      <c r="AB228" s="160" t="s">
        <v>1059</v>
      </c>
      <c r="AC228" s="160" t="s">
        <v>120</v>
      </c>
      <c r="AD228" s="160" t="s">
        <v>414</v>
      </c>
      <c r="AE228" s="160" t="s">
        <v>1060</v>
      </c>
      <c r="AF228" s="160"/>
      <c r="AG228" s="160" t="s">
        <v>1060</v>
      </c>
      <c r="AH228" s="160" t="s">
        <v>95</v>
      </c>
    </row>
    <row r="229" customFormat="false" ht="15" hidden="false" customHeight="false" outlineLevel="0" collapsed="false">
      <c r="A229" s="160" t="s">
        <v>60</v>
      </c>
      <c r="B229" s="161" t="s">
        <v>37</v>
      </c>
      <c r="C229" s="160" t="s">
        <v>1061</v>
      </c>
      <c r="D229" s="160" t="s">
        <v>1062</v>
      </c>
      <c r="E229" s="160" t="s">
        <v>495</v>
      </c>
      <c r="F229" s="90" t="s">
        <v>89</v>
      </c>
      <c r="G229" s="160" t="s">
        <v>1057</v>
      </c>
      <c r="H229" s="162" t="n">
        <f aca="false">IFERROR(INDEX(Schedule!$E$2:$E$147,MATCH($G229,Schedule!$A$2:$A$147,0)),"")</f>
        <v>45194</v>
      </c>
      <c r="I229" s="162" t="n">
        <f aca="false">IFERROR(INDEX(Schedule!$F$2:$F$147,MATCH($G229,Schedule!$A$2:$A$147,0)),"")</f>
        <v>45412</v>
      </c>
      <c r="J229" s="92"/>
      <c r="K229" s="92"/>
      <c r="L229" s="92"/>
      <c r="M229" s="92"/>
      <c r="N229" s="92"/>
      <c r="O229" s="90" t="n">
        <v>1</v>
      </c>
      <c r="P229" s="163" t="n">
        <f aca="false">IFERROR((IF(OR(ISNUMBER(J229),UPPER(TRIM(J229))="N/A"),1,0)*IF($W229="N",0,INDEX('Rules of Credit'!$B$5:$F$8,MATCH($F229,'Rules of Credit'!$A$5:$A$8,0),1))+IF(OR(ISNUMBER(K229),UPPER(TRIM(K229))="N/A"),1,0)*INDEX('Rules of Credit'!$B$5:$F$8,MATCH($F229,'Rules of Credit'!$A$5:$A$8,0),2)+IF(OR(ISNUMBER(L229),UPPER(TRIM(L229))="N/A"),1,0)*INDEX('Rules of Credit'!$B$5:$F$8,MATCH($F229,'Rules of Credit'!$A$5:$A$8,0),3)+IF(OR(ISNUMBER(M229),UPPER(TRIM(M229))="N/A"),1,0)*IF($X229="N",0,INDEX('Rules of Credit'!$B$5:$F$8,MATCH($F229,'Rules of Credit'!$A$5:$A$8,0),4))+IF(OR(ISNUMBER(N229),UPPER(TRIM(N229))="N/A"),1,0)*INDEX('Rules of Credit'!$B$5:$F$8,MATCH($F229,'Rules of Credit'!$A$5:$A$8,0),5))/(IF($W229="N",0,INDEX('Rules of Credit'!$B$5:$F$8,MATCH($F229,'Rules of Credit'!$A$5:$A$8,0),1))+INDEX('Rules of Credit'!$B$5:$F$8,MATCH($F229,'Rules of Credit'!$A$5:$A$8,0),2)+INDEX('Rules of Credit'!$B$5:$F$8,MATCH($F229,'Rules of Credit'!$A$5:$A$8,0),3)+IF($X229="N",0,INDEX('Rules of Credit'!$B$5:$F$8,MATCH($F229,'Rules of Credit'!$A$5:$A$8,0),4))+INDEX('Rules of Credit'!$B$5:$F$8,MATCH($F229,'Rules of Credit'!$A$5:$A$8,0),5)),0)</f>
        <v>0</v>
      </c>
      <c r="Q229" s="163" t="n">
        <f aca="false">IF(OR($H229="",$I229=""),0,IF('Tracker Summary'!$C$3&lt;$H229,0,IF('Tracker Summary'!$C$3&gt;=$I229,1,('Tracker Summary'!$C$3-$H229)/($I229-$H229+1))))</f>
        <v>0</v>
      </c>
      <c r="R229" s="163" t="n">
        <f aca="false">P229-Q229</f>
        <v>0</v>
      </c>
      <c r="S229" s="160" t="str">
        <f aca="false">IF($I229="","Not scheduled",IF(P229&gt;=1,"Complete",IF('Tracker Summary'!$C$3&gt;$I229,"Overdue",IF(P229-Q229&lt;-0.1,"Behind",IF(AND(P229=0,'Tracker Summary'!$C$3&lt;$H229),"Not started","On track")))))</f>
        <v>Not started</v>
      </c>
      <c r="T229" s="90"/>
      <c r="U229" s="160" t="str">
        <f aca="false">IFERROR(INDEX(Schedule!$D$2:$D$147,MATCH($G229,Schedule!$A$2:$A$147,0)),"")</f>
        <v>Electrical, Instrumentation &amp; Controls — Temporary back-up generator (rental)</v>
      </c>
      <c r="V229" s="162" t="n">
        <f aca="false">IFERROR(INDEX(Schedule!$F$2:$F$147,MATCH("26-P01",Schedule!$A$2:$A$147,0)),"")</f>
        <v>44999</v>
      </c>
      <c r="W229" s="160" t="s">
        <v>99</v>
      </c>
      <c r="X229" s="160" t="s">
        <v>99</v>
      </c>
      <c r="Y229" s="160" t="n">
        <v>2</v>
      </c>
      <c r="Z229" s="160" t="n">
        <v>2</v>
      </c>
      <c r="AA229" s="160" t="s">
        <v>1063</v>
      </c>
      <c r="AB229" s="160" t="s">
        <v>1064</v>
      </c>
      <c r="AC229" s="160" t="s">
        <v>120</v>
      </c>
      <c r="AD229" s="160" t="s">
        <v>414</v>
      </c>
      <c r="AE229" s="160" t="s">
        <v>1065</v>
      </c>
      <c r="AF229" s="160" t="s">
        <v>696</v>
      </c>
      <c r="AG229" s="160" t="s">
        <v>1066</v>
      </c>
      <c r="AH229" s="160" t="s">
        <v>501</v>
      </c>
    </row>
    <row r="230" customFormat="false" ht="15" hidden="false" customHeight="false" outlineLevel="0" collapsed="false">
      <c r="A230" s="160" t="s">
        <v>60</v>
      </c>
      <c r="B230" s="161" t="s">
        <v>37</v>
      </c>
      <c r="C230" s="160" t="s">
        <v>1067</v>
      </c>
      <c r="D230" s="160" t="s">
        <v>1068</v>
      </c>
      <c r="E230" s="160" t="s">
        <v>115</v>
      </c>
      <c r="F230" s="90" t="s">
        <v>89</v>
      </c>
      <c r="G230" s="160" t="s">
        <v>1057</v>
      </c>
      <c r="H230" s="162" t="n">
        <f aca="false">IFERROR(INDEX(Schedule!$E$2:$E$147,MATCH($G230,Schedule!$A$2:$A$147,0)),"")</f>
        <v>45194</v>
      </c>
      <c r="I230" s="162" t="n">
        <f aca="false">IFERROR(INDEX(Schedule!$F$2:$F$147,MATCH($G230,Schedule!$A$2:$A$147,0)),"")</f>
        <v>45412</v>
      </c>
      <c r="J230" s="92"/>
      <c r="K230" s="92"/>
      <c r="L230" s="92"/>
      <c r="M230" s="92"/>
      <c r="N230" s="92"/>
      <c r="O230" s="90" t="n">
        <v>1</v>
      </c>
      <c r="P230" s="163" t="n">
        <f aca="false">IFERROR((IF(OR(ISNUMBER(J230),UPPER(TRIM(J230))="N/A"),1,0)*IF($W230="N",0,INDEX('Rules of Credit'!$B$5:$F$8,MATCH($F230,'Rules of Credit'!$A$5:$A$8,0),1))+IF(OR(ISNUMBER(K230),UPPER(TRIM(K230))="N/A"),1,0)*INDEX('Rules of Credit'!$B$5:$F$8,MATCH($F230,'Rules of Credit'!$A$5:$A$8,0),2)+IF(OR(ISNUMBER(L230),UPPER(TRIM(L230))="N/A"),1,0)*INDEX('Rules of Credit'!$B$5:$F$8,MATCH($F230,'Rules of Credit'!$A$5:$A$8,0),3)+IF(OR(ISNUMBER(M230),UPPER(TRIM(M230))="N/A"),1,0)*IF($X230="N",0,INDEX('Rules of Credit'!$B$5:$F$8,MATCH($F230,'Rules of Credit'!$A$5:$A$8,0),4))+IF(OR(ISNUMBER(N230),UPPER(TRIM(N230))="N/A"),1,0)*INDEX('Rules of Credit'!$B$5:$F$8,MATCH($F230,'Rules of Credit'!$A$5:$A$8,0),5))/(IF($W230="N",0,INDEX('Rules of Credit'!$B$5:$F$8,MATCH($F230,'Rules of Credit'!$A$5:$A$8,0),1))+INDEX('Rules of Credit'!$B$5:$F$8,MATCH($F230,'Rules of Credit'!$A$5:$A$8,0),2)+INDEX('Rules of Credit'!$B$5:$F$8,MATCH($F230,'Rules of Credit'!$A$5:$A$8,0),3)+IF($X230="N",0,INDEX('Rules of Credit'!$B$5:$F$8,MATCH($F230,'Rules of Credit'!$A$5:$A$8,0),4))+INDEX('Rules of Credit'!$B$5:$F$8,MATCH($F230,'Rules of Credit'!$A$5:$A$8,0),5)),0)</f>
        <v>0</v>
      </c>
      <c r="Q230" s="163" t="n">
        <f aca="false">IF(OR($H230="",$I230=""),0,IF('Tracker Summary'!$C$3&lt;$H230,0,IF('Tracker Summary'!$C$3&gt;=$I230,1,('Tracker Summary'!$C$3-$H230)/($I230-$H230+1))))</f>
        <v>0</v>
      </c>
      <c r="R230" s="163" t="n">
        <f aca="false">P230-Q230</f>
        <v>0</v>
      </c>
      <c r="S230" s="160" t="str">
        <f aca="false">IF($I230="","Not scheduled",IF(P230&gt;=1,"Complete",IF('Tracker Summary'!$C$3&gt;$I230,"Overdue",IF(P230-Q230&lt;-0.1,"Behind",IF(AND(P230=0,'Tracker Summary'!$C$3&lt;$H230),"Not started","On track")))))</f>
        <v>Not started</v>
      </c>
      <c r="T230" s="90"/>
      <c r="U230" s="160" t="str">
        <f aca="false">IFERROR(INDEX(Schedule!$D$2:$D$147,MATCH($G230,Schedule!$A$2:$A$147,0)),"")</f>
        <v>Electrical, Instrumentation &amp; Controls — Temporary back-up generator (rental)</v>
      </c>
      <c r="V230" s="162" t="n">
        <f aca="false">IFERROR(INDEX(Schedule!$F$2:$F$147,MATCH("26-P01",Schedule!$A$2:$A$147,0)),"")</f>
        <v>44999</v>
      </c>
      <c r="W230" s="160" t="s">
        <v>91</v>
      </c>
      <c r="X230" s="160" t="s">
        <v>99</v>
      </c>
      <c r="Y230" s="160" t="n">
        <v>0</v>
      </c>
      <c r="Z230" s="160" t="n">
        <v>0</v>
      </c>
      <c r="AA230" s="160" t="s">
        <v>1069</v>
      </c>
      <c r="AB230" s="160" t="s">
        <v>1070</v>
      </c>
      <c r="AC230" s="160" t="s">
        <v>120</v>
      </c>
      <c r="AD230" s="160" t="s">
        <v>414</v>
      </c>
      <c r="AE230" s="160"/>
      <c r="AF230" s="160" t="s">
        <v>139</v>
      </c>
      <c r="AG230" s="160" t="s">
        <v>1071</v>
      </c>
      <c r="AH230" s="160" t="s">
        <v>109</v>
      </c>
    </row>
    <row r="231" customFormat="false" ht="15" hidden="false" customHeight="false" outlineLevel="0" collapsed="false">
      <c r="A231" s="160" t="s">
        <v>60</v>
      </c>
      <c r="B231" s="161" t="s">
        <v>37</v>
      </c>
      <c r="C231" s="160" t="s">
        <v>1072</v>
      </c>
      <c r="D231" s="160" t="s">
        <v>1073</v>
      </c>
      <c r="E231" s="160" t="s">
        <v>1074</v>
      </c>
      <c r="F231" s="90" t="s">
        <v>234</v>
      </c>
      <c r="G231" s="160" t="s">
        <v>1075</v>
      </c>
      <c r="H231" s="162" t="n">
        <f aca="false">IFERROR(INDEX(Schedule!$E$2:$E$147,MATCH($G231,Schedule!$A$2:$A$147,0)),"")</f>
        <v>45203</v>
      </c>
      <c r="I231" s="162" t="n">
        <f aca="false">IFERROR(INDEX(Schedule!$F$2:$F$147,MATCH($G231,Schedule!$A$2:$A$147,0)),"")</f>
        <v>45499</v>
      </c>
      <c r="J231" s="92"/>
      <c r="K231" s="92"/>
      <c r="L231" s="92"/>
      <c r="M231" s="92"/>
      <c r="N231" s="92"/>
      <c r="O231" s="90" t="n">
        <v>1</v>
      </c>
      <c r="P231" s="163" t="n">
        <f aca="false">IFERROR((IF(OR(ISNUMBER(J231),UPPER(TRIM(J231))="N/A"),1,0)*IF($W231="N",0,INDEX('Rules of Credit'!$B$5:$F$8,MATCH($F231,'Rules of Credit'!$A$5:$A$8,0),1))+IF(OR(ISNUMBER(K231),UPPER(TRIM(K231))="N/A"),1,0)*INDEX('Rules of Credit'!$B$5:$F$8,MATCH($F231,'Rules of Credit'!$A$5:$A$8,0),2)+IF(OR(ISNUMBER(L231),UPPER(TRIM(L231))="N/A"),1,0)*INDEX('Rules of Credit'!$B$5:$F$8,MATCH($F231,'Rules of Credit'!$A$5:$A$8,0),3)+IF(OR(ISNUMBER(M231),UPPER(TRIM(M231))="N/A"),1,0)*IF($X231="N",0,INDEX('Rules of Credit'!$B$5:$F$8,MATCH($F231,'Rules of Credit'!$A$5:$A$8,0),4))+IF(OR(ISNUMBER(N231),UPPER(TRIM(N231))="N/A"),1,0)*INDEX('Rules of Credit'!$B$5:$F$8,MATCH($F231,'Rules of Credit'!$A$5:$A$8,0),5))/(IF($W231="N",0,INDEX('Rules of Credit'!$B$5:$F$8,MATCH($F231,'Rules of Credit'!$A$5:$A$8,0),1))+INDEX('Rules of Credit'!$B$5:$F$8,MATCH($F231,'Rules of Credit'!$A$5:$A$8,0),2)+INDEX('Rules of Credit'!$B$5:$F$8,MATCH($F231,'Rules of Credit'!$A$5:$A$8,0),3)+IF($X231="N",0,INDEX('Rules of Credit'!$B$5:$F$8,MATCH($F231,'Rules of Credit'!$A$5:$A$8,0),4))+INDEX('Rules of Credit'!$B$5:$F$8,MATCH($F231,'Rules of Credit'!$A$5:$A$8,0),5)),0)</f>
        <v>0</v>
      </c>
      <c r="Q231" s="163" t="n">
        <f aca="false">IF(OR($H231="",$I231=""),0,IF('Tracker Summary'!$C$3&lt;$H231,0,IF('Tracker Summary'!$C$3&gt;=$I231,1,('Tracker Summary'!$C$3-$H231)/($I231-$H231+1))))</f>
        <v>0</v>
      </c>
      <c r="R231" s="163" t="n">
        <f aca="false">P231-Q231</f>
        <v>0</v>
      </c>
      <c r="S231" s="160" t="str">
        <f aca="false">IF($I231="","Not scheduled",IF(P231&gt;=1,"Complete",IF('Tracker Summary'!$C$3&gt;$I231,"Overdue",IF(P231-Q231&lt;-0.1,"Behind",IF(AND(P231=0,'Tracker Summary'!$C$3&lt;$H231),"Not started","On track")))))</f>
        <v>Not started</v>
      </c>
      <c r="T231" s="90"/>
      <c r="U231" s="160" t="str">
        <f aca="false">IFERROR(INDEX(Schedule!$D$2:$D$147,MATCH($G231,Schedule!$A$2:$A$147,0)),"")</f>
        <v>Electrical, Instrumentation &amp; Controls — SCADA / PLC programming</v>
      </c>
      <c r="V231" s="162" t="n">
        <f aca="false">IFERROR(INDEX(Schedule!$F$2:$F$147,MATCH("26-P01",Schedule!$A$2:$A$147,0)),"")</f>
        <v>44999</v>
      </c>
      <c r="W231" s="160" t="s">
        <v>99</v>
      </c>
      <c r="X231" s="160" t="s">
        <v>99</v>
      </c>
      <c r="Y231" s="160" t="n">
        <v>1</v>
      </c>
      <c r="Z231" s="160" t="n">
        <v>3</v>
      </c>
      <c r="AA231" s="160"/>
      <c r="AB231" s="160"/>
      <c r="AC231" s="160" t="s">
        <v>541</v>
      </c>
      <c r="AD231" s="160" t="s">
        <v>1076</v>
      </c>
      <c r="AE231" s="160" t="s">
        <v>1077</v>
      </c>
      <c r="AF231" s="160" t="s">
        <v>715</v>
      </c>
      <c r="AG231" s="160" t="s">
        <v>1077</v>
      </c>
      <c r="AH231" s="160" t="s">
        <v>501</v>
      </c>
    </row>
    <row r="232" customFormat="false" ht="15" hidden="false" customHeight="false" outlineLevel="0" collapsed="false">
      <c r="A232" s="160" t="s">
        <v>60</v>
      </c>
      <c r="B232" s="161" t="s">
        <v>37</v>
      </c>
      <c r="C232" s="160" t="s">
        <v>1078</v>
      </c>
      <c r="D232" s="160" t="s">
        <v>1079</v>
      </c>
      <c r="E232" s="160" t="s">
        <v>495</v>
      </c>
      <c r="F232" s="90" t="s">
        <v>149</v>
      </c>
      <c r="G232" s="160" t="s">
        <v>1080</v>
      </c>
      <c r="H232" s="162" t="n">
        <f aca="false">IFERROR(INDEX(Schedule!$E$2:$E$147,MATCH($G232,Schedule!$A$2:$A$147,0)),"")</f>
        <v>45204</v>
      </c>
      <c r="I232" s="162" t="n">
        <f aca="false">IFERROR(INDEX(Schedule!$F$2:$F$147,MATCH($G232,Schedule!$A$2:$A$147,0)),"")</f>
        <v>45230</v>
      </c>
      <c r="J232" s="92"/>
      <c r="K232" s="92"/>
      <c r="L232" s="92"/>
      <c r="M232" s="92"/>
      <c r="N232" s="92"/>
      <c r="O232" s="90" t="n">
        <v>1</v>
      </c>
      <c r="P232" s="163" t="n">
        <f aca="false">IFERROR((IF(OR(ISNUMBER(J232),UPPER(TRIM(J232))="N/A"),1,0)*IF($W232="N",0,INDEX('Rules of Credit'!$B$5:$F$8,MATCH($F232,'Rules of Credit'!$A$5:$A$8,0),1))+IF(OR(ISNUMBER(K232),UPPER(TRIM(K232))="N/A"),1,0)*INDEX('Rules of Credit'!$B$5:$F$8,MATCH($F232,'Rules of Credit'!$A$5:$A$8,0),2)+IF(OR(ISNUMBER(L232),UPPER(TRIM(L232))="N/A"),1,0)*INDEX('Rules of Credit'!$B$5:$F$8,MATCH($F232,'Rules of Credit'!$A$5:$A$8,0),3)+IF(OR(ISNUMBER(M232),UPPER(TRIM(M232))="N/A"),1,0)*IF($X232="N",0,INDEX('Rules of Credit'!$B$5:$F$8,MATCH($F232,'Rules of Credit'!$A$5:$A$8,0),4))+IF(OR(ISNUMBER(N232),UPPER(TRIM(N232))="N/A"),1,0)*INDEX('Rules of Credit'!$B$5:$F$8,MATCH($F232,'Rules of Credit'!$A$5:$A$8,0),5))/(IF($W232="N",0,INDEX('Rules of Credit'!$B$5:$F$8,MATCH($F232,'Rules of Credit'!$A$5:$A$8,0),1))+INDEX('Rules of Credit'!$B$5:$F$8,MATCH($F232,'Rules of Credit'!$A$5:$A$8,0),2)+INDEX('Rules of Credit'!$B$5:$F$8,MATCH($F232,'Rules of Credit'!$A$5:$A$8,0),3)+IF($X232="N",0,INDEX('Rules of Credit'!$B$5:$F$8,MATCH($F232,'Rules of Credit'!$A$5:$A$8,0),4))+INDEX('Rules of Credit'!$B$5:$F$8,MATCH($F232,'Rules of Credit'!$A$5:$A$8,0),5)),0)</f>
        <v>0</v>
      </c>
      <c r="Q232" s="163" t="n">
        <f aca="false">IF(OR($H232="",$I232=""),0,IF('Tracker Summary'!$C$3&lt;$H232,0,IF('Tracker Summary'!$C$3&gt;=$I232,1,('Tracker Summary'!$C$3-$H232)/($I232-$H232+1))))</f>
        <v>0</v>
      </c>
      <c r="R232" s="163" t="n">
        <f aca="false">P232-Q232</f>
        <v>0</v>
      </c>
      <c r="S232" s="160" t="str">
        <f aca="false">IF($I232="","Not scheduled",IF(P232&gt;=1,"Complete",IF('Tracker Summary'!$C$3&gt;$I232,"Overdue",IF(P232-Q232&lt;-0.1,"Behind",IF(AND(P232=0,'Tracker Summary'!$C$3&lt;$H232),"Not started","On track")))))</f>
        <v>Not started</v>
      </c>
      <c r="T232" s="90"/>
      <c r="U232" s="160" t="str">
        <f aca="false">IFERROR(INDEX(Schedule!$D$2:$D$147,MATCH($G232,Schedule!$A$2:$A$147,0)),"")</f>
        <v>Electrical, Instrumentation &amp; Controls — Existing service equipment removal</v>
      </c>
      <c r="V232" s="162" t="n">
        <f aca="false">IFERROR(INDEX(Schedule!$F$2:$F$147,MATCH("26-P01",Schedule!$A$2:$A$147,0)),"")</f>
        <v>44999</v>
      </c>
      <c r="W232" s="160" t="s">
        <v>115</v>
      </c>
      <c r="X232" s="160" t="s">
        <v>115</v>
      </c>
      <c r="Y232" s="160" t="n">
        <v>0</v>
      </c>
      <c r="Z232" s="160" t="n">
        <v>0</v>
      </c>
      <c r="AA232" s="160"/>
      <c r="AB232" s="160"/>
      <c r="AC232" s="160" t="s">
        <v>498</v>
      </c>
      <c r="AD232" s="160" t="s">
        <v>1081</v>
      </c>
      <c r="AE232" s="160" t="s">
        <v>841</v>
      </c>
      <c r="AF232" s="160" t="s">
        <v>696</v>
      </c>
      <c r="AG232" s="160" t="s">
        <v>841</v>
      </c>
      <c r="AH232" s="160" t="s">
        <v>501</v>
      </c>
    </row>
    <row r="233" customFormat="false" ht="15" hidden="false" customHeight="false" outlineLevel="0" collapsed="false">
      <c r="A233" s="160" t="s">
        <v>60</v>
      </c>
      <c r="B233" s="161" t="s">
        <v>37</v>
      </c>
      <c r="C233" s="160" t="s">
        <v>1082</v>
      </c>
      <c r="D233" s="160" t="s">
        <v>1083</v>
      </c>
      <c r="E233" s="160" t="s">
        <v>495</v>
      </c>
      <c r="F233" s="90" t="s">
        <v>149</v>
      </c>
      <c r="G233" s="160" t="s">
        <v>1080</v>
      </c>
      <c r="H233" s="162" t="n">
        <f aca="false">IFERROR(INDEX(Schedule!$E$2:$E$147,MATCH($G233,Schedule!$A$2:$A$147,0)),"")</f>
        <v>45204</v>
      </c>
      <c r="I233" s="162" t="n">
        <f aca="false">IFERROR(INDEX(Schedule!$F$2:$F$147,MATCH($G233,Schedule!$A$2:$A$147,0)),"")</f>
        <v>45230</v>
      </c>
      <c r="J233" s="92"/>
      <c r="K233" s="92"/>
      <c r="L233" s="92"/>
      <c r="M233" s="92"/>
      <c r="N233" s="92"/>
      <c r="O233" s="90" t="n">
        <v>1</v>
      </c>
      <c r="P233" s="163" t="n">
        <f aca="false">IFERROR((IF(OR(ISNUMBER(J233),UPPER(TRIM(J233))="N/A"),1,0)*IF($W233="N",0,INDEX('Rules of Credit'!$B$5:$F$8,MATCH($F233,'Rules of Credit'!$A$5:$A$8,0),1))+IF(OR(ISNUMBER(K233),UPPER(TRIM(K233))="N/A"),1,0)*INDEX('Rules of Credit'!$B$5:$F$8,MATCH($F233,'Rules of Credit'!$A$5:$A$8,0),2)+IF(OR(ISNUMBER(L233),UPPER(TRIM(L233))="N/A"),1,0)*INDEX('Rules of Credit'!$B$5:$F$8,MATCH($F233,'Rules of Credit'!$A$5:$A$8,0),3)+IF(OR(ISNUMBER(M233),UPPER(TRIM(M233))="N/A"),1,0)*IF($X233="N",0,INDEX('Rules of Credit'!$B$5:$F$8,MATCH($F233,'Rules of Credit'!$A$5:$A$8,0),4))+IF(OR(ISNUMBER(N233),UPPER(TRIM(N233))="N/A"),1,0)*INDEX('Rules of Credit'!$B$5:$F$8,MATCH($F233,'Rules of Credit'!$A$5:$A$8,0),5))/(IF($W233="N",0,INDEX('Rules of Credit'!$B$5:$F$8,MATCH($F233,'Rules of Credit'!$A$5:$A$8,0),1))+INDEX('Rules of Credit'!$B$5:$F$8,MATCH($F233,'Rules of Credit'!$A$5:$A$8,0),2)+INDEX('Rules of Credit'!$B$5:$F$8,MATCH($F233,'Rules of Credit'!$A$5:$A$8,0),3)+IF($X233="N",0,INDEX('Rules of Credit'!$B$5:$F$8,MATCH($F233,'Rules of Credit'!$A$5:$A$8,0),4))+INDEX('Rules of Credit'!$B$5:$F$8,MATCH($F233,'Rules of Credit'!$A$5:$A$8,0),5)),0)</f>
        <v>0</v>
      </c>
      <c r="Q233" s="163" t="n">
        <f aca="false">IF(OR($H233="",$I233=""),0,IF('Tracker Summary'!$C$3&lt;$H233,0,IF('Tracker Summary'!$C$3&gt;=$I233,1,('Tracker Summary'!$C$3-$H233)/($I233-$H233+1))))</f>
        <v>0</v>
      </c>
      <c r="R233" s="163" t="n">
        <f aca="false">P233-Q233</f>
        <v>0</v>
      </c>
      <c r="S233" s="160" t="str">
        <f aca="false">IF($I233="","Not scheduled",IF(P233&gt;=1,"Complete",IF('Tracker Summary'!$C$3&gt;$I233,"Overdue",IF(P233-Q233&lt;-0.1,"Behind",IF(AND(P233=0,'Tracker Summary'!$C$3&lt;$H233),"Not started","On track")))))</f>
        <v>Not started</v>
      </c>
      <c r="T233" s="90"/>
      <c r="U233" s="160" t="str">
        <f aca="false">IFERROR(INDEX(Schedule!$D$2:$D$147,MATCH($G233,Schedule!$A$2:$A$147,0)),"")</f>
        <v>Electrical, Instrumentation &amp; Controls — Existing service equipment removal</v>
      </c>
      <c r="V233" s="162" t="n">
        <f aca="false">IFERROR(INDEX(Schedule!$F$2:$F$147,MATCH("26-P01",Schedule!$A$2:$A$147,0)),"")</f>
        <v>44999</v>
      </c>
      <c r="W233" s="160" t="s">
        <v>115</v>
      </c>
      <c r="X233" s="160" t="s">
        <v>115</v>
      </c>
      <c r="Y233" s="160" t="n">
        <v>0</v>
      </c>
      <c r="Z233" s="160" t="n">
        <v>0</v>
      </c>
      <c r="AA233" s="160"/>
      <c r="AB233" s="160"/>
      <c r="AC233" s="160" t="s">
        <v>498</v>
      </c>
      <c r="AD233" s="160" t="s">
        <v>499</v>
      </c>
      <c r="AE233" s="160" t="s">
        <v>500</v>
      </c>
      <c r="AF233" s="160" t="s">
        <v>696</v>
      </c>
      <c r="AG233" s="160" t="s">
        <v>1084</v>
      </c>
      <c r="AH233" s="160" t="s">
        <v>501</v>
      </c>
    </row>
    <row r="234" customFormat="false" ht="15" hidden="false" customHeight="false" outlineLevel="0" collapsed="false">
      <c r="A234" s="160" t="s">
        <v>60</v>
      </c>
      <c r="B234" s="161" t="s">
        <v>37</v>
      </c>
      <c r="C234" s="160" t="s">
        <v>1085</v>
      </c>
      <c r="D234" s="160" t="s">
        <v>1086</v>
      </c>
      <c r="E234" s="160" t="s">
        <v>495</v>
      </c>
      <c r="F234" s="90" t="s">
        <v>149</v>
      </c>
      <c r="G234" s="160" t="s">
        <v>1080</v>
      </c>
      <c r="H234" s="162" t="n">
        <f aca="false">IFERROR(INDEX(Schedule!$E$2:$E$147,MATCH($G234,Schedule!$A$2:$A$147,0)),"")</f>
        <v>45204</v>
      </c>
      <c r="I234" s="162" t="n">
        <f aca="false">IFERROR(INDEX(Schedule!$F$2:$F$147,MATCH($G234,Schedule!$A$2:$A$147,0)),"")</f>
        <v>45230</v>
      </c>
      <c r="J234" s="92"/>
      <c r="K234" s="92"/>
      <c r="L234" s="92"/>
      <c r="M234" s="92"/>
      <c r="N234" s="92"/>
      <c r="O234" s="90" t="n">
        <v>1</v>
      </c>
      <c r="P234" s="163" t="n">
        <f aca="false">IFERROR((IF(OR(ISNUMBER(J234),UPPER(TRIM(J234))="N/A"),1,0)*IF($W234="N",0,INDEX('Rules of Credit'!$B$5:$F$8,MATCH($F234,'Rules of Credit'!$A$5:$A$8,0),1))+IF(OR(ISNUMBER(K234),UPPER(TRIM(K234))="N/A"),1,0)*INDEX('Rules of Credit'!$B$5:$F$8,MATCH($F234,'Rules of Credit'!$A$5:$A$8,0),2)+IF(OR(ISNUMBER(L234),UPPER(TRIM(L234))="N/A"),1,0)*INDEX('Rules of Credit'!$B$5:$F$8,MATCH($F234,'Rules of Credit'!$A$5:$A$8,0),3)+IF(OR(ISNUMBER(M234),UPPER(TRIM(M234))="N/A"),1,0)*IF($X234="N",0,INDEX('Rules of Credit'!$B$5:$F$8,MATCH($F234,'Rules of Credit'!$A$5:$A$8,0),4))+IF(OR(ISNUMBER(N234),UPPER(TRIM(N234))="N/A"),1,0)*INDEX('Rules of Credit'!$B$5:$F$8,MATCH($F234,'Rules of Credit'!$A$5:$A$8,0),5))/(IF($W234="N",0,INDEX('Rules of Credit'!$B$5:$F$8,MATCH($F234,'Rules of Credit'!$A$5:$A$8,0),1))+INDEX('Rules of Credit'!$B$5:$F$8,MATCH($F234,'Rules of Credit'!$A$5:$A$8,0),2)+INDEX('Rules of Credit'!$B$5:$F$8,MATCH($F234,'Rules of Credit'!$A$5:$A$8,0),3)+IF($X234="N",0,INDEX('Rules of Credit'!$B$5:$F$8,MATCH($F234,'Rules of Credit'!$A$5:$A$8,0),4))+INDEX('Rules of Credit'!$B$5:$F$8,MATCH($F234,'Rules of Credit'!$A$5:$A$8,0),5)),0)</f>
        <v>0</v>
      </c>
      <c r="Q234" s="163" t="n">
        <f aca="false">IF(OR($H234="",$I234=""),0,IF('Tracker Summary'!$C$3&lt;$H234,0,IF('Tracker Summary'!$C$3&gt;=$I234,1,('Tracker Summary'!$C$3-$H234)/($I234-$H234+1))))</f>
        <v>0</v>
      </c>
      <c r="R234" s="163" t="n">
        <f aca="false">P234-Q234</f>
        <v>0</v>
      </c>
      <c r="S234" s="160" t="str">
        <f aca="false">IF($I234="","Not scheduled",IF(P234&gt;=1,"Complete",IF('Tracker Summary'!$C$3&gt;$I234,"Overdue",IF(P234-Q234&lt;-0.1,"Behind",IF(AND(P234=0,'Tracker Summary'!$C$3&lt;$H234),"Not started","On track")))))</f>
        <v>Not started</v>
      </c>
      <c r="T234" s="90"/>
      <c r="U234" s="160" t="str">
        <f aca="false">IFERROR(INDEX(Schedule!$D$2:$D$147,MATCH($G234,Schedule!$A$2:$A$147,0)),"")</f>
        <v>Electrical, Instrumentation &amp; Controls — Existing service equipment removal</v>
      </c>
      <c r="V234" s="162" t="n">
        <f aca="false">IFERROR(INDEX(Schedule!$F$2:$F$147,MATCH("26-P01",Schedule!$A$2:$A$147,0)),"")</f>
        <v>44999</v>
      </c>
      <c r="W234" s="160" t="s">
        <v>115</v>
      </c>
      <c r="X234" s="160" t="s">
        <v>115</v>
      </c>
      <c r="Y234" s="160" t="n">
        <v>0</v>
      </c>
      <c r="Z234" s="160" t="n">
        <v>0</v>
      </c>
      <c r="AA234" s="160"/>
      <c r="AB234" s="160"/>
      <c r="AC234" s="160" t="s">
        <v>498</v>
      </c>
      <c r="AD234" s="160" t="s">
        <v>499</v>
      </c>
      <c r="AE234" s="160" t="s">
        <v>500</v>
      </c>
      <c r="AF234" s="160" t="s">
        <v>696</v>
      </c>
      <c r="AG234" s="160" t="s">
        <v>1084</v>
      </c>
      <c r="AH234" s="160" t="s">
        <v>501</v>
      </c>
    </row>
    <row r="235" customFormat="false" ht="15" hidden="false" customHeight="false" outlineLevel="0" collapsed="false">
      <c r="A235" s="160" t="s">
        <v>60</v>
      </c>
      <c r="B235" s="161" t="s">
        <v>37</v>
      </c>
      <c r="C235" s="160" t="s">
        <v>1087</v>
      </c>
      <c r="D235" s="160" t="s">
        <v>1088</v>
      </c>
      <c r="E235" s="160" t="s">
        <v>98</v>
      </c>
      <c r="F235" s="90" t="s">
        <v>149</v>
      </c>
      <c r="G235" s="160" t="s">
        <v>1080</v>
      </c>
      <c r="H235" s="162" t="n">
        <f aca="false">IFERROR(INDEX(Schedule!$E$2:$E$147,MATCH($G235,Schedule!$A$2:$A$147,0)),"")</f>
        <v>45204</v>
      </c>
      <c r="I235" s="162" t="n">
        <f aca="false">IFERROR(INDEX(Schedule!$F$2:$F$147,MATCH($G235,Schedule!$A$2:$A$147,0)),"")</f>
        <v>45230</v>
      </c>
      <c r="J235" s="92"/>
      <c r="K235" s="92"/>
      <c r="L235" s="92"/>
      <c r="M235" s="92"/>
      <c r="N235" s="92"/>
      <c r="O235" s="90" t="n">
        <v>1</v>
      </c>
      <c r="P235" s="163" t="n">
        <f aca="false">IFERROR((IF(OR(ISNUMBER(J235),UPPER(TRIM(J235))="N/A"),1,0)*IF($W235="N",0,INDEX('Rules of Credit'!$B$5:$F$8,MATCH($F235,'Rules of Credit'!$A$5:$A$8,0),1))+IF(OR(ISNUMBER(K235),UPPER(TRIM(K235))="N/A"),1,0)*INDEX('Rules of Credit'!$B$5:$F$8,MATCH($F235,'Rules of Credit'!$A$5:$A$8,0),2)+IF(OR(ISNUMBER(L235),UPPER(TRIM(L235))="N/A"),1,0)*INDEX('Rules of Credit'!$B$5:$F$8,MATCH($F235,'Rules of Credit'!$A$5:$A$8,0),3)+IF(OR(ISNUMBER(M235),UPPER(TRIM(M235))="N/A"),1,0)*IF($X235="N",0,INDEX('Rules of Credit'!$B$5:$F$8,MATCH($F235,'Rules of Credit'!$A$5:$A$8,0),4))+IF(OR(ISNUMBER(N235),UPPER(TRIM(N235))="N/A"),1,0)*INDEX('Rules of Credit'!$B$5:$F$8,MATCH($F235,'Rules of Credit'!$A$5:$A$8,0),5))/(IF($W235="N",0,INDEX('Rules of Credit'!$B$5:$F$8,MATCH($F235,'Rules of Credit'!$A$5:$A$8,0),1))+INDEX('Rules of Credit'!$B$5:$F$8,MATCH($F235,'Rules of Credit'!$A$5:$A$8,0),2)+INDEX('Rules of Credit'!$B$5:$F$8,MATCH($F235,'Rules of Credit'!$A$5:$A$8,0),3)+IF($X235="N",0,INDEX('Rules of Credit'!$B$5:$F$8,MATCH($F235,'Rules of Credit'!$A$5:$A$8,0),4))+INDEX('Rules of Credit'!$B$5:$F$8,MATCH($F235,'Rules of Credit'!$A$5:$A$8,0),5)),0)</f>
        <v>0</v>
      </c>
      <c r="Q235" s="163" t="n">
        <f aca="false">IF(OR($H235="",$I235=""),0,IF('Tracker Summary'!$C$3&lt;$H235,0,IF('Tracker Summary'!$C$3&gt;=$I235,1,('Tracker Summary'!$C$3-$H235)/($I235-$H235+1))))</f>
        <v>0</v>
      </c>
      <c r="R235" s="163" t="n">
        <f aca="false">P235-Q235</f>
        <v>0</v>
      </c>
      <c r="S235" s="160" t="str">
        <f aca="false">IF($I235="","Not scheduled",IF(P235&gt;=1,"Complete",IF('Tracker Summary'!$C$3&gt;$I235,"Overdue",IF(P235-Q235&lt;-0.1,"Behind",IF(AND(P235=0,'Tracker Summary'!$C$3&lt;$H235),"Not started","On track")))))</f>
        <v>Not started</v>
      </c>
      <c r="T235" s="90"/>
      <c r="U235" s="160" t="str">
        <f aca="false">IFERROR(INDEX(Schedule!$D$2:$D$147,MATCH($G235,Schedule!$A$2:$A$147,0)),"")</f>
        <v>Electrical, Instrumentation &amp; Controls — Existing service equipment removal</v>
      </c>
      <c r="V235" s="162" t="n">
        <f aca="false">IFERROR(INDEX(Schedule!$F$2:$F$147,MATCH("26-P01",Schedule!$A$2:$A$147,0)),"")</f>
        <v>44999</v>
      </c>
      <c r="W235" s="160" t="s">
        <v>115</v>
      </c>
      <c r="X235" s="160" t="s">
        <v>115</v>
      </c>
      <c r="Y235" s="160" t="n">
        <v>0</v>
      </c>
      <c r="Z235" s="160" t="n">
        <v>0</v>
      </c>
      <c r="AA235" s="160"/>
      <c r="AB235" s="160"/>
      <c r="AC235" s="160" t="s">
        <v>498</v>
      </c>
      <c r="AD235" s="160" t="s">
        <v>499</v>
      </c>
      <c r="AE235" s="160" t="s">
        <v>841</v>
      </c>
      <c r="AF235" s="160"/>
      <c r="AG235" s="160" t="s">
        <v>841</v>
      </c>
      <c r="AH235" s="160" t="s">
        <v>501</v>
      </c>
    </row>
    <row r="236" customFormat="false" ht="15" hidden="false" customHeight="false" outlineLevel="0" collapsed="false">
      <c r="A236" s="160" t="s">
        <v>60</v>
      </c>
      <c r="B236" s="161" t="s">
        <v>37</v>
      </c>
      <c r="C236" s="160" t="s">
        <v>1089</v>
      </c>
      <c r="D236" s="160" t="s">
        <v>1090</v>
      </c>
      <c r="E236" s="160" t="s">
        <v>495</v>
      </c>
      <c r="F236" s="90" t="s">
        <v>234</v>
      </c>
      <c r="G236" s="160" t="s">
        <v>1091</v>
      </c>
      <c r="H236" s="162" t="n">
        <f aca="false">IFERROR(INDEX(Schedule!$E$2:$E$147,MATCH($G236,Schedule!$A$2:$A$147,0)),"")</f>
        <v>45352</v>
      </c>
      <c r="I236" s="162" t="n">
        <f aca="false">IFERROR(INDEX(Schedule!$F$2:$F$147,MATCH($G236,Schedule!$A$2:$A$147,0)),"")</f>
        <v>45412</v>
      </c>
      <c r="J236" s="92"/>
      <c r="K236" s="92"/>
      <c r="L236" s="92"/>
      <c r="M236" s="92"/>
      <c r="N236" s="92"/>
      <c r="O236" s="90" t="n">
        <v>1</v>
      </c>
      <c r="P236" s="163" t="n">
        <f aca="false">IFERROR((IF(OR(ISNUMBER(J236),UPPER(TRIM(J236))="N/A"),1,0)*IF($W236="N",0,INDEX('Rules of Credit'!$B$5:$F$8,MATCH($F236,'Rules of Credit'!$A$5:$A$8,0),1))+IF(OR(ISNUMBER(K236),UPPER(TRIM(K236))="N/A"),1,0)*INDEX('Rules of Credit'!$B$5:$F$8,MATCH($F236,'Rules of Credit'!$A$5:$A$8,0),2)+IF(OR(ISNUMBER(L236),UPPER(TRIM(L236))="N/A"),1,0)*INDEX('Rules of Credit'!$B$5:$F$8,MATCH($F236,'Rules of Credit'!$A$5:$A$8,0),3)+IF(OR(ISNUMBER(M236),UPPER(TRIM(M236))="N/A"),1,0)*IF($X236="N",0,INDEX('Rules of Credit'!$B$5:$F$8,MATCH($F236,'Rules of Credit'!$A$5:$A$8,0),4))+IF(OR(ISNUMBER(N236),UPPER(TRIM(N236))="N/A"),1,0)*INDEX('Rules of Credit'!$B$5:$F$8,MATCH($F236,'Rules of Credit'!$A$5:$A$8,0),5))/(IF($W236="N",0,INDEX('Rules of Credit'!$B$5:$F$8,MATCH($F236,'Rules of Credit'!$A$5:$A$8,0),1))+INDEX('Rules of Credit'!$B$5:$F$8,MATCH($F236,'Rules of Credit'!$A$5:$A$8,0),2)+INDEX('Rules of Credit'!$B$5:$F$8,MATCH($F236,'Rules of Credit'!$A$5:$A$8,0),3)+IF($X236="N",0,INDEX('Rules of Credit'!$B$5:$F$8,MATCH($F236,'Rules of Credit'!$A$5:$A$8,0),4))+INDEX('Rules of Credit'!$B$5:$F$8,MATCH($F236,'Rules of Credit'!$A$5:$A$8,0),5)),0)</f>
        <v>0</v>
      </c>
      <c r="Q236" s="163" t="n">
        <f aca="false">IF(OR($H236="",$I236=""),0,IF('Tracker Summary'!$C$3&lt;$H236,0,IF('Tracker Summary'!$C$3&gt;=$I236,1,('Tracker Summary'!$C$3-$H236)/($I236-$H236+1))))</f>
        <v>0</v>
      </c>
      <c r="R236" s="163" t="n">
        <f aca="false">P236-Q236</f>
        <v>0</v>
      </c>
      <c r="S236" s="160" t="str">
        <f aca="false">IF($I236="","Not scheduled",IF(P236&gt;=1,"Complete",IF('Tracker Summary'!$C$3&gt;$I236,"Overdue",IF(P236-Q236&lt;-0.1,"Behind",IF(AND(P236=0,'Tracker Summary'!$C$3&lt;$H236),"Not started","On track")))))</f>
        <v>Not started</v>
      </c>
      <c r="T236" s="90"/>
      <c r="U236" s="160" t="str">
        <f aca="false">IFERROR(INDEX(Schedule!$D$2:$D$147,MATCH($G236,Schedule!$A$2:$A$147,0)),"")</f>
        <v>Electrical, Instrumentation &amp; Controls — Permanent standby generator</v>
      </c>
      <c r="V236" s="162" t="n">
        <f aca="false">IFERROR(INDEX(Schedule!$F$2:$F$147,MATCH("26-P01",Schedule!$A$2:$A$147,0)),"")</f>
        <v>44999</v>
      </c>
      <c r="W236" s="160" t="s">
        <v>99</v>
      </c>
      <c r="X236" s="160" t="s">
        <v>99</v>
      </c>
      <c r="Y236" s="160" t="n">
        <v>3</v>
      </c>
      <c r="Z236" s="160" t="n">
        <v>1</v>
      </c>
      <c r="AA236" s="160" t="s">
        <v>1092</v>
      </c>
      <c r="AB236" s="160" t="s">
        <v>1093</v>
      </c>
      <c r="AC236" s="160" t="s">
        <v>120</v>
      </c>
      <c r="AD236" s="160" t="s">
        <v>1094</v>
      </c>
      <c r="AE236" s="160" t="s">
        <v>1095</v>
      </c>
      <c r="AF236" s="160" t="s">
        <v>1096</v>
      </c>
      <c r="AG236" s="160" t="s">
        <v>1097</v>
      </c>
      <c r="AH236" s="160" t="s">
        <v>501</v>
      </c>
    </row>
    <row r="237" customFormat="false" ht="15" hidden="false" customHeight="false" outlineLevel="0" collapsed="false">
      <c r="A237" s="160" t="s">
        <v>60</v>
      </c>
      <c r="B237" s="161" t="s">
        <v>37</v>
      </c>
      <c r="C237" s="160" t="s">
        <v>1098</v>
      </c>
      <c r="D237" s="160" t="s">
        <v>1099</v>
      </c>
      <c r="E237" s="160" t="s">
        <v>495</v>
      </c>
      <c r="F237" s="90" t="s">
        <v>234</v>
      </c>
      <c r="G237" s="160" t="s">
        <v>1091</v>
      </c>
      <c r="H237" s="162" t="n">
        <f aca="false">IFERROR(INDEX(Schedule!$E$2:$E$147,MATCH($G237,Schedule!$A$2:$A$147,0)),"")</f>
        <v>45352</v>
      </c>
      <c r="I237" s="162" t="n">
        <f aca="false">IFERROR(INDEX(Schedule!$F$2:$F$147,MATCH($G237,Schedule!$A$2:$A$147,0)),"")</f>
        <v>45412</v>
      </c>
      <c r="J237" s="92"/>
      <c r="K237" s="92"/>
      <c r="L237" s="92"/>
      <c r="M237" s="92"/>
      <c r="N237" s="92"/>
      <c r="O237" s="90" t="n">
        <v>1</v>
      </c>
      <c r="P237" s="163" t="n">
        <f aca="false">IFERROR((IF(OR(ISNUMBER(J237),UPPER(TRIM(J237))="N/A"),1,0)*IF($W237="N",0,INDEX('Rules of Credit'!$B$5:$F$8,MATCH($F237,'Rules of Credit'!$A$5:$A$8,0),1))+IF(OR(ISNUMBER(K237),UPPER(TRIM(K237))="N/A"),1,0)*INDEX('Rules of Credit'!$B$5:$F$8,MATCH($F237,'Rules of Credit'!$A$5:$A$8,0),2)+IF(OR(ISNUMBER(L237),UPPER(TRIM(L237))="N/A"),1,0)*INDEX('Rules of Credit'!$B$5:$F$8,MATCH($F237,'Rules of Credit'!$A$5:$A$8,0),3)+IF(OR(ISNUMBER(M237),UPPER(TRIM(M237))="N/A"),1,0)*IF($X237="N",0,INDEX('Rules of Credit'!$B$5:$F$8,MATCH($F237,'Rules of Credit'!$A$5:$A$8,0),4))+IF(OR(ISNUMBER(N237),UPPER(TRIM(N237))="N/A"),1,0)*INDEX('Rules of Credit'!$B$5:$F$8,MATCH($F237,'Rules of Credit'!$A$5:$A$8,0),5))/(IF($W237="N",0,INDEX('Rules of Credit'!$B$5:$F$8,MATCH($F237,'Rules of Credit'!$A$5:$A$8,0),1))+INDEX('Rules of Credit'!$B$5:$F$8,MATCH($F237,'Rules of Credit'!$A$5:$A$8,0),2)+INDEX('Rules of Credit'!$B$5:$F$8,MATCH($F237,'Rules of Credit'!$A$5:$A$8,0),3)+IF($X237="N",0,INDEX('Rules of Credit'!$B$5:$F$8,MATCH($F237,'Rules of Credit'!$A$5:$A$8,0),4))+INDEX('Rules of Credit'!$B$5:$F$8,MATCH($F237,'Rules of Credit'!$A$5:$A$8,0),5)),0)</f>
        <v>0</v>
      </c>
      <c r="Q237" s="163" t="n">
        <f aca="false">IF(OR($H237="",$I237=""),0,IF('Tracker Summary'!$C$3&lt;$H237,0,IF('Tracker Summary'!$C$3&gt;=$I237,1,('Tracker Summary'!$C$3-$H237)/($I237-$H237+1))))</f>
        <v>0</v>
      </c>
      <c r="R237" s="163" t="n">
        <f aca="false">P237-Q237</f>
        <v>0</v>
      </c>
      <c r="S237" s="160" t="str">
        <f aca="false">IF($I237="","Not scheduled",IF(P237&gt;=1,"Complete",IF('Tracker Summary'!$C$3&gt;$I237,"Overdue",IF(P237-Q237&lt;-0.1,"Behind",IF(AND(P237=0,'Tracker Summary'!$C$3&lt;$H237),"Not started","On track")))))</f>
        <v>Not started</v>
      </c>
      <c r="T237" s="90"/>
      <c r="U237" s="160" t="str">
        <f aca="false">IFERROR(INDEX(Schedule!$D$2:$D$147,MATCH($G237,Schedule!$A$2:$A$147,0)),"")</f>
        <v>Electrical, Instrumentation &amp; Controls — Permanent standby generator</v>
      </c>
      <c r="V237" s="162" t="n">
        <f aca="false">IFERROR(INDEX(Schedule!$F$2:$F$147,MATCH("26-P01",Schedule!$A$2:$A$147,0)),"")</f>
        <v>44999</v>
      </c>
      <c r="W237" s="160" t="s">
        <v>91</v>
      </c>
      <c r="X237" s="160" t="s">
        <v>99</v>
      </c>
      <c r="Y237" s="160" t="n">
        <v>0</v>
      </c>
      <c r="Z237" s="160" t="n">
        <v>1</v>
      </c>
      <c r="AA237" s="160"/>
      <c r="AB237" s="160"/>
      <c r="AC237" s="160" t="s">
        <v>92</v>
      </c>
      <c r="AD237" s="160" t="s">
        <v>499</v>
      </c>
      <c r="AE237" s="160" t="s">
        <v>1100</v>
      </c>
      <c r="AF237" s="160" t="s">
        <v>748</v>
      </c>
      <c r="AG237" s="160" t="s">
        <v>1101</v>
      </c>
      <c r="AH237" s="160" t="s">
        <v>501</v>
      </c>
    </row>
    <row r="238" customFormat="false" ht="15" hidden="false" customHeight="false" outlineLevel="0" collapsed="false">
      <c r="A238" s="160" t="s">
        <v>60</v>
      </c>
      <c r="B238" s="161" t="s">
        <v>37</v>
      </c>
      <c r="C238" s="160" t="s">
        <v>1102</v>
      </c>
      <c r="D238" s="160" t="s">
        <v>1103</v>
      </c>
      <c r="E238" s="160" t="s">
        <v>384</v>
      </c>
      <c r="F238" s="90" t="s">
        <v>234</v>
      </c>
      <c r="G238" s="160" t="s">
        <v>1091</v>
      </c>
      <c r="H238" s="162" t="n">
        <f aca="false">IFERROR(INDEX(Schedule!$E$2:$E$147,MATCH($G238,Schedule!$A$2:$A$147,0)),"")</f>
        <v>45352</v>
      </c>
      <c r="I238" s="162" t="n">
        <f aca="false">IFERROR(INDEX(Schedule!$F$2:$F$147,MATCH($G238,Schedule!$A$2:$A$147,0)),"")</f>
        <v>45412</v>
      </c>
      <c r="J238" s="92"/>
      <c r="K238" s="92"/>
      <c r="L238" s="92"/>
      <c r="M238" s="92"/>
      <c r="N238" s="92"/>
      <c r="O238" s="90" t="n">
        <v>1</v>
      </c>
      <c r="P238" s="163" t="n">
        <f aca="false">IFERROR((IF(OR(ISNUMBER(J238),UPPER(TRIM(J238))="N/A"),1,0)*IF($W238="N",0,INDEX('Rules of Credit'!$B$5:$F$8,MATCH($F238,'Rules of Credit'!$A$5:$A$8,0),1))+IF(OR(ISNUMBER(K238),UPPER(TRIM(K238))="N/A"),1,0)*INDEX('Rules of Credit'!$B$5:$F$8,MATCH($F238,'Rules of Credit'!$A$5:$A$8,0),2)+IF(OR(ISNUMBER(L238),UPPER(TRIM(L238))="N/A"),1,0)*INDEX('Rules of Credit'!$B$5:$F$8,MATCH($F238,'Rules of Credit'!$A$5:$A$8,0),3)+IF(OR(ISNUMBER(M238),UPPER(TRIM(M238))="N/A"),1,0)*IF($X238="N",0,INDEX('Rules of Credit'!$B$5:$F$8,MATCH($F238,'Rules of Credit'!$A$5:$A$8,0),4))+IF(OR(ISNUMBER(N238),UPPER(TRIM(N238))="N/A"),1,0)*INDEX('Rules of Credit'!$B$5:$F$8,MATCH($F238,'Rules of Credit'!$A$5:$A$8,0),5))/(IF($W238="N",0,INDEX('Rules of Credit'!$B$5:$F$8,MATCH($F238,'Rules of Credit'!$A$5:$A$8,0),1))+INDEX('Rules of Credit'!$B$5:$F$8,MATCH($F238,'Rules of Credit'!$A$5:$A$8,0),2)+INDEX('Rules of Credit'!$B$5:$F$8,MATCH($F238,'Rules of Credit'!$A$5:$A$8,0),3)+IF($X238="N",0,INDEX('Rules of Credit'!$B$5:$F$8,MATCH($F238,'Rules of Credit'!$A$5:$A$8,0),4))+INDEX('Rules of Credit'!$B$5:$F$8,MATCH($F238,'Rules of Credit'!$A$5:$A$8,0),5)),0)</f>
        <v>0</v>
      </c>
      <c r="Q238" s="163" t="n">
        <f aca="false">IF(OR($H238="",$I238=""),0,IF('Tracker Summary'!$C$3&lt;$H238,0,IF('Tracker Summary'!$C$3&gt;=$I238,1,('Tracker Summary'!$C$3-$H238)/($I238-$H238+1))))</f>
        <v>0</v>
      </c>
      <c r="R238" s="163" t="n">
        <f aca="false">P238-Q238</f>
        <v>0</v>
      </c>
      <c r="S238" s="160" t="str">
        <f aca="false">IF($I238="","Not scheduled",IF(P238&gt;=1,"Complete",IF('Tracker Summary'!$C$3&gt;$I238,"Overdue",IF(P238-Q238&lt;-0.1,"Behind",IF(AND(P238=0,'Tracker Summary'!$C$3&lt;$H238),"Not started","On track")))))</f>
        <v>Not started</v>
      </c>
      <c r="T238" s="90"/>
      <c r="U238" s="160" t="str">
        <f aca="false">IFERROR(INDEX(Schedule!$D$2:$D$147,MATCH($G238,Schedule!$A$2:$A$147,0)),"")</f>
        <v>Electrical, Instrumentation &amp; Controls — Permanent standby generator</v>
      </c>
      <c r="V238" s="162" t="n">
        <f aca="false">IFERROR(INDEX(Schedule!$F$2:$F$147,MATCH("26-P01",Schedule!$A$2:$A$147,0)),"")</f>
        <v>44999</v>
      </c>
      <c r="W238" s="160" t="s">
        <v>115</v>
      </c>
      <c r="X238" s="160" t="s">
        <v>115</v>
      </c>
      <c r="Y238" s="160" t="n">
        <v>0</v>
      </c>
      <c r="Z238" s="160" t="n">
        <v>0</v>
      </c>
      <c r="AA238" s="160" t="s">
        <v>1104</v>
      </c>
      <c r="AB238" s="160" t="s">
        <v>1105</v>
      </c>
      <c r="AC238" s="160" t="s">
        <v>120</v>
      </c>
      <c r="AD238" s="160" t="s">
        <v>1106</v>
      </c>
      <c r="AE238" s="160" t="s">
        <v>346</v>
      </c>
      <c r="AF238" s="160"/>
      <c r="AG238" s="160" t="s">
        <v>346</v>
      </c>
      <c r="AH238" s="160" t="s">
        <v>240</v>
      </c>
    </row>
    <row r="239" customFormat="false" ht="15" hidden="false" customHeight="false" outlineLevel="0" collapsed="false">
      <c r="A239" s="160" t="s">
        <v>60</v>
      </c>
      <c r="B239" s="161" t="s">
        <v>37</v>
      </c>
      <c r="C239" s="160" t="s">
        <v>1107</v>
      </c>
      <c r="D239" s="160" t="s">
        <v>1108</v>
      </c>
      <c r="E239" s="160" t="s">
        <v>115</v>
      </c>
      <c r="F239" s="90" t="s">
        <v>234</v>
      </c>
      <c r="G239" s="160" t="s">
        <v>1091</v>
      </c>
      <c r="H239" s="162" t="n">
        <f aca="false">IFERROR(INDEX(Schedule!$E$2:$E$147,MATCH($G239,Schedule!$A$2:$A$147,0)),"")</f>
        <v>45352</v>
      </c>
      <c r="I239" s="162" t="n">
        <f aca="false">IFERROR(INDEX(Schedule!$F$2:$F$147,MATCH($G239,Schedule!$A$2:$A$147,0)),"")</f>
        <v>45412</v>
      </c>
      <c r="J239" s="92"/>
      <c r="K239" s="92"/>
      <c r="L239" s="92"/>
      <c r="M239" s="92"/>
      <c r="N239" s="92"/>
      <c r="O239" s="90" t="n">
        <v>1</v>
      </c>
      <c r="P239" s="163" t="n">
        <f aca="false">IFERROR((IF(OR(ISNUMBER(J239),UPPER(TRIM(J239))="N/A"),1,0)*IF($W239="N",0,INDEX('Rules of Credit'!$B$5:$F$8,MATCH($F239,'Rules of Credit'!$A$5:$A$8,0),1))+IF(OR(ISNUMBER(K239),UPPER(TRIM(K239))="N/A"),1,0)*INDEX('Rules of Credit'!$B$5:$F$8,MATCH($F239,'Rules of Credit'!$A$5:$A$8,0),2)+IF(OR(ISNUMBER(L239),UPPER(TRIM(L239))="N/A"),1,0)*INDEX('Rules of Credit'!$B$5:$F$8,MATCH($F239,'Rules of Credit'!$A$5:$A$8,0),3)+IF(OR(ISNUMBER(M239),UPPER(TRIM(M239))="N/A"),1,0)*IF($X239="N",0,INDEX('Rules of Credit'!$B$5:$F$8,MATCH($F239,'Rules of Credit'!$A$5:$A$8,0),4))+IF(OR(ISNUMBER(N239),UPPER(TRIM(N239))="N/A"),1,0)*INDEX('Rules of Credit'!$B$5:$F$8,MATCH($F239,'Rules of Credit'!$A$5:$A$8,0),5))/(IF($W239="N",0,INDEX('Rules of Credit'!$B$5:$F$8,MATCH($F239,'Rules of Credit'!$A$5:$A$8,0),1))+INDEX('Rules of Credit'!$B$5:$F$8,MATCH($F239,'Rules of Credit'!$A$5:$A$8,0),2)+INDEX('Rules of Credit'!$B$5:$F$8,MATCH($F239,'Rules of Credit'!$A$5:$A$8,0),3)+IF($X239="N",0,INDEX('Rules of Credit'!$B$5:$F$8,MATCH($F239,'Rules of Credit'!$A$5:$A$8,0),4))+INDEX('Rules of Credit'!$B$5:$F$8,MATCH($F239,'Rules of Credit'!$A$5:$A$8,0),5)),0)</f>
        <v>0</v>
      </c>
      <c r="Q239" s="163" t="n">
        <f aca="false">IF(OR($H239="",$I239=""),0,IF('Tracker Summary'!$C$3&lt;$H239,0,IF('Tracker Summary'!$C$3&gt;=$I239,1,('Tracker Summary'!$C$3-$H239)/($I239-$H239+1))))</f>
        <v>0</v>
      </c>
      <c r="R239" s="163" t="n">
        <f aca="false">P239-Q239</f>
        <v>0</v>
      </c>
      <c r="S239" s="160" t="str">
        <f aca="false">IF($I239="","Not scheduled",IF(P239&gt;=1,"Complete",IF('Tracker Summary'!$C$3&gt;$I239,"Overdue",IF(P239-Q239&lt;-0.1,"Behind",IF(AND(P239=0,'Tracker Summary'!$C$3&lt;$H239),"Not started","On track")))))</f>
        <v>Not started</v>
      </c>
      <c r="T239" s="90"/>
      <c r="U239" s="160" t="str">
        <f aca="false">IFERROR(INDEX(Schedule!$D$2:$D$147,MATCH($G239,Schedule!$A$2:$A$147,0)),"")</f>
        <v>Electrical, Instrumentation &amp; Controls — Permanent standby generator</v>
      </c>
      <c r="V239" s="162" t="n">
        <f aca="false">IFERROR(INDEX(Schedule!$F$2:$F$147,MATCH("26-P01",Schedule!$A$2:$A$147,0)),"")</f>
        <v>44999</v>
      </c>
      <c r="W239" s="160" t="s">
        <v>99</v>
      </c>
      <c r="X239" s="160" t="s">
        <v>99</v>
      </c>
      <c r="Y239" s="160" t="n">
        <v>10</v>
      </c>
      <c r="Z239" s="160" t="n">
        <v>5</v>
      </c>
      <c r="AA239" s="160" t="s">
        <v>1109</v>
      </c>
      <c r="AB239" s="160" t="s">
        <v>1110</v>
      </c>
      <c r="AC239" s="160" t="s">
        <v>120</v>
      </c>
      <c r="AD239" s="160" t="s">
        <v>1111</v>
      </c>
      <c r="AE239" s="160"/>
      <c r="AF239" s="160" t="s">
        <v>1112</v>
      </c>
      <c r="AG239" s="160" t="s">
        <v>1113</v>
      </c>
      <c r="AH239" s="160" t="s">
        <v>109</v>
      </c>
    </row>
    <row r="240" customFormat="false" ht="15" hidden="false" customHeight="false" outlineLevel="0" collapsed="false">
      <c r="A240" s="160" t="s">
        <v>60</v>
      </c>
      <c r="B240" s="161" t="s">
        <v>37</v>
      </c>
      <c r="C240" s="160" t="s">
        <v>1114</v>
      </c>
      <c r="D240" s="160" t="s">
        <v>1115</v>
      </c>
      <c r="E240" s="160" t="s">
        <v>495</v>
      </c>
      <c r="F240" s="90" t="s">
        <v>149</v>
      </c>
      <c r="G240" s="160" t="s">
        <v>1116</v>
      </c>
      <c r="H240" s="162" t="n">
        <f aca="false">IFERROR(INDEX(Schedule!$E$2:$E$147,MATCH($G240,Schedule!$A$2:$A$147,0)),"")</f>
        <v>45413</v>
      </c>
      <c r="I240" s="162" t="n">
        <f aca="false">IFERROR(INDEX(Schedule!$F$2:$F$147,MATCH($G240,Schedule!$A$2:$A$147,0)),"")</f>
        <v>45443</v>
      </c>
      <c r="J240" s="92"/>
      <c r="K240" s="92"/>
      <c r="L240" s="92"/>
      <c r="M240" s="92"/>
      <c r="N240" s="92"/>
      <c r="O240" s="90" t="n">
        <v>1</v>
      </c>
      <c r="P240" s="163" t="n">
        <f aca="false">IFERROR((IF(OR(ISNUMBER(J240),UPPER(TRIM(J240))="N/A"),1,0)*IF($W240="N",0,INDEX('Rules of Credit'!$B$5:$F$8,MATCH($F240,'Rules of Credit'!$A$5:$A$8,0),1))+IF(OR(ISNUMBER(K240),UPPER(TRIM(K240))="N/A"),1,0)*INDEX('Rules of Credit'!$B$5:$F$8,MATCH($F240,'Rules of Credit'!$A$5:$A$8,0),2)+IF(OR(ISNUMBER(L240),UPPER(TRIM(L240))="N/A"),1,0)*INDEX('Rules of Credit'!$B$5:$F$8,MATCH($F240,'Rules of Credit'!$A$5:$A$8,0),3)+IF(OR(ISNUMBER(M240),UPPER(TRIM(M240))="N/A"),1,0)*IF($X240="N",0,INDEX('Rules of Credit'!$B$5:$F$8,MATCH($F240,'Rules of Credit'!$A$5:$A$8,0),4))+IF(OR(ISNUMBER(N240),UPPER(TRIM(N240))="N/A"),1,0)*INDEX('Rules of Credit'!$B$5:$F$8,MATCH($F240,'Rules of Credit'!$A$5:$A$8,0),5))/(IF($W240="N",0,INDEX('Rules of Credit'!$B$5:$F$8,MATCH($F240,'Rules of Credit'!$A$5:$A$8,0),1))+INDEX('Rules of Credit'!$B$5:$F$8,MATCH($F240,'Rules of Credit'!$A$5:$A$8,0),2)+INDEX('Rules of Credit'!$B$5:$F$8,MATCH($F240,'Rules of Credit'!$A$5:$A$8,0),3)+IF($X240="N",0,INDEX('Rules of Credit'!$B$5:$F$8,MATCH($F240,'Rules of Credit'!$A$5:$A$8,0),4))+INDEX('Rules of Credit'!$B$5:$F$8,MATCH($F240,'Rules of Credit'!$A$5:$A$8,0),5)),0)</f>
        <v>0</v>
      </c>
      <c r="Q240" s="163" t="n">
        <f aca="false">IF(OR($H240="",$I240=""),0,IF('Tracker Summary'!$C$3&lt;$H240,0,IF('Tracker Summary'!$C$3&gt;=$I240,1,('Tracker Summary'!$C$3-$H240)/($I240-$H240+1))))</f>
        <v>0</v>
      </c>
      <c r="R240" s="163" t="n">
        <f aca="false">P240-Q240</f>
        <v>0</v>
      </c>
      <c r="S240" s="160" t="str">
        <f aca="false">IF($I240="","Not scheduled",IF(P240&gt;=1,"Complete",IF('Tracker Summary'!$C$3&gt;$I240,"Overdue",IF(P240-Q240&lt;-0.1,"Behind",IF(AND(P240=0,'Tracker Summary'!$C$3&lt;$H240),"Not started","On track")))))</f>
        <v>Not started</v>
      </c>
      <c r="T240" s="90"/>
      <c r="U240" s="160" t="str">
        <f aca="false">IFERROR(INDEX(Schedule!$D$2:$D$147,MATCH($G240,Schedule!$A$2:$A$147,0)),"")</f>
        <v>Electrical, Instrumentation &amp; Controls — Existing generator, switchgear and fuel tank removal</v>
      </c>
      <c r="V240" s="162" t="n">
        <f aca="false">IFERROR(INDEX(Schedule!$F$2:$F$147,MATCH("26-P01",Schedule!$A$2:$A$147,0)),"")</f>
        <v>44999</v>
      </c>
      <c r="W240" s="160" t="s">
        <v>115</v>
      </c>
      <c r="X240" s="160" t="s">
        <v>115</v>
      </c>
      <c r="Y240" s="160" t="n">
        <v>0</v>
      </c>
      <c r="Z240" s="160" t="n">
        <v>0</v>
      </c>
      <c r="AA240" s="160"/>
      <c r="AB240" s="160" t="s">
        <v>1117</v>
      </c>
      <c r="AC240" s="160" t="s">
        <v>541</v>
      </c>
      <c r="AD240" s="160" t="s">
        <v>499</v>
      </c>
      <c r="AE240" s="160" t="s">
        <v>500</v>
      </c>
      <c r="AF240" s="160" t="s">
        <v>696</v>
      </c>
      <c r="AG240" s="160" t="s">
        <v>1084</v>
      </c>
      <c r="AH240" s="160" t="s">
        <v>501</v>
      </c>
    </row>
    <row r="241" customFormat="false" ht="15" hidden="false" customHeight="false" outlineLevel="0" collapsed="false">
      <c r="A241" s="160" t="s">
        <v>60</v>
      </c>
      <c r="B241" s="161" t="s">
        <v>37</v>
      </c>
      <c r="C241" s="160" t="s">
        <v>1118</v>
      </c>
      <c r="D241" s="160" t="s">
        <v>1119</v>
      </c>
      <c r="E241" s="160" t="s">
        <v>495</v>
      </c>
      <c r="F241" s="90" t="s">
        <v>149</v>
      </c>
      <c r="G241" s="160" t="s">
        <v>1116</v>
      </c>
      <c r="H241" s="162" t="n">
        <f aca="false">IFERROR(INDEX(Schedule!$E$2:$E$147,MATCH($G241,Schedule!$A$2:$A$147,0)),"")</f>
        <v>45413</v>
      </c>
      <c r="I241" s="162" t="n">
        <f aca="false">IFERROR(INDEX(Schedule!$F$2:$F$147,MATCH($G241,Schedule!$A$2:$A$147,0)),"")</f>
        <v>45443</v>
      </c>
      <c r="J241" s="92"/>
      <c r="K241" s="92"/>
      <c r="L241" s="92"/>
      <c r="M241" s="92"/>
      <c r="N241" s="92"/>
      <c r="O241" s="90" t="n">
        <v>1</v>
      </c>
      <c r="P241" s="163" t="n">
        <f aca="false">IFERROR((IF(OR(ISNUMBER(J241),UPPER(TRIM(J241))="N/A"),1,0)*IF($W241="N",0,INDEX('Rules of Credit'!$B$5:$F$8,MATCH($F241,'Rules of Credit'!$A$5:$A$8,0),1))+IF(OR(ISNUMBER(K241),UPPER(TRIM(K241))="N/A"),1,0)*INDEX('Rules of Credit'!$B$5:$F$8,MATCH($F241,'Rules of Credit'!$A$5:$A$8,0),2)+IF(OR(ISNUMBER(L241),UPPER(TRIM(L241))="N/A"),1,0)*INDEX('Rules of Credit'!$B$5:$F$8,MATCH($F241,'Rules of Credit'!$A$5:$A$8,0),3)+IF(OR(ISNUMBER(M241),UPPER(TRIM(M241))="N/A"),1,0)*IF($X241="N",0,INDEX('Rules of Credit'!$B$5:$F$8,MATCH($F241,'Rules of Credit'!$A$5:$A$8,0),4))+IF(OR(ISNUMBER(N241),UPPER(TRIM(N241))="N/A"),1,0)*INDEX('Rules of Credit'!$B$5:$F$8,MATCH($F241,'Rules of Credit'!$A$5:$A$8,0),5))/(IF($W241="N",0,INDEX('Rules of Credit'!$B$5:$F$8,MATCH($F241,'Rules of Credit'!$A$5:$A$8,0),1))+INDEX('Rules of Credit'!$B$5:$F$8,MATCH($F241,'Rules of Credit'!$A$5:$A$8,0),2)+INDEX('Rules of Credit'!$B$5:$F$8,MATCH($F241,'Rules of Credit'!$A$5:$A$8,0),3)+IF($X241="N",0,INDEX('Rules of Credit'!$B$5:$F$8,MATCH($F241,'Rules of Credit'!$A$5:$A$8,0),4))+INDEX('Rules of Credit'!$B$5:$F$8,MATCH($F241,'Rules of Credit'!$A$5:$A$8,0),5)),0)</f>
        <v>0</v>
      </c>
      <c r="Q241" s="163" t="n">
        <f aca="false">IF(OR($H241="",$I241=""),0,IF('Tracker Summary'!$C$3&lt;$H241,0,IF('Tracker Summary'!$C$3&gt;=$I241,1,('Tracker Summary'!$C$3-$H241)/($I241-$H241+1))))</f>
        <v>0</v>
      </c>
      <c r="R241" s="163" t="n">
        <f aca="false">P241-Q241</f>
        <v>0</v>
      </c>
      <c r="S241" s="160" t="str">
        <f aca="false">IF($I241="","Not scheduled",IF(P241&gt;=1,"Complete",IF('Tracker Summary'!$C$3&gt;$I241,"Overdue",IF(P241-Q241&lt;-0.1,"Behind",IF(AND(P241=0,'Tracker Summary'!$C$3&lt;$H241),"Not started","On track")))))</f>
        <v>Not started</v>
      </c>
      <c r="T241" s="90"/>
      <c r="U241" s="160" t="str">
        <f aca="false">IFERROR(INDEX(Schedule!$D$2:$D$147,MATCH($G241,Schedule!$A$2:$A$147,0)),"")</f>
        <v>Electrical, Instrumentation &amp; Controls — Existing generator, switchgear and fuel tank removal</v>
      </c>
      <c r="V241" s="162" t="n">
        <f aca="false">IFERROR(INDEX(Schedule!$F$2:$F$147,MATCH("26-P01",Schedule!$A$2:$A$147,0)),"")</f>
        <v>44999</v>
      </c>
      <c r="W241" s="160" t="s">
        <v>115</v>
      </c>
      <c r="X241" s="160" t="s">
        <v>115</v>
      </c>
      <c r="Y241" s="160" t="n">
        <v>0</v>
      </c>
      <c r="Z241" s="160" t="n">
        <v>0</v>
      </c>
      <c r="AA241" s="160"/>
      <c r="AB241" s="160" t="s">
        <v>1117</v>
      </c>
      <c r="AC241" s="160" t="s">
        <v>541</v>
      </c>
      <c r="AD241" s="160" t="s">
        <v>499</v>
      </c>
      <c r="AE241" s="160" t="s">
        <v>500</v>
      </c>
      <c r="AF241" s="160" t="s">
        <v>696</v>
      </c>
      <c r="AG241" s="160" t="s">
        <v>1084</v>
      </c>
      <c r="AH241" s="160" t="s">
        <v>501</v>
      </c>
    </row>
    <row r="242" customFormat="false" ht="15" hidden="false" customHeight="false" outlineLevel="0" collapsed="false">
      <c r="A242" s="160" t="s">
        <v>60</v>
      </c>
      <c r="B242" s="161" t="s">
        <v>37</v>
      </c>
      <c r="C242" s="160" t="s">
        <v>1120</v>
      </c>
      <c r="D242" s="160" t="s">
        <v>1121</v>
      </c>
      <c r="E242" s="160" t="s">
        <v>495</v>
      </c>
      <c r="F242" s="90" t="s">
        <v>149</v>
      </c>
      <c r="G242" s="160" t="s">
        <v>1116</v>
      </c>
      <c r="H242" s="162" t="n">
        <f aca="false">IFERROR(INDEX(Schedule!$E$2:$E$147,MATCH($G242,Schedule!$A$2:$A$147,0)),"")</f>
        <v>45413</v>
      </c>
      <c r="I242" s="162" t="n">
        <f aca="false">IFERROR(INDEX(Schedule!$F$2:$F$147,MATCH($G242,Schedule!$A$2:$A$147,0)),"")</f>
        <v>45443</v>
      </c>
      <c r="J242" s="92"/>
      <c r="K242" s="92"/>
      <c r="L242" s="92"/>
      <c r="M242" s="92"/>
      <c r="N242" s="92"/>
      <c r="O242" s="90" t="n">
        <v>1</v>
      </c>
      <c r="P242" s="163" t="n">
        <f aca="false">IFERROR((IF(OR(ISNUMBER(J242),UPPER(TRIM(J242))="N/A"),1,0)*IF($W242="N",0,INDEX('Rules of Credit'!$B$5:$F$8,MATCH($F242,'Rules of Credit'!$A$5:$A$8,0),1))+IF(OR(ISNUMBER(K242),UPPER(TRIM(K242))="N/A"),1,0)*INDEX('Rules of Credit'!$B$5:$F$8,MATCH($F242,'Rules of Credit'!$A$5:$A$8,0),2)+IF(OR(ISNUMBER(L242),UPPER(TRIM(L242))="N/A"),1,0)*INDEX('Rules of Credit'!$B$5:$F$8,MATCH($F242,'Rules of Credit'!$A$5:$A$8,0),3)+IF(OR(ISNUMBER(M242),UPPER(TRIM(M242))="N/A"),1,0)*IF($X242="N",0,INDEX('Rules of Credit'!$B$5:$F$8,MATCH($F242,'Rules of Credit'!$A$5:$A$8,0),4))+IF(OR(ISNUMBER(N242),UPPER(TRIM(N242))="N/A"),1,0)*INDEX('Rules of Credit'!$B$5:$F$8,MATCH($F242,'Rules of Credit'!$A$5:$A$8,0),5))/(IF($W242="N",0,INDEX('Rules of Credit'!$B$5:$F$8,MATCH($F242,'Rules of Credit'!$A$5:$A$8,0),1))+INDEX('Rules of Credit'!$B$5:$F$8,MATCH($F242,'Rules of Credit'!$A$5:$A$8,0),2)+INDEX('Rules of Credit'!$B$5:$F$8,MATCH($F242,'Rules of Credit'!$A$5:$A$8,0),3)+IF($X242="N",0,INDEX('Rules of Credit'!$B$5:$F$8,MATCH($F242,'Rules of Credit'!$A$5:$A$8,0),4))+INDEX('Rules of Credit'!$B$5:$F$8,MATCH($F242,'Rules of Credit'!$A$5:$A$8,0),5)),0)</f>
        <v>0</v>
      </c>
      <c r="Q242" s="163" t="n">
        <f aca="false">IF(OR($H242="",$I242=""),0,IF('Tracker Summary'!$C$3&lt;$H242,0,IF('Tracker Summary'!$C$3&gt;=$I242,1,('Tracker Summary'!$C$3-$H242)/($I242-$H242+1))))</f>
        <v>0</v>
      </c>
      <c r="R242" s="163" t="n">
        <f aca="false">P242-Q242</f>
        <v>0</v>
      </c>
      <c r="S242" s="160" t="str">
        <f aca="false">IF($I242="","Not scheduled",IF(P242&gt;=1,"Complete",IF('Tracker Summary'!$C$3&gt;$I242,"Overdue",IF(P242-Q242&lt;-0.1,"Behind",IF(AND(P242=0,'Tracker Summary'!$C$3&lt;$H242),"Not started","On track")))))</f>
        <v>Not started</v>
      </c>
      <c r="T242" s="90"/>
      <c r="U242" s="160" t="str">
        <f aca="false">IFERROR(INDEX(Schedule!$D$2:$D$147,MATCH($G242,Schedule!$A$2:$A$147,0)),"")</f>
        <v>Electrical, Instrumentation &amp; Controls — Existing generator, switchgear and fuel tank removal</v>
      </c>
      <c r="V242" s="162" t="n">
        <f aca="false">IFERROR(INDEX(Schedule!$F$2:$F$147,MATCH("26-P01",Schedule!$A$2:$A$147,0)),"")</f>
        <v>44999</v>
      </c>
      <c r="W242" s="160" t="s">
        <v>115</v>
      </c>
      <c r="X242" s="160" t="s">
        <v>115</v>
      </c>
      <c r="Y242" s="160" t="n">
        <v>0</v>
      </c>
      <c r="Z242" s="160" t="n">
        <v>0</v>
      </c>
      <c r="AA242" s="160"/>
      <c r="AB242" s="160" t="s">
        <v>1117</v>
      </c>
      <c r="AC242" s="160" t="s">
        <v>541</v>
      </c>
      <c r="AD242" s="160" t="s">
        <v>499</v>
      </c>
      <c r="AE242" s="160" t="s">
        <v>500</v>
      </c>
      <c r="AF242" s="160" t="s">
        <v>696</v>
      </c>
      <c r="AG242" s="160" t="s">
        <v>1084</v>
      </c>
      <c r="AH242" s="160" t="s">
        <v>501</v>
      </c>
    </row>
    <row r="243" customFormat="false" ht="15" hidden="false" customHeight="false" outlineLevel="0" collapsed="false">
      <c r="A243" s="164" t="s">
        <v>85</v>
      </c>
      <c r="B243" s="164" t="s">
        <v>39</v>
      </c>
      <c r="C243" s="164" t="s">
        <v>40</v>
      </c>
      <c r="D243" s="164" t="str">
        <f aca="false">COUNTIF(A244:A262,"Item")&amp;" items · "&amp;COUNTIF(S244:S262,"Overdue")&amp;" overdue · "&amp;COUNTIF(S244:S262,"Complete")&amp;" complete"</f>
        <v>19 items · 0 overdue · 0 complete</v>
      </c>
      <c r="E243" s="164"/>
      <c r="F243" s="164"/>
      <c r="G243" s="164"/>
      <c r="H243" s="165" t="n">
        <f aca="false">MIN(H244:H262)</f>
        <v>45000</v>
      </c>
      <c r="I243" s="165" t="n">
        <f aca="false">MAX(I244:I262)</f>
        <v>45581</v>
      </c>
      <c r="J243" s="165"/>
      <c r="K243" s="165"/>
      <c r="L243" s="165"/>
      <c r="M243" s="165"/>
      <c r="N243" s="165"/>
      <c r="O243" s="164" t="n">
        <f aca="false">SUM(O244:O262)</f>
        <v>19</v>
      </c>
      <c r="P243" s="166" t="n">
        <f aca="false">IFERROR(SUMPRODUCT(O244:O262,P244:P262)/SUM(O244:O262),0)</f>
        <v>0</v>
      </c>
      <c r="Q243" s="166" t="n">
        <f aca="false">IFERROR(SUMPRODUCT(O244:O262,Q244:Q262)/SUM(O244:O262),0)</f>
        <v>0</v>
      </c>
      <c r="R243" s="166" t="n">
        <f aca="false">P243-Q243</f>
        <v>0</v>
      </c>
      <c r="S243" s="164"/>
      <c r="T243" s="164"/>
      <c r="U243" s="164"/>
      <c r="V243" s="165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  <c r="AG243" s="164"/>
      <c r="AH243" s="164"/>
    </row>
    <row r="244" customFormat="false" ht="15" hidden="false" customHeight="false" outlineLevel="0" collapsed="false">
      <c r="A244" s="167" t="s">
        <v>60</v>
      </c>
      <c r="B244" s="168" t="s">
        <v>39</v>
      </c>
      <c r="C244" s="167" t="s">
        <v>1122</v>
      </c>
      <c r="D244" s="167" t="s">
        <v>1123</v>
      </c>
      <c r="E244" s="167" t="s">
        <v>98</v>
      </c>
      <c r="F244" s="90" t="s">
        <v>89</v>
      </c>
      <c r="G244" s="167" t="s">
        <v>1124</v>
      </c>
      <c r="H244" s="169" t="n">
        <f aca="false">IFERROR(INDEX(Schedule!$E$2:$E$147,MATCH($G244,Schedule!$A$2:$A$147,0)),"")</f>
        <v>45000</v>
      </c>
      <c r="I244" s="169" t="n">
        <f aca="false">IFERROR(INDEX(Schedule!$F$2:$F$147,MATCH($G244,Schedule!$A$2:$A$147,0)),"")</f>
        <v>45581</v>
      </c>
      <c r="J244" s="92"/>
      <c r="K244" s="92"/>
      <c r="L244" s="92"/>
      <c r="M244" s="92"/>
      <c r="N244" s="92"/>
      <c r="O244" s="90" t="n">
        <v>1</v>
      </c>
      <c r="P244" s="170" t="n">
        <f aca="false">IFERROR((IF(OR(ISNUMBER(J244),UPPER(TRIM(J244))="N/A"),1,0)*IF($W244="N",0,INDEX('Rules of Credit'!$B$5:$F$8,MATCH($F244,'Rules of Credit'!$A$5:$A$8,0),1))+IF(OR(ISNUMBER(K244),UPPER(TRIM(K244))="N/A"),1,0)*INDEX('Rules of Credit'!$B$5:$F$8,MATCH($F244,'Rules of Credit'!$A$5:$A$8,0),2)+IF(OR(ISNUMBER(L244),UPPER(TRIM(L244))="N/A"),1,0)*INDEX('Rules of Credit'!$B$5:$F$8,MATCH($F244,'Rules of Credit'!$A$5:$A$8,0),3)+IF(OR(ISNUMBER(M244),UPPER(TRIM(M244))="N/A"),1,0)*IF($X244="N",0,INDEX('Rules of Credit'!$B$5:$F$8,MATCH($F244,'Rules of Credit'!$A$5:$A$8,0),4))+IF(OR(ISNUMBER(N244),UPPER(TRIM(N244))="N/A"),1,0)*INDEX('Rules of Credit'!$B$5:$F$8,MATCH($F244,'Rules of Credit'!$A$5:$A$8,0),5))/(IF($W244="N",0,INDEX('Rules of Credit'!$B$5:$F$8,MATCH($F244,'Rules of Credit'!$A$5:$A$8,0),1))+INDEX('Rules of Credit'!$B$5:$F$8,MATCH($F244,'Rules of Credit'!$A$5:$A$8,0),2)+INDEX('Rules of Credit'!$B$5:$F$8,MATCH($F244,'Rules of Credit'!$A$5:$A$8,0),3)+IF($X244="N",0,INDEX('Rules of Credit'!$B$5:$F$8,MATCH($F244,'Rules of Credit'!$A$5:$A$8,0),4))+INDEX('Rules of Credit'!$B$5:$F$8,MATCH($F244,'Rules of Credit'!$A$5:$A$8,0),5)),0)</f>
        <v>0</v>
      </c>
      <c r="Q244" s="170" t="n">
        <f aca="false">IF(OR($H244="",$I244=""),0,IF('Tracker Summary'!$C$3&lt;$H244,0,IF('Tracker Summary'!$C$3&gt;=$I244,1,('Tracker Summary'!$C$3-$H244)/($I244-$H244+1))))</f>
        <v>0</v>
      </c>
      <c r="R244" s="170" t="n">
        <f aca="false">P244-Q244</f>
        <v>0</v>
      </c>
      <c r="S244" s="167" t="str">
        <f aca="false">IF($I244="","Not scheduled",IF(P244&gt;=1,"Complete",IF('Tracker Summary'!$C$3&gt;$I244,"Overdue",IF(P244-Q244&lt;-0.1,"Behind",IF(AND(P244=0,'Tracker Summary'!$C$3&lt;$H244),"Not started","On track")))))</f>
        <v>On track</v>
      </c>
      <c r="T244" s="90"/>
      <c r="U244" s="167" t="str">
        <f aca="false">IFERROR(INDEX(Schedule!$D$2:$D$147,MATCH($G244,Schedule!$A$2:$A$147,0)),"")</f>
        <v>Earthwork, Dewatering &amp; Erosion Control — Temporary facilities and controls</v>
      </c>
      <c r="V244" s="169" t="n">
        <f aca="false">IFERROR(INDEX(Schedule!$F$2:$F$147,MATCH("31-P01",Schedule!$A$2:$A$147,0)),"")</f>
        <v>44999</v>
      </c>
      <c r="W244" s="167" t="s">
        <v>99</v>
      </c>
      <c r="X244" s="167" t="s">
        <v>91</v>
      </c>
      <c r="Y244" s="167" t="n">
        <v>1</v>
      </c>
      <c r="Z244" s="167" t="n">
        <v>0</v>
      </c>
      <c r="AA244" s="167" t="s">
        <v>1125</v>
      </c>
      <c r="AB244" s="167" t="s">
        <v>1126</v>
      </c>
      <c r="AC244" s="167" t="s">
        <v>92</v>
      </c>
      <c r="AD244" s="167" t="s">
        <v>1127</v>
      </c>
      <c r="AE244" s="167" t="s">
        <v>1128</v>
      </c>
      <c r="AF244" s="167" t="s">
        <v>1129</v>
      </c>
      <c r="AG244" s="167" t="s">
        <v>1130</v>
      </c>
      <c r="AH244" s="167" t="s">
        <v>95</v>
      </c>
    </row>
    <row r="245" customFormat="false" ht="15" hidden="false" customHeight="false" outlineLevel="0" collapsed="false">
      <c r="A245" s="167" t="s">
        <v>60</v>
      </c>
      <c r="B245" s="168" t="s">
        <v>39</v>
      </c>
      <c r="C245" s="167" t="s">
        <v>1131</v>
      </c>
      <c r="D245" s="167" t="s">
        <v>1132</v>
      </c>
      <c r="E245" s="167" t="s">
        <v>98</v>
      </c>
      <c r="F245" s="90" t="s">
        <v>89</v>
      </c>
      <c r="G245" s="167" t="s">
        <v>1124</v>
      </c>
      <c r="H245" s="169" t="n">
        <f aca="false">IFERROR(INDEX(Schedule!$E$2:$E$147,MATCH($G245,Schedule!$A$2:$A$147,0)),"")</f>
        <v>45000</v>
      </c>
      <c r="I245" s="169" t="n">
        <f aca="false">IFERROR(INDEX(Schedule!$F$2:$F$147,MATCH($G245,Schedule!$A$2:$A$147,0)),"")</f>
        <v>45581</v>
      </c>
      <c r="J245" s="92"/>
      <c r="K245" s="92"/>
      <c r="L245" s="92"/>
      <c r="M245" s="92"/>
      <c r="N245" s="92"/>
      <c r="O245" s="90" t="n">
        <v>1</v>
      </c>
      <c r="P245" s="170" t="n">
        <f aca="false">IFERROR((IF(OR(ISNUMBER(J245),UPPER(TRIM(J245))="N/A"),1,0)*IF($W245="N",0,INDEX('Rules of Credit'!$B$5:$F$8,MATCH($F245,'Rules of Credit'!$A$5:$A$8,0),1))+IF(OR(ISNUMBER(K245),UPPER(TRIM(K245))="N/A"),1,0)*INDEX('Rules of Credit'!$B$5:$F$8,MATCH($F245,'Rules of Credit'!$A$5:$A$8,0),2)+IF(OR(ISNUMBER(L245),UPPER(TRIM(L245))="N/A"),1,0)*INDEX('Rules of Credit'!$B$5:$F$8,MATCH($F245,'Rules of Credit'!$A$5:$A$8,0),3)+IF(OR(ISNUMBER(M245),UPPER(TRIM(M245))="N/A"),1,0)*IF($X245="N",0,INDEX('Rules of Credit'!$B$5:$F$8,MATCH($F245,'Rules of Credit'!$A$5:$A$8,0),4))+IF(OR(ISNUMBER(N245),UPPER(TRIM(N245))="N/A"),1,0)*INDEX('Rules of Credit'!$B$5:$F$8,MATCH($F245,'Rules of Credit'!$A$5:$A$8,0),5))/(IF($W245="N",0,INDEX('Rules of Credit'!$B$5:$F$8,MATCH($F245,'Rules of Credit'!$A$5:$A$8,0),1))+INDEX('Rules of Credit'!$B$5:$F$8,MATCH($F245,'Rules of Credit'!$A$5:$A$8,0),2)+INDEX('Rules of Credit'!$B$5:$F$8,MATCH($F245,'Rules of Credit'!$A$5:$A$8,0),3)+IF($X245="N",0,INDEX('Rules of Credit'!$B$5:$F$8,MATCH($F245,'Rules of Credit'!$A$5:$A$8,0),4))+INDEX('Rules of Credit'!$B$5:$F$8,MATCH($F245,'Rules of Credit'!$A$5:$A$8,0),5)),0)</f>
        <v>0</v>
      </c>
      <c r="Q245" s="170" t="n">
        <f aca="false">IF(OR($H245="",$I245=""),0,IF('Tracker Summary'!$C$3&lt;$H245,0,IF('Tracker Summary'!$C$3&gt;=$I245,1,('Tracker Summary'!$C$3-$H245)/($I245-$H245+1))))</f>
        <v>0</v>
      </c>
      <c r="R245" s="170" t="n">
        <f aca="false">P245-Q245</f>
        <v>0</v>
      </c>
      <c r="S245" s="167" t="str">
        <f aca="false">IF($I245="","Not scheduled",IF(P245&gt;=1,"Complete",IF('Tracker Summary'!$C$3&gt;$I245,"Overdue",IF(P245-Q245&lt;-0.1,"Behind",IF(AND(P245=0,'Tracker Summary'!$C$3&lt;$H245),"Not started","On track")))))</f>
        <v>On track</v>
      </c>
      <c r="T245" s="90"/>
      <c r="U245" s="167" t="str">
        <f aca="false">IFERROR(INDEX(Schedule!$D$2:$D$147,MATCH($G245,Schedule!$A$2:$A$147,0)),"")</f>
        <v>Earthwork, Dewatering &amp; Erosion Control — Temporary facilities and controls</v>
      </c>
      <c r="V245" s="169" t="n">
        <f aca="false">IFERROR(INDEX(Schedule!$F$2:$F$147,MATCH("31-P01",Schedule!$A$2:$A$147,0)),"")</f>
        <v>44999</v>
      </c>
      <c r="W245" s="167" t="s">
        <v>99</v>
      </c>
      <c r="X245" s="167" t="s">
        <v>91</v>
      </c>
      <c r="Y245" s="167" t="n">
        <v>2</v>
      </c>
      <c r="Z245" s="167" t="n">
        <v>0</v>
      </c>
      <c r="AA245" s="167" t="s">
        <v>1125</v>
      </c>
      <c r="AB245" s="167" t="s">
        <v>1126</v>
      </c>
      <c r="AC245" s="167" t="s">
        <v>92</v>
      </c>
      <c r="AD245" s="167" t="s">
        <v>1127</v>
      </c>
      <c r="AE245" s="167" t="s">
        <v>1133</v>
      </c>
      <c r="AF245" s="167" t="s">
        <v>1129</v>
      </c>
      <c r="AG245" s="167" t="s">
        <v>1134</v>
      </c>
      <c r="AH245" s="167" t="s">
        <v>95</v>
      </c>
    </row>
    <row r="246" customFormat="false" ht="15" hidden="false" customHeight="false" outlineLevel="0" collapsed="false">
      <c r="A246" s="167" t="s">
        <v>60</v>
      </c>
      <c r="B246" s="168" t="s">
        <v>39</v>
      </c>
      <c r="C246" s="167" t="s">
        <v>1135</v>
      </c>
      <c r="D246" s="167" t="s">
        <v>1136</v>
      </c>
      <c r="E246" s="167" t="s">
        <v>98</v>
      </c>
      <c r="F246" s="90" t="s">
        <v>89</v>
      </c>
      <c r="G246" s="167" t="s">
        <v>1124</v>
      </c>
      <c r="H246" s="169" t="n">
        <f aca="false">IFERROR(INDEX(Schedule!$E$2:$E$147,MATCH($G246,Schedule!$A$2:$A$147,0)),"")</f>
        <v>45000</v>
      </c>
      <c r="I246" s="169" t="n">
        <f aca="false">IFERROR(INDEX(Schedule!$F$2:$F$147,MATCH($G246,Schedule!$A$2:$A$147,0)),"")</f>
        <v>45581</v>
      </c>
      <c r="J246" s="92"/>
      <c r="K246" s="92"/>
      <c r="L246" s="92"/>
      <c r="M246" s="92"/>
      <c r="N246" s="92"/>
      <c r="O246" s="90" t="n">
        <v>1</v>
      </c>
      <c r="P246" s="170" t="n">
        <f aca="false">IFERROR((IF(OR(ISNUMBER(J246),UPPER(TRIM(J246))="N/A"),1,0)*IF($W246="N",0,INDEX('Rules of Credit'!$B$5:$F$8,MATCH($F246,'Rules of Credit'!$A$5:$A$8,0),1))+IF(OR(ISNUMBER(K246),UPPER(TRIM(K246))="N/A"),1,0)*INDEX('Rules of Credit'!$B$5:$F$8,MATCH($F246,'Rules of Credit'!$A$5:$A$8,0),2)+IF(OR(ISNUMBER(L246),UPPER(TRIM(L246))="N/A"),1,0)*INDEX('Rules of Credit'!$B$5:$F$8,MATCH($F246,'Rules of Credit'!$A$5:$A$8,0),3)+IF(OR(ISNUMBER(M246),UPPER(TRIM(M246))="N/A"),1,0)*IF($X246="N",0,INDEX('Rules of Credit'!$B$5:$F$8,MATCH($F246,'Rules of Credit'!$A$5:$A$8,0),4))+IF(OR(ISNUMBER(N246),UPPER(TRIM(N246))="N/A"),1,0)*INDEX('Rules of Credit'!$B$5:$F$8,MATCH($F246,'Rules of Credit'!$A$5:$A$8,0),5))/(IF($W246="N",0,INDEX('Rules of Credit'!$B$5:$F$8,MATCH($F246,'Rules of Credit'!$A$5:$A$8,0),1))+INDEX('Rules of Credit'!$B$5:$F$8,MATCH($F246,'Rules of Credit'!$A$5:$A$8,0),2)+INDEX('Rules of Credit'!$B$5:$F$8,MATCH($F246,'Rules of Credit'!$A$5:$A$8,0),3)+IF($X246="N",0,INDEX('Rules of Credit'!$B$5:$F$8,MATCH($F246,'Rules of Credit'!$A$5:$A$8,0),4))+INDEX('Rules of Credit'!$B$5:$F$8,MATCH($F246,'Rules of Credit'!$A$5:$A$8,0),5)),0)</f>
        <v>0</v>
      </c>
      <c r="Q246" s="170" t="n">
        <f aca="false">IF(OR($H246="",$I246=""),0,IF('Tracker Summary'!$C$3&lt;$H246,0,IF('Tracker Summary'!$C$3&gt;=$I246,1,('Tracker Summary'!$C$3-$H246)/($I246-$H246+1))))</f>
        <v>0</v>
      </c>
      <c r="R246" s="170" t="n">
        <f aca="false">P246-Q246</f>
        <v>0</v>
      </c>
      <c r="S246" s="167" t="str">
        <f aca="false">IF($I246="","Not scheduled",IF(P246&gt;=1,"Complete",IF('Tracker Summary'!$C$3&gt;$I246,"Overdue",IF(P246-Q246&lt;-0.1,"Behind",IF(AND(P246=0,'Tracker Summary'!$C$3&lt;$H246),"Not started","On track")))))</f>
        <v>On track</v>
      </c>
      <c r="T246" s="90"/>
      <c r="U246" s="167" t="str">
        <f aca="false">IFERROR(INDEX(Schedule!$D$2:$D$147,MATCH($G246,Schedule!$A$2:$A$147,0)),"")</f>
        <v>Earthwork, Dewatering &amp; Erosion Control — Temporary facilities and controls</v>
      </c>
      <c r="V246" s="169" t="n">
        <f aca="false">IFERROR(INDEX(Schedule!$F$2:$F$147,MATCH("31-P01",Schedule!$A$2:$A$147,0)),"")</f>
        <v>44999</v>
      </c>
      <c r="W246" s="167" t="s">
        <v>99</v>
      </c>
      <c r="X246" s="167" t="s">
        <v>91</v>
      </c>
      <c r="Y246" s="167" t="n">
        <v>2</v>
      </c>
      <c r="Z246" s="167" t="n">
        <v>0</v>
      </c>
      <c r="AA246" s="167" t="s">
        <v>1125</v>
      </c>
      <c r="AB246" s="167" t="s">
        <v>1126</v>
      </c>
      <c r="AC246" s="167" t="s">
        <v>120</v>
      </c>
      <c r="AD246" s="167" t="s">
        <v>1127</v>
      </c>
      <c r="AE246" s="167" t="s">
        <v>1137</v>
      </c>
      <c r="AF246" s="167" t="s">
        <v>1129</v>
      </c>
      <c r="AG246" s="167" t="s">
        <v>1138</v>
      </c>
      <c r="AH246" s="167" t="s">
        <v>95</v>
      </c>
    </row>
    <row r="247" customFormat="false" ht="15" hidden="false" customHeight="false" outlineLevel="0" collapsed="false">
      <c r="A247" s="167" t="s">
        <v>60</v>
      </c>
      <c r="B247" s="168" t="s">
        <v>39</v>
      </c>
      <c r="C247" s="167" t="s">
        <v>1139</v>
      </c>
      <c r="D247" s="167" t="s">
        <v>1140</v>
      </c>
      <c r="E247" s="167" t="s">
        <v>98</v>
      </c>
      <c r="F247" s="90" t="s">
        <v>89</v>
      </c>
      <c r="G247" s="167" t="s">
        <v>1124</v>
      </c>
      <c r="H247" s="169" t="n">
        <f aca="false">IFERROR(INDEX(Schedule!$E$2:$E$147,MATCH($G247,Schedule!$A$2:$A$147,0)),"")</f>
        <v>45000</v>
      </c>
      <c r="I247" s="169" t="n">
        <f aca="false">IFERROR(INDEX(Schedule!$F$2:$F$147,MATCH($G247,Schedule!$A$2:$A$147,0)),"")</f>
        <v>45581</v>
      </c>
      <c r="J247" s="92"/>
      <c r="K247" s="92"/>
      <c r="L247" s="92"/>
      <c r="M247" s="92"/>
      <c r="N247" s="92"/>
      <c r="O247" s="90" t="n">
        <v>1</v>
      </c>
      <c r="P247" s="170" t="n">
        <f aca="false">IFERROR((IF(OR(ISNUMBER(J247),UPPER(TRIM(J247))="N/A"),1,0)*IF($W247="N",0,INDEX('Rules of Credit'!$B$5:$F$8,MATCH($F247,'Rules of Credit'!$A$5:$A$8,0),1))+IF(OR(ISNUMBER(K247),UPPER(TRIM(K247))="N/A"),1,0)*INDEX('Rules of Credit'!$B$5:$F$8,MATCH($F247,'Rules of Credit'!$A$5:$A$8,0),2)+IF(OR(ISNUMBER(L247),UPPER(TRIM(L247))="N/A"),1,0)*INDEX('Rules of Credit'!$B$5:$F$8,MATCH($F247,'Rules of Credit'!$A$5:$A$8,0),3)+IF(OR(ISNUMBER(M247),UPPER(TRIM(M247))="N/A"),1,0)*IF($X247="N",0,INDEX('Rules of Credit'!$B$5:$F$8,MATCH($F247,'Rules of Credit'!$A$5:$A$8,0),4))+IF(OR(ISNUMBER(N247),UPPER(TRIM(N247))="N/A"),1,0)*INDEX('Rules of Credit'!$B$5:$F$8,MATCH($F247,'Rules of Credit'!$A$5:$A$8,0),5))/(IF($W247="N",0,INDEX('Rules of Credit'!$B$5:$F$8,MATCH($F247,'Rules of Credit'!$A$5:$A$8,0),1))+INDEX('Rules of Credit'!$B$5:$F$8,MATCH($F247,'Rules of Credit'!$A$5:$A$8,0),2)+INDEX('Rules of Credit'!$B$5:$F$8,MATCH($F247,'Rules of Credit'!$A$5:$A$8,0),3)+IF($X247="N",0,INDEX('Rules of Credit'!$B$5:$F$8,MATCH($F247,'Rules of Credit'!$A$5:$A$8,0),4))+INDEX('Rules of Credit'!$B$5:$F$8,MATCH($F247,'Rules of Credit'!$A$5:$A$8,0),5)),0)</f>
        <v>0</v>
      </c>
      <c r="Q247" s="170" t="n">
        <f aca="false">IF(OR($H247="",$I247=""),0,IF('Tracker Summary'!$C$3&lt;$H247,0,IF('Tracker Summary'!$C$3&gt;=$I247,1,('Tracker Summary'!$C$3-$H247)/($I247-$H247+1))))</f>
        <v>0</v>
      </c>
      <c r="R247" s="170" t="n">
        <f aca="false">P247-Q247</f>
        <v>0</v>
      </c>
      <c r="S247" s="167" t="str">
        <f aca="false">IF($I247="","Not scheduled",IF(P247&gt;=1,"Complete",IF('Tracker Summary'!$C$3&gt;$I247,"Overdue",IF(P247-Q247&lt;-0.1,"Behind",IF(AND(P247=0,'Tracker Summary'!$C$3&lt;$H247),"Not started","On track")))))</f>
        <v>On track</v>
      </c>
      <c r="T247" s="90"/>
      <c r="U247" s="167" t="str">
        <f aca="false">IFERROR(INDEX(Schedule!$D$2:$D$147,MATCH($G247,Schedule!$A$2:$A$147,0)),"")</f>
        <v>Earthwork, Dewatering &amp; Erosion Control — Temporary facilities and controls</v>
      </c>
      <c r="V247" s="169" t="n">
        <f aca="false">IFERROR(INDEX(Schedule!$F$2:$F$147,MATCH("31-P01",Schedule!$A$2:$A$147,0)),"")</f>
        <v>44999</v>
      </c>
      <c r="W247" s="167" t="s">
        <v>99</v>
      </c>
      <c r="X247" s="167" t="s">
        <v>91</v>
      </c>
      <c r="Y247" s="167" t="n">
        <v>2</v>
      </c>
      <c r="Z247" s="167" t="n">
        <v>0</v>
      </c>
      <c r="AA247" s="167" t="s">
        <v>1125</v>
      </c>
      <c r="AB247" s="167" t="s">
        <v>1126</v>
      </c>
      <c r="AC247" s="167" t="s">
        <v>120</v>
      </c>
      <c r="AD247" s="167" t="s">
        <v>1127</v>
      </c>
      <c r="AE247" s="167" t="s">
        <v>1141</v>
      </c>
      <c r="AF247" s="167" t="s">
        <v>1129</v>
      </c>
      <c r="AG247" s="167" t="s">
        <v>1134</v>
      </c>
      <c r="AH247" s="167" t="s">
        <v>95</v>
      </c>
    </row>
    <row r="248" customFormat="false" ht="15" hidden="false" customHeight="false" outlineLevel="0" collapsed="false">
      <c r="A248" s="167" t="s">
        <v>60</v>
      </c>
      <c r="B248" s="168" t="s">
        <v>39</v>
      </c>
      <c r="C248" s="167" t="s">
        <v>1142</v>
      </c>
      <c r="D248" s="167" t="s">
        <v>1143</v>
      </c>
      <c r="E248" s="167" t="s">
        <v>98</v>
      </c>
      <c r="F248" s="90" t="s">
        <v>89</v>
      </c>
      <c r="G248" s="167" t="s">
        <v>1124</v>
      </c>
      <c r="H248" s="169" t="n">
        <f aca="false">IFERROR(INDEX(Schedule!$E$2:$E$147,MATCH($G248,Schedule!$A$2:$A$147,0)),"")</f>
        <v>45000</v>
      </c>
      <c r="I248" s="169" t="n">
        <f aca="false">IFERROR(INDEX(Schedule!$F$2:$F$147,MATCH($G248,Schedule!$A$2:$A$147,0)),"")</f>
        <v>45581</v>
      </c>
      <c r="J248" s="92"/>
      <c r="K248" s="92"/>
      <c r="L248" s="92"/>
      <c r="M248" s="92"/>
      <c r="N248" s="92"/>
      <c r="O248" s="90" t="n">
        <v>1</v>
      </c>
      <c r="P248" s="170" t="n">
        <f aca="false">IFERROR((IF(OR(ISNUMBER(J248),UPPER(TRIM(J248))="N/A"),1,0)*IF($W248="N",0,INDEX('Rules of Credit'!$B$5:$F$8,MATCH($F248,'Rules of Credit'!$A$5:$A$8,0),1))+IF(OR(ISNUMBER(K248),UPPER(TRIM(K248))="N/A"),1,0)*INDEX('Rules of Credit'!$B$5:$F$8,MATCH($F248,'Rules of Credit'!$A$5:$A$8,0),2)+IF(OR(ISNUMBER(L248),UPPER(TRIM(L248))="N/A"),1,0)*INDEX('Rules of Credit'!$B$5:$F$8,MATCH($F248,'Rules of Credit'!$A$5:$A$8,0),3)+IF(OR(ISNUMBER(M248),UPPER(TRIM(M248))="N/A"),1,0)*IF($X248="N",0,INDEX('Rules of Credit'!$B$5:$F$8,MATCH($F248,'Rules of Credit'!$A$5:$A$8,0),4))+IF(OR(ISNUMBER(N248),UPPER(TRIM(N248))="N/A"),1,0)*INDEX('Rules of Credit'!$B$5:$F$8,MATCH($F248,'Rules of Credit'!$A$5:$A$8,0),5))/(IF($W248="N",0,INDEX('Rules of Credit'!$B$5:$F$8,MATCH($F248,'Rules of Credit'!$A$5:$A$8,0),1))+INDEX('Rules of Credit'!$B$5:$F$8,MATCH($F248,'Rules of Credit'!$A$5:$A$8,0),2)+INDEX('Rules of Credit'!$B$5:$F$8,MATCH($F248,'Rules of Credit'!$A$5:$A$8,0),3)+IF($X248="N",0,INDEX('Rules of Credit'!$B$5:$F$8,MATCH($F248,'Rules of Credit'!$A$5:$A$8,0),4))+INDEX('Rules of Credit'!$B$5:$F$8,MATCH($F248,'Rules of Credit'!$A$5:$A$8,0),5)),0)</f>
        <v>0</v>
      </c>
      <c r="Q248" s="170" t="n">
        <f aca="false">IF(OR($H248="",$I248=""),0,IF('Tracker Summary'!$C$3&lt;$H248,0,IF('Tracker Summary'!$C$3&gt;=$I248,1,('Tracker Summary'!$C$3-$H248)/($I248-$H248+1))))</f>
        <v>0</v>
      </c>
      <c r="R248" s="170" t="n">
        <f aca="false">P248-Q248</f>
        <v>0</v>
      </c>
      <c r="S248" s="167" t="str">
        <f aca="false">IF($I248="","Not scheduled",IF(P248&gt;=1,"Complete",IF('Tracker Summary'!$C$3&gt;$I248,"Overdue",IF(P248-Q248&lt;-0.1,"Behind",IF(AND(P248=0,'Tracker Summary'!$C$3&lt;$H248),"Not started","On track")))))</f>
        <v>On track</v>
      </c>
      <c r="T248" s="90"/>
      <c r="U248" s="167" t="str">
        <f aca="false">IFERROR(INDEX(Schedule!$D$2:$D$147,MATCH($G248,Schedule!$A$2:$A$147,0)),"")</f>
        <v>Earthwork, Dewatering &amp; Erosion Control — Temporary facilities and controls</v>
      </c>
      <c r="V248" s="169" t="n">
        <f aca="false">IFERROR(INDEX(Schedule!$F$2:$F$147,MATCH("31-P01",Schedule!$A$2:$A$147,0)),"")</f>
        <v>44999</v>
      </c>
      <c r="W248" s="167" t="s">
        <v>99</v>
      </c>
      <c r="X248" s="167" t="s">
        <v>91</v>
      </c>
      <c r="Y248" s="167" t="n">
        <v>1</v>
      </c>
      <c r="Z248" s="167" t="n">
        <v>0</v>
      </c>
      <c r="AA248" s="167" t="s">
        <v>1125</v>
      </c>
      <c r="AB248" s="167" t="s">
        <v>1126</v>
      </c>
      <c r="AC248" s="167" t="s">
        <v>120</v>
      </c>
      <c r="AD248" s="167" t="s">
        <v>1127</v>
      </c>
      <c r="AE248" s="167" t="s">
        <v>1144</v>
      </c>
      <c r="AF248" s="167" t="s">
        <v>1129</v>
      </c>
      <c r="AG248" s="167" t="s">
        <v>1130</v>
      </c>
      <c r="AH248" s="167" t="s">
        <v>95</v>
      </c>
    </row>
    <row r="249" customFormat="false" ht="15" hidden="false" customHeight="false" outlineLevel="0" collapsed="false">
      <c r="A249" s="167" t="s">
        <v>60</v>
      </c>
      <c r="B249" s="168" t="s">
        <v>39</v>
      </c>
      <c r="C249" s="167" t="s">
        <v>1145</v>
      </c>
      <c r="D249" s="167" t="s">
        <v>1146</v>
      </c>
      <c r="E249" s="167" t="s">
        <v>98</v>
      </c>
      <c r="F249" s="90" t="s">
        <v>89</v>
      </c>
      <c r="G249" s="167" t="s">
        <v>1124</v>
      </c>
      <c r="H249" s="169" t="n">
        <f aca="false">IFERROR(INDEX(Schedule!$E$2:$E$147,MATCH($G249,Schedule!$A$2:$A$147,0)),"")</f>
        <v>45000</v>
      </c>
      <c r="I249" s="169" t="n">
        <f aca="false">IFERROR(INDEX(Schedule!$F$2:$F$147,MATCH($G249,Schedule!$A$2:$A$147,0)),"")</f>
        <v>45581</v>
      </c>
      <c r="J249" s="92"/>
      <c r="K249" s="92"/>
      <c r="L249" s="92"/>
      <c r="M249" s="92"/>
      <c r="N249" s="92"/>
      <c r="O249" s="90" t="n">
        <v>1</v>
      </c>
      <c r="P249" s="170" t="n">
        <f aca="false">IFERROR((IF(OR(ISNUMBER(J249),UPPER(TRIM(J249))="N/A"),1,0)*IF($W249="N",0,INDEX('Rules of Credit'!$B$5:$F$8,MATCH($F249,'Rules of Credit'!$A$5:$A$8,0),1))+IF(OR(ISNUMBER(K249),UPPER(TRIM(K249))="N/A"),1,0)*INDEX('Rules of Credit'!$B$5:$F$8,MATCH($F249,'Rules of Credit'!$A$5:$A$8,0),2)+IF(OR(ISNUMBER(L249),UPPER(TRIM(L249))="N/A"),1,0)*INDEX('Rules of Credit'!$B$5:$F$8,MATCH($F249,'Rules of Credit'!$A$5:$A$8,0),3)+IF(OR(ISNUMBER(M249),UPPER(TRIM(M249))="N/A"),1,0)*IF($X249="N",0,INDEX('Rules of Credit'!$B$5:$F$8,MATCH($F249,'Rules of Credit'!$A$5:$A$8,0),4))+IF(OR(ISNUMBER(N249),UPPER(TRIM(N249))="N/A"),1,0)*INDEX('Rules of Credit'!$B$5:$F$8,MATCH($F249,'Rules of Credit'!$A$5:$A$8,0),5))/(IF($W249="N",0,INDEX('Rules of Credit'!$B$5:$F$8,MATCH($F249,'Rules of Credit'!$A$5:$A$8,0),1))+INDEX('Rules of Credit'!$B$5:$F$8,MATCH($F249,'Rules of Credit'!$A$5:$A$8,0),2)+INDEX('Rules of Credit'!$B$5:$F$8,MATCH($F249,'Rules of Credit'!$A$5:$A$8,0),3)+IF($X249="N",0,INDEX('Rules of Credit'!$B$5:$F$8,MATCH($F249,'Rules of Credit'!$A$5:$A$8,0),4))+INDEX('Rules of Credit'!$B$5:$F$8,MATCH($F249,'Rules of Credit'!$A$5:$A$8,0),5)),0)</f>
        <v>0</v>
      </c>
      <c r="Q249" s="170" t="n">
        <f aca="false">IF(OR($H249="",$I249=""),0,IF('Tracker Summary'!$C$3&lt;$H249,0,IF('Tracker Summary'!$C$3&gt;=$I249,1,('Tracker Summary'!$C$3-$H249)/($I249-$H249+1))))</f>
        <v>0</v>
      </c>
      <c r="R249" s="170" t="n">
        <f aca="false">P249-Q249</f>
        <v>0</v>
      </c>
      <c r="S249" s="167" t="str">
        <f aca="false">IF($I249="","Not scheduled",IF(P249&gt;=1,"Complete",IF('Tracker Summary'!$C$3&gt;$I249,"Overdue",IF(P249-Q249&lt;-0.1,"Behind",IF(AND(P249=0,'Tracker Summary'!$C$3&lt;$H249),"Not started","On track")))))</f>
        <v>On track</v>
      </c>
      <c r="T249" s="90"/>
      <c r="U249" s="167" t="str">
        <f aca="false">IFERROR(INDEX(Schedule!$D$2:$D$147,MATCH($G249,Schedule!$A$2:$A$147,0)),"")</f>
        <v>Earthwork, Dewatering &amp; Erosion Control — Temporary facilities and controls</v>
      </c>
      <c r="V249" s="169" t="n">
        <f aca="false">IFERROR(INDEX(Schedule!$F$2:$F$147,MATCH("31-P01",Schedule!$A$2:$A$147,0)),"")</f>
        <v>44999</v>
      </c>
      <c r="W249" s="167" t="s">
        <v>99</v>
      </c>
      <c r="X249" s="167" t="s">
        <v>99</v>
      </c>
      <c r="Y249" s="167" t="n">
        <v>3</v>
      </c>
      <c r="Z249" s="167" t="n">
        <v>3</v>
      </c>
      <c r="AA249" s="167" t="s">
        <v>1147</v>
      </c>
      <c r="AB249" s="167" t="s">
        <v>1148</v>
      </c>
      <c r="AC249" s="167" t="s">
        <v>92</v>
      </c>
      <c r="AD249" s="167" t="s">
        <v>93</v>
      </c>
      <c r="AE249" s="167" t="s">
        <v>1149</v>
      </c>
      <c r="AF249" s="167" t="s">
        <v>1150</v>
      </c>
      <c r="AG249" s="167" t="s">
        <v>1151</v>
      </c>
      <c r="AH249" s="167" t="s">
        <v>95</v>
      </c>
    </row>
    <row r="250" customFormat="false" ht="15" hidden="false" customHeight="false" outlineLevel="0" collapsed="false">
      <c r="A250" s="167" t="s">
        <v>60</v>
      </c>
      <c r="B250" s="168" t="s">
        <v>39</v>
      </c>
      <c r="C250" s="167" t="s">
        <v>1152</v>
      </c>
      <c r="D250" s="167" t="s">
        <v>1153</v>
      </c>
      <c r="E250" s="167" t="s">
        <v>98</v>
      </c>
      <c r="F250" s="90" t="s">
        <v>89</v>
      </c>
      <c r="G250" s="167" t="s">
        <v>1124</v>
      </c>
      <c r="H250" s="169" t="n">
        <f aca="false">IFERROR(INDEX(Schedule!$E$2:$E$147,MATCH($G250,Schedule!$A$2:$A$147,0)),"")</f>
        <v>45000</v>
      </c>
      <c r="I250" s="169" t="n">
        <f aca="false">IFERROR(INDEX(Schedule!$F$2:$F$147,MATCH($G250,Schedule!$A$2:$A$147,0)),"")</f>
        <v>45581</v>
      </c>
      <c r="J250" s="92"/>
      <c r="K250" s="92"/>
      <c r="L250" s="92"/>
      <c r="M250" s="92"/>
      <c r="N250" s="92"/>
      <c r="O250" s="90" t="n">
        <v>1</v>
      </c>
      <c r="P250" s="170" t="n">
        <f aca="false">IFERROR((IF(OR(ISNUMBER(J250),UPPER(TRIM(J250))="N/A"),1,0)*IF($W250="N",0,INDEX('Rules of Credit'!$B$5:$F$8,MATCH($F250,'Rules of Credit'!$A$5:$A$8,0),1))+IF(OR(ISNUMBER(K250),UPPER(TRIM(K250))="N/A"),1,0)*INDEX('Rules of Credit'!$B$5:$F$8,MATCH($F250,'Rules of Credit'!$A$5:$A$8,0),2)+IF(OR(ISNUMBER(L250),UPPER(TRIM(L250))="N/A"),1,0)*INDEX('Rules of Credit'!$B$5:$F$8,MATCH($F250,'Rules of Credit'!$A$5:$A$8,0),3)+IF(OR(ISNUMBER(M250),UPPER(TRIM(M250))="N/A"),1,0)*IF($X250="N",0,INDEX('Rules of Credit'!$B$5:$F$8,MATCH($F250,'Rules of Credit'!$A$5:$A$8,0),4))+IF(OR(ISNUMBER(N250),UPPER(TRIM(N250))="N/A"),1,0)*INDEX('Rules of Credit'!$B$5:$F$8,MATCH($F250,'Rules of Credit'!$A$5:$A$8,0),5))/(IF($W250="N",0,INDEX('Rules of Credit'!$B$5:$F$8,MATCH($F250,'Rules of Credit'!$A$5:$A$8,0),1))+INDEX('Rules of Credit'!$B$5:$F$8,MATCH($F250,'Rules of Credit'!$A$5:$A$8,0),2)+INDEX('Rules of Credit'!$B$5:$F$8,MATCH($F250,'Rules of Credit'!$A$5:$A$8,0),3)+IF($X250="N",0,INDEX('Rules of Credit'!$B$5:$F$8,MATCH($F250,'Rules of Credit'!$A$5:$A$8,0),4))+INDEX('Rules of Credit'!$B$5:$F$8,MATCH($F250,'Rules of Credit'!$A$5:$A$8,0),5)),0)</f>
        <v>0</v>
      </c>
      <c r="Q250" s="170" t="n">
        <f aca="false">IF(OR($H250="",$I250=""),0,IF('Tracker Summary'!$C$3&lt;$H250,0,IF('Tracker Summary'!$C$3&gt;=$I250,1,('Tracker Summary'!$C$3-$H250)/($I250-$H250+1))))</f>
        <v>0</v>
      </c>
      <c r="R250" s="170" t="n">
        <f aca="false">P250-Q250</f>
        <v>0</v>
      </c>
      <c r="S250" s="167" t="str">
        <f aca="false">IF($I250="","Not scheduled",IF(P250&gt;=1,"Complete",IF('Tracker Summary'!$C$3&gt;$I250,"Overdue",IF(P250-Q250&lt;-0.1,"Behind",IF(AND(P250=0,'Tracker Summary'!$C$3&lt;$H250),"Not started","On track")))))</f>
        <v>On track</v>
      </c>
      <c r="T250" s="90"/>
      <c r="U250" s="167" t="str">
        <f aca="false">IFERROR(INDEX(Schedule!$D$2:$D$147,MATCH($G250,Schedule!$A$2:$A$147,0)),"")</f>
        <v>Earthwork, Dewatering &amp; Erosion Control — Temporary facilities and controls</v>
      </c>
      <c r="V250" s="169" t="n">
        <f aca="false">IFERROR(INDEX(Schedule!$F$2:$F$147,MATCH("31-P01",Schedule!$A$2:$A$147,0)),"")</f>
        <v>44999</v>
      </c>
      <c r="W250" s="167" t="s">
        <v>99</v>
      </c>
      <c r="X250" s="167" t="s">
        <v>91</v>
      </c>
      <c r="Y250" s="167" t="n">
        <v>1</v>
      </c>
      <c r="Z250" s="167" t="n">
        <v>0</v>
      </c>
      <c r="AA250" s="167" t="s">
        <v>1125</v>
      </c>
      <c r="AB250" s="167" t="s">
        <v>1126</v>
      </c>
      <c r="AC250" s="167" t="s">
        <v>120</v>
      </c>
      <c r="AD250" s="167" t="s">
        <v>1127</v>
      </c>
      <c r="AE250" s="167" t="s">
        <v>102</v>
      </c>
      <c r="AF250" s="167" t="s">
        <v>1129</v>
      </c>
      <c r="AG250" s="167" t="s">
        <v>1129</v>
      </c>
      <c r="AH250" s="167" t="s">
        <v>95</v>
      </c>
    </row>
    <row r="251" customFormat="false" ht="15" hidden="false" customHeight="false" outlineLevel="0" collapsed="false">
      <c r="A251" s="167" t="s">
        <v>60</v>
      </c>
      <c r="B251" s="168" t="s">
        <v>39</v>
      </c>
      <c r="C251" s="167" t="s">
        <v>1154</v>
      </c>
      <c r="D251" s="167" t="s">
        <v>1155</v>
      </c>
      <c r="E251" s="167" t="s">
        <v>98</v>
      </c>
      <c r="F251" s="90" t="s">
        <v>89</v>
      </c>
      <c r="G251" s="167" t="s">
        <v>1124</v>
      </c>
      <c r="H251" s="169" t="n">
        <f aca="false">IFERROR(INDEX(Schedule!$E$2:$E$147,MATCH($G251,Schedule!$A$2:$A$147,0)),"")</f>
        <v>45000</v>
      </c>
      <c r="I251" s="169" t="n">
        <f aca="false">IFERROR(INDEX(Schedule!$F$2:$F$147,MATCH($G251,Schedule!$A$2:$A$147,0)),"")</f>
        <v>45581</v>
      </c>
      <c r="J251" s="92"/>
      <c r="K251" s="92"/>
      <c r="L251" s="92"/>
      <c r="M251" s="92"/>
      <c r="N251" s="92"/>
      <c r="O251" s="90" t="n">
        <v>1</v>
      </c>
      <c r="P251" s="170" t="n">
        <f aca="false">IFERROR((IF(OR(ISNUMBER(J251),UPPER(TRIM(J251))="N/A"),1,0)*IF($W251="N",0,INDEX('Rules of Credit'!$B$5:$F$8,MATCH($F251,'Rules of Credit'!$A$5:$A$8,0),1))+IF(OR(ISNUMBER(K251),UPPER(TRIM(K251))="N/A"),1,0)*INDEX('Rules of Credit'!$B$5:$F$8,MATCH($F251,'Rules of Credit'!$A$5:$A$8,0),2)+IF(OR(ISNUMBER(L251),UPPER(TRIM(L251))="N/A"),1,0)*INDEX('Rules of Credit'!$B$5:$F$8,MATCH($F251,'Rules of Credit'!$A$5:$A$8,0),3)+IF(OR(ISNUMBER(M251),UPPER(TRIM(M251))="N/A"),1,0)*IF($X251="N",0,INDEX('Rules of Credit'!$B$5:$F$8,MATCH($F251,'Rules of Credit'!$A$5:$A$8,0),4))+IF(OR(ISNUMBER(N251),UPPER(TRIM(N251))="N/A"),1,0)*INDEX('Rules of Credit'!$B$5:$F$8,MATCH($F251,'Rules of Credit'!$A$5:$A$8,0),5))/(IF($W251="N",0,INDEX('Rules of Credit'!$B$5:$F$8,MATCH($F251,'Rules of Credit'!$A$5:$A$8,0),1))+INDEX('Rules of Credit'!$B$5:$F$8,MATCH($F251,'Rules of Credit'!$A$5:$A$8,0),2)+INDEX('Rules of Credit'!$B$5:$F$8,MATCH($F251,'Rules of Credit'!$A$5:$A$8,0),3)+IF($X251="N",0,INDEX('Rules of Credit'!$B$5:$F$8,MATCH($F251,'Rules of Credit'!$A$5:$A$8,0),4))+INDEX('Rules of Credit'!$B$5:$F$8,MATCH($F251,'Rules of Credit'!$A$5:$A$8,0),5)),0)</f>
        <v>0</v>
      </c>
      <c r="Q251" s="170" t="n">
        <f aca="false">IF(OR($H251="",$I251=""),0,IF('Tracker Summary'!$C$3&lt;$H251,0,IF('Tracker Summary'!$C$3&gt;=$I251,1,('Tracker Summary'!$C$3-$H251)/($I251-$H251+1))))</f>
        <v>0</v>
      </c>
      <c r="R251" s="170" t="n">
        <f aca="false">P251-Q251</f>
        <v>0</v>
      </c>
      <c r="S251" s="167" t="str">
        <f aca="false">IF($I251="","Not scheduled",IF(P251&gt;=1,"Complete",IF('Tracker Summary'!$C$3&gt;$I251,"Overdue",IF(P251-Q251&lt;-0.1,"Behind",IF(AND(P251=0,'Tracker Summary'!$C$3&lt;$H251),"Not started","On track")))))</f>
        <v>On track</v>
      </c>
      <c r="T251" s="90"/>
      <c r="U251" s="167" t="str">
        <f aca="false">IFERROR(INDEX(Schedule!$D$2:$D$147,MATCH($G251,Schedule!$A$2:$A$147,0)),"")</f>
        <v>Earthwork, Dewatering &amp; Erosion Control — Temporary facilities and controls</v>
      </c>
      <c r="V251" s="169" t="n">
        <f aca="false">IFERROR(INDEX(Schedule!$F$2:$F$147,MATCH("31-P01",Schedule!$A$2:$A$147,0)),"")</f>
        <v>44999</v>
      </c>
      <c r="W251" s="167" t="s">
        <v>99</v>
      </c>
      <c r="X251" s="167" t="s">
        <v>91</v>
      </c>
      <c r="Y251" s="167" t="n">
        <v>1</v>
      </c>
      <c r="Z251" s="167" t="n">
        <v>0</v>
      </c>
      <c r="AA251" s="167" t="s">
        <v>1125</v>
      </c>
      <c r="AB251" s="167" t="s">
        <v>1126</v>
      </c>
      <c r="AC251" s="167" t="s">
        <v>120</v>
      </c>
      <c r="AD251" s="167" t="s">
        <v>1127</v>
      </c>
      <c r="AE251" s="167" t="s">
        <v>1156</v>
      </c>
      <c r="AF251" s="167" t="s">
        <v>1129</v>
      </c>
      <c r="AG251" s="167" t="s">
        <v>1157</v>
      </c>
      <c r="AH251" s="167" t="s">
        <v>95</v>
      </c>
    </row>
    <row r="252" customFormat="false" ht="15" hidden="false" customHeight="false" outlineLevel="0" collapsed="false">
      <c r="A252" s="167" t="s">
        <v>60</v>
      </c>
      <c r="B252" s="168" t="s">
        <v>39</v>
      </c>
      <c r="C252" s="167" t="s">
        <v>1158</v>
      </c>
      <c r="D252" s="167" t="s">
        <v>1159</v>
      </c>
      <c r="E252" s="167" t="s">
        <v>98</v>
      </c>
      <c r="F252" s="90" t="s">
        <v>89</v>
      </c>
      <c r="G252" s="167" t="s">
        <v>1124</v>
      </c>
      <c r="H252" s="169" t="n">
        <f aca="false">IFERROR(INDEX(Schedule!$E$2:$E$147,MATCH($G252,Schedule!$A$2:$A$147,0)),"")</f>
        <v>45000</v>
      </c>
      <c r="I252" s="169" t="n">
        <f aca="false">IFERROR(INDEX(Schedule!$F$2:$F$147,MATCH($G252,Schedule!$A$2:$A$147,0)),"")</f>
        <v>45581</v>
      </c>
      <c r="J252" s="92"/>
      <c r="K252" s="92"/>
      <c r="L252" s="92"/>
      <c r="M252" s="92"/>
      <c r="N252" s="92"/>
      <c r="O252" s="90" t="n">
        <v>1</v>
      </c>
      <c r="P252" s="170" t="n">
        <f aca="false">IFERROR((IF(OR(ISNUMBER(J252),UPPER(TRIM(J252))="N/A"),1,0)*IF($W252="N",0,INDEX('Rules of Credit'!$B$5:$F$8,MATCH($F252,'Rules of Credit'!$A$5:$A$8,0),1))+IF(OR(ISNUMBER(K252),UPPER(TRIM(K252))="N/A"),1,0)*INDEX('Rules of Credit'!$B$5:$F$8,MATCH($F252,'Rules of Credit'!$A$5:$A$8,0),2)+IF(OR(ISNUMBER(L252),UPPER(TRIM(L252))="N/A"),1,0)*INDEX('Rules of Credit'!$B$5:$F$8,MATCH($F252,'Rules of Credit'!$A$5:$A$8,0),3)+IF(OR(ISNUMBER(M252),UPPER(TRIM(M252))="N/A"),1,0)*IF($X252="N",0,INDEX('Rules of Credit'!$B$5:$F$8,MATCH($F252,'Rules of Credit'!$A$5:$A$8,0),4))+IF(OR(ISNUMBER(N252),UPPER(TRIM(N252))="N/A"),1,0)*INDEX('Rules of Credit'!$B$5:$F$8,MATCH($F252,'Rules of Credit'!$A$5:$A$8,0),5))/(IF($W252="N",0,INDEX('Rules of Credit'!$B$5:$F$8,MATCH($F252,'Rules of Credit'!$A$5:$A$8,0),1))+INDEX('Rules of Credit'!$B$5:$F$8,MATCH($F252,'Rules of Credit'!$A$5:$A$8,0),2)+INDEX('Rules of Credit'!$B$5:$F$8,MATCH($F252,'Rules of Credit'!$A$5:$A$8,0),3)+IF($X252="N",0,INDEX('Rules of Credit'!$B$5:$F$8,MATCH($F252,'Rules of Credit'!$A$5:$A$8,0),4))+INDEX('Rules of Credit'!$B$5:$F$8,MATCH($F252,'Rules of Credit'!$A$5:$A$8,0),5)),0)</f>
        <v>0</v>
      </c>
      <c r="Q252" s="170" t="n">
        <f aca="false">IF(OR($H252="",$I252=""),0,IF('Tracker Summary'!$C$3&lt;$H252,0,IF('Tracker Summary'!$C$3&gt;=$I252,1,('Tracker Summary'!$C$3-$H252)/($I252-$H252+1))))</f>
        <v>0</v>
      </c>
      <c r="R252" s="170" t="n">
        <f aca="false">P252-Q252</f>
        <v>0</v>
      </c>
      <c r="S252" s="167" t="str">
        <f aca="false">IF($I252="","Not scheduled",IF(P252&gt;=1,"Complete",IF('Tracker Summary'!$C$3&gt;$I252,"Overdue",IF(P252-Q252&lt;-0.1,"Behind",IF(AND(P252=0,'Tracker Summary'!$C$3&lt;$H252),"Not started","On track")))))</f>
        <v>On track</v>
      </c>
      <c r="T252" s="90"/>
      <c r="U252" s="167" t="str">
        <f aca="false">IFERROR(INDEX(Schedule!$D$2:$D$147,MATCH($G252,Schedule!$A$2:$A$147,0)),"")</f>
        <v>Earthwork, Dewatering &amp; Erosion Control — Temporary facilities and controls</v>
      </c>
      <c r="V252" s="169" t="n">
        <f aca="false">IFERROR(INDEX(Schedule!$F$2:$F$147,MATCH("31-P01",Schedule!$A$2:$A$147,0)),"")</f>
        <v>44999</v>
      </c>
      <c r="W252" s="167" t="s">
        <v>99</v>
      </c>
      <c r="X252" s="167" t="s">
        <v>91</v>
      </c>
      <c r="Y252" s="167" t="n">
        <v>2</v>
      </c>
      <c r="Z252" s="167" t="n">
        <v>0</v>
      </c>
      <c r="AA252" s="167" t="s">
        <v>1160</v>
      </c>
      <c r="AB252" s="167" t="s">
        <v>1161</v>
      </c>
      <c r="AC252" s="167" t="s">
        <v>92</v>
      </c>
      <c r="AD252" s="167" t="s">
        <v>1162</v>
      </c>
      <c r="AE252" s="167" t="s">
        <v>1163</v>
      </c>
      <c r="AF252" s="167" t="s">
        <v>1164</v>
      </c>
      <c r="AG252" s="167" t="s">
        <v>1165</v>
      </c>
      <c r="AH252" s="167" t="s">
        <v>95</v>
      </c>
    </row>
    <row r="253" customFormat="false" ht="15" hidden="false" customHeight="false" outlineLevel="0" collapsed="false">
      <c r="A253" s="167" t="s">
        <v>60</v>
      </c>
      <c r="B253" s="168" t="s">
        <v>39</v>
      </c>
      <c r="C253" s="167" t="s">
        <v>1166</v>
      </c>
      <c r="D253" s="167" t="s">
        <v>1167</v>
      </c>
      <c r="E253" s="167" t="s">
        <v>98</v>
      </c>
      <c r="F253" s="90" t="s">
        <v>89</v>
      </c>
      <c r="G253" s="167" t="s">
        <v>1124</v>
      </c>
      <c r="H253" s="169" t="n">
        <f aca="false">IFERROR(INDEX(Schedule!$E$2:$E$147,MATCH($G253,Schedule!$A$2:$A$147,0)),"")</f>
        <v>45000</v>
      </c>
      <c r="I253" s="169" t="n">
        <f aca="false">IFERROR(INDEX(Schedule!$F$2:$F$147,MATCH($G253,Schedule!$A$2:$A$147,0)),"")</f>
        <v>45581</v>
      </c>
      <c r="J253" s="92"/>
      <c r="K253" s="92"/>
      <c r="L253" s="92"/>
      <c r="M253" s="92"/>
      <c r="N253" s="92"/>
      <c r="O253" s="90" t="n">
        <v>1</v>
      </c>
      <c r="P253" s="170" t="n">
        <f aca="false">IFERROR((IF(OR(ISNUMBER(J253),UPPER(TRIM(J253))="N/A"),1,0)*IF($W253="N",0,INDEX('Rules of Credit'!$B$5:$F$8,MATCH($F253,'Rules of Credit'!$A$5:$A$8,0),1))+IF(OR(ISNUMBER(K253),UPPER(TRIM(K253))="N/A"),1,0)*INDEX('Rules of Credit'!$B$5:$F$8,MATCH($F253,'Rules of Credit'!$A$5:$A$8,0),2)+IF(OR(ISNUMBER(L253),UPPER(TRIM(L253))="N/A"),1,0)*INDEX('Rules of Credit'!$B$5:$F$8,MATCH($F253,'Rules of Credit'!$A$5:$A$8,0),3)+IF(OR(ISNUMBER(M253),UPPER(TRIM(M253))="N/A"),1,0)*IF($X253="N",0,INDEX('Rules of Credit'!$B$5:$F$8,MATCH($F253,'Rules of Credit'!$A$5:$A$8,0),4))+IF(OR(ISNUMBER(N253),UPPER(TRIM(N253))="N/A"),1,0)*INDEX('Rules of Credit'!$B$5:$F$8,MATCH($F253,'Rules of Credit'!$A$5:$A$8,0),5))/(IF($W253="N",0,INDEX('Rules of Credit'!$B$5:$F$8,MATCH($F253,'Rules of Credit'!$A$5:$A$8,0),1))+INDEX('Rules of Credit'!$B$5:$F$8,MATCH($F253,'Rules of Credit'!$A$5:$A$8,0),2)+INDEX('Rules of Credit'!$B$5:$F$8,MATCH($F253,'Rules of Credit'!$A$5:$A$8,0),3)+IF($X253="N",0,INDEX('Rules of Credit'!$B$5:$F$8,MATCH($F253,'Rules of Credit'!$A$5:$A$8,0),4))+INDEX('Rules of Credit'!$B$5:$F$8,MATCH($F253,'Rules of Credit'!$A$5:$A$8,0),5)),0)</f>
        <v>0</v>
      </c>
      <c r="Q253" s="170" t="n">
        <f aca="false">IF(OR($H253="",$I253=""),0,IF('Tracker Summary'!$C$3&lt;$H253,0,IF('Tracker Summary'!$C$3&gt;=$I253,1,('Tracker Summary'!$C$3-$H253)/($I253-$H253+1))))</f>
        <v>0</v>
      </c>
      <c r="R253" s="170" t="n">
        <f aca="false">P253-Q253</f>
        <v>0</v>
      </c>
      <c r="S253" s="167" t="str">
        <f aca="false">IF($I253="","Not scheduled",IF(P253&gt;=1,"Complete",IF('Tracker Summary'!$C$3&gt;$I253,"Overdue",IF(P253-Q253&lt;-0.1,"Behind",IF(AND(P253=0,'Tracker Summary'!$C$3&lt;$H253),"Not started","On track")))))</f>
        <v>On track</v>
      </c>
      <c r="T253" s="90"/>
      <c r="U253" s="167" t="str">
        <f aca="false">IFERROR(INDEX(Schedule!$D$2:$D$147,MATCH($G253,Schedule!$A$2:$A$147,0)),"")</f>
        <v>Earthwork, Dewatering &amp; Erosion Control — Temporary facilities and controls</v>
      </c>
      <c r="V253" s="169" t="n">
        <f aca="false">IFERROR(INDEX(Schedule!$F$2:$F$147,MATCH("31-P01",Schedule!$A$2:$A$147,0)),"")</f>
        <v>44999</v>
      </c>
      <c r="W253" s="167" t="s">
        <v>99</v>
      </c>
      <c r="X253" s="167" t="s">
        <v>91</v>
      </c>
      <c r="Y253" s="167" t="n">
        <v>1</v>
      </c>
      <c r="Z253" s="167" t="n">
        <v>0</v>
      </c>
      <c r="AA253" s="167"/>
      <c r="AB253" s="167"/>
      <c r="AC253" s="167" t="s">
        <v>92</v>
      </c>
      <c r="AD253" s="167" t="s">
        <v>1127</v>
      </c>
      <c r="AE253" s="167" t="s">
        <v>1168</v>
      </c>
      <c r="AF253" s="167" t="s">
        <v>1129</v>
      </c>
      <c r="AG253" s="167" t="s">
        <v>1169</v>
      </c>
      <c r="AH253" s="167" t="s">
        <v>95</v>
      </c>
    </row>
    <row r="254" customFormat="false" ht="15" hidden="false" customHeight="false" outlineLevel="0" collapsed="false">
      <c r="A254" s="167" t="s">
        <v>60</v>
      </c>
      <c r="B254" s="168" t="s">
        <v>39</v>
      </c>
      <c r="C254" s="167" t="s">
        <v>1170</v>
      </c>
      <c r="D254" s="167" t="s">
        <v>1171</v>
      </c>
      <c r="E254" s="167" t="s">
        <v>98</v>
      </c>
      <c r="F254" s="90" t="s">
        <v>89</v>
      </c>
      <c r="G254" s="167" t="s">
        <v>1124</v>
      </c>
      <c r="H254" s="169" t="n">
        <f aca="false">IFERROR(INDEX(Schedule!$E$2:$E$147,MATCH($G254,Schedule!$A$2:$A$147,0)),"")</f>
        <v>45000</v>
      </c>
      <c r="I254" s="169" t="n">
        <f aca="false">IFERROR(INDEX(Schedule!$F$2:$F$147,MATCH($G254,Schedule!$A$2:$A$147,0)),"")</f>
        <v>45581</v>
      </c>
      <c r="J254" s="92"/>
      <c r="K254" s="92"/>
      <c r="L254" s="92"/>
      <c r="M254" s="92"/>
      <c r="N254" s="92"/>
      <c r="O254" s="90" t="n">
        <v>1</v>
      </c>
      <c r="P254" s="170" t="n">
        <f aca="false">IFERROR((IF(OR(ISNUMBER(J254),UPPER(TRIM(J254))="N/A"),1,0)*IF($W254="N",0,INDEX('Rules of Credit'!$B$5:$F$8,MATCH($F254,'Rules of Credit'!$A$5:$A$8,0),1))+IF(OR(ISNUMBER(K254),UPPER(TRIM(K254))="N/A"),1,0)*INDEX('Rules of Credit'!$B$5:$F$8,MATCH($F254,'Rules of Credit'!$A$5:$A$8,0),2)+IF(OR(ISNUMBER(L254),UPPER(TRIM(L254))="N/A"),1,0)*INDEX('Rules of Credit'!$B$5:$F$8,MATCH($F254,'Rules of Credit'!$A$5:$A$8,0),3)+IF(OR(ISNUMBER(M254),UPPER(TRIM(M254))="N/A"),1,0)*IF($X254="N",0,INDEX('Rules of Credit'!$B$5:$F$8,MATCH($F254,'Rules of Credit'!$A$5:$A$8,0),4))+IF(OR(ISNUMBER(N254),UPPER(TRIM(N254))="N/A"),1,0)*INDEX('Rules of Credit'!$B$5:$F$8,MATCH($F254,'Rules of Credit'!$A$5:$A$8,0),5))/(IF($W254="N",0,INDEX('Rules of Credit'!$B$5:$F$8,MATCH($F254,'Rules of Credit'!$A$5:$A$8,0),1))+INDEX('Rules of Credit'!$B$5:$F$8,MATCH($F254,'Rules of Credit'!$A$5:$A$8,0),2)+INDEX('Rules of Credit'!$B$5:$F$8,MATCH($F254,'Rules of Credit'!$A$5:$A$8,0),3)+IF($X254="N",0,INDEX('Rules of Credit'!$B$5:$F$8,MATCH($F254,'Rules of Credit'!$A$5:$A$8,0),4))+INDEX('Rules of Credit'!$B$5:$F$8,MATCH($F254,'Rules of Credit'!$A$5:$A$8,0),5)),0)</f>
        <v>0</v>
      </c>
      <c r="Q254" s="170" t="n">
        <f aca="false">IF(OR($H254="",$I254=""),0,IF('Tracker Summary'!$C$3&lt;$H254,0,IF('Tracker Summary'!$C$3&gt;=$I254,1,('Tracker Summary'!$C$3-$H254)/($I254-$H254+1))))</f>
        <v>0</v>
      </c>
      <c r="R254" s="170" t="n">
        <f aca="false">P254-Q254</f>
        <v>0</v>
      </c>
      <c r="S254" s="167" t="str">
        <f aca="false">IF($I254="","Not scheduled",IF(P254&gt;=1,"Complete",IF('Tracker Summary'!$C$3&gt;$I254,"Overdue",IF(P254-Q254&lt;-0.1,"Behind",IF(AND(P254=0,'Tracker Summary'!$C$3&lt;$H254),"Not started","On track")))))</f>
        <v>On track</v>
      </c>
      <c r="T254" s="90"/>
      <c r="U254" s="167" t="str">
        <f aca="false">IFERROR(INDEX(Schedule!$D$2:$D$147,MATCH($G254,Schedule!$A$2:$A$147,0)),"")</f>
        <v>Earthwork, Dewatering &amp; Erosion Control — Temporary facilities and controls</v>
      </c>
      <c r="V254" s="169" t="n">
        <f aca="false">IFERROR(INDEX(Schedule!$F$2:$F$147,MATCH("31-P01",Schedule!$A$2:$A$147,0)),"")</f>
        <v>44999</v>
      </c>
      <c r="W254" s="167" t="s">
        <v>91</v>
      </c>
      <c r="X254" s="167" t="s">
        <v>91</v>
      </c>
      <c r="Y254" s="167" t="n">
        <v>0</v>
      </c>
      <c r="Z254" s="167" t="n">
        <v>0</v>
      </c>
      <c r="AA254" s="167" t="s">
        <v>1172</v>
      </c>
      <c r="AB254" s="167" t="s">
        <v>1173</v>
      </c>
      <c r="AC254" s="167" t="s">
        <v>120</v>
      </c>
      <c r="AD254" s="167" t="s">
        <v>1162</v>
      </c>
      <c r="AE254" s="167"/>
      <c r="AF254" s="167" t="s">
        <v>1174</v>
      </c>
      <c r="AG254" s="167" t="s">
        <v>1174</v>
      </c>
      <c r="AH254" s="167" t="s">
        <v>109</v>
      </c>
    </row>
    <row r="255" customFormat="false" ht="15" hidden="false" customHeight="false" outlineLevel="0" collapsed="false">
      <c r="A255" s="167" t="s">
        <v>60</v>
      </c>
      <c r="B255" s="168" t="s">
        <v>39</v>
      </c>
      <c r="C255" s="167" t="s">
        <v>1175</v>
      </c>
      <c r="D255" s="167" t="s">
        <v>1176</v>
      </c>
      <c r="E255" s="167" t="s">
        <v>98</v>
      </c>
      <c r="F255" s="90" t="s">
        <v>89</v>
      </c>
      <c r="G255" s="167" t="s">
        <v>1124</v>
      </c>
      <c r="H255" s="169" t="n">
        <f aca="false">IFERROR(INDEX(Schedule!$E$2:$E$147,MATCH($G255,Schedule!$A$2:$A$147,0)),"")</f>
        <v>45000</v>
      </c>
      <c r="I255" s="169" t="n">
        <f aca="false">IFERROR(INDEX(Schedule!$F$2:$F$147,MATCH($G255,Schedule!$A$2:$A$147,0)),"")</f>
        <v>45581</v>
      </c>
      <c r="J255" s="92"/>
      <c r="K255" s="92"/>
      <c r="L255" s="92"/>
      <c r="M255" s="92"/>
      <c r="N255" s="92"/>
      <c r="O255" s="90" t="n">
        <v>1</v>
      </c>
      <c r="P255" s="170" t="n">
        <f aca="false">IFERROR((IF(OR(ISNUMBER(J255),UPPER(TRIM(J255))="N/A"),1,0)*IF($W255="N",0,INDEX('Rules of Credit'!$B$5:$F$8,MATCH($F255,'Rules of Credit'!$A$5:$A$8,0),1))+IF(OR(ISNUMBER(K255),UPPER(TRIM(K255))="N/A"),1,0)*INDEX('Rules of Credit'!$B$5:$F$8,MATCH($F255,'Rules of Credit'!$A$5:$A$8,0),2)+IF(OR(ISNUMBER(L255),UPPER(TRIM(L255))="N/A"),1,0)*INDEX('Rules of Credit'!$B$5:$F$8,MATCH($F255,'Rules of Credit'!$A$5:$A$8,0),3)+IF(OR(ISNUMBER(M255),UPPER(TRIM(M255))="N/A"),1,0)*IF($X255="N",0,INDEX('Rules of Credit'!$B$5:$F$8,MATCH($F255,'Rules of Credit'!$A$5:$A$8,0),4))+IF(OR(ISNUMBER(N255),UPPER(TRIM(N255))="N/A"),1,0)*INDEX('Rules of Credit'!$B$5:$F$8,MATCH($F255,'Rules of Credit'!$A$5:$A$8,0),5))/(IF($W255="N",0,INDEX('Rules of Credit'!$B$5:$F$8,MATCH($F255,'Rules of Credit'!$A$5:$A$8,0),1))+INDEX('Rules of Credit'!$B$5:$F$8,MATCH($F255,'Rules of Credit'!$A$5:$A$8,0),2)+INDEX('Rules of Credit'!$B$5:$F$8,MATCH($F255,'Rules of Credit'!$A$5:$A$8,0),3)+IF($X255="N",0,INDEX('Rules of Credit'!$B$5:$F$8,MATCH($F255,'Rules of Credit'!$A$5:$A$8,0),4))+INDEX('Rules of Credit'!$B$5:$F$8,MATCH($F255,'Rules of Credit'!$A$5:$A$8,0),5)),0)</f>
        <v>0</v>
      </c>
      <c r="Q255" s="170" t="n">
        <f aca="false">IF(OR($H255="",$I255=""),0,IF('Tracker Summary'!$C$3&lt;$H255,0,IF('Tracker Summary'!$C$3&gt;=$I255,1,('Tracker Summary'!$C$3-$H255)/($I255-$H255+1))))</f>
        <v>0</v>
      </c>
      <c r="R255" s="170" t="n">
        <f aca="false">P255-Q255</f>
        <v>0</v>
      </c>
      <c r="S255" s="167" t="str">
        <f aca="false">IF($I255="","Not scheduled",IF(P255&gt;=1,"Complete",IF('Tracker Summary'!$C$3&gt;$I255,"Overdue",IF(P255-Q255&lt;-0.1,"Behind",IF(AND(P255=0,'Tracker Summary'!$C$3&lt;$H255),"Not started","On track")))))</f>
        <v>On track</v>
      </c>
      <c r="T255" s="90"/>
      <c r="U255" s="167" t="str">
        <f aca="false">IFERROR(INDEX(Schedule!$D$2:$D$147,MATCH($G255,Schedule!$A$2:$A$147,0)),"")</f>
        <v>Earthwork, Dewatering &amp; Erosion Control — Temporary facilities and controls</v>
      </c>
      <c r="V255" s="169" t="n">
        <f aca="false">IFERROR(INDEX(Schedule!$F$2:$F$147,MATCH("31-P01",Schedule!$A$2:$A$147,0)),"")</f>
        <v>44999</v>
      </c>
      <c r="W255" s="167" t="s">
        <v>91</v>
      </c>
      <c r="X255" s="167" t="s">
        <v>91</v>
      </c>
      <c r="Y255" s="167" t="n">
        <v>0</v>
      </c>
      <c r="Z255" s="167" t="n">
        <v>0</v>
      </c>
      <c r="AA255" s="167" t="s">
        <v>1177</v>
      </c>
      <c r="AB255" s="167" t="s">
        <v>1178</v>
      </c>
      <c r="AC255" s="167" t="s">
        <v>92</v>
      </c>
      <c r="AD255" s="167" t="s">
        <v>1179</v>
      </c>
      <c r="AE255" s="167" t="s">
        <v>1180</v>
      </c>
      <c r="AF255" s="167" t="s">
        <v>1181</v>
      </c>
      <c r="AG255" s="167" t="s">
        <v>1181</v>
      </c>
      <c r="AH255" s="167" t="s">
        <v>109</v>
      </c>
    </row>
    <row r="256" customFormat="false" ht="15" hidden="false" customHeight="false" outlineLevel="0" collapsed="false">
      <c r="A256" s="167" t="s">
        <v>60</v>
      </c>
      <c r="B256" s="168" t="s">
        <v>39</v>
      </c>
      <c r="C256" s="167" t="s">
        <v>1182</v>
      </c>
      <c r="D256" s="167" t="s">
        <v>1183</v>
      </c>
      <c r="E256" s="167" t="s">
        <v>98</v>
      </c>
      <c r="F256" s="90" t="s">
        <v>89</v>
      </c>
      <c r="G256" s="167" t="s">
        <v>1124</v>
      </c>
      <c r="H256" s="169" t="n">
        <f aca="false">IFERROR(INDEX(Schedule!$E$2:$E$147,MATCH($G256,Schedule!$A$2:$A$147,0)),"")</f>
        <v>45000</v>
      </c>
      <c r="I256" s="169" t="n">
        <f aca="false">IFERROR(INDEX(Schedule!$F$2:$F$147,MATCH($G256,Schedule!$A$2:$A$147,0)),"")</f>
        <v>45581</v>
      </c>
      <c r="J256" s="92"/>
      <c r="K256" s="92"/>
      <c r="L256" s="92"/>
      <c r="M256" s="92"/>
      <c r="N256" s="92"/>
      <c r="O256" s="90" t="n">
        <v>1</v>
      </c>
      <c r="P256" s="170" t="n">
        <f aca="false">IFERROR((IF(OR(ISNUMBER(J256),UPPER(TRIM(J256))="N/A"),1,0)*IF($W256="N",0,INDEX('Rules of Credit'!$B$5:$F$8,MATCH($F256,'Rules of Credit'!$A$5:$A$8,0),1))+IF(OR(ISNUMBER(K256),UPPER(TRIM(K256))="N/A"),1,0)*INDEX('Rules of Credit'!$B$5:$F$8,MATCH($F256,'Rules of Credit'!$A$5:$A$8,0),2)+IF(OR(ISNUMBER(L256),UPPER(TRIM(L256))="N/A"),1,0)*INDEX('Rules of Credit'!$B$5:$F$8,MATCH($F256,'Rules of Credit'!$A$5:$A$8,0),3)+IF(OR(ISNUMBER(M256),UPPER(TRIM(M256))="N/A"),1,0)*IF($X256="N",0,INDEX('Rules of Credit'!$B$5:$F$8,MATCH($F256,'Rules of Credit'!$A$5:$A$8,0),4))+IF(OR(ISNUMBER(N256),UPPER(TRIM(N256))="N/A"),1,0)*INDEX('Rules of Credit'!$B$5:$F$8,MATCH($F256,'Rules of Credit'!$A$5:$A$8,0),5))/(IF($W256="N",0,INDEX('Rules of Credit'!$B$5:$F$8,MATCH($F256,'Rules of Credit'!$A$5:$A$8,0),1))+INDEX('Rules of Credit'!$B$5:$F$8,MATCH($F256,'Rules of Credit'!$A$5:$A$8,0),2)+INDEX('Rules of Credit'!$B$5:$F$8,MATCH($F256,'Rules of Credit'!$A$5:$A$8,0),3)+IF($X256="N",0,INDEX('Rules of Credit'!$B$5:$F$8,MATCH($F256,'Rules of Credit'!$A$5:$A$8,0),4))+INDEX('Rules of Credit'!$B$5:$F$8,MATCH($F256,'Rules of Credit'!$A$5:$A$8,0),5)),0)</f>
        <v>0</v>
      </c>
      <c r="Q256" s="170" t="n">
        <f aca="false">IF(OR($H256="",$I256=""),0,IF('Tracker Summary'!$C$3&lt;$H256,0,IF('Tracker Summary'!$C$3&gt;=$I256,1,('Tracker Summary'!$C$3-$H256)/($I256-$H256+1))))</f>
        <v>0</v>
      </c>
      <c r="R256" s="170" t="n">
        <f aca="false">P256-Q256</f>
        <v>0</v>
      </c>
      <c r="S256" s="167" t="str">
        <f aca="false">IF($I256="","Not scheduled",IF(P256&gt;=1,"Complete",IF('Tracker Summary'!$C$3&gt;$I256,"Overdue",IF(P256-Q256&lt;-0.1,"Behind",IF(AND(P256=0,'Tracker Summary'!$C$3&lt;$H256),"Not started","On track")))))</f>
        <v>On track</v>
      </c>
      <c r="T256" s="90"/>
      <c r="U256" s="167" t="str">
        <f aca="false">IFERROR(INDEX(Schedule!$D$2:$D$147,MATCH($G256,Schedule!$A$2:$A$147,0)),"")</f>
        <v>Earthwork, Dewatering &amp; Erosion Control — Temporary facilities and controls</v>
      </c>
      <c r="V256" s="169" t="n">
        <f aca="false">IFERROR(INDEX(Schedule!$F$2:$F$147,MATCH("31-P01",Schedule!$A$2:$A$147,0)),"")</f>
        <v>44999</v>
      </c>
      <c r="W256" s="167" t="s">
        <v>91</v>
      </c>
      <c r="X256" s="167" t="s">
        <v>91</v>
      </c>
      <c r="Y256" s="167" t="n">
        <v>0</v>
      </c>
      <c r="Z256" s="167" t="n">
        <v>0</v>
      </c>
      <c r="AA256" s="167" t="s">
        <v>1184</v>
      </c>
      <c r="AB256" s="167" t="s">
        <v>1185</v>
      </c>
      <c r="AC256" s="167" t="s">
        <v>92</v>
      </c>
      <c r="AD256" s="167" t="s">
        <v>93</v>
      </c>
      <c r="AE256" s="167"/>
      <c r="AF256" s="167" t="s">
        <v>1186</v>
      </c>
      <c r="AG256" s="167" t="s">
        <v>1186</v>
      </c>
      <c r="AH256" s="167" t="s">
        <v>109</v>
      </c>
    </row>
    <row r="257" customFormat="false" ht="15" hidden="false" customHeight="false" outlineLevel="0" collapsed="false">
      <c r="A257" s="167" t="s">
        <v>60</v>
      </c>
      <c r="B257" s="168" t="s">
        <v>39</v>
      </c>
      <c r="C257" s="167" t="s">
        <v>1187</v>
      </c>
      <c r="D257" s="167" t="s">
        <v>1188</v>
      </c>
      <c r="E257" s="167" t="s">
        <v>98</v>
      </c>
      <c r="F257" s="90" t="s">
        <v>89</v>
      </c>
      <c r="G257" s="167" t="s">
        <v>1124</v>
      </c>
      <c r="H257" s="169" t="n">
        <f aca="false">IFERROR(INDEX(Schedule!$E$2:$E$147,MATCH($G257,Schedule!$A$2:$A$147,0)),"")</f>
        <v>45000</v>
      </c>
      <c r="I257" s="169" t="n">
        <f aca="false">IFERROR(INDEX(Schedule!$F$2:$F$147,MATCH($G257,Schedule!$A$2:$A$147,0)),"")</f>
        <v>45581</v>
      </c>
      <c r="J257" s="92"/>
      <c r="K257" s="92"/>
      <c r="L257" s="92"/>
      <c r="M257" s="92"/>
      <c r="N257" s="92"/>
      <c r="O257" s="90" t="n">
        <v>1</v>
      </c>
      <c r="P257" s="170" t="n">
        <f aca="false">IFERROR((IF(OR(ISNUMBER(J257),UPPER(TRIM(J257))="N/A"),1,0)*IF($W257="N",0,INDEX('Rules of Credit'!$B$5:$F$8,MATCH($F257,'Rules of Credit'!$A$5:$A$8,0),1))+IF(OR(ISNUMBER(K257),UPPER(TRIM(K257))="N/A"),1,0)*INDEX('Rules of Credit'!$B$5:$F$8,MATCH($F257,'Rules of Credit'!$A$5:$A$8,0),2)+IF(OR(ISNUMBER(L257),UPPER(TRIM(L257))="N/A"),1,0)*INDEX('Rules of Credit'!$B$5:$F$8,MATCH($F257,'Rules of Credit'!$A$5:$A$8,0),3)+IF(OR(ISNUMBER(M257),UPPER(TRIM(M257))="N/A"),1,0)*IF($X257="N",0,INDEX('Rules of Credit'!$B$5:$F$8,MATCH($F257,'Rules of Credit'!$A$5:$A$8,0),4))+IF(OR(ISNUMBER(N257),UPPER(TRIM(N257))="N/A"),1,0)*INDEX('Rules of Credit'!$B$5:$F$8,MATCH($F257,'Rules of Credit'!$A$5:$A$8,0),5))/(IF($W257="N",0,INDEX('Rules of Credit'!$B$5:$F$8,MATCH($F257,'Rules of Credit'!$A$5:$A$8,0),1))+INDEX('Rules of Credit'!$B$5:$F$8,MATCH($F257,'Rules of Credit'!$A$5:$A$8,0),2)+INDEX('Rules of Credit'!$B$5:$F$8,MATCH($F257,'Rules of Credit'!$A$5:$A$8,0),3)+IF($X257="N",0,INDEX('Rules of Credit'!$B$5:$F$8,MATCH($F257,'Rules of Credit'!$A$5:$A$8,0),4))+INDEX('Rules of Credit'!$B$5:$F$8,MATCH($F257,'Rules of Credit'!$A$5:$A$8,0),5)),0)</f>
        <v>0</v>
      </c>
      <c r="Q257" s="170" t="n">
        <f aca="false">IF(OR($H257="",$I257=""),0,IF('Tracker Summary'!$C$3&lt;$H257,0,IF('Tracker Summary'!$C$3&gt;=$I257,1,('Tracker Summary'!$C$3-$H257)/($I257-$H257+1))))</f>
        <v>0</v>
      </c>
      <c r="R257" s="170" t="n">
        <f aca="false">P257-Q257</f>
        <v>0</v>
      </c>
      <c r="S257" s="167" t="str">
        <f aca="false">IF($I257="","Not scheduled",IF(P257&gt;=1,"Complete",IF('Tracker Summary'!$C$3&gt;$I257,"Overdue",IF(P257-Q257&lt;-0.1,"Behind",IF(AND(P257=0,'Tracker Summary'!$C$3&lt;$H257),"Not started","On track")))))</f>
        <v>On track</v>
      </c>
      <c r="T257" s="90"/>
      <c r="U257" s="167" t="str">
        <f aca="false">IFERROR(INDEX(Schedule!$D$2:$D$147,MATCH($G257,Schedule!$A$2:$A$147,0)),"")</f>
        <v>Earthwork, Dewatering &amp; Erosion Control — Temporary facilities and controls</v>
      </c>
      <c r="V257" s="169" t="n">
        <f aca="false">IFERROR(INDEX(Schedule!$F$2:$F$147,MATCH("31-P01",Schedule!$A$2:$A$147,0)),"")</f>
        <v>44999</v>
      </c>
      <c r="W257" s="167" t="s">
        <v>91</v>
      </c>
      <c r="X257" s="167" t="s">
        <v>91</v>
      </c>
      <c r="Y257" s="167" t="n">
        <v>0</v>
      </c>
      <c r="Z257" s="167" t="n">
        <v>0</v>
      </c>
      <c r="AA257" s="167" t="s">
        <v>1172</v>
      </c>
      <c r="AB257" s="167" t="s">
        <v>1173</v>
      </c>
      <c r="AC257" s="167" t="s">
        <v>92</v>
      </c>
      <c r="AD257" s="167" t="s">
        <v>1189</v>
      </c>
      <c r="AE257" s="167"/>
      <c r="AF257" s="167" t="s">
        <v>1190</v>
      </c>
      <c r="AG257" s="167" t="s">
        <v>1190</v>
      </c>
      <c r="AH257" s="167" t="s">
        <v>109</v>
      </c>
    </row>
    <row r="258" customFormat="false" ht="15" hidden="false" customHeight="false" outlineLevel="0" collapsed="false">
      <c r="A258" s="167" t="s">
        <v>60</v>
      </c>
      <c r="B258" s="168" t="s">
        <v>39</v>
      </c>
      <c r="C258" s="167" t="s">
        <v>1191</v>
      </c>
      <c r="D258" s="167" t="s">
        <v>1192</v>
      </c>
      <c r="E258" s="167" t="s">
        <v>98</v>
      </c>
      <c r="F258" s="90" t="s">
        <v>234</v>
      </c>
      <c r="G258" s="167" t="s">
        <v>1193</v>
      </c>
      <c r="H258" s="169" t="n">
        <f aca="false">IFERROR(INDEX(Schedule!$E$2:$E$147,MATCH($G258,Schedule!$A$2:$A$147,0)),"")</f>
        <v>45017</v>
      </c>
      <c r="I258" s="169" t="n">
        <f aca="false">IFERROR(INDEX(Schedule!$F$2:$F$147,MATCH($G258,Schedule!$A$2:$A$147,0)),"")</f>
        <v>45231</v>
      </c>
      <c r="J258" s="92"/>
      <c r="K258" s="92"/>
      <c r="L258" s="92"/>
      <c r="M258" s="92"/>
      <c r="N258" s="92"/>
      <c r="O258" s="90" t="n">
        <v>1</v>
      </c>
      <c r="P258" s="170" t="n">
        <f aca="false">IFERROR((IF(OR(ISNUMBER(J258),UPPER(TRIM(J258))="N/A"),1,0)*IF($W258="N",0,INDEX('Rules of Credit'!$B$5:$F$8,MATCH($F258,'Rules of Credit'!$A$5:$A$8,0),1))+IF(OR(ISNUMBER(K258),UPPER(TRIM(K258))="N/A"),1,0)*INDEX('Rules of Credit'!$B$5:$F$8,MATCH($F258,'Rules of Credit'!$A$5:$A$8,0),2)+IF(OR(ISNUMBER(L258),UPPER(TRIM(L258))="N/A"),1,0)*INDEX('Rules of Credit'!$B$5:$F$8,MATCH($F258,'Rules of Credit'!$A$5:$A$8,0),3)+IF(OR(ISNUMBER(M258),UPPER(TRIM(M258))="N/A"),1,0)*IF($X258="N",0,INDEX('Rules of Credit'!$B$5:$F$8,MATCH($F258,'Rules of Credit'!$A$5:$A$8,0),4))+IF(OR(ISNUMBER(N258),UPPER(TRIM(N258))="N/A"),1,0)*INDEX('Rules of Credit'!$B$5:$F$8,MATCH($F258,'Rules of Credit'!$A$5:$A$8,0),5))/(IF($W258="N",0,INDEX('Rules of Credit'!$B$5:$F$8,MATCH($F258,'Rules of Credit'!$A$5:$A$8,0),1))+INDEX('Rules of Credit'!$B$5:$F$8,MATCH($F258,'Rules of Credit'!$A$5:$A$8,0),2)+INDEX('Rules of Credit'!$B$5:$F$8,MATCH($F258,'Rules of Credit'!$A$5:$A$8,0),3)+IF($X258="N",0,INDEX('Rules of Credit'!$B$5:$F$8,MATCH($F258,'Rules of Credit'!$A$5:$A$8,0),4))+INDEX('Rules of Credit'!$B$5:$F$8,MATCH($F258,'Rules of Credit'!$A$5:$A$8,0),5)),0)</f>
        <v>0</v>
      </c>
      <c r="Q258" s="170" t="n">
        <f aca="false">IF(OR($H258="",$I258=""),0,IF('Tracker Summary'!$C$3&lt;$H258,0,IF('Tracker Summary'!$C$3&gt;=$I258,1,('Tracker Summary'!$C$3-$H258)/($I258-$H258+1))))</f>
        <v>0</v>
      </c>
      <c r="R258" s="170" t="n">
        <f aca="false">P258-Q258</f>
        <v>0</v>
      </c>
      <c r="S258" s="167" t="str">
        <f aca="false">IF($I258="","Not scheduled",IF(P258&gt;=1,"Complete",IF('Tracker Summary'!$C$3&gt;$I258,"Overdue",IF(P258-Q258&lt;-0.1,"Behind",IF(AND(P258=0,'Tracker Summary'!$C$3&lt;$H258),"Not started","On track")))))</f>
        <v>Not started</v>
      </c>
      <c r="T258" s="90"/>
      <c r="U258" s="167" t="str">
        <f aca="false">IFERROR(INDEX(Schedule!$D$2:$D$147,MATCH($G258,Schedule!$A$2:$A$147,0)),"")</f>
        <v>Earthwork, Dewatering &amp; Erosion Control — Yard piping, vaults and site utilities</v>
      </c>
      <c r="V258" s="169" t="n">
        <f aca="false">IFERROR(INDEX(Schedule!$F$2:$F$147,MATCH("31-P01",Schedule!$A$2:$A$147,0)),"")</f>
        <v>44999</v>
      </c>
      <c r="W258" s="167" t="s">
        <v>99</v>
      </c>
      <c r="X258" s="167" t="s">
        <v>91</v>
      </c>
      <c r="Y258" s="167" t="n">
        <v>4</v>
      </c>
      <c r="Z258" s="167" t="n">
        <v>0</v>
      </c>
      <c r="AA258" s="167"/>
      <c r="AB258" s="167"/>
      <c r="AC258" s="167" t="s">
        <v>120</v>
      </c>
      <c r="AD258" s="167" t="s">
        <v>93</v>
      </c>
      <c r="AE258" s="167" t="s">
        <v>1194</v>
      </c>
      <c r="AF258" s="167" t="s">
        <v>1195</v>
      </c>
      <c r="AG258" s="167" t="s">
        <v>1196</v>
      </c>
      <c r="AH258" s="167" t="s">
        <v>95</v>
      </c>
    </row>
    <row r="259" customFormat="false" ht="15" hidden="false" customHeight="false" outlineLevel="0" collapsed="false">
      <c r="A259" s="167" t="s">
        <v>60</v>
      </c>
      <c r="B259" s="168" t="s">
        <v>39</v>
      </c>
      <c r="C259" s="167" t="s">
        <v>1197</v>
      </c>
      <c r="D259" s="167" t="s">
        <v>1198</v>
      </c>
      <c r="E259" s="167" t="s">
        <v>98</v>
      </c>
      <c r="F259" s="90" t="s">
        <v>234</v>
      </c>
      <c r="G259" s="167" t="s">
        <v>1193</v>
      </c>
      <c r="H259" s="169" t="n">
        <f aca="false">IFERROR(INDEX(Schedule!$E$2:$E$147,MATCH($G259,Schedule!$A$2:$A$147,0)),"")</f>
        <v>45017</v>
      </c>
      <c r="I259" s="169" t="n">
        <f aca="false">IFERROR(INDEX(Schedule!$F$2:$F$147,MATCH($G259,Schedule!$A$2:$A$147,0)),"")</f>
        <v>45231</v>
      </c>
      <c r="J259" s="92"/>
      <c r="K259" s="92"/>
      <c r="L259" s="92"/>
      <c r="M259" s="92"/>
      <c r="N259" s="92"/>
      <c r="O259" s="90" t="n">
        <v>1</v>
      </c>
      <c r="P259" s="170" t="n">
        <f aca="false">IFERROR((IF(OR(ISNUMBER(J259),UPPER(TRIM(J259))="N/A"),1,0)*IF($W259="N",0,INDEX('Rules of Credit'!$B$5:$F$8,MATCH($F259,'Rules of Credit'!$A$5:$A$8,0),1))+IF(OR(ISNUMBER(K259),UPPER(TRIM(K259))="N/A"),1,0)*INDEX('Rules of Credit'!$B$5:$F$8,MATCH($F259,'Rules of Credit'!$A$5:$A$8,0),2)+IF(OR(ISNUMBER(L259),UPPER(TRIM(L259))="N/A"),1,0)*INDEX('Rules of Credit'!$B$5:$F$8,MATCH($F259,'Rules of Credit'!$A$5:$A$8,0),3)+IF(OR(ISNUMBER(M259),UPPER(TRIM(M259))="N/A"),1,0)*IF($X259="N",0,INDEX('Rules of Credit'!$B$5:$F$8,MATCH($F259,'Rules of Credit'!$A$5:$A$8,0),4))+IF(OR(ISNUMBER(N259),UPPER(TRIM(N259))="N/A"),1,0)*INDEX('Rules of Credit'!$B$5:$F$8,MATCH($F259,'Rules of Credit'!$A$5:$A$8,0),5))/(IF($W259="N",0,INDEX('Rules of Credit'!$B$5:$F$8,MATCH($F259,'Rules of Credit'!$A$5:$A$8,0),1))+INDEX('Rules of Credit'!$B$5:$F$8,MATCH($F259,'Rules of Credit'!$A$5:$A$8,0),2)+INDEX('Rules of Credit'!$B$5:$F$8,MATCH($F259,'Rules of Credit'!$A$5:$A$8,0),3)+IF($X259="N",0,INDEX('Rules of Credit'!$B$5:$F$8,MATCH($F259,'Rules of Credit'!$A$5:$A$8,0),4))+INDEX('Rules of Credit'!$B$5:$F$8,MATCH($F259,'Rules of Credit'!$A$5:$A$8,0),5)),0)</f>
        <v>0</v>
      </c>
      <c r="Q259" s="170" t="n">
        <f aca="false">IF(OR($H259="",$I259=""),0,IF('Tracker Summary'!$C$3&lt;$H259,0,IF('Tracker Summary'!$C$3&gt;=$I259,1,('Tracker Summary'!$C$3-$H259)/($I259-$H259+1))))</f>
        <v>0</v>
      </c>
      <c r="R259" s="170" t="n">
        <f aca="false">P259-Q259</f>
        <v>0</v>
      </c>
      <c r="S259" s="167" t="str">
        <f aca="false">IF($I259="","Not scheduled",IF(P259&gt;=1,"Complete",IF('Tracker Summary'!$C$3&gt;$I259,"Overdue",IF(P259-Q259&lt;-0.1,"Behind",IF(AND(P259=0,'Tracker Summary'!$C$3&lt;$H259),"Not started","On track")))))</f>
        <v>Not started</v>
      </c>
      <c r="T259" s="90"/>
      <c r="U259" s="167" t="str">
        <f aca="false">IFERROR(INDEX(Schedule!$D$2:$D$147,MATCH($G259,Schedule!$A$2:$A$147,0)),"")</f>
        <v>Earthwork, Dewatering &amp; Erosion Control — Yard piping, vaults and site utilities</v>
      </c>
      <c r="V259" s="169" t="n">
        <f aca="false">IFERROR(INDEX(Schedule!$F$2:$F$147,MATCH("31-P01",Schedule!$A$2:$A$147,0)),"")</f>
        <v>44999</v>
      </c>
      <c r="W259" s="167" t="s">
        <v>91</v>
      </c>
      <c r="X259" s="167" t="s">
        <v>91</v>
      </c>
      <c r="Y259" s="167" t="n">
        <v>0</v>
      </c>
      <c r="Z259" s="167" t="n">
        <v>0</v>
      </c>
      <c r="AA259" s="167" t="s">
        <v>1199</v>
      </c>
      <c r="AB259" s="167" t="s">
        <v>1200</v>
      </c>
      <c r="AC259" s="167" t="s">
        <v>92</v>
      </c>
      <c r="AD259" s="167" t="s">
        <v>93</v>
      </c>
      <c r="AE259" s="167" t="s">
        <v>1201</v>
      </c>
      <c r="AF259" s="167" t="s">
        <v>1202</v>
      </c>
      <c r="AG259" s="167" t="s">
        <v>1203</v>
      </c>
      <c r="AH259" s="167" t="s">
        <v>95</v>
      </c>
    </row>
    <row r="260" customFormat="false" ht="15" hidden="false" customHeight="false" outlineLevel="0" collapsed="false">
      <c r="A260" s="167" t="s">
        <v>60</v>
      </c>
      <c r="B260" s="168" t="s">
        <v>39</v>
      </c>
      <c r="C260" s="167" t="s">
        <v>1204</v>
      </c>
      <c r="D260" s="167" t="s">
        <v>1205</v>
      </c>
      <c r="E260" s="167" t="s">
        <v>975</v>
      </c>
      <c r="F260" s="90" t="s">
        <v>234</v>
      </c>
      <c r="G260" s="167" t="s">
        <v>1206</v>
      </c>
      <c r="H260" s="169" t="n">
        <f aca="false">IFERROR(INDEX(Schedule!$E$2:$E$147,MATCH($G260,Schedule!$A$2:$A$147,0)),"")</f>
        <v>45078</v>
      </c>
      <c r="I260" s="169" t="n">
        <f aca="false">IFERROR(INDEX(Schedule!$F$2:$F$147,MATCH($G260,Schedule!$A$2:$A$147,0)),"")</f>
        <v>45224</v>
      </c>
      <c r="J260" s="92"/>
      <c r="K260" s="92"/>
      <c r="L260" s="92"/>
      <c r="M260" s="92"/>
      <c r="N260" s="92"/>
      <c r="O260" s="90" t="n">
        <v>1</v>
      </c>
      <c r="P260" s="170" t="n">
        <f aca="false">IFERROR((IF(OR(ISNUMBER(J260),UPPER(TRIM(J260))="N/A"),1,0)*IF($W260="N",0,INDEX('Rules of Credit'!$B$5:$F$8,MATCH($F260,'Rules of Credit'!$A$5:$A$8,0),1))+IF(OR(ISNUMBER(K260),UPPER(TRIM(K260))="N/A"),1,0)*INDEX('Rules of Credit'!$B$5:$F$8,MATCH($F260,'Rules of Credit'!$A$5:$A$8,0),2)+IF(OR(ISNUMBER(L260),UPPER(TRIM(L260))="N/A"),1,0)*INDEX('Rules of Credit'!$B$5:$F$8,MATCH($F260,'Rules of Credit'!$A$5:$A$8,0),3)+IF(OR(ISNUMBER(M260),UPPER(TRIM(M260))="N/A"),1,0)*IF($X260="N",0,INDEX('Rules of Credit'!$B$5:$F$8,MATCH($F260,'Rules of Credit'!$A$5:$A$8,0),4))+IF(OR(ISNUMBER(N260),UPPER(TRIM(N260))="N/A"),1,0)*INDEX('Rules of Credit'!$B$5:$F$8,MATCH($F260,'Rules of Credit'!$A$5:$A$8,0),5))/(IF($W260="N",0,INDEX('Rules of Credit'!$B$5:$F$8,MATCH($F260,'Rules of Credit'!$A$5:$A$8,0),1))+INDEX('Rules of Credit'!$B$5:$F$8,MATCH($F260,'Rules of Credit'!$A$5:$A$8,0),2)+INDEX('Rules of Credit'!$B$5:$F$8,MATCH($F260,'Rules of Credit'!$A$5:$A$8,0),3)+IF($X260="N",0,INDEX('Rules of Credit'!$B$5:$F$8,MATCH($F260,'Rules of Credit'!$A$5:$A$8,0),4))+INDEX('Rules of Credit'!$B$5:$F$8,MATCH($F260,'Rules of Credit'!$A$5:$A$8,0),5)),0)</f>
        <v>0</v>
      </c>
      <c r="Q260" s="170" t="n">
        <f aca="false">IF(OR($H260="",$I260=""),0,IF('Tracker Summary'!$C$3&lt;$H260,0,IF('Tracker Summary'!$C$3&gt;=$I260,1,('Tracker Summary'!$C$3-$H260)/($I260-$H260+1))))</f>
        <v>0</v>
      </c>
      <c r="R260" s="170" t="n">
        <f aca="false">P260-Q260</f>
        <v>0</v>
      </c>
      <c r="S260" s="167" t="str">
        <f aca="false">IF($I260="","Not scheduled",IF(P260&gt;=1,"Complete",IF('Tracker Summary'!$C$3&gt;$I260,"Overdue",IF(P260-Q260&lt;-0.1,"Behind",IF(AND(P260=0,'Tracker Summary'!$C$3&lt;$H260),"Not started","On track")))))</f>
        <v>Not started</v>
      </c>
      <c r="T260" s="90"/>
      <c r="U260" s="167" t="str">
        <f aca="false">IFERROR(INDEX(Schedule!$D$2:$D$147,MATCH($G260,Schedule!$A$2:$A$147,0)),"")</f>
        <v>Earthwork, Dewatering &amp; Erosion Control — Influent pump station and flow splitter</v>
      </c>
      <c r="V260" s="169" t="n">
        <f aca="false">IFERROR(INDEX(Schedule!$F$2:$F$147,MATCH("31-P01",Schedule!$A$2:$A$147,0)),"")</f>
        <v>44999</v>
      </c>
      <c r="W260" s="167" t="s">
        <v>91</v>
      </c>
      <c r="X260" s="167" t="s">
        <v>91</v>
      </c>
      <c r="Y260" s="167" t="n">
        <v>0</v>
      </c>
      <c r="Z260" s="167" t="n">
        <v>0</v>
      </c>
      <c r="AA260" s="167" t="s">
        <v>1207</v>
      </c>
      <c r="AB260" s="167" t="s">
        <v>327</v>
      </c>
      <c r="AC260" s="167" t="s">
        <v>92</v>
      </c>
      <c r="AD260" s="167" t="s">
        <v>93</v>
      </c>
      <c r="AE260" s="167" t="s">
        <v>979</v>
      </c>
      <c r="AF260" s="167" t="s">
        <v>1202</v>
      </c>
      <c r="AG260" s="167" t="s">
        <v>1208</v>
      </c>
      <c r="AH260" s="167" t="s">
        <v>95</v>
      </c>
    </row>
    <row r="261" customFormat="false" ht="15" hidden="false" customHeight="false" outlineLevel="0" collapsed="false">
      <c r="A261" s="167" t="s">
        <v>60</v>
      </c>
      <c r="B261" s="168" t="s">
        <v>39</v>
      </c>
      <c r="C261" s="167" t="s">
        <v>1209</v>
      </c>
      <c r="D261" s="167" t="s">
        <v>1210</v>
      </c>
      <c r="E261" s="167" t="s">
        <v>334</v>
      </c>
      <c r="F261" s="90" t="s">
        <v>234</v>
      </c>
      <c r="G261" s="167" t="s">
        <v>1206</v>
      </c>
      <c r="H261" s="169" t="n">
        <f aca="false">IFERROR(INDEX(Schedule!$E$2:$E$147,MATCH($G261,Schedule!$A$2:$A$147,0)),"")</f>
        <v>45078</v>
      </c>
      <c r="I261" s="169" t="n">
        <f aca="false">IFERROR(INDEX(Schedule!$F$2:$F$147,MATCH($G261,Schedule!$A$2:$A$147,0)),"")</f>
        <v>45224</v>
      </c>
      <c r="J261" s="92"/>
      <c r="K261" s="92"/>
      <c r="L261" s="92"/>
      <c r="M261" s="92"/>
      <c r="N261" s="92"/>
      <c r="O261" s="90" t="n">
        <v>1</v>
      </c>
      <c r="P261" s="170" t="n">
        <f aca="false">IFERROR((IF(OR(ISNUMBER(J261),UPPER(TRIM(J261))="N/A"),1,0)*IF($W261="N",0,INDEX('Rules of Credit'!$B$5:$F$8,MATCH($F261,'Rules of Credit'!$A$5:$A$8,0),1))+IF(OR(ISNUMBER(K261),UPPER(TRIM(K261))="N/A"),1,0)*INDEX('Rules of Credit'!$B$5:$F$8,MATCH($F261,'Rules of Credit'!$A$5:$A$8,0),2)+IF(OR(ISNUMBER(L261),UPPER(TRIM(L261))="N/A"),1,0)*INDEX('Rules of Credit'!$B$5:$F$8,MATCH($F261,'Rules of Credit'!$A$5:$A$8,0),3)+IF(OR(ISNUMBER(M261),UPPER(TRIM(M261))="N/A"),1,0)*IF($X261="N",0,INDEX('Rules of Credit'!$B$5:$F$8,MATCH($F261,'Rules of Credit'!$A$5:$A$8,0),4))+IF(OR(ISNUMBER(N261),UPPER(TRIM(N261))="N/A"),1,0)*INDEX('Rules of Credit'!$B$5:$F$8,MATCH($F261,'Rules of Credit'!$A$5:$A$8,0),5))/(IF($W261="N",0,INDEX('Rules of Credit'!$B$5:$F$8,MATCH($F261,'Rules of Credit'!$A$5:$A$8,0),1))+INDEX('Rules of Credit'!$B$5:$F$8,MATCH($F261,'Rules of Credit'!$A$5:$A$8,0),2)+INDEX('Rules of Credit'!$B$5:$F$8,MATCH($F261,'Rules of Credit'!$A$5:$A$8,0),3)+IF($X261="N",0,INDEX('Rules of Credit'!$B$5:$F$8,MATCH($F261,'Rules of Credit'!$A$5:$A$8,0),4))+INDEX('Rules of Credit'!$B$5:$F$8,MATCH($F261,'Rules of Credit'!$A$5:$A$8,0),5)),0)</f>
        <v>0</v>
      </c>
      <c r="Q261" s="170" t="n">
        <f aca="false">IF(OR($H261="",$I261=""),0,IF('Tracker Summary'!$C$3&lt;$H261,0,IF('Tracker Summary'!$C$3&gt;=$I261,1,('Tracker Summary'!$C$3-$H261)/($I261-$H261+1))))</f>
        <v>0</v>
      </c>
      <c r="R261" s="170" t="n">
        <f aca="false">P261-Q261</f>
        <v>0</v>
      </c>
      <c r="S261" s="167" t="str">
        <f aca="false">IF($I261="","Not scheduled",IF(P261&gt;=1,"Complete",IF('Tracker Summary'!$C$3&gt;$I261,"Overdue",IF(P261-Q261&lt;-0.1,"Behind",IF(AND(P261=0,'Tracker Summary'!$C$3&lt;$H261),"Not started","On track")))))</f>
        <v>Not started</v>
      </c>
      <c r="T261" s="90"/>
      <c r="U261" s="167" t="str">
        <f aca="false">IFERROR(INDEX(Schedule!$D$2:$D$147,MATCH($G261,Schedule!$A$2:$A$147,0)),"")</f>
        <v>Earthwork, Dewatering &amp; Erosion Control — Influent pump station and flow splitter</v>
      </c>
      <c r="V261" s="169" t="n">
        <f aca="false">IFERROR(INDEX(Schedule!$F$2:$F$147,MATCH("31-P01",Schedule!$A$2:$A$147,0)),"")</f>
        <v>44999</v>
      </c>
      <c r="W261" s="167" t="s">
        <v>91</v>
      </c>
      <c r="X261" s="167" t="s">
        <v>91</v>
      </c>
      <c r="Y261" s="167" t="n">
        <v>0</v>
      </c>
      <c r="Z261" s="167" t="n">
        <v>0</v>
      </c>
      <c r="AA261" s="167" t="s">
        <v>1211</v>
      </c>
      <c r="AB261" s="167" t="s">
        <v>1212</v>
      </c>
      <c r="AC261" s="167" t="s">
        <v>92</v>
      </c>
      <c r="AD261" s="167" t="s">
        <v>93</v>
      </c>
      <c r="AE261" s="167" t="s">
        <v>578</v>
      </c>
      <c r="AF261" s="167"/>
      <c r="AG261" s="167" t="s">
        <v>578</v>
      </c>
      <c r="AH261" s="167" t="s">
        <v>213</v>
      </c>
    </row>
    <row r="262" customFormat="false" ht="15" hidden="false" customHeight="false" outlineLevel="0" collapsed="false">
      <c r="A262" s="167" t="s">
        <v>60</v>
      </c>
      <c r="B262" s="168" t="s">
        <v>39</v>
      </c>
      <c r="C262" s="167" t="s">
        <v>1213</v>
      </c>
      <c r="D262" s="167" t="s">
        <v>1214</v>
      </c>
      <c r="E262" s="167" t="s">
        <v>376</v>
      </c>
      <c r="F262" s="90" t="s">
        <v>234</v>
      </c>
      <c r="G262" s="167" t="s">
        <v>1215</v>
      </c>
      <c r="H262" s="169" t="n">
        <f aca="false">IFERROR(INDEX(Schedule!$E$2:$E$147,MATCH($G262,Schedule!$A$2:$A$147,0)),"")</f>
        <v>45139</v>
      </c>
      <c r="I262" s="169" t="n">
        <f aca="false">IFERROR(INDEX(Schedule!$F$2:$F$147,MATCH($G262,Schedule!$A$2:$A$147,0)),"")</f>
        <v>45481</v>
      </c>
      <c r="J262" s="92"/>
      <c r="K262" s="92"/>
      <c r="L262" s="92"/>
      <c r="M262" s="92"/>
      <c r="N262" s="92"/>
      <c r="O262" s="90" t="n">
        <v>1</v>
      </c>
      <c r="P262" s="170" t="n">
        <f aca="false">IFERROR((IF(OR(ISNUMBER(J262),UPPER(TRIM(J262))="N/A"),1,0)*IF($W262="N",0,INDEX('Rules of Credit'!$B$5:$F$8,MATCH($F262,'Rules of Credit'!$A$5:$A$8,0),1))+IF(OR(ISNUMBER(K262),UPPER(TRIM(K262))="N/A"),1,0)*INDEX('Rules of Credit'!$B$5:$F$8,MATCH($F262,'Rules of Credit'!$A$5:$A$8,0),2)+IF(OR(ISNUMBER(L262),UPPER(TRIM(L262))="N/A"),1,0)*INDEX('Rules of Credit'!$B$5:$F$8,MATCH($F262,'Rules of Credit'!$A$5:$A$8,0),3)+IF(OR(ISNUMBER(M262),UPPER(TRIM(M262))="N/A"),1,0)*IF($X262="N",0,INDEX('Rules of Credit'!$B$5:$F$8,MATCH($F262,'Rules of Credit'!$A$5:$A$8,0),4))+IF(OR(ISNUMBER(N262),UPPER(TRIM(N262))="N/A"),1,0)*INDEX('Rules of Credit'!$B$5:$F$8,MATCH($F262,'Rules of Credit'!$A$5:$A$8,0),5))/(IF($W262="N",0,INDEX('Rules of Credit'!$B$5:$F$8,MATCH($F262,'Rules of Credit'!$A$5:$A$8,0),1))+INDEX('Rules of Credit'!$B$5:$F$8,MATCH($F262,'Rules of Credit'!$A$5:$A$8,0),2)+INDEX('Rules of Credit'!$B$5:$F$8,MATCH($F262,'Rules of Credit'!$A$5:$A$8,0),3)+IF($X262="N",0,INDEX('Rules of Credit'!$B$5:$F$8,MATCH($F262,'Rules of Credit'!$A$5:$A$8,0),4))+INDEX('Rules of Credit'!$B$5:$F$8,MATCH($F262,'Rules of Credit'!$A$5:$A$8,0),5)),0)</f>
        <v>0</v>
      </c>
      <c r="Q262" s="170" t="n">
        <f aca="false">IF(OR($H262="",$I262=""),0,IF('Tracker Summary'!$C$3&lt;$H262,0,IF('Tracker Summary'!$C$3&gt;=$I262,1,('Tracker Summary'!$C$3-$H262)/($I262-$H262+1))))</f>
        <v>0</v>
      </c>
      <c r="R262" s="170" t="n">
        <f aca="false">P262-Q262</f>
        <v>0</v>
      </c>
      <c r="S262" s="167" t="str">
        <f aca="false">IF($I262="","Not scheduled",IF(P262&gt;=1,"Complete",IF('Tracker Summary'!$C$3&gt;$I262,"Overdue",IF(P262-Q262&lt;-0.1,"Behind",IF(AND(P262=0,'Tracker Summary'!$C$3&lt;$H262),"Not started","On track")))))</f>
        <v>Not started</v>
      </c>
      <c r="T262" s="90"/>
      <c r="U262" s="167" t="str">
        <f aca="false">IFERROR(INDEX(Schedule!$D$2:$D$147,MATCH($G262,Schedule!$A$2:$A$147,0)),"")</f>
        <v>Earthwork, Dewatering &amp; Erosion Control — Train 3</v>
      </c>
      <c r="V262" s="169" t="n">
        <f aca="false">IFERROR(INDEX(Schedule!$F$2:$F$147,MATCH("31-P01",Schedule!$A$2:$A$147,0)),"")</f>
        <v>44999</v>
      </c>
      <c r="W262" s="167" t="s">
        <v>91</v>
      </c>
      <c r="X262" s="167" t="s">
        <v>91</v>
      </c>
      <c r="Y262" s="167" t="n">
        <v>0</v>
      </c>
      <c r="Z262" s="167" t="n">
        <v>0</v>
      </c>
      <c r="AA262" s="167" t="s">
        <v>1216</v>
      </c>
      <c r="AB262" s="167" t="s">
        <v>331</v>
      </c>
      <c r="AC262" s="167" t="s">
        <v>92</v>
      </c>
      <c r="AD262" s="167" t="s">
        <v>93</v>
      </c>
      <c r="AE262" s="167" t="s">
        <v>1047</v>
      </c>
      <c r="AF262" s="167" t="s">
        <v>1202</v>
      </c>
      <c r="AG262" s="167" t="s">
        <v>1208</v>
      </c>
      <c r="AH262" s="167" t="s">
        <v>95</v>
      </c>
    </row>
    <row r="263" customFormat="false" ht="15" hidden="false" customHeight="false" outlineLevel="0" collapsed="false">
      <c r="A263" s="171" t="s">
        <v>85</v>
      </c>
      <c r="B263" s="171" t="s">
        <v>41</v>
      </c>
      <c r="C263" s="171" t="s">
        <v>42</v>
      </c>
      <c r="D263" s="171" t="str">
        <f aca="false">COUNTIF(A264:A275,"Item")&amp;" items · "&amp;COUNTIF(S264:S275,"Overdue")&amp;" overdue · "&amp;COUNTIF(S264:S275,"Complete")&amp;" complete"</f>
        <v>12 items · 0 overdue · 0 complete</v>
      </c>
      <c r="E263" s="171"/>
      <c r="F263" s="171"/>
      <c r="G263" s="171"/>
      <c r="H263" s="172" t="n">
        <f aca="false">MIN(H264:H275)</f>
        <v>45000</v>
      </c>
      <c r="I263" s="172" t="n">
        <f aca="false">MAX(I264:I275)</f>
        <v>45581</v>
      </c>
      <c r="J263" s="172"/>
      <c r="K263" s="172"/>
      <c r="L263" s="172"/>
      <c r="M263" s="172"/>
      <c r="N263" s="172"/>
      <c r="O263" s="171" t="n">
        <f aca="false">SUM(O264:O275)</f>
        <v>12</v>
      </c>
      <c r="P263" s="173" t="n">
        <f aca="false">IFERROR(SUMPRODUCT(O264:O275,P264:P275)/SUM(O264:O275),0)</f>
        <v>0</v>
      </c>
      <c r="Q263" s="173" t="n">
        <f aca="false">IFERROR(SUMPRODUCT(O264:O275,Q264:Q275)/SUM(O264:O275),0)</f>
        <v>0</v>
      </c>
      <c r="R263" s="173" t="n">
        <f aca="false">P263-Q263</f>
        <v>0</v>
      </c>
      <c r="S263" s="171"/>
      <c r="T263" s="171"/>
      <c r="U263" s="171"/>
      <c r="V263" s="172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  <c r="AG263" s="171"/>
      <c r="AH263" s="171"/>
    </row>
    <row r="264" customFormat="false" ht="15" hidden="false" customHeight="false" outlineLevel="0" collapsed="false">
      <c r="A264" s="174" t="s">
        <v>60</v>
      </c>
      <c r="B264" s="175" t="s">
        <v>41</v>
      </c>
      <c r="C264" s="174" t="s">
        <v>1217</v>
      </c>
      <c r="D264" s="174" t="s">
        <v>1218</v>
      </c>
      <c r="E264" s="174" t="s">
        <v>98</v>
      </c>
      <c r="F264" s="90" t="s">
        <v>89</v>
      </c>
      <c r="G264" s="174" t="s">
        <v>1219</v>
      </c>
      <c r="H264" s="176" t="n">
        <f aca="false">IFERROR(INDEX(Schedule!$E$2:$E$147,MATCH($G264,Schedule!$A$2:$A$147,0)),"")</f>
        <v>45000</v>
      </c>
      <c r="I264" s="176" t="n">
        <f aca="false">IFERROR(INDEX(Schedule!$F$2:$F$147,MATCH($G264,Schedule!$A$2:$A$147,0)),"")</f>
        <v>45581</v>
      </c>
      <c r="J264" s="92"/>
      <c r="K264" s="92"/>
      <c r="L264" s="92"/>
      <c r="M264" s="92"/>
      <c r="N264" s="92"/>
      <c r="O264" s="90" t="n">
        <v>1</v>
      </c>
      <c r="P264" s="177" t="n">
        <f aca="false">IFERROR((IF(OR(ISNUMBER(J264),UPPER(TRIM(J264))="N/A"),1,0)*IF($W264="N",0,INDEX('Rules of Credit'!$B$5:$F$8,MATCH($F264,'Rules of Credit'!$A$5:$A$8,0),1))+IF(OR(ISNUMBER(K264),UPPER(TRIM(K264))="N/A"),1,0)*INDEX('Rules of Credit'!$B$5:$F$8,MATCH($F264,'Rules of Credit'!$A$5:$A$8,0),2)+IF(OR(ISNUMBER(L264),UPPER(TRIM(L264))="N/A"),1,0)*INDEX('Rules of Credit'!$B$5:$F$8,MATCH($F264,'Rules of Credit'!$A$5:$A$8,0),3)+IF(OR(ISNUMBER(M264),UPPER(TRIM(M264))="N/A"),1,0)*IF($X264="N",0,INDEX('Rules of Credit'!$B$5:$F$8,MATCH($F264,'Rules of Credit'!$A$5:$A$8,0),4))+IF(OR(ISNUMBER(N264),UPPER(TRIM(N264))="N/A"),1,0)*INDEX('Rules of Credit'!$B$5:$F$8,MATCH($F264,'Rules of Credit'!$A$5:$A$8,0),5))/(IF($W264="N",0,INDEX('Rules of Credit'!$B$5:$F$8,MATCH($F264,'Rules of Credit'!$A$5:$A$8,0),1))+INDEX('Rules of Credit'!$B$5:$F$8,MATCH($F264,'Rules of Credit'!$A$5:$A$8,0),2)+INDEX('Rules of Credit'!$B$5:$F$8,MATCH($F264,'Rules of Credit'!$A$5:$A$8,0),3)+IF($X264="N",0,INDEX('Rules of Credit'!$B$5:$F$8,MATCH($F264,'Rules of Credit'!$A$5:$A$8,0),4))+INDEX('Rules of Credit'!$B$5:$F$8,MATCH($F264,'Rules of Credit'!$A$5:$A$8,0),5)),0)</f>
        <v>0</v>
      </c>
      <c r="Q264" s="177" t="n">
        <f aca="false">IF(OR($H264="",$I264=""),0,IF('Tracker Summary'!$C$3&lt;$H264,0,IF('Tracker Summary'!$C$3&gt;=$I264,1,('Tracker Summary'!$C$3-$H264)/($I264-$H264+1))))</f>
        <v>0</v>
      </c>
      <c r="R264" s="177" t="n">
        <f aca="false">P264-Q264</f>
        <v>0</v>
      </c>
      <c r="S264" s="174" t="str">
        <f aca="false">IF($I264="","Not scheduled",IF(P264&gt;=1,"Complete",IF('Tracker Summary'!$C$3&gt;$I264,"Overdue",IF(P264-Q264&lt;-0.1,"Behind",IF(AND(P264=0,'Tracker Summary'!$C$3&lt;$H264),"Not started","On track")))))</f>
        <v>On track</v>
      </c>
      <c r="T264" s="90"/>
      <c r="U264" s="174" t="str">
        <f aca="false">IFERROR(INDEX(Schedule!$D$2:$D$147,MATCH($G264,Schedule!$A$2:$A$147,0)),"")</f>
        <v>Paving, Fencing, Walls &amp; Landscaping — Temporary facilities and controls</v>
      </c>
      <c r="V264" s="176" t="n">
        <f aca="false">IFERROR(INDEX(Schedule!$F$2:$F$147,MATCH("32-P01",Schedule!$A$2:$A$147,0)),"")</f>
        <v>44999</v>
      </c>
      <c r="W264" s="174" t="s">
        <v>91</v>
      </c>
      <c r="X264" s="174" t="s">
        <v>91</v>
      </c>
      <c r="Y264" s="174" t="n">
        <v>0</v>
      </c>
      <c r="Z264" s="174" t="n">
        <v>0</v>
      </c>
      <c r="AA264" s="174"/>
      <c r="AB264" s="174"/>
      <c r="AC264" s="174" t="s">
        <v>92</v>
      </c>
      <c r="AD264" s="174" t="s">
        <v>93</v>
      </c>
      <c r="AE264" s="174" t="s">
        <v>102</v>
      </c>
      <c r="AF264" s="174" t="s">
        <v>1220</v>
      </c>
      <c r="AG264" s="174" t="s">
        <v>1220</v>
      </c>
      <c r="AH264" s="174" t="s">
        <v>95</v>
      </c>
    </row>
    <row r="265" customFormat="false" ht="15" hidden="false" customHeight="false" outlineLevel="0" collapsed="false">
      <c r="A265" s="174" t="s">
        <v>60</v>
      </c>
      <c r="B265" s="175" t="s">
        <v>41</v>
      </c>
      <c r="C265" s="174" t="s">
        <v>1221</v>
      </c>
      <c r="D265" s="174" t="s">
        <v>1222</v>
      </c>
      <c r="E265" s="174" t="s">
        <v>98</v>
      </c>
      <c r="F265" s="90" t="s">
        <v>234</v>
      </c>
      <c r="G265" s="174" t="s">
        <v>1223</v>
      </c>
      <c r="H265" s="176" t="n">
        <f aca="false">IFERROR(INDEX(Schedule!$E$2:$E$147,MATCH($G265,Schedule!$A$2:$A$147,0)),"")</f>
        <v>45505</v>
      </c>
      <c r="I265" s="176" t="n">
        <f aca="false">IFERROR(INDEX(Schedule!$F$2:$F$147,MATCH($G265,Schedule!$A$2:$A$147,0)),"")</f>
        <v>45535</v>
      </c>
      <c r="J265" s="92"/>
      <c r="K265" s="92"/>
      <c r="L265" s="92"/>
      <c r="M265" s="92"/>
      <c r="N265" s="92"/>
      <c r="O265" s="90" t="n">
        <v>1</v>
      </c>
      <c r="P265" s="177" t="n">
        <f aca="false">IFERROR((IF(OR(ISNUMBER(J265),UPPER(TRIM(J265))="N/A"),1,0)*IF($W265="N",0,INDEX('Rules of Credit'!$B$5:$F$8,MATCH($F265,'Rules of Credit'!$A$5:$A$8,0),1))+IF(OR(ISNUMBER(K265),UPPER(TRIM(K265))="N/A"),1,0)*INDEX('Rules of Credit'!$B$5:$F$8,MATCH($F265,'Rules of Credit'!$A$5:$A$8,0),2)+IF(OR(ISNUMBER(L265),UPPER(TRIM(L265))="N/A"),1,0)*INDEX('Rules of Credit'!$B$5:$F$8,MATCH($F265,'Rules of Credit'!$A$5:$A$8,0),3)+IF(OR(ISNUMBER(M265),UPPER(TRIM(M265))="N/A"),1,0)*IF($X265="N",0,INDEX('Rules of Credit'!$B$5:$F$8,MATCH($F265,'Rules of Credit'!$A$5:$A$8,0),4))+IF(OR(ISNUMBER(N265),UPPER(TRIM(N265))="N/A"),1,0)*INDEX('Rules of Credit'!$B$5:$F$8,MATCH($F265,'Rules of Credit'!$A$5:$A$8,0),5))/(IF($W265="N",0,INDEX('Rules of Credit'!$B$5:$F$8,MATCH($F265,'Rules of Credit'!$A$5:$A$8,0),1))+INDEX('Rules of Credit'!$B$5:$F$8,MATCH($F265,'Rules of Credit'!$A$5:$A$8,0),2)+INDEX('Rules of Credit'!$B$5:$F$8,MATCH($F265,'Rules of Credit'!$A$5:$A$8,0),3)+IF($X265="N",0,INDEX('Rules of Credit'!$B$5:$F$8,MATCH($F265,'Rules of Credit'!$A$5:$A$8,0),4))+INDEX('Rules of Credit'!$B$5:$F$8,MATCH($F265,'Rules of Credit'!$A$5:$A$8,0),5)),0)</f>
        <v>0</v>
      </c>
      <c r="Q265" s="177" t="n">
        <f aca="false">IF(OR($H265="",$I265=""),0,IF('Tracker Summary'!$C$3&lt;$H265,0,IF('Tracker Summary'!$C$3&gt;=$I265,1,('Tracker Summary'!$C$3-$H265)/($I265-$H265+1))))</f>
        <v>0</v>
      </c>
      <c r="R265" s="177" t="n">
        <f aca="false">P265-Q265</f>
        <v>0</v>
      </c>
      <c r="S265" s="174" t="str">
        <f aca="false">IF($I265="","Not scheduled",IF(P265&gt;=1,"Complete",IF('Tracker Summary'!$C$3&gt;$I265,"Overdue",IF(P265-Q265&lt;-0.1,"Behind",IF(AND(P265=0,'Tracker Summary'!$C$3&lt;$H265),"Not started","On track")))))</f>
        <v>Not started</v>
      </c>
      <c r="T265" s="90"/>
      <c r="U265" s="174" t="str">
        <f aca="false">IFERROR(INDEX(Schedule!$D$2:$D$147,MATCH($G265,Schedule!$A$2:$A$147,0)),"")</f>
        <v>Paving, Fencing, Walls &amp; Landscaping — Final surfacing and pavement</v>
      </c>
      <c r="V265" s="176" t="n">
        <f aca="false">IFERROR(INDEX(Schedule!$F$2:$F$147,MATCH("32-P01",Schedule!$A$2:$A$147,0)),"")</f>
        <v>44999</v>
      </c>
      <c r="W265" s="174" t="s">
        <v>91</v>
      </c>
      <c r="X265" s="174" t="s">
        <v>91</v>
      </c>
      <c r="Y265" s="174" t="n">
        <v>0</v>
      </c>
      <c r="Z265" s="174" t="n">
        <v>0</v>
      </c>
      <c r="AA265" s="174"/>
      <c r="AB265" s="174" t="s">
        <v>1224</v>
      </c>
      <c r="AC265" s="174" t="s">
        <v>120</v>
      </c>
      <c r="AD265" s="174" t="s">
        <v>93</v>
      </c>
      <c r="AE265" s="174" t="s">
        <v>1225</v>
      </c>
      <c r="AF265" s="174"/>
      <c r="AG265" s="174" t="s">
        <v>1226</v>
      </c>
      <c r="AH265" s="174" t="s">
        <v>95</v>
      </c>
    </row>
    <row r="266" customFormat="false" ht="15" hidden="false" customHeight="false" outlineLevel="0" collapsed="false">
      <c r="A266" s="174" t="s">
        <v>60</v>
      </c>
      <c r="B266" s="175" t="s">
        <v>41</v>
      </c>
      <c r="C266" s="174" t="s">
        <v>1227</v>
      </c>
      <c r="D266" s="174" t="s">
        <v>1228</v>
      </c>
      <c r="E266" s="174" t="s">
        <v>98</v>
      </c>
      <c r="F266" s="90" t="s">
        <v>234</v>
      </c>
      <c r="G266" s="174" t="s">
        <v>1223</v>
      </c>
      <c r="H266" s="176" t="n">
        <f aca="false">IFERROR(INDEX(Schedule!$E$2:$E$147,MATCH($G266,Schedule!$A$2:$A$147,0)),"")</f>
        <v>45505</v>
      </c>
      <c r="I266" s="176" t="n">
        <f aca="false">IFERROR(INDEX(Schedule!$F$2:$F$147,MATCH($G266,Schedule!$A$2:$A$147,0)),"")</f>
        <v>45535</v>
      </c>
      <c r="J266" s="92"/>
      <c r="K266" s="92"/>
      <c r="L266" s="92"/>
      <c r="M266" s="92"/>
      <c r="N266" s="92"/>
      <c r="O266" s="90" t="n">
        <v>1</v>
      </c>
      <c r="P266" s="177" t="n">
        <f aca="false">IFERROR((IF(OR(ISNUMBER(J266),UPPER(TRIM(J266))="N/A"),1,0)*IF($W266="N",0,INDEX('Rules of Credit'!$B$5:$F$8,MATCH($F266,'Rules of Credit'!$A$5:$A$8,0),1))+IF(OR(ISNUMBER(K266),UPPER(TRIM(K266))="N/A"),1,0)*INDEX('Rules of Credit'!$B$5:$F$8,MATCH($F266,'Rules of Credit'!$A$5:$A$8,0),2)+IF(OR(ISNUMBER(L266),UPPER(TRIM(L266))="N/A"),1,0)*INDEX('Rules of Credit'!$B$5:$F$8,MATCH($F266,'Rules of Credit'!$A$5:$A$8,0),3)+IF(OR(ISNUMBER(M266),UPPER(TRIM(M266))="N/A"),1,0)*IF($X266="N",0,INDEX('Rules of Credit'!$B$5:$F$8,MATCH($F266,'Rules of Credit'!$A$5:$A$8,0),4))+IF(OR(ISNUMBER(N266),UPPER(TRIM(N266))="N/A"),1,0)*INDEX('Rules of Credit'!$B$5:$F$8,MATCH($F266,'Rules of Credit'!$A$5:$A$8,0),5))/(IF($W266="N",0,INDEX('Rules of Credit'!$B$5:$F$8,MATCH($F266,'Rules of Credit'!$A$5:$A$8,0),1))+INDEX('Rules of Credit'!$B$5:$F$8,MATCH($F266,'Rules of Credit'!$A$5:$A$8,0),2)+INDEX('Rules of Credit'!$B$5:$F$8,MATCH($F266,'Rules of Credit'!$A$5:$A$8,0),3)+IF($X266="N",0,INDEX('Rules of Credit'!$B$5:$F$8,MATCH($F266,'Rules of Credit'!$A$5:$A$8,0),4))+INDEX('Rules of Credit'!$B$5:$F$8,MATCH($F266,'Rules of Credit'!$A$5:$A$8,0),5)),0)</f>
        <v>0</v>
      </c>
      <c r="Q266" s="177" t="n">
        <f aca="false">IF(OR($H266="",$I266=""),0,IF('Tracker Summary'!$C$3&lt;$H266,0,IF('Tracker Summary'!$C$3&gt;=$I266,1,('Tracker Summary'!$C$3-$H266)/($I266-$H266+1))))</f>
        <v>0</v>
      </c>
      <c r="R266" s="177" t="n">
        <f aca="false">P266-Q266</f>
        <v>0</v>
      </c>
      <c r="S266" s="174" t="str">
        <f aca="false">IF($I266="","Not scheduled",IF(P266&gt;=1,"Complete",IF('Tracker Summary'!$C$3&gt;$I266,"Overdue",IF(P266-Q266&lt;-0.1,"Behind",IF(AND(P266=0,'Tracker Summary'!$C$3&lt;$H266),"Not started","On track")))))</f>
        <v>Not started</v>
      </c>
      <c r="T266" s="90"/>
      <c r="U266" s="174" t="str">
        <f aca="false">IFERROR(INDEX(Schedule!$D$2:$D$147,MATCH($G266,Schedule!$A$2:$A$147,0)),"")</f>
        <v>Paving, Fencing, Walls &amp; Landscaping — Final surfacing and pavement</v>
      </c>
      <c r="V266" s="176" t="n">
        <f aca="false">IFERROR(INDEX(Schedule!$F$2:$F$147,MATCH("32-P01",Schedule!$A$2:$A$147,0)),"")</f>
        <v>44999</v>
      </c>
      <c r="W266" s="174" t="s">
        <v>91</v>
      </c>
      <c r="X266" s="174" t="s">
        <v>91</v>
      </c>
      <c r="Y266" s="174" t="n">
        <v>0</v>
      </c>
      <c r="Z266" s="174" t="n">
        <v>0</v>
      </c>
      <c r="AA266" s="174"/>
      <c r="AB266" s="174" t="s">
        <v>1229</v>
      </c>
      <c r="AC266" s="174" t="s">
        <v>92</v>
      </c>
      <c r="AD266" s="174" t="s">
        <v>93</v>
      </c>
      <c r="AE266" s="174" t="s">
        <v>1230</v>
      </c>
      <c r="AF266" s="174"/>
      <c r="AG266" s="174" t="s">
        <v>1231</v>
      </c>
      <c r="AH266" s="174" t="s">
        <v>95</v>
      </c>
    </row>
    <row r="267" customFormat="false" ht="15" hidden="false" customHeight="false" outlineLevel="0" collapsed="false">
      <c r="A267" s="174" t="s">
        <v>60</v>
      </c>
      <c r="B267" s="175" t="s">
        <v>41</v>
      </c>
      <c r="C267" s="174" t="s">
        <v>1232</v>
      </c>
      <c r="D267" s="174" t="s">
        <v>1233</v>
      </c>
      <c r="E267" s="174" t="s">
        <v>98</v>
      </c>
      <c r="F267" s="90" t="s">
        <v>234</v>
      </c>
      <c r="G267" s="174" t="s">
        <v>1223</v>
      </c>
      <c r="H267" s="176" t="n">
        <f aca="false">IFERROR(INDEX(Schedule!$E$2:$E$147,MATCH($G267,Schedule!$A$2:$A$147,0)),"")</f>
        <v>45505</v>
      </c>
      <c r="I267" s="176" t="n">
        <f aca="false">IFERROR(INDEX(Schedule!$F$2:$F$147,MATCH($G267,Schedule!$A$2:$A$147,0)),"")</f>
        <v>45535</v>
      </c>
      <c r="J267" s="92"/>
      <c r="K267" s="92"/>
      <c r="L267" s="92"/>
      <c r="M267" s="92"/>
      <c r="N267" s="92"/>
      <c r="O267" s="90" t="n">
        <v>1</v>
      </c>
      <c r="P267" s="177" t="n">
        <f aca="false">IFERROR((IF(OR(ISNUMBER(J267),UPPER(TRIM(J267))="N/A"),1,0)*IF($W267="N",0,INDEX('Rules of Credit'!$B$5:$F$8,MATCH($F267,'Rules of Credit'!$A$5:$A$8,0),1))+IF(OR(ISNUMBER(K267),UPPER(TRIM(K267))="N/A"),1,0)*INDEX('Rules of Credit'!$B$5:$F$8,MATCH($F267,'Rules of Credit'!$A$5:$A$8,0),2)+IF(OR(ISNUMBER(L267),UPPER(TRIM(L267))="N/A"),1,0)*INDEX('Rules of Credit'!$B$5:$F$8,MATCH($F267,'Rules of Credit'!$A$5:$A$8,0),3)+IF(OR(ISNUMBER(M267),UPPER(TRIM(M267))="N/A"),1,0)*IF($X267="N",0,INDEX('Rules of Credit'!$B$5:$F$8,MATCH($F267,'Rules of Credit'!$A$5:$A$8,0),4))+IF(OR(ISNUMBER(N267),UPPER(TRIM(N267))="N/A"),1,0)*INDEX('Rules of Credit'!$B$5:$F$8,MATCH($F267,'Rules of Credit'!$A$5:$A$8,0),5))/(IF($W267="N",0,INDEX('Rules of Credit'!$B$5:$F$8,MATCH($F267,'Rules of Credit'!$A$5:$A$8,0),1))+INDEX('Rules of Credit'!$B$5:$F$8,MATCH($F267,'Rules of Credit'!$A$5:$A$8,0),2)+INDEX('Rules of Credit'!$B$5:$F$8,MATCH($F267,'Rules of Credit'!$A$5:$A$8,0),3)+IF($X267="N",0,INDEX('Rules of Credit'!$B$5:$F$8,MATCH($F267,'Rules of Credit'!$A$5:$A$8,0),4))+INDEX('Rules of Credit'!$B$5:$F$8,MATCH($F267,'Rules of Credit'!$A$5:$A$8,0),5)),0)</f>
        <v>0</v>
      </c>
      <c r="Q267" s="177" t="n">
        <f aca="false">IF(OR($H267="",$I267=""),0,IF('Tracker Summary'!$C$3&lt;$H267,0,IF('Tracker Summary'!$C$3&gt;=$I267,1,('Tracker Summary'!$C$3-$H267)/($I267-$H267+1))))</f>
        <v>0</v>
      </c>
      <c r="R267" s="177" t="n">
        <f aca="false">P267-Q267</f>
        <v>0</v>
      </c>
      <c r="S267" s="174" t="str">
        <f aca="false">IF($I267="","Not scheduled",IF(P267&gt;=1,"Complete",IF('Tracker Summary'!$C$3&gt;$I267,"Overdue",IF(P267-Q267&lt;-0.1,"Behind",IF(AND(P267=0,'Tracker Summary'!$C$3&lt;$H267),"Not started","On track")))))</f>
        <v>Not started</v>
      </c>
      <c r="T267" s="90"/>
      <c r="U267" s="174" t="str">
        <f aca="false">IFERROR(INDEX(Schedule!$D$2:$D$147,MATCH($G267,Schedule!$A$2:$A$147,0)),"")</f>
        <v>Paving, Fencing, Walls &amp; Landscaping — Final surfacing and pavement</v>
      </c>
      <c r="V267" s="176" t="n">
        <f aca="false">IFERROR(INDEX(Schedule!$F$2:$F$147,MATCH("32-P01",Schedule!$A$2:$A$147,0)),"")</f>
        <v>44999</v>
      </c>
      <c r="W267" s="174" t="s">
        <v>99</v>
      </c>
      <c r="X267" s="174" t="s">
        <v>99</v>
      </c>
      <c r="Y267" s="174" t="n">
        <v>2</v>
      </c>
      <c r="Z267" s="174" t="n">
        <v>2</v>
      </c>
      <c r="AA267" s="174" t="s">
        <v>1234</v>
      </c>
      <c r="AB267" s="174" t="s">
        <v>1235</v>
      </c>
      <c r="AC267" s="174" t="s">
        <v>120</v>
      </c>
      <c r="AD267" s="174" t="s">
        <v>93</v>
      </c>
      <c r="AE267" s="174" t="s">
        <v>1236</v>
      </c>
      <c r="AF267" s="174" t="s">
        <v>1220</v>
      </c>
      <c r="AG267" s="174" t="s">
        <v>1237</v>
      </c>
      <c r="AH267" s="174" t="s">
        <v>95</v>
      </c>
    </row>
    <row r="268" customFormat="false" ht="15" hidden="false" customHeight="false" outlineLevel="0" collapsed="false">
      <c r="A268" s="174" t="s">
        <v>60</v>
      </c>
      <c r="B268" s="175" t="s">
        <v>41</v>
      </c>
      <c r="C268" s="174" t="s">
        <v>1238</v>
      </c>
      <c r="D268" s="174" t="s">
        <v>1239</v>
      </c>
      <c r="E268" s="174" t="s">
        <v>98</v>
      </c>
      <c r="F268" s="90" t="s">
        <v>234</v>
      </c>
      <c r="G268" s="174" t="s">
        <v>1223</v>
      </c>
      <c r="H268" s="176" t="n">
        <f aca="false">IFERROR(INDEX(Schedule!$E$2:$E$147,MATCH($G268,Schedule!$A$2:$A$147,0)),"")</f>
        <v>45505</v>
      </c>
      <c r="I268" s="176" t="n">
        <f aca="false">IFERROR(INDEX(Schedule!$F$2:$F$147,MATCH($G268,Schedule!$A$2:$A$147,0)),"")</f>
        <v>45535</v>
      </c>
      <c r="J268" s="92"/>
      <c r="K268" s="92"/>
      <c r="L268" s="92"/>
      <c r="M268" s="92"/>
      <c r="N268" s="92"/>
      <c r="O268" s="90" t="n">
        <v>1</v>
      </c>
      <c r="P268" s="177" t="n">
        <f aca="false">IFERROR((IF(OR(ISNUMBER(J268),UPPER(TRIM(J268))="N/A"),1,0)*IF($W268="N",0,INDEX('Rules of Credit'!$B$5:$F$8,MATCH($F268,'Rules of Credit'!$A$5:$A$8,0),1))+IF(OR(ISNUMBER(K268),UPPER(TRIM(K268))="N/A"),1,0)*INDEX('Rules of Credit'!$B$5:$F$8,MATCH($F268,'Rules of Credit'!$A$5:$A$8,0),2)+IF(OR(ISNUMBER(L268),UPPER(TRIM(L268))="N/A"),1,0)*INDEX('Rules of Credit'!$B$5:$F$8,MATCH($F268,'Rules of Credit'!$A$5:$A$8,0),3)+IF(OR(ISNUMBER(M268),UPPER(TRIM(M268))="N/A"),1,0)*IF($X268="N",0,INDEX('Rules of Credit'!$B$5:$F$8,MATCH($F268,'Rules of Credit'!$A$5:$A$8,0),4))+IF(OR(ISNUMBER(N268),UPPER(TRIM(N268))="N/A"),1,0)*INDEX('Rules of Credit'!$B$5:$F$8,MATCH($F268,'Rules of Credit'!$A$5:$A$8,0),5))/(IF($W268="N",0,INDEX('Rules of Credit'!$B$5:$F$8,MATCH($F268,'Rules of Credit'!$A$5:$A$8,0),1))+INDEX('Rules of Credit'!$B$5:$F$8,MATCH($F268,'Rules of Credit'!$A$5:$A$8,0),2)+INDEX('Rules of Credit'!$B$5:$F$8,MATCH($F268,'Rules of Credit'!$A$5:$A$8,0),3)+IF($X268="N",0,INDEX('Rules of Credit'!$B$5:$F$8,MATCH($F268,'Rules of Credit'!$A$5:$A$8,0),4))+INDEX('Rules of Credit'!$B$5:$F$8,MATCH($F268,'Rules of Credit'!$A$5:$A$8,0),5)),0)</f>
        <v>0</v>
      </c>
      <c r="Q268" s="177" t="n">
        <f aca="false">IF(OR($H268="",$I268=""),0,IF('Tracker Summary'!$C$3&lt;$H268,0,IF('Tracker Summary'!$C$3&gt;=$I268,1,('Tracker Summary'!$C$3-$H268)/($I268-$H268+1))))</f>
        <v>0</v>
      </c>
      <c r="R268" s="177" t="n">
        <f aca="false">P268-Q268</f>
        <v>0</v>
      </c>
      <c r="S268" s="174" t="str">
        <f aca="false">IF($I268="","Not scheduled",IF(P268&gt;=1,"Complete",IF('Tracker Summary'!$C$3&gt;$I268,"Overdue",IF(P268-Q268&lt;-0.1,"Behind",IF(AND(P268=0,'Tracker Summary'!$C$3&lt;$H268),"Not started","On track")))))</f>
        <v>Not started</v>
      </c>
      <c r="T268" s="90"/>
      <c r="U268" s="174" t="str">
        <f aca="false">IFERROR(INDEX(Schedule!$D$2:$D$147,MATCH($G268,Schedule!$A$2:$A$147,0)),"")</f>
        <v>Paving, Fencing, Walls &amp; Landscaping — Final surfacing and pavement</v>
      </c>
      <c r="V268" s="176" t="n">
        <f aca="false">IFERROR(INDEX(Schedule!$F$2:$F$147,MATCH("32-P01",Schedule!$A$2:$A$147,0)),"")</f>
        <v>44999</v>
      </c>
      <c r="W268" s="174" t="s">
        <v>91</v>
      </c>
      <c r="X268" s="174" t="s">
        <v>91</v>
      </c>
      <c r="Y268" s="174" t="n">
        <v>0</v>
      </c>
      <c r="Z268" s="174" t="n">
        <v>0</v>
      </c>
      <c r="AA268" s="174" t="s">
        <v>1234</v>
      </c>
      <c r="AB268" s="174" t="s">
        <v>1235</v>
      </c>
      <c r="AC268" s="174" t="s">
        <v>120</v>
      </c>
      <c r="AD268" s="174" t="s">
        <v>93</v>
      </c>
      <c r="AE268" s="174" t="s">
        <v>1240</v>
      </c>
      <c r="AF268" s="174"/>
      <c r="AG268" s="174" t="s">
        <v>455</v>
      </c>
      <c r="AH268" s="174" t="s">
        <v>95</v>
      </c>
    </row>
    <row r="269" customFormat="false" ht="15" hidden="false" customHeight="false" outlineLevel="0" collapsed="false">
      <c r="A269" s="174" t="s">
        <v>60</v>
      </c>
      <c r="B269" s="175" t="s">
        <v>41</v>
      </c>
      <c r="C269" s="174" t="s">
        <v>1241</v>
      </c>
      <c r="D269" s="174" t="s">
        <v>1242</v>
      </c>
      <c r="E269" s="174" t="s">
        <v>98</v>
      </c>
      <c r="F269" s="90" t="s">
        <v>234</v>
      </c>
      <c r="G269" s="174" t="s">
        <v>1223</v>
      </c>
      <c r="H269" s="176" t="n">
        <f aca="false">IFERROR(INDEX(Schedule!$E$2:$E$147,MATCH($G269,Schedule!$A$2:$A$147,0)),"")</f>
        <v>45505</v>
      </c>
      <c r="I269" s="176" t="n">
        <f aca="false">IFERROR(INDEX(Schedule!$F$2:$F$147,MATCH($G269,Schedule!$A$2:$A$147,0)),"")</f>
        <v>45535</v>
      </c>
      <c r="J269" s="92"/>
      <c r="K269" s="92"/>
      <c r="L269" s="92"/>
      <c r="M269" s="92"/>
      <c r="N269" s="92"/>
      <c r="O269" s="90" t="n">
        <v>1</v>
      </c>
      <c r="P269" s="177" t="n">
        <f aca="false">IFERROR((IF(OR(ISNUMBER(J269),UPPER(TRIM(J269))="N/A"),1,0)*IF($W269="N",0,INDEX('Rules of Credit'!$B$5:$F$8,MATCH($F269,'Rules of Credit'!$A$5:$A$8,0),1))+IF(OR(ISNUMBER(K269),UPPER(TRIM(K269))="N/A"),1,0)*INDEX('Rules of Credit'!$B$5:$F$8,MATCH($F269,'Rules of Credit'!$A$5:$A$8,0),2)+IF(OR(ISNUMBER(L269),UPPER(TRIM(L269))="N/A"),1,0)*INDEX('Rules of Credit'!$B$5:$F$8,MATCH($F269,'Rules of Credit'!$A$5:$A$8,0),3)+IF(OR(ISNUMBER(M269),UPPER(TRIM(M269))="N/A"),1,0)*IF($X269="N",0,INDEX('Rules of Credit'!$B$5:$F$8,MATCH($F269,'Rules of Credit'!$A$5:$A$8,0),4))+IF(OR(ISNUMBER(N269),UPPER(TRIM(N269))="N/A"),1,0)*INDEX('Rules of Credit'!$B$5:$F$8,MATCH($F269,'Rules of Credit'!$A$5:$A$8,0),5))/(IF($W269="N",0,INDEX('Rules of Credit'!$B$5:$F$8,MATCH($F269,'Rules of Credit'!$A$5:$A$8,0),1))+INDEX('Rules of Credit'!$B$5:$F$8,MATCH($F269,'Rules of Credit'!$A$5:$A$8,0),2)+INDEX('Rules of Credit'!$B$5:$F$8,MATCH($F269,'Rules of Credit'!$A$5:$A$8,0),3)+IF($X269="N",0,INDEX('Rules of Credit'!$B$5:$F$8,MATCH($F269,'Rules of Credit'!$A$5:$A$8,0),4))+INDEX('Rules of Credit'!$B$5:$F$8,MATCH($F269,'Rules of Credit'!$A$5:$A$8,0),5)),0)</f>
        <v>0</v>
      </c>
      <c r="Q269" s="177" t="n">
        <f aca="false">IF(OR($H269="",$I269=""),0,IF('Tracker Summary'!$C$3&lt;$H269,0,IF('Tracker Summary'!$C$3&gt;=$I269,1,('Tracker Summary'!$C$3-$H269)/($I269-$H269+1))))</f>
        <v>0</v>
      </c>
      <c r="R269" s="177" t="n">
        <f aca="false">P269-Q269</f>
        <v>0</v>
      </c>
      <c r="S269" s="174" t="str">
        <f aca="false">IF($I269="","Not scheduled",IF(P269&gt;=1,"Complete",IF('Tracker Summary'!$C$3&gt;$I269,"Overdue",IF(P269-Q269&lt;-0.1,"Behind",IF(AND(P269=0,'Tracker Summary'!$C$3&lt;$H269),"Not started","On track")))))</f>
        <v>Not started</v>
      </c>
      <c r="T269" s="90"/>
      <c r="U269" s="174" t="str">
        <f aca="false">IFERROR(INDEX(Schedule!$D$2:$D$147,MATCH($G269,Schedule!$A$2:$A$147,0)),"")</f>
        <v>Paving, Fencing, Walls &amp; Landscaping — Final surfacing and pavement</v>
      </c>
      <c r="V269" s="176" t="n">
        <f aca="false">IFERROR(INDEX(Schedule!$F$2:$F$147,MATCH("32-P01",Schedule!$A$2:$A$147,0)),"")</f>
        <v>44999</v>
      </c>
      <c r="W269" s="174" t="s">
        <v>99</v>
      </c>
      <c r="X269" s="174" t="s">
        <v>99</v>
      </c>
      <c r="Y269" s="174" t="n">
        <v>2</v>
      </c>
      <c r="Z269" s="174" t="n">
        <v>1</v>
      </c>
      <c r="AA269" s="174"/>
      <c r="AB269" s="174"/>
      <c r="AC269" s="174" t="s">
        <v>120</v>
      </c>
      <c r="AD269" s="174" t="s">
        <v>93</v>
      </c>
      <c r="AE269" s="174" t="s">
        <v>1243</v>
      </c>
      <c r="AF269" s="174" t="s">
        <v>1244</v>
      </c>
      <c r="AG269" s="174" t="s">
        <v>1245</v>
      </c>
      <c r="AH269" s="174" t="s">
        <v>95</v>
      </c>
    </row>
    <row r="270" customFormat="false" ht="15" hidden="false" customHeight="false" outlineLevel="0" collapsed="false">
      <c r="A270" s="174" t="s">
        <v>60</v>
      </c>
      <c r="B270" s="175" t="s">
        <v>41</v>
      </c>
      <c r="C270" s="174" t="s">
        <v>1246</v>
      </c>
      <c r="D270" s="174" t="s">
        <v>1247</v>
      </c>
      <c r="E270" s="174" t="s">
        <v>98</v>
      </c>
      <c r="F270" s="90" t="s">
        <v>234</v>
      </c>
      <c r="G270" s="174" t="s">
        <v>1223</v>
      </c>
      <c r="H270" s="176" t="n">
        <f aca="false">IFERROR(INDEX(Schedule!$E$2:$E$147,MATCH($G270,Schedule!$A$2:$A$147,0)),"")</f>
        <v>45505</v>
      </c>
      <c r="I270" s="176" t="n">
        <f aca="false">IFERROR(INDEX(Schedule!$F$2:$F$147,MATCH($G270,Schedule!$A$2:$A$147,0)),"")</f>
        <v>45535</v>
      </c>
      <c r="J270" s="92"/>
      <c r="K270" s="92"/>
      <c r="L270" s="92"/>
      <c r="M270" s="92"/>
      <c r="N270" s="92"/>
      <c r="O270" s="90" t="n">
        <v>1</v>
      </c>
      <c r="P270" s="177" t="n">
        <f aca="false">IFERROR((IF(OR(ISNUMBER(J270),UPPER(TRIM(J270))="N/A"),1,0)*IF($W270="N",0,INDEX('Rules of Credit'!$B$5:$F$8,MATCH($F270,'Rules of Credit'!$A$5:$A$8,0),1))+IF(OR(ISNUMBER(K270),UPPER(TRIM(K270))="N/A"),1,0)*INDEX('Rules of Credit'!$B$5:$F$8,MATCH($F270,'Rules of Credit'!$A$5:$A$8,0),2)+IF(OR(ISNUMBER(L270),UPPER(TRIM(L270))="N/A"),1,0)*INDEX('Rules of Credit'!$B$5:$F$8,MATCH($F270,'Rules of Credit'!$A$5:$A$8,0),3)+IF(OR(ISNUMBER(M270),UPPER(TRIM(M270))="N/A"),1,0)*IF($X270="N",0,INDEX('Rules of Credit'!$B$5:$F$8,MATCH($F270,'Rules of Credit'!$A$5:$A$8,0),4))+IF(OR(ISNUMBER(N270),UPPER(TRIM(N270))="N/A"),1,0)*INDEX('Rules of Credit'!$B$5:$F$8,MATCH($F270,'Rules of Credit'!$A$5:$A$8,0),5))/(IF($W270="N",0,INDEX('Rules of Credit'!$B$5:$F$8,MATCH($F270,'Rules of Credit'!$A$5:$A$8,0),1))+INDEX('Rules of Credit'!$B$5:$F$8,MATCH($F270,'Rules of Credit'!$A$5:$A$8,0),2)+INDEX('Rules of Credit'!$B$5:$F$8,MATCH($F270,'Rules of Credit'!$A$5:$A$8,0),3)+IF($X270="N",0,INDEX('Rules of Credit'!$B$5:$F$8,MATCH($F270,'Rules of Credit'!$A$5:$A$8,0),4))+INDEX('Rules of Credit'!$B$5:$F$8,MATCH($F270,'Rules of Credit'!$A$5:$A$8,0),5)),0)</f>
        <v>0</v>
      </c>
      <c r="Q270" s="177" t="n">
        <f aca="false">IF(OR($H270="",$I270=""),0,IF('Tracker Summary'!$C$3&lt;$H270,0,IF('Tracker Summary'!$C$3&gt;=$I270,1,('Tracker Summary'!$C$3-$H270)/($I270-$H270+1))))</f>
        <v>0</v>
      </c>
      <c r="R270" s="177" t="n">
        <f aca="false">P270-Q270</f>
        <v>0</v>
      </c>
      <c r="S270" s="174" t="str">
        <f aca="false">IF($I270="","Not scheduled",IF(P270&gt;=1,"Complete",IF('Tracker Summary'!$C$3&gt;$I270,"Overdue",IF(P270-Q270&lt;-0.1,"Behind",IF(AND(P270=0,'Tracker Summary'!$C$3&lt;$H270),"Not started","On track")))))</f>
        <v>Not started</v>
      </c>
      <c r="T270" s="90"/>
      <c r="U270" s="174" t="str">
        <f aca="false">IFERROR(INDEX(Schedule!$D$2:$D$147,MATCH($G270,Schedule!$A$2:$A$147,0)),"")</f>
        <v>Paving, Fencing, Walls &amp; Landscaping — Final surfacing and pavement</v>
      </c>
      <c r="V270" s="176" t="n">
        <f aca="false">IFERROR(INDEX(Schedule!$F$2:$F$147,MATCH("32-P01",Schedule!$A$2:$A$147,0)),"")</f>
        <v>44999</v>
      </c>
      <c r="W270" s="174" t="s">
        <v>91</v>
      </c>
      <c r="X270" s="174" t="s">
        <v>99</v>
      </c>
      <c r="Y270" s="174" t="n">
        <v>0</v>
      </c>
      <c r="Z270" s="174" t="n">
        <v>5</v>
      </c>
      <c r="AA270" s="174" t="s">
        <v>1248</v>
      </c>
      <c r="AB270" s="174" t="s">
        <v>1249</v>
      </c>
      <c r="AC270" s="174" t="s">
        <v>92</v>
      </c>
      <c r="AD270" s="174" t="s">
        <v>1250</v>
      </c>
      <c r="AE270" s="174"/>
      <c r="AF270" s="174" t="s">
        <v>1251</v>
      </c>
      <c r="AG270" s="174" t="s">
        <v>1251</v>
      </c>
      <c r="AH270" s="174" t="s">
        <v>109</v>
      </c>
    </row>
    <row r="271" customFormat="false" ht="15" hidden="false" customHeight="false" outlineLevel="0" collapsed="false">
      <c r="A271" s="174" t="s">
        <v>60</v>
      </c>
      <c r="B271" s="175" t="s">
        <v>41</v>
      </c>
      <c r="C271" s="174" t="s">
        <v>1252</v>
      </c>
      <c r="D271" s="174" t="s">
        <v>1253</v>
      </c>
      <c r="E271" s="174" t="s">
        <v>98</v>
      </c>
      <c r="F271" s="90" t="s">
        <v>234</v>
      </c>
      <c r="G271" s="174" t="s">
        <v>1254</v>
      </c>
      <c r="H271" s="176" t="n">
        <f aca="false">IFERROR(INDEX(Schedule!$E$2:$E$147,MATCH($G271,Schedule!$A$2:$A$147,0)),"")</f>
        <v>45505</v>
      </c>
      <c r="I271" s="176" t="n">
        <f aca="false">IFERROR(INDEX(Schedule!$F$2:$F$147,MATCH($G271,Schedule!$A$2:$A$147,0)),"")</f>
        <v>45565</v>
      </c>
      <c r="J271" s="92"/>
      <c r="K271" s="92"/>
      <c r="L271" s="92"/>
      <c r="M271" s="92"/>
      <c r="N271" s="92"/>
      <c r="O271" s="90" t="n">
        <v>1</v>
      </c>
      <c r="P271" s="177" t="n">
        <f aca="false">IFERROR((IF(OR(ISNUMBER(J271),UPPER(TRIM(J271))="N/A"),1,0)*IF($W271="N",0,INDEX('Rules of Credit'!$B$5:$F$8,MATCH($F271,'Rules of Credit'!$A$5:$A$8,0),1))+IF(OR(ISNUMBER(K271),UPPER(TRIM(K271))="N/A"),1,0)*INDEX('Rules of Credit'!$B$5:$F$8,MATCH($F271,'Rules of Credit'!$A$5:$A$8,0),2)+IF(OR(ISNUMBER(L271),UPPER(TRIM(L271))="N/A"),1,0)*INDEX('Rules of Credit'!$B$5:$F$8,MATCH($F271,'Rules of Credit'!$A$5:$A$8,0),3)+IF(OR(ISNUMBER(M271),UPPER(TRIM(M271))="N/A"),1,0)*IF($X271="N",0,INDEX('Rules of Credit'!$B$5:$F$8,MATCH($F271,'Rules of Credit'!$A$5:$A$8,0),4))+IF(OR(ISNUMBER(N271),UPPER(TRIM(N271))="N/A"),1,0)*INDEX('Rules of Credit'!$B$5:$F$8,MATCH($F271,'Rules of Credit'!$A$5:$A$8,0),5))/(IF($W271="N",0,INDEX('Rules of Credit'!$B$5:$F$8,MATCH($F271,'Rules of Credit'!$A$5:$A$8,0),1))+INDEX('Rules of Credit'!$B$5:$F$8,MATCH($F271,'Rules of Credit'!$A$5:$A$8,0),2)+INDEX('Rules of Credit'!$B$5:$F$8,MATCH($F271,'Rules of Credit'!$A$5:$A$8,0),3)+IF($X271="N",0,INDEX('Rules of Credit'!$B$5:$F$8,MATCH($F271,'Rules of Credit'!$A$5:$A$8,0),4))+INDEX('Rules of Credit'!$B$5:$F$8,MATCH($F271,'Rules of Credit'!$A$5:$A$8,0),5)),0)</f>
        <v>0</v>
      </c>
      <c r="Q271" s="177" t="n">
        <f aca="false">IF(OR($H271="",$I271=""),0,IF('Tracker Summary'!$C$3&lt;$H271,0,IF('Tracker Summary'!$C$3&gt;=$I271,1,('Tracker Summary'!$C$3-$H271)/($I271-$H271+1))))</f>
        <v>0</v>
      </c>
      <c r="R271" s="177" t="n">
        <f aca="false">P271-Q271</f>
        <v>0</v>
      </c>
      <c r="S271" s="174" t="str">
        <f aca="false">IF($I271="","Not scheduled",IF(P271&gt;=1,"Complete",IF('Tracker Summary'!$C$3&gt;$I271,"Overdue",IF(P271-Q271&lt;-0.1,"Behind",IF(AND(P271=0,'Tracker Summary'!$C$3&lt;$H271),"Not started","On track")))))</f>
        <v>Not started</v>
      </c>
      <c r="T271" s="90"/>
      <c r="U271" s="174" t="str">
        <f aca="false">IFERROR(INDEX(Schedule!$D$2:$D$147,MATCH($G271,Schedule!$A$2:$A$147,0)),"")</f>
        <v>Paving, Fencing, Walls &amp; Landscaping — Site finish work (fencing, walls, landscaping, bollards)</v>
      </c>
      <c r="V271" s="176" t="n">
        <f aca="false">IFERROR(INDEX(Schedule!$F$2:$F$147,MATCH("32-P01",Schedule!$A$2:$A$147,0)),"")</f>
        <v>44999</v>
      </c>
      <c r="W271" s="174" t="s">
        <v>99</v>
      </c>
      <c r="X271" s="174" t="s">
        <v>99</v>
      </c>
      <c r="Y271" s="174" t="n">
        <v>2</v>
      </c>
      <c r="Z271" s="174" t="n">
        <v>3</v>
      </c>
      <c r="AA271" s="174"/>
      <c r="AB271" s="174"/>
      <c r="AC271" s="174" t="s">
        <v>120</v>
      </c>
      <c r="AD271" s="174" t="s">
        <v>93</v>
      </c>
      <c r="AE271" s="174" t="s">
        <v>1255</v>
      </c>
      <c r="AF271" s="174" t="s">
        <v>1256</v>
      </c>
      <c r="AG271" s="174" t="s">
        <v>1257</v>
      </c>
      <c r="AH271" s="174" t="s">
        <v>95</v>
      </c>
    </row>
    <row r="272" customFormat="false" ht="15" hidden="false" customHeight="false" outlineLevel="0" collapsed="false">
      <c r="A272" s="174" t="s">
        <v>60</v>
      </c>
      <c r="B272" s="175" t="s">
        <v>41</v>
      </c>
      <c r="C272" s="174" t="s">
        <v>1258</v>
      </c>
      <c r="D272" s="174" t="s">
        <v>1259</v>
      </c>
      <c r="E272" s="174" t="s">
        <v>98</v>
      </c>
      <c r="F272" s="90" t="s">
        <v>234</v>
      </c>
      <c r="G272" s="174" t="s">
        <v>1254</v>
      </c>
      <c r="H272" s="176" t="n">
        <f aca="false">IFERROR(INDEX(Schedule!$E$2:$E$147,MATCH($G272,Schedule!$A$2:$A$147,0)),"")</f>
        <v>45505</v>
      </c>
      <c r="I272" s="176" t="n">
        <f aca="false">IFERROR(INDEX(Schedule!$F$2:$F$147,MATCH($G272,Schedule!$A$2:$A$147,0)),"")</f>
        <v>45565</v>
      </c>
      <c r="J272" s="92"/>
      <c r="K272" s="92"/>
      <c r="L272" s="92"/>
      <c r="M272" s="92"/>
      <c r="N272" s="92"/>
      <c r="O272" s="90" t="n">
        <v>1</v>
      </c>
      <c r="P272" s="177" t="n">
        <f aca="false">IFERROR((IF(OR(ISNUMBER(J272),UPPER(TRIM(J272))="N/A"),1,0)*IF($W272="N",0,INDEX('Rules of Credit'!$B$5:$F$8,MATCH($F272,'Rules of Credit'!$A$5:$A$8,0),1))+IF(OR(ISNUMBER(K272),UPPER(TRIM(K272))="N/A"),1,0)*INDEX('Rules of Credit'!$B$5:$F$8,MATCH($F272,'Rules of Credit'!$A$5:$A$8,0),2)+IF(OR(ISNUMBER(L272),UPPER(TRIM(L272))="N/A"),1,0)*INDEX('Rules of Credit'!$B$5:$F$8,MATCH($F272,'Rules of Credit'!$A$5:$A$8,0),3)+IF(OR(ISNUMBER(M272),UPPER(TRIM(M272))="N/A"),1,0)*IF($X272="N",0,INDEX('Rules of Credit'!$B$5:$F$8,MATCH($F272,'Rules of Credit'!$A$5:$A$8,0),4))+IF(OR(ISNUMBER(N272),UPPER(TRIM(N272))="N/A"),1,0)*INDEX('Rules of Credit'!$B$5:$F$8,MATCH($F272,'Rules of Credit'!$A$5:$A$8,0),5))/(IF($W272="N",0,INDEX('Rules of Credit'!$B$5:$F$8,MATCH($F272,'Rules of Credit'!$A$5:$A$8,0),1))+INDEX('Rules of Credit'!$B$5:$F$8,MATCH($F272,'Rules of Credit'!$A$5:$A$8,0),2)+INDEX('Rules of Credit'!$B$5:$F$8,MATCH($F272,'Rules of Credit'!$A$5:$A$8,0),3)+IF($X272="N",0,INDEX('Rules of Credit'!$B$5:$F$8,MATCH($F272,'Rules of Credit'!$A$5:$A$8,0),4))+INDEX('Rules of Credit'!$B$5:$F$8,MATCH($F272,'Rules of Credit'!$A$5:$A$8,0),5)),0)</f>
        <v>0</v>
      </c>
      <c r="Q272" s="177" t="n">
        <f aca="false">IF(OR($H272="",$I272=""),0,IF('Tracker Summary'!$C$3&lt;$H272,0,IF('Tracker Summary'!$C$3&gt;=$I272,1,('Tracker Summary'!$C$3-$H272)/($I272-$H272+1))))</f>
        <v>0</v>
      </c>
      <c r="R272" s="177" t="n">
        <f aca="false">P272-Q272</f>
        <v>0</v>
      </c>
      <c r="S272" s="174" t="str">
        <f aca="false">IF($I272="","Not scheduled",IF(P272&gt;=1,"Complete",IF('Tracker Summary'!$C$3&gt;$I272,"Overdue",IF(P272-Q272&lt;-0.1,"Behind",IF(AND(P272=0,'Tracker Summary'!$C$3&lt;$H272),"Not started","On track")))))</f>
        <v>Not started</v>
      </c>
      <c r="T272" s="90"/>
      <c r="U272" s="174" t="str">
        <f aca="false">IFERROR(INDEX(Schedule!$D$2:$D$147,MATCH($G272,Schedule!$A$2:$A$147,0)),"")</f>
        <v>Paving, Fencing, Walls &amp; Landscaping — Site finish work (fencing, walls, landscaping, bollards)</v>
      </c>
      <c r="V272" s="176" t="n">
        <f aca="false">IFERROR(INDEX(Schedule!$F$2:$F$147,MATCH("32-P01",Schedule!$A$2:$A$147,0)),"")</f>
        <v>44999</v>
      </c>
      <c r="W272" s="174" t="s">
        <v>99</v>
      </c>
      <c r="X272" s="174" t="s">
        <v>91</v>
      </c>
      <c r="Y272" s="174" t="n">
        <v>1</v>
      </c>
      <c r="Z272" s="174" t="n">
        <v>0</v>
      </c>
      <c r="AA272" s="174"/>
      <c r="AB272" s="174"/>
      <c r="AC272" s="174" t="s">
        <v>120</v>
      </c>
      <c r="AD272" s="174" t="s">
        <v>93</v>
      </c>
      <c r="AE272" s="174" t="s">
        <v>1260</v>
      </c>
      <c r="AF272" s="174" t="s">
        <v>1261</v>
      </c>
      <c r="AG272" s="174" t="s">
        <v>1262</v>
      </c>
      <c r="AH272" s="174" t="s">
        <v>95</v>
      </c>
    </row>
    <row r="273" customFormat="false" ht="15" hidden="false" customHeight="false" outlineLevel="0" collapsed="false">
      <c r="A273" s="174" t="s">
        <v>60</v>
      </c>
      <c r="B273" s="175" t="s">
        <v>41</v>
      </c>
      <c r="C273" s="174" t="s">
        <v>1263</v>
      </c>
      <c r="D273" s="174" t="s">
        <v>1264</v>
      </c>
      <c r="E273" s="174" t="s">
        <v>98</v>
      </c>
      <c r="F273" s="90" t="s">
        <v>234</v>
      </c>
      <c r="G273" s="174" t="s">
        <v>1254</v>
      </c>
      <c r="H273" s="176" t="n">
        <f aca="false">IFERROR(INDEX(Schedule!$E$2:$E$147,MATCH($G273,Schedule!$A$2:$A$147,0)),"")</f>
        <v>45505</v>
      </c>
      <c r="I273" s="176" t="n">
        <f aca="false">IFERROR(INDEX(Schedule!$F$2:$F$147,MATCH($G273,Schedule!$A$2:$A$147,0)),"")</f>
        <v>45565</v>
      </c>
      <c r="J273" s="92"/>
      <c r="K273" s="92"/>
      <c r="L273" s="92"/>
      <c r="M273" s="92"/>
      <c r="N273" s="92"/>
      <c r="O273" s="90" t="n">
        <v>1</v>
      </c>
      <c r="P273" s="177" t="n">
        <f aca="false">IFERROR((IF(OR(ISNUMBER(J273),UPPER(TRIM(J273))="N/A"),1,0)*IF($W273="N",0,INDEX('Rules of Credit'!$B$5:$F$8,MATCH($F273,'Rules of Credit'!$A$5:$A$8,0),1))+IF(OR(ISNUMBER(K273),UPPER(TRIM(K273))="N/A"),1,0)*INDEX('Rules of Credit'!$B$5:$F$8,MATCH($F273,'Rules of Credit'!$A$5:$A$8,0),2)+IF(OR(ISNUMBER(L273),UPPER(TRIM(L273))="N/A"),1,0)*INDEX('Rules of Credit'!$B$5:$F$8,MATCH($F273,'Rules of Credit'!$A$5:$A$8,0),3)+IF(OR(ISNUMBER(M273),UPPER(TRIM(M273))="N/A"),1,0)*IF($X273="N",0,INDEX('Rules of Credit'!$B$5:$F$8,MATCH($F273,'Rules of Credit'!$A$5:$A$8,0),4))+IF(OR(ISNUMBER(N273),UPPER(TRIM(N273))="N/A"),1,0)*INDEX('Rules of Credit'!$B$5:$F$8,MATCH($F273,'Rules of Credit'!$A$5:$A$8,0),5))/(IF($W273="N",0,INDEX('Rules of Credit'!$B$5:$F$8,MATCH($F273,'Rules of Credit'!$A$5:$A$8,0),1))+INDEX('Rules of Credit'!$B$5:$F$8,MATCH($F273,'Rules of Credit'!$A$5:$A$8,0),2)+INDEX('Rules of Credit'!$B$5:$F$8,MATCH($F273,'Rules of Credit'!$A$5:$A$8,0),3)+IF($X273="N",0,INDEX('Rules of Credit'!$B$5:$F$8,MATCH($F273,'Rules of Credit'!$A$5:$A$8,0),4))+INDEX('Rules of Credit'!$B$5:$F$8,MATCH($F273,'Rules of Credit'!$A$5:$A$8,0),5)),0)</f>
        <v>0</v>
      </c>
      <c r="Q273" s="177" t="n">
        <f aca="false">IF(OR($H273="",$I273=""),0,IF('Tracker Summary'!$C$3&lt;$H273,0,IF('Tracker Summary'!$C$3&gt;=$I273,1,('Tracker Summary'!$C$3-$H273)/($I273-$H273+1))))</f>
        <v>0</v>
      </c>
      <c r="R273" s="177" t="n">
        <f aca="false">P273-Q273</f>
        <v>0</v>
      </c>
      <c r="S273" s="174" t="str">
        <f aca="false">IF($I273="","Not scheduled",IF(P273&gt;=1,"Complete",IF('Tracker Summary'!$C$3&gt;$I273,"Overdue",IF(P273-Q273&lt;-0.1,"Behind",IF(AND(P273=0,'Tracker Summary'!$C$3&lt;$H273),"Not started","On track")))))</f>
        <v>Not started</v>
      </c>
      <c r="T273" s="90"/>
      <c r="U273" s="174" t="str">
        <f aca="false">IFERROR(INDEX(Schedule!$D$2:$D$147,MATCH($G273,Schedule!$A$2:$A$147,0)),"")</f>
        <v>Paving, Fencing, Walls &amp; Landscaping — Site finish work (fencing, walls, landscaping, bollards)</v>
      </c>
      <c r="V273" s="176" t="n">
        <f aca="false">IFERROR(INDEX(Schedule!$F$2:$F$147,MATCH("32-P01",Schedule!$A$2:$A$147,0)),"")</f>
        <v>44999</v>
      </c>
      <c r="W273" s="174" t="s">
        <v>99</v>
      </c>
      <c r="X273" s="174" t="s">
        <v>91</v>
      </c>
      <c r="Y273" s="174" t="n">
        <v>3</v>
      </c>
      <c r="Z273" s="174" t="n">
        <v>0</v>
      </c>
      <c r="AA273" s="174"/>
      <c r="AB273" s="174"/>
      <c r="AC273" s="174" t="s">
        <v>120</v>
      </c>
      <c r="AD273" s="174" t="s">
        <v>93</v>
      </c>
      <c r="AE273" s="174" t="s">
        <v>1265</v>
      </c>
      <c r="AF273" s="174" t="s">
        <v>1266</v>
      </c>
      <c r="AG273" s="174" t="s">
        <v>1267</v>
      </c>
      <c r="AH273" s="174" t="s">
        <v>95</v>
      </c>
    </row>
    <row r="274" customFormat="false" ht="15" hidden="false" customHeight="false" outlineLevel="0" collapsed="false">
      <c r="A274" s="174" t="s">
        <v>60</v>
      </c>
      <c r="B274" s="175" t="s">
        <v>41</v>
      </c>
      <c r="C274" s="174" t="s">
        <v>1268</v>
      </c>
      <c r="D274" s="174" t="s">
        <v>1269</v>
      </c>
      <c r="E274" s="174" t="s">
        <v>98</v>
      </c>
      <c r="F274" s="90" t="s">
        <v>234</v>
      </c>
      <c r="G274" s="174" t="s">
        <v>1254</v>
      </c>
      <c r="H274" s="176" t="n">
        <f aca="false">IFERROR(INDEX(Schedule!$E$2:$E$147,MATCH($G274,Schedule!$A$2:$A$147,0)),"")</f>
        <v>45505</v>
      </c>
      <c r="I274" s="176" t="n">
        <f aca="false">IFERROR(INDEX(Schedule!$F$2:$F$147,MATCH($G274,Schedule!$A$2:$A$147,0)),"")</f>
        <v>45565</v>
      </c>
      <c r="J274" s="92"/>
      <c r="K274" s="92"/>
      <c r="L274" s="92"/>
      <c r="M274" s="92"/>
      <c r="N274" s="92"/>
      <c r="O274" s="90" t="n">
        <v>1</v>
      </c>
      <c r="P274" s="177" t="n">
        <f aca="false">IFERROR((IF(OR(ISNUMBER(J274),UPPER(TRIM(J274))="N/A"),1,0)*IF($W274="N",0,INDEX('Rules of Credit'!$B$5:$F$8,MATCH($F274,'Rules of Credit'!$A$5:$A$8,0),1))+IF(OR(ISNUMBER(K274),UPPER(TRIM(K274))="N/A"),1,0)*INDEX('Rules of Credit'!$B$5:$F$8,MATCH($F274,'Rules of Credit'!$A$5:$A$8,0),2)+IF(OR(ISNUMBER(L274),UPPER(TRIM(L274))="N/A"),1,0)*INDEX('Rules of Credit'!$B$5:$F$8,MATCH($F274,'Rules of Credit'!$A$5:$A$8,0),3)+IF(OR(ISNUMBER(M274),UPPER(TRIM(M274))="N/A"),1,0)*IF($X274="N",0,INDEX('Rules of Credit'!$B$5:$F$8,MATCH($F274,'Rules of Credit'!$A$5:$A$8,0),4))+IF(OR(ISNUMBER(N274),UPPER(TRIM(N274))="N/A"),1,0)*INDEX('Rules of Credit'!$B$5:$F$8,MATCH($F274,'Rules of Credit'!$A$5:$A$8,0),5))/(IF($W274="N",0,INDEX('Rules of Credit'!$B$5:$F$8,MATCH($F274,'Rules of Credit'!$A$5:$A$8,0),1))+INDEX('Rules of Credit'!$B$5:$F$8,MATCH($F274,'Rules of Credit'!$A$5:$A$8,0),2)+INDEX('Rules of Credit'!$B$5:$F$8,MATCH($F274,'Rules of Credit'!$A$5:$A$8,0),3)+IF($X274="N",0,INDEX('Rules of Credit'!$B$5:$F$8,MATCH($F274,'Rules of Credit'!$A$5:$A$8,0),4))+INDEX('Rules of Credit'!$B$5:$F$8,MATCH($F274,'Rules of Credit'!$A$5:$A$8,0),5)),0)</f>
        <v>0</v>
      </c>
      <c r="Q274" s="177" t="n">
        <f aca="false">IF(OR($H274="",$I274=""),0,IF('Tracker Summary'!$C$3&lt;$H274,0,IF('Tracker Summary'!$C$3&gt;=$I274,1,('Tracker Summary'!$C$3-$H274)/($I274-$H274+1))))</f>
        <v>0</v>
      </c>
      <c r="R274" s="177" t="n">
        <f aca="false">P274-Q274</f>
        <v>0</v>
      </c>
      <c r="S274" s="174" t="str">
        <f aca="false">IF($I274="","Not scheduled",IF(P274&gt;=1,"Complete",IF('Tracker Summary'!$C$3&gt;$I274,"Overdue",IF(P274-Q274&lt;-0.1,"Behind",IF(AND(P274=0,'Tracker Summary'!$C$3&lt;$H274),"Not started","On track")))))</f>
        <v>Not started</v>
      </c>
      <c r="T274" s="90"/>
      <c r="U274" s="174" t="str">
        <f aca="false">IFERROR(INDEX(Schedule!$D$2:$D$147,MATCH($G274,Schedule!$A$2:$A$147,0)),"")</f>
        <v>Paving, Fencing, Walls &amp; Landscaping — Site finish work (fencing, walls, landscaping, bollards)</v>
      </c>
      <c r="V274" s="176" t="n">
        <f aca="false">IFERROR(INDEX(Schedule!$F$2:$F$147,MATCH("32-P01",Schedule!$A$2:$A$147,0)),"")</f>
        <v>44999</v>
      </c>
      <c r="W274" s="174" t="s">
        <v>91</v>
      </c>
      <c r="X274" s="174" t="s">
        <v>91</v>
      </c>
      <c r="Y274" s="174" t="n">
        <v>0</v>
      </c>
      <c r="Z274" s="174" t="n">
        <v>0</v>
      </c>
      <c r="AA274" s="174"/>
      <c r="AB274" s="174"/>
      <c r="AC274" s="174" t="s">
        <v>120</v>
      </c>
      <c r="AD274" s="174" t="s">
        <v>93</v>
      </c>
      <c r="AE274" s="174" t="s">
        <v>1260</v>
      </c>
      <c r="AF274" s="174" t="s">
        <v>1270</v>
      </c>
      <c r="AG274" s="174" t="s">
        <v>1270</v>
      </c>
      <c r="AH274" s="174" t="s">
        <v>95</v>
      </c>
    </row>
    <row r="275" customFormat="false" ht="15" hidden="false" customHeight="false" outlineLevel="0" collapsed="false">
      <c r="A275" s="174" t="s">
        <v>60</v>
      </c>
      <c r="B275" s="175" t="s">
        <v>41</v>
      </c>
      <c r="C275" s="174" t="s">
        <v>1271</v>
      </c>
      <c r="D275" s="174" t="s">
        <v>1272</v>
      </c>
      <c r="E275" s="174" t="s">
        <v>98</v>
      </c>
      <c r="F275" s="90" t="s">
        <v>234</v>
      </c>
      <c r="G275" s="174" t="s">
        <v>1254</v>
      </c>
      <c r="H275" s="176" t="n">
        <f aca="false">IFERROR(INDEX(Schedule!$E$2:$E$147,MATCH($G275,Schedule!$A$2:$A$147,0)),"")</f>
        <v>45505</v>
      </c>
      <c r="I275" s="176" t="n">
        <f aca="false">IFERROR(INDEX(Schedule!$F$2:$F$147,MATCH($G275,Schedule!$A$2:$A$147,0)),"")</f>
        <v>45565</v>
      </c>
      <c r="J275" s="92"/>
      <c r="K275" s="92"/>
      <c r="L275" s="92"/>
      <c r="M275" s="92"/>
      <c r="N275" s="92"/>
      <c r="O275" s="90" t="n">
        <v>1</v>
      </c>
      <c r="P275" s="177" t="n">
        <f aca="false">IFERROR((IF(OR(ISNUMBER(J275),UPPER(TRIM(J275))="N/A"),1,0)*IF($W275="N",0,INDEX('Rules of Credit'!$B$5:$F$8,MATCH($F275,'Rules of Credit'!$A$5:$A$8,0),1))+IF(OR(ISNUMBER(K275),UPPER(TRIM(K275))="N/A"),1,0)*INDEX('Rules of Credit'!$B$5:$F$8,MATCH($F275,'Rules of Credit'!$A$5:$A$8,0),2)+IF(OR(ISNUMBER(L275),UPPER(TRIM(L275))="N/A"),1,0)*INDEX('Rules of Credit'!$B$5:$F$8,MATCH($F275,'Rules of Credit'!$A$5:$A$8,0),3)+IF(OR(ISNUMBER(M275),UPPER(TRIM(M275))="N/A"),1,0)*IF($X275="N",0,INDEX('Rules of Credit'!$B$5:$F$8,MATCH($F275,'Rules of Credit'!$A$5:$A$8,0),4))+IF(OR(ISNUMBER(N275),UPPER(TRIM(N275))="N/A"),1,0)*INDEX('Rules of Credit'!$B$5:$F$8,MATCH($F275,'Rules of Credit'!$A$5:$A$8,0),5))/(IF($W275="N",0,INDEX('Rules of Credit'!$B$5:$F$8,MATCH($F275,'Rules of Credit'!$A$5:$A$8,0),1))+INDEX('Rules of Credit'!$B$5:$F$8,MATCH($F275,'Rules of Credit'!$A$5:$A$8,0),2)+INDEX('Rules of Credit'!$B$5:$F$8,MATCH($F275,'Rules of Credit'!$A$5:$A$8,0),3)+IF($X275="N",0,INDEX('Rules of Credit'!$B$5:$F$8,MATCH($F275,'Rules of Credit'!$A$5:$A$8,0),4))+INDEX('Rules of Credit'!$B$5:$F$8,MATCH($F275,'Rules of Credit'!$A$5:$A$8,0),5)),0)</f>
        <v>0</v>
      </c>
      <c r="Q275" s="177" t="n">
        <f aca="false">IF(OR($H275="",$I275=""),0,IF('Tracker Summary'!$C$3&lt;$H275,0,IF('Tracker Summary'!$C$3&gt;=$I275,1,('Tracker Summary'!$C$3-$H275)/($I275-$H275+1))))</f>
        <v>0</v>
      </c>
      <c r="R275" s="177" t="n">
        <f aca="false">P275-Q275</f>
        <v>0</v>
      </c>
      <c r="S275" s="174" t="str">
        <f aca="false">IF($I275="","Not scheduled",IF(P275&gt;=1,"Complete",IF('Tracker Summary'!$C$3&gt;$I275,"Overdue",IF(P275-Q275&lt;-0.1,"Behind",IF(AND(P275=0,'Tracker Summary'!$C$3&lt;$H275),"Not started","On track")))))</f>
        <v>Not started</v>
      </c>
      <c r="T275" s="90"/>
      <c r="U275" s="174" t="str">
        <f aca="false">IFERROR(INDEX(Schedule!$D$2:$D$147,MATCH($G275,Schedule!$A$2:$A$147,0)),"")</f>
        <v>Paving, Fencing, Walls &amp; Landscaping — Site finish work (fencing, walls, landscaping, bollards)</v>
      </c>
      <c r="V275" s="176" t="n">
        <f aca="false">IFERROR(INDEX(Schedule!$F$2:$F$147,MATCH("32-P01",Schedule!$A$2:$A$147,0)),"")</f>
        <v>44999</v>
      </c>
      <c r="W275" s="174" t="s">
        <v>91</v>
      </c>
      <c r="X275" s="174" t="s">
        <v>91</v>
      </c>
      <c r="Y275" s="174" t="n">
        <v>0</v>
      </c>
      <c r="Z275" s="174" t="n">
        <v>0</v>
      </c>
      <c r="AA275" s="174"/>
      <c r="AB275" s="174" t="s">
        <v>1273</v>
      </c>
      <c r="AC275" s="174" t="s">
        <v>92</v>
      </c>
      <c r="AD275" s="174" t="s">
        <v>1274</v>
      </c>
      <c r="AE275" s="174"/>
      <c r="AF275" s="174" t="s">
        <v>1174</v>
      </c>
      <c r="AG275" s="174" t="s">
        <v>1174</v>
      </c>
      <c r="AH275" s="174" t="s">
        <v>109</v>
      </c>
    </row>
    <row r="276" customFormat="false" ht="15" hidden="false" customHeight="false" outlineLevel="0" collapsed="false">
      <c r="A276" s="178" t="s">
        <v>85</v>
      </c>
      <c r="B276" s="178" t="s">
        <v>43</v>
      </c>
      <c r="C276" s="178" t="s">
        <v>44</v>
      </c>
      <c r="D276" s="178" t="str">
        <f aca="false">COUNTIF(A277:A364,"Item")&amp;" items · "&amp;COUNTIF(S277:S364,"Overdue")&amp;" overdue · "&amp;COUNTIF(S277:S364,"Complete")&amp;" complete"</f>
        <v>88 items · 0 overdue · 0 complete</v>
      </c>
      <c r="E276" s="178"/>
      <c r="F276" s="178"/>
      <c r="G276" s="178"/>
      <c r="H276" s="179" t="n">
        <f aca="false">MIN(H277:H364)</f>
        <v>45017</v>
      </c>
      <c r="I276" s="179" t="n">
        <f aca="false">MAX(I277:I364)</f>
        <v>45481</v>
      </c>
      <c r="J276" s="179"/>
      <c r="K276" s="179"/>
      <c r="L276" s="179"/>
      <c r="M276" s="179"/>
      <c r="N276" s="179"/>
      <c r="O276" s="178" t="n">
        <f aca="false">SUM(O277:O364)</f>
        <v>88</v>
      </c>
      <c r="P276" s="180" t="n">
        <f aca="false">IFERROR(SUMPRODUCT(O277:O364,P277:P364)/SUM(O277:O364),0)</f>
        <v>0</v>
      </c>
      <c r="Q276" s="180" t="n">
        <f aca="false">IFERROR(SUMPRODUCT(O277:O364,Q277:Q364)/SUM(O277:O364),0)</f>
        <v>0</v>
      </c>
      <c r="R276" s="180" t="n">
        <f aca="false">P276-Q276</f>
        <v>0</v>
      </c>
      <c r="S276" s="178"/>
      <c r="T276" s="178"/>
      <c r="U276" s="178"/>
      <c r="V276" s="179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78"/>
    </row>
    <row r="277" customFormat="false" ht="15" hidden="false" customHeight="false" outlineLevel="0" collapsed="false">
      <c r="A277" s="181" t="s">
        <v>60</v>
      </c>
      <c r="B277" s="182" t="s">
        <v>43</v>
      </c>
      <c r="C277" s="181" t="s">
        <v>1275</v>
      </c>
      <c r="D277" s="181" t="s">
        <v>1276</v>
      </c>
      <c r="E277" s="181" t="s">
        <v>233</v>
      </c>
      <c r="F277" s="90" t="s">
        <v>234</v>
      </c>
      <c r="G277" s="181" t="s">
        <v>1277</v>
      </c>
      <c r="H277" s="183" t="n">
        <f aca="false">IFERROR(INDEX(Schedule!$E$2:$E$147,MATCH($G277,Schedule!$A$2:$A$147,0)),"")</f>
        <v>45017</v>
      </c>
      <c r="I277" s="183" t="n">
        <f aca="false">IFERROR(INDEX(Schedule!$F$2:$F$147,MATCH($G277,Schedule!$A$2:$A$147,0)),"")</f>
        <v>45138</v>
      </c>
      <c r="J277" s="92"/>
      <c r="K277" s="92"/>
      <c r="L277" s="92"/>
      <c r="M277" s="92"/>
      <c r="N277" s="92"/>
      <c r="O277" s="90" t="n">
        <v>1</v>
      </c>
      <c r="P277" s="184" t="n">
        <f aca="false">IFERROR((IF(OR(ISNUMBER(J277),UPPER(TRIM(J277))="N/A"),1,0)*IF($W277="N",0,INDEX('Rules of Credit'!$B$5:$F$8,MATCH($F277,'Rules of Credit'!$A$5:$A$8,0),1))+IF(OR(ISNUMBER(K277),UPPER(TRIM(K277))="N/A"),1,0)*INDEX('Rules of Credit'!$B$5:$F$8,MATCH($F277,'Rules of Credit'!$A$5:$A$8,0),2)+IF(OR(ISNUMBER(L277),UPPER(TRIM(L277))="N/A"),1,0)*INDEX('Rules of Credit'!$B$5:$F$8,MATCH($F277,'Rules of Credit'!$A$5:$A$8,0),3)+IF(OR(ISNUMBER(M277),UPPER(TRIM(M277))="N/A"),1,0)*IF($X277="N",0,INDEX('Rules of Credit'!$B$5:$F$8,MATCH($F277,'Rules of Credit'!$A$5:$A$8,0),4))+IF(OR(ISNUMBER(N277),UPPER(TRIM(N277))="N/A"),1,0)*INDEX('Rules of Credit'!$B$5:$F$8,MATCH($F277,'Rules of Credit'!$A$5:$A$8,0),5))/(IF($W277="N",0,INDEX('Rules of Credit'!$B$5:$F$8,MATCH($F277,'Rules of Credit'!$A$5:$A$8,0),1))+INDEX('Rules of Credit'!$B$5:$F$8,MATCH($F277,'Rules of Credit'!$A$5:$A$8,0),2)+INDEX('Rules of Credit'!$B$5:$F$8,MATCH($F277,'Rules of Credit'!$A$5:$A$8,0),3)+IF($X277="N",0,INDEX('Rules of Credit'!$B$5:$F$8,MATCH($F277,'Rules of Credit'!$A$5:$A$8,0),4))+INDEX('Rules of Credit'!$B$5:$F$8,MATCH($F277,'Rules of Credit'!$A$5:$A$8,0),5)),0)</f>
        <v>0</v>
      </c>
      <c r="Q277" s="184" t="n">
        <f aca="false">IF(OR($H277="",$I277=""),0,IF('Tracker Summary'!$C$3&lt;$H277,0,IF('Tracker Summary'!$C$3&gt;=$I277,1,('Tracker Summary'!$C$3-$H277)/($I277-$H277+1))))</f>
        <v>0</v>
      </c>
      <c r="R277" s="184" t="n">
        <f aca="false">P277-Q277</f>
        <v>0</v>
      </c>
      <c r="S277" s="181" t="str">
        <f aca="false">IF($I277="","Not scheduled",IF(P277&gt;=1,"Complete",IF('Tracker Summary'!$C$3&gt;$I277,"Overdue",IF(P277-Q277&lt;-0.1,"Behind",IF(AND(P277=0,'Tracker Summary'!$C$3&lt;$H277),"Not started","On track")))))</f>
        <v>Not started</v>
      </c>
      <c r="T277" s="90"/>
      <c r="U277" s="181" t="str">
        <f aca="false">IFERROR(INDEX(Schedule!$D$2:$D$147,MATCH($G277,Schedule!$A$2:$A$147,0)),"")</f>
        <v>Yard Piping &amp; Utilities — Blower Building</v>
      </c>
      <c r="V277" s="183" t="n">
        <f aca="false">IFERROR(INDEX(Schedule!$F$2:$F$147,MATCH("33-P01",Schedule!$A$2:$A$147,0)),"")</f>
        <v>45016</v>
      </c>
      <c r="W277" s="181" t="s">
        <v>91</v>
      </c>
      <c r="X277" s="181" t="s">
        <v>91</v>
      </c>
      <c r="Y277" s="181" t="n">
        <v>0</v>
      </c>
      <c r="Z277" s="181" t="n">
        <v>0</v>
      </c>
      <c r="AA277" s="181"/>
      <c r="AB277" s="181" t="s">
        <v>1278</v>
      </c>
      <c r="AC277" s="181" t="s">
        <v>92</v>
      </c>
      <c r="AD277" s="181" t="s">
        <v>93</v>
      </c>
      <c r="AE277" s="181" t="s">
        <v>1279</v>
      </c>
      <c r="AF277" s="181" t="s">
        <v>1280</v>
      </c>
      <c r="AG277" s="181" t="s">
        <v>1279</v>
      </c>
      <c r="AH277" s="181" t="s">
        <v>213</v>
      </c>
    </row>
    <row r="278" customFormat="false" ht="15" hidden="false" customHeight="false" outlineLevel="0" collapsed="false">
      <c r="A278" s="181" t="s">
        <v>60</v>
      </c>
      <c r="B278" s="182" t="s">
        <v>43</v>
      </c>
      <c r="C278" s="181" t="s">
        <v>1281</v>
      </c>
      <c r="D278" s="181" t="s">
        <v>1282</v>
      </c>
      <c r="E278" s="181" t="s">
        <v>1283</v>
      </c>
      <c r="F278" s="90" t="s">
        <v>234</v>
      </c>
      <c r="G278" s="181" t="s">
        <v>1277</v>
      </c>
      <c r="H278" s="183" t="n">
        <f aca="false">IFERROR(INDEX(Schedule!$E$2:$E$147,MATCH($G278,Schedule!$A$2:$A$147,0)),"")</f>
        <v>45017</v>
      </c>
      <c r="I278" s="183" t="n">
        <f aca="false">IFERROR(INDEX(Schedule!$F$2:$F$147,MATCH($G278,Schedule!$A$2:$A$147,0)),"")</f>
        <v>45138</v>
      </c>
      <c r="J278" s="92"/>
      <c r="K278" s="92"/>
      <c r="L278" s="92"/>
      <c r="M278" s="92"/>
      <c r="N278" s="92"/>
      <c r="O278" s="90" t="n">
        <v>1</v>
      </c>
      <c r="P278" s="184" t="n">
        <f aca="false">IFERROR((IF(OR(ISNUMBER(J278),UPPER(TRIM(J278))="N/A"),1,0)*IF($W278="N",0,INDEX('Rules of Credit'!$B$5:$F$8,MATCH($F278,'Rules of Credit'!$A$5:$A$8,0),1))+IF(OR(ISNUMBER(K278),UPPER(TRIM(K278))="N/A"),1,0)*INDEX('Rules of Credit'!$B$5:$F$8,MATCH($F278,'Rules of Credit'!$A$5:$A$8,0),2)+IF(OR(ISNUMBER(L278),UPPER(TRIM(L278))="N/A"),1,0)*INDEX('Rules of Credit'!$B$5:$F$8,MATCH($F278,'Rules of Credit'!$A$5:$A$8,0),3)+IF(OR(ISNUMBER(M278),UPPER(TRIM(M278))="N/A"),1,0)*IF($X278="N",0,INDEX('Rules of Credit'!$B$5:$F$8,MATCH($F278,'Rules of Credit'!$A$5:$A$8,0),4))+IF(OR(ISNUMBER(N278),UPPER(TRIM(N278))="N/A"),1,0)*INDEX('Rules of Credit'!$B$5:$F$8,MATCH($F278,'Rules of Credit'!$A$5:$A$8,0),5))/(IF($W278="N",0,INDEX('Rules of Credit'!$B$5:$F$8,MATCH($F278,'Rules of Credit'!$A$5:$A$8,0),1))+INDEX('Rules of Credit'!$B$5:$F$8,MATCH($F278,'Rules of Credit'!$A$5:$A$8,0),2)+INDEX('Rules of Credit'!$B$5:$F$8,MATCH($F278,'Rules of Credit'!$A$5:$A$8,0),3)+IF($X278="N",0,INDEX('Rules of Credit'!$B$5:$F$8,MATCH($F278,'Rules of Credit'!$A$5:$A$8,0),4))+INDEX('Rules of Credit'!$B$5:$F$8,MATCH($F278,'Rules of Credit'!$A$5:$A$8,0),5)),0)</f>
        <v>0</v>
      </c>
      <c r="Q278" s="184" t="n">
        <f aca="false">IF(OR($H278="",$I278=""),0,IF('Tracker Summary'!$C$3&lt;$H278,0,IF('Tracker Summary'!$C$3&gt;=$I278,1,('Tracker Summary'!$C$3-$H278)/($I278-$H278+1))))</f>
        <v>0</v>
      </c>
      <c r="R278" s="184" t="n">
        <f aca="false">P278-Q278</f>
        <v>0</v>
      </c>
      <c r="S278" s="181" t="str">
        <f aca="false">IF($I278="","Not scheduled",IF(P278&gt;=1,"Complete",IF('Tracker Summary'!$C$3&gt;$I278,"Overdue",IF(P278-Q278&lt;-0.1,"Behind",IF(AND(P278=0,'Tracker Summary'!$C$3&lt;$H278),"Not started","On track")))))</f>
        <v>Not started</v>
      </c>
      <c r="T278" s="90"/>
      <c r="U278" s="181" t="str">
        <f aca="false">IFERROR(INDEX(Schedule!$D$2:$D$147,MATCH($G278,Schedule!$A$2:$A$147,0)),"")</f>
        <v>Yard Piping &amp; Utilities — Blower Building</v>
      </c>
      <c r="V278" s="183" t="n">
        <f aca="false">IFERROR(INDEX(Schedule!$F$2:$F$147,MATCH("33-P01",Schedule!$A$2:$A$147,0)),"")</f>
        <v>45016</v>
      </c>
      <c r="W278" s="181" t="s">
        <v>91</v>
      </c>
      <c r="X278" s="181" t="s">
        <v>99</v>
      </c>
      <c r="Y278" s="181" t="n">
        <v>0</v>
      </c>
      <c r="Z278" s="181" t="n">
        <v>2</v>
      </c>
      <c r="AA278" s="181" t="s">
        <v>1284</v>
      </c>
      <c r="AB278" s="181" t="s">
        <v>1285</v>
      </c>
      <c r="AC278" s="181" t="s">
        <v>92</v>
      </c>
      <c r="AD278" s="181" t="s">
        <v>93</v>
      </c>
      <c r="AE278" s="181" t="s">
        <v>1286</v>
      </c>
      <c r="AF278" s="181" t="s">
        <v>1287</v>
      </c>
      <c r="AG278" s="181" t="s">
        <v>1288</v>
      </c>
      <c r="AH278" s="181" t="s">
        <v>213</v>
      </c>
    </row>
    <row r="279" customFormat="false" ht="15" hidden="false" customHeight="false" outlineLevel="0" collapsed="false">
      <c r="A279" s="181" t="s">
        <v>60</v>
      </c>
      <c r="B279" s="182" t="s">
        <v>43</v>
      </c>
      <c r="C279" s="181" t="s">
        <v>1289</v>
      </c>
      <c r="D279" s="181" t="s">
        <v>1290</v>
      </c>
      <c r="E279" s="181" t="s">
        <v>233</v>
      </c>
      <c r="F279" s="90" t="s">
        <v>234</v>
      </c>
      <c r="G279" s="181" t="s">
        <v>1277</v>
      </c>
      <c r="H279" s="183" t="n">
        <f aca="false">IFERROR(INDEX(Schedule!$E$2:$E$147,MATCH($G279,Schedule!$A$2:$A$147,0)),"")</f>
        <v>45017</v>
      </c>
      <c r="I279" s="183" t="n">
        <f aca="false">IFERROR(INDEX(Schedule!$F$2:$F$147,MATCH($G279,Schedule!$A$2:$A$147,0)),"")</f>
        <v>45138</v>
      </c>
      <c r="J279" s="92"/>
      <c r="K279" s="92"/>
      <c r="L279" s="92"/>
      <c r="M279" s="92"/>
      <c r="N279" s="92"/>
      <c r="O279" s="90" t="n">
        <v>1</v>
      </c>
      <c r="P279" s="184" t="n">
        <f aca="false">IFERROR((IF(OR(ISNUMBER(J279),UPPER(TRIM(J279))="N/A"),1,0)*IF($W279="N",0,INDEX('Rules of Credit'!$B$5:$F$8,MATCH($F279,'Rules of Credit'!$A$5:$A$8,0),1))+IF(OR(ISNUMBER(K279),UPPER(TRIM(K279))="N/A"),1,0)*INDEX('Rules of Credit'!$B$5:$F$8,MATCH($F279,'Rules of Credit'!$A$5:$A$8,0),2)+IF(OR(ISNUMBER(L279),UPPER(TRIM(L279))="N/A"),1,0)*INDEX('Rules of Credit'!$B$5:$F$8,MATCH($F279,'Rules of Credit'!$A$5:$A$8,0),3)+IF(OR(ISNUMBER(M279),UPPER(TRIM(M279))="N/A"),1,0)*IF($X279="N",0,INDEX('Rules of Credit'!$B$5:$F$8,MATCH($F279,'Rules of Credit'!$A$5:$A$8,0),4))+IF(OR(ISNUMBER(N279),UPPER(TRIM(N279))="N/A"),1,0)*INDEX('Rules of Credit'!$B$5:$F$8,MATCH($F279,'Rules of Credit'!$A$5:$A$8,0),5))/(IF($W279="N",0,INDEX('Rules of Credit'!$B$5:$F$8,MATCH($F279,'Rules of Credit'!$A$5:$A$8,0),1))+INDEX('Rules of Credit'!$B$5:$F$8,MATCH($F279,'Rules of Credit'!$A$5:$A$8,0),2)+INDEX('Rules of Credit'!$B$5:$F$8,MATCH($F279,'Rules of Credit'!$A$5:$A$8,0),3)+IF($X279="N",0,INDEX('Rules of Credit'!$B$5:$F$8,MATCH($F279,'Rules of Credit'!$A$5:$A$8,0),4))+INDEX('Rules of Credit'!$B$5:$F$8,MATCH($F279,'Rules of Credit'!$A$5:$A$8,0),5)),0)</f>
        <v>0</v>
      </c>
      <c r="Q279" s="184" t="n">
        <f aca="false">IF(OR($H279="",$I279=""),0,IF('Tracker Summary'!$C$3&lt;$H279,0,IF('Tracker Summary'!$C$3&gt;=$I279,1,('Tracker Summary'!$C$3-$H279)/($I279-$H279+1))))</f>
        <v>0</v>
      </c>
      <c r="R279" s="184" t="n">
        <f aca="false">P279-Q279</f>
        <v>0</v>
      </c>
      <c r="S279" s="181" t="str">
        <f aca="false">IF($I279="","Not scheduled",IF(P279&gt;=1,"Complete",IF('Tracker Summary'!$C$3&gt;$I279,"Overdue",IF(P279-Q279&lt;-0.1,"Behind",IF(AND(P279=0,'Tracker Summary'!$C$3&lt;$H279),"Not started","On track")))))</f>
        <v>Not started</v>
      </c>
      <c r="T279" s="90"/>
      <c r="U279" s="181" t="str">
        <f aca="false">IFERROR(INDEX(Schedule!$D$2:$D$147,MATCH($G279,Schedule!$A$2:$A$147,0)),"")</f>
        <v>Yard Piping &amp; Utilities — Blower Building</v>
      </c>
      <c r="V279" s="183" t="n">
        <f aca="false">IFERROR(INDEX(Schedule!$F$2:$F$147,MATCH("33-P01",Schedule!$A$2:$A$147,0)),"")</f>
        <v>45016</v>
      </c>
      <c r="W279" s="181" t="s">
        <v>91</v>
      </c>
      <c r="X279" s="181" t="s">
        <v>91</v>
      </c>
      <c r="Y279" s="181" t="n">
        <v>0</v>
      </c>
      <c r="Z279" s="181" t="n">
        <v>0</v>
      </c>
      <c r="AA279" s="181"/>
      <c r="AB279" s="181" t="s">
        <v>1291</v>
      </c>
      <c r="AC279" s="181" t="s">
        <v>92</v>
      </c>
      <c r="AD279" s="181" t="s">
        <v>93</v>
      </c>
      <c r="AE279" s="181" t="s">
        <v>1292</v>
      </c>
      <c r="AF279" s="181"/>
      <c r="AG279" s="181" t="s">
        <v>1292</v>
      </c>
      <c r="AH279" s="181" t="s">
        <v>213</v>
      </c>
    </row>
    <row r="280" customFormat="false" ht="15" hidden="false" customHeight="false" outlineLevel="0" collapsed="false">
      <c r="A280" s="181" t="s">
        <v>60</v>
      </c>
      <c r="B280" s="182" t="s">
        <v>43</v>
      </c>
      <c r="C280" s="181" t="s">
        <v>1293</v>
      </c>
      <c r="D280" s="181" t="s">
        <v>1294</v>
      </c>
      <c r="E280" s="181" t="s">
        <v>233</v>
      </c>
      <c r="F280" s="90" t="s">
        <v>234</v>
      </c>
      <c r="G280" s="181" t="s">
        <v>1277</v>
      </c>
      <c r="H280" s="183" t="n">
        <f aca="false">IFERROR(INDEX(Schedule!$E$2:$E$147,MATCH($G280,Schedule!$A$2:$A$147,0)),"")</f>
        <v>45017</v>
      </c>
      <c r="I280" s="183" t="n">
        <f aca="false">IFERROR(INDEX(Schedule!$F$2:$F$147,MATCH($G280,Schedule!$A$2:$A$147,0)),"")</f>
        <v>45138</v>
      </c>
      <c r="J280" s="92"/>
      <c r="K280" s="92"/>
      <c r="L280" s="92"/>
      <c r="M280" s="92"/>
      <c r="N280" s="92"/>
      <c r="O280" s="90" t="n">
        <v>1</v>
      </c>
      <c r="P280" s="184" t="n">
        <f aca="false">IFERROR((IF(OR(ISNUMBER(J280),UPPER(TRIM(J280))="N/A"),1,0)*IF($W280="N",0,INDEX('Rules of Credit'!$B$5:$F$8,MATCH($F280,'Rules of Credit'!$A$5:$A$8,0),1))+IF(OR(ISNUMBER(K280),UPPER(TRIM(K280))="N/A"),1,0)*INDEX('Rules of Credit'!$B$5:$F$8,MATCH($F280,'Rules of Credit'!$A$5:$A$8,0),2)+IF(OR(ISNUMBER(L280),UPPER(TRIM(L280))="N/A"),1,0)*INDEX('Rules of Credit'!$B$5:$F$8,MATCH($F280,'Rules of Credit'!$A$5:$A$8,0),3)+IF(OR(ISNUMBER(M280),UPPER(TRIM(M280))="N/A"),1,0)*IF($X280="N",0,INDEX('Rules of Credit'!$B$5:$F$8,MATCH($F280,'Rules of Credit'!$A$5:$A$8,0),4))+IF(OR(ISNUMBER(N280),UPPER(TRIM(N280))="N/A"),1,0)*INDEX('Rules of Credit'!$B$5:$F$8,MATCH($F280,'Rules of Credit'!$A$5:$A$8,0),5))/(IF($W280="N",0,INDEX('Rules of Credit'!$B$5:$F$8,MATCH($F280,'Rules of Credit'!$A$5:$A$8,0),1))+INDEX('Rules of Credit'!$B$5:$F$8,MATCH($F280,'Rules of Credit'!$A$5:$A$8,0),2)+INDEX('Rules of Credit'!$B$5:$F$8,MATCH($F280,'Rules of Credit'!$A$5:$A$8,0),3)+IF($X280="N",0,INDEX('Rules of Credit'!$B$5:$F$8,MATCH($F280,'Rules of Credit'!$A$5:$A$8,0),4))+INDEX('Rules of Credit'!$B$5:$F$8,MATCH($F280,'Rules of Credit'!$A$5:$A$8,0),5)),0)</f>
        <v>0</v>
      </c>
      <c r="Q280" s="184" t="n">
        <f aca="false">IF(OR($H280="",$I280=""),0,IF('Tracker Summary'!$C$3&lt;$H280,0,IF('Tracker Summary'!$C$3&gt;=$I280,1,('Tracker Summary'!$C$3-$H280)/($I280-$H280+1))))</f>
        <v>0</v>
      </c>
      <c r="R280" s="184" t="n">
        <f aca="false">P280-Q280</f>
        <v>0</v>
      </c>
      <c r="S280" s="181" t="str">
        <f aca="false">IF($I280="","Not scheduled",IF(P280&gt;=1,"Complete",IF('Tracker Summary'!$C$3&gt;$I280,"Overdue",IF(P280-Q280&lt;-0.1,"Behind",IF(AND(P280=0,'Tracker Summary'!$C$3&lt;$H280),"Not started","On track")))))</f>
        <v>Not started</v>
      </c>
      <c r="T280" s="90"/>
      <c r="U280" s="181" t="str">
        <f aca="false">IFERROR(INDEX(Schedule!$D$2:$D$147,MATCH($G280,Schedule!$A$2:$A$147,0)),"")</f>
        <v>Yard Piping &amp; Utilities — Blower Building</v>
      </c>
      <c r="V280" s="183" t="n">
        <f aca="false">IFERROR(INDEX(Schedule!$F$2:$F$147,MATCH("33-P01",Schedule!$A$2:$A$147,0)),"")</f>
        <v>45016</v>
      </c>
      <c r="W280" s="181" t="s">
        <v>91</v>
      </c>
      <c r="X280" s="181" t="s">
        <v>91</v>
      </c>
      <c r="Y280" s="181" t="n">
        <v>0</v>
      </c>
      <c r="Z280" s="181" t="n">
        <v>0</v>
      </c>
      <c r="AA280" s="181"/>
      <c r="AB280" s="181" t="s">
        <v>1295</v>
      </c>
      <c r="AC280" s="181" t="s">
        <v>92</v>
      </c>
      <c r="AD280" s="181" t="s">
        <v>93</v>
      </c>
      <c r="AE280" s="181" t="s">
        <v>1292</v>
      </c>
      <c r="AF280" s="181"/>
      <c r="AG280" s="181" t="s">
        <v>1292</v>
      </c>
      <c r="AH280" s="181" t="s">
        <v>213</v>
      </c>
    </row>
    <row r="281" customFormat="false" ht="15" hidden="false" customHeight="false" outlineLevel="0" collapsed="false">
      <c r="A281" s="181" t="s">
        <v>60</v>
      </c>
      <c r="B281" s="182" t="s">
        <v>43</v>
      </c>
      <c r="C281" s="181" t="s">
        <v>1296</v>
      </c>
      <c r="D281" s="181" t="s">
        <v>1297</v>
      </c>
      <c r="E281" s="181" t="s">
        <v>233</v>
      </c>
      <c r="F281" s="90" t="s">
        <v>234</v>
      </c>
      <c r="G281" s="181" t="s">
        <v>1277</v>
      </c>
      <c r="H281" s="183" t="n">
        <f aca="false">IFERROR(INDEX(Schedule!$E$2:$E$147,MATCH($G281,Schedule!$A$2:$A$147,0)),"")</f>
        <v>45017</v>
      </c>
      <c r="I281" s="183" t="n">
        <f aca="false">IFERROR(INDEX(Schedule!$F$2:$F$147,MATCH($G281,Schedule!$A$2:$A$147,0)),"")</f>
        <v>45138</v>
      </c>
      <c r="J281" s="92"/>
      <c r="K281" s="92"/>
      <c r="L281" s="92"/>
      <c r="M281" s="92"/>
      <c r="N281" s="92"/>
      <c r="O281" s="90" t="n">
        <v>1</v>
      </c>
      <c r="P281" s="184" t="n">
        <f aca="false">IFERROR((IF(OR(ISNUMBER(J281),UPPER(TRIM(J281))="N/A"),1,0)*IF($W281="N",0,INDEX('Rules of Credit'!$B$5:$F$8,MATCH($F281,'Rules of Credit'!$A$5:$A$8,0),1))+IF(OR(ISNUMBER(K281),UPPER(TRIM(K281))="N/A"),1,0)*INDEX('Rules of Credit'!$B$5:$F$8,MATCH($F281,'Rules of Credit'!$A$5:$A$8,0),2)+IF(OR(ISNUMBER(L281),UPPER(TRIM(L281))="N/A"),1,0)*INDEX('Rules of Credit'!$B$5:$F$8,MATCH($F281,'Rules of Credit'!$A$5:$A$8,0),3)+IF(OR(ISNUMBER(M281),UPPER(TRIM(M281))="N/A"),1,0)*IF($X281="N",0,INDEX('Rules of Credit'!$B$5:$F$8,MATCH($F281,'Rules of Credit'!$A$5:$A$8,0),4))+IF(OR(ISNUMBER(N281),UPPER(TRIM(N281))="N/A"),1,0)*INDEX('Rules of Credit'!$B$5:$F$8,MATCH($F281,'Rules of Credit'!$A$5:$A$8,0),5))/(IF($W281="N",0,INDEX('Rules of Credit'!$B$5:$F$8,MATCH($F281,'Rules of Credit'!$A$5:$A$8,0),1))+INDEX('Rules of Credit'!$B$5:$F$8,MATCH($F281,'Rules of Credit'!$A$5:$A$8,0),2)+INDEX('Rules of Credit'!$B$5:$F$8,MATCH($F281,'Rules of Credit'!$A$5:$A$8,0),3)+IF($X281="N",0,INDEX('Rules of Credit'!$B$5:$F$8,MATCH($F281,'Rules of Credit'!$A$5:$A$8,0),4))+INDEX('Rules of Credit'!$B$5:$F$8,MATCH($F281,'Rules of Credit'!$A$5:$A$8,0),5)),0)</f>
        <v>0</v>
      </c>
      <c r="Q281" s="184" t="n">
        <f aca="false">IF(OR($H281="",$I281=""),0,IF('Tracker Summary'!$C$3&lt;$H281,0,IF('Tracker Summary'!$C$3&gt;=$I281,1,('Tracker Summary'!$C$3-$H281)/($I281-$H281+1))))</f>
        <v>0</v>
      </c>
      <c r="R281" s="184" t="n">
        <f aca="false">P281-Q281</f>
        <v>0</v>
      </c>
      <c r="S281" s="181" t="str">
        <f aca="false">IF($I281="","Not scheduled",IF(P281&gt;=1,"Complete",IF('Tracker Summary'!$C$3&gt;$I281,"Overdue",IF(P281-Q281&lt;-0.1,"Behind",IF(AND(P281=0,'Tracker Summary'!$C$3&lt;$H281),"Not started","On track")))))</f>
        <v>Not started</v>
      </c>
      <c r="T281" s="90"/>
      <c r="U281" s="181" t="str">
        <f aca="false">IFERROR(INDEX(Schedule!$D$2:$D$147,MATCH($G281,Schedule!$A$2:$A$147,0)),"")</f>
        <v>Yard Piping &amp; Utilities — Blower Building</v>
      </c>
      <c r="V281" s="183" t="n">
        <f aca="false">IFERROR(INDEX(Schedule!$F$2:$F$147,MATCH("33-P01",Schedule!$A$2:$A$147,0)),"")</f>
        <v>45016</v>
      </c>
      <c r="W281" s="181" t="s">
        <v>99</v>
      </c>
      <c r="X281" s="181" t="s">
        <v>91</v>
      </c>
      <c r="Y281" s="181" t="n">
        <v>1</v>
      </c>
      <c r="Z281" s="181" t="n">
        <v>0</v>
      </c>
      <c r="AA281" s="181"/>
      <c r="AB281" s="181" t="s">
        <v>1298</v>
      </c>
      <c r="AC281" s="181" t="s">
        <v>92</v>
      </c>
      <c r="AD281" s="181" t="s">
        <v>236</v>
      </c>
      <c r="AE281" s="181" t="s">
        <v>1299</v>
      </c>
      <c r="AF281" s="181"/>
      <c r="AG281" s="181" t="s">
        <v>1299</v>
      </c>
      <c r="AH281" s="181" t="s">
        <v>240</v>
      </c>
    </row>
    <row r="282" customFormat="false" ht="15" hidden="false" customHeight="false" outlineLevel="0" collapsed="false">
      <c r="A282" s="181" t="s">
        <v>60</v>
      </c>
      <c r="B282" s="182" t="s">
        <v>43</v>
      </c>
      <c r="C282" s="181" t="s">
        <v>1300</v>
      </c>
      <c r="D282" s="181" t="s">
        <v>1301</v>
      </c>
      <c r="E282" s="181" t="s">
        <v>98</v>
      </c>
      <c r="F282" s="90" t="s">
        <v>89</v>
      </c>
      <c r="G282" s="181" t="s">
        <v>1302</v>
      </c>
      <c r="H282" s="183" t="n">
        <f aca="false">IFERROR(INDEX(Schedule!$E$2:$E$147,MATCH($G282,Schedule!$A$2:$A$147,0)),"")</f>
        <v>45017</v>
      </c>
      <c r="I282" s="183" t="n">
        <f aca="false">IFERROR(INDEX(Schedule!$F$2:$F$147,MATCH($G282,Schedule!$A$2:$A$147,0)),"")</f>
        <v>45210</v>
      </c>
      <c r="J282" s="92"/>
      <c r="K282" s="92"/>
      <c r="L282" s="92"/>
      <c r="M282" s="92"/>
      <c r="N282" s="92"/>
      <c r="O282" s="90" t="n">
        <v>1</v>
      </c>
      <c r="P282" s="184" t="n">
        <f aca="false">IFERROR((IF(OR(ISNUMBER(J282),UPPER(TRIM(J282))="N/A"),1,0)*IF($W282="N",0,INDEX('Rules of Credit'!$B$5:$F$8,MATCH($F282,'Rules of Credit'!$A$5:$A$8,0),1))+IF(OR(ISNUMBER(K282),UPPER(TRIM(K282))="N/A"),1,0)*INDEX('Rules of Credit'!$B$5:$F$8,MATCH($F282,'Rules of Credit'!$A$5:$A$8,0),2)+IF(OR(ISNUMBER(L282),UPPER(TRIM(L282))="N/A"),1,0)*INDEX('Rules of Credit'!$B$5:$F$8,MATCH($F282,'Rules of Credit'!$A$5:$A$8,0),3)+IF(OR(ISNUMBER(M282),UPPER(TRIM(M282))="N/A"),1,0)*IF($X282="N",0,INDEX('Rules of Credit'!$B$5:$F$8,MATCH($F282,'Rules of Credit'!$A$5:$A$8,0),4))+IF(OR(ISNUMBER(N282),UPPER(TRIM(N282))="N/A"),1,0)*INDEX('Rules of Credit'!$B$5:$F$8,MATCH($F282,'Rules of Credit'!$A$5:$A$8,0),5))/(IF($W282="N",0,INDEX('Rules of Credit'!$B$5:$F$8,MATCH($F282,'Rules of Credit'!$A$5:$A$8,0),1))+INDEX('Rules of Credit'!$B$5:$F$8,MATCH($F282,'Rules of Credit'!$A$5:$A$8,0),2)+INDEX('Rules of Credit'!$B$5:$F$8,MATCH($F282,'Rules of Credit'!$A$5:$A$8,0),3)+IF($X282="N",0,INDEX('Rules of Credit'!$B$5:$F$8,MATCH($F282,'Rules of Credit'!$A$5:$A$8,0),4))+INDEX('Rules of Credit'!$B$5:$F$8,MATCH($F282,'Rules of Credit'!$A$5:$A$8,0),5)),0)</f>
        <v>0</v>
      </c>
      <c r="Q282" s="184" t="n">
        <f aca="false">IF(OR($H282="",$I282=""),0,IF('Tracker Summary'!$C$3&lt;$H282,0,IF('Tracker Summary'!$C$3&gt;=$I282,1,('Tracker Summary'!$C$3-$H282)/($I282-$H282+1))))</f>
        <v>0</v>
      </c>
      <c r="R282" s="184" t="n">
        <f aca="false">P282-Q282</f>
        <v>0</v>
      </c>
      <c r="S282" s="181" t="str">
        <f aca="false">IF($I282="","Not scheduled",IF(P282&gt;=1,"Complete",IF('Tracker Summary'!$C$3&gt;$I282,"Overdue",IF(P282-Q282&lt;-0.1,"Behind",IF(AND(P282=0,'Tracker Summary'!$C$3&lt;$H282),"Not started","On track")))))</f>
        <v>Not started</v>
      </c>
      <c r="T282" s="90"/>
      <c r="U282" s="181" t="str">
        <f aca="false">IFERROR(INDEX(Schedule!$D$2:$D$147,MATCH($G282,Schedule!$A$2:$A$147,0)),"")</f>
        <v>Yard Piping &amp; Utilities — Temporary bypass and interim effluent piping</v>
      </c>
      <c r="V282" s="183" t="n">
        <f aca="false">IFERROR(INDEX(Schedule!$F$2:$F$147,MATCH("33-P01",Schedule!$A$2:$A$147,0)),"")</f>
        <v>45016</v>
      </c>
      <c r="W282" s="181" t="s">
        <v>99</v>
      </c>
      <c r="X282" s="181" t="s">
        <v>99</v>
      </c>
      <c r="Y282" s="181" t="n">
        <v>3</v>
      </c>
      <c r="Z282" s="181" t="n">
        <v>8</v>
      </c>
      <c r="AA282" s="181" t="s">
        <v>1303</v>
      </c>
      <c r="AB282" s="181" t="s">
        <v>1304</v>
      </c>
      <c r="AC282" s="181" t="s">
        <v>120</v>
      </c>
      <c r="AD282" s="181" t="s">
        <v>93</v>
      </c>
      <c r="AE282" s="181" t="s">
        <v>1305</v>
      </c>
      <c r="AF282" s="181" t="s">
        <v>1306</v>
      </c>
      <c r="AG282" s="181" t="s">
        <v>1307</v>
      </c>
      <c r="AH282" s="181" t="s">
        <v>95</v>
      </c>
    </row>
    <row r="283" customFormat="false" ht="15" hidden="false" customHeight="false" outlineLevel="0" collapsed="false">
      <c r="A283" s="181" t="s">
        <v>60</v>
      </c>
      <c r="B283" s="182" t="s">
        <v>43</v>
      </c>
      <c r="C283" s="181" t="s">
        <v>1308</v>
      </c>
      <c r="D283" s="181" t="s">
        <v>1309</v>
      </c>
      <c r="E283" s="181" t="s">
        <v>98</v>
      </c>
      <c r="F283" s="90" t="s">
        <v>89</v>
      </c>
      <c r="G283" s="181" t="s">
        <v>1302</v>
      </c>
      <c r="H283" s="183" t="n">
        <f aca="false">IFERROR(INDEX(Schedule!$E$2:$E$147,MATCH($G283,Schedule!$A$2:$A$147,0)),"")</f>
        <v>45017</v>
      </c>
      <c r="I283" s="183" t="n">
        <f aca="false">IFERROR(INDEX(Schedule!$F$2:$F$147,MATCH($G283,Schedule!$A$2:$A$147,0)),"")</f>
        <v>45210</v>
      </c>
      <c r="J283" s="92"/>
      <c r="K283" s="92"/>
      <c r="L283" s="92"/>
      <c r="M283" s="92"/>
      <c r="N283" s="92"/>
      <c r="O283" s="90" t="n">
        <v>1</v>
      </c>
      <c r="P283" s="184" t="n">
        <f aca="false">IFERROR((IF(OR(ISNUMBER(J283),UPPER(TRIM(J283))="N/A"),1,0)*IF($W283="N",0,INDEX('Rules of Credit'!$B$5:$F$8,MATCH($F283,'Rules of Credit'!$A$5:$A$8,0),1))+IF(OR(ISNUMBER(K283),UPPER(TRIM(K283))="N/A"),1,0)*INDEX('Rules of Credit'!$B$5:$F$8,MATCH($F283,'Rules of Credit'!$A$5:$A$8,0),2)+IF(OR(ISNUMBER(L283),UPPER(TRIM(L283))="N/A"),1,0)*INDEX('Rules of Credit'!$B$5:$F$8,MATCH($F283,'Rules of Credit'!$A$5:$A$8,0),3)+IF(OR(ISNUMBER(M283),UPPER(TRIM(M283))="N/A"),1,0)*IF($X283="N",0,INDEX('Rules of Credit'!$B$5:$F$8,MATCH($F283,'Rules of Credit'!$A$5:$A$8,0),4))+IF(OR(ISNUMBER(N283),UPPER(TRIM(N283))="N/A"),1,0)*INDEX('Rules of Credit'!$B$5:$F$8,MATCH($F283,'Rules of Credit'!$A$5:$A$8,0),5))/(IF($W283="N",0,INDEX('Rules of Credit'!$B$5:$F$8,MATCH($F283,'Rules of Credit'!$A$5:$A$8,0),1))+INDEX('Rules of Credit'!$B$5:$F$8,MATCH($F283,'Rules of Credit'!$A$5:$A$8,0),2)+INDEX('Rules of Credit'!$B$5:$F$8,MATCH($F283,'Rules of Credit'!$A$5:$A$8,0),3)+IF($X283="N",0,INDEX('Rules of Credit'!$B$5:$F$8,MATCH($F283,'Rules of Credit'!$A$5:$A$8,0),4))+INDEX('Rules of Credit'!$B$5:$F$8,MATCH($F283,'Rules of Credit'!$A$5:$A$8,0),5)),0)</f>
        <v>0</v>
      </c>
      <c r="Q283" s="184" t="n">
        <f aca="false">IF(OR($H283="",$I283=""),0,IF('Tracker Summary'!$C$3&lt;$H283,0,IF('Tracker Summary'!$C$3&gt;=$I283,1,('Tracker Summary'!$C$3-$H283)/($I283-$H283+1))))</f>
        <v>0</v>
      </c>
      <c r="R283" s="184" t="n">
        <f aca="false">P283-Q283</f>
        <v>0</v>
      </c>
      <c r="S283" s="181" t="str">
        <f aca="false">IF($I283="","Not scheduled",IF(P283&gt;=1,"Complete",IF('Tracker Summary'!$C$3&gt;$I283,"Overdue",IF(P283-Q283&lt;-0.1,"Behind",IF(AND(P283=0,'Tracker Summary'!$C$3&lt;$H283),"Not started","On track")))))</f>
        <v>Not started</v>
      </c>
      <c r="T283" s="90"/>
      <c r="U283" s="181" t="str">
        <f aca="false">IFERROR(INDEX(Schedule!$D$2:$D$147,MATCH($G283,Schedule!$A$2:$A$147,0)),"")</f>
        <v>Yard Piping &amp; Utilities — Temporary bypass and interim effluent piping</v>
      </c>
      <c r="V283" s="183" t="n">
        <f aca="false">IFERROR(INDEX(Schedule!$F$2:$F$147,MATCH("33-P01",Schedule!$A$2:$A$147,0)),"")</f>
        <v>45016</v>
      </c>
      <c r="W283" s="181" t="s">
        <v>91</v>
      </c>
      <c r="X283" s="181" t="s">
        <v>91</v>
      </c>
      <c r="Y283" s="181" t="n">
        <v>0</v>
      </c>
      <c r="Z283" s="181" t="n">
        <v>0</v>
      </c>
      <c r="AA283" s="181" t="s">
        <v>1310</v>
      </c>
      <c r="AB283" s="181" t="s">
        <v>1311</v>
      </c>
      <c r="AC283" s="181" t="s">
        <v>92</v>
      </c>
      <c r="AD283" s="181" t="s">
        <v>93</v>
      </c>
      <c r="AE283" s="181"/>
      <c r="AF283" s="181" t="s">
        <v>139</v>
      </c>
      <c r="AG283" s="181" t="s">
        <v>139</v>
      </c>
      <c r="AH283" s="181" t="s">
        <v>109</v>
      </c>
    </row>
    <row r="284" customFormat="false" ht="15" hidden="false" customHeight="false" outlineLevel="0" collapsed="false">
      <c r="A284" s="181" t="s">
        <v>60</v>
      </c>
      <c r="B284" s="182" t="s">
        <v>43</v>
      </c>
      <c r="C284" s="181" t="s">
        <v>1312</v>
      </c>
      <c r="D284" s="181" t="s">
        <v>1313</v>
      </c>
      <c r="E284" s="181" t="s">
        <v>256</v>
      </c>
      <c r="F284" s="90" t="s">
        <v>234</v>
      </c>
      <c r="G284" s="181" t="s">
        <v>1314</v>
      </c>
      <c r="H284" s="183" t="n">
        <f aca="false">IFERROR(INDEX(Schedule!$E$2:$E$147,MATCH($G284,Schedule!$A$2:$A$147,0)),"")</f>
        <v>45017</v>
      </c>
      <c r="I284" s="183" t="n">
        <f aca="false">IFERROR(INDEX(Schedule!$F$2:$F$147,MATCH($G284,Schedule!$A$2:$A$147,0)),"")</f>
        <v>45231</v>
      </c>
      <c r="J284" s="92"/>
      <c r="K284" s="92"/>
      <c r="L284" s="92"/>
      <c r="M284" s="92"/>
      <c r="N284" s="92"/>
      <c r="O284" s="90" t="n">
        <v>1</v>
      </c>
      <c r="P284" s="184" t="n">
        <f aca="false">IFERROR((IF(OR(ISNUMBER(J284),UPPER(TRIM(J284))="N/A"),1,0)*IF($W284="N",0,INDEX('Rules of Credit'!$B$5:$F$8,MATCH($F284,'Rules of Credit'!$A$5:$A$8,0),1))+IF(OR(ISNUMBER(K284),UPPER(TRIM(K284))="N/A"),1,0)*INDEX('Rules of Credit'!$B$5:$F$8,MATCH($F284,'Rules of Credit'!$A$5:$A$8,0),2)+IF(OR(ISNUMBER(L284),UPPER(TRIM(L284))="N/A"),1,0)*INDEX('Rules of Credit'!$B$5:$F$8,MATCH($F284,'Rules of Credit'!$A$5:$A$8,0),3)+IF(OR(ISNUMBER(M284),UPPER(TRIM(M284))="N/A"),1,0)*IF($X284="N",0,INDEX('Rules of Credit'!$B$5:$F$8,MATCH($F284,'Rules of Credit'!$A$5:$A$8,0),4))+IF(OR(ISNUMBER(N284),UPPER(TRIM(N284))="N/A"),1,0)*INDEX('Rules of Credit'!$B$5:$F$8,MATCH($F284,'Rules of Credit'!$A$5:$A$8,0),5))/(IF($W284="N",0,INDEX('Rules of Credit'!$B$5:$F$8,MATCH($F284,'Rules of Credit'!$A$5:$A$8,0),1))+INDEX('Rules of Credit'!$B$5:$F$8,MATCH($F284,'Rules of Credit'!$A$5:$A$8,0),2)+INDEX('Rules of Credit'!$B$5:$F$8,MATCH($F284,'Rules of Credit'!$A$5:$A$8,0),3)+IF($X284="N",0,INDEX('Rules of Credit'!$B$5:$F$8,MATCH($F284,'Rules of Credit'!$A$5:$A$8,0),4))+INDEX('Rules of Credit'!$B$5:$F$8,MATCH($F284,'Rules of Credit'!$A$5:$A$8,0),5)),0)</f>
        <v>0</v>
      </c>
      <c r="Q284" s="184" t="n">
        <f aca="false">IF(OR($H284="",$I284=""),0,IF('Tracker Summary'!$C$3&lt;$H284,0,IF('Tracker Summary'!$C$3&gt;=$I284,1,('Tracker Summary'!$C$3-$H284)/($I284-$H284+1))))</f>
        <v>0</v>
      </c>
      <c r="R284" s="184" t="n">
        <f aca="false">P284-Q284</f>
        <v>0</v>
      </c>
      <c r="S284" s="181" t="str">
        <f aca="false">IF($I284="","Not scheduled",IF(P284&gt;=1,"Complete",IF('Tracker Summary'!$C$3&gt;$I284,"Overdue",IF(P284-Q284&lt;-0.1,"Behind",IF(AND(P284=0,'Tracker Summary'!$C$3&lt;$H284),"Not started","On track")))))</f>
        <v>Not started</v>
      </c>
      <c r="T284" s="90"/>
      <c r="U284" s="181" t="str">
        <f aca="false">IFERROR(INDEX(Schedule!$D$2:$D$147,MATCH($G284,Schedule!$A$2:$A$147,0)),"")</f>
        <v>Yard Piping &amp; Utilities — UV chamber and digester</v>
      </c>
      <c r="V284" s="183" t="n">
        <f aca="false">IFERROR(INDEX(Schedule!$F$2:$F$147,MATCH("33-P01",Schedule!$A$2:$A$147,0)),"")</f>
        <v>45016</v>
      </c>
      <c r="W284" s="181" t="s">
        <v>91</v>
      </c>
      <c r="X284" s="181" t="s">
        <v>91</v>
      </c>
      <c r="Y284" s="181" t="n">
        <v>0</v>
      </c>
      <c r="Z284" s="181" t="n">
        <v>0</v>
      </c>
      <c r="AA284" s="181"/>
      <c r="AB284" s="181" t="s">
        <v>1315</v>
      </c>
      <c r="AC284" s="181" t="s">
        <v>92</v>
      </c>
      <c r="AD284" s="181" t="s">
        <v>93</v>
      </c>
      <c r="AE284" s="181" t="s">
        <v>1316</v>
      </c>
      <c r="AF284" s="181"/>
      <c r="AG284" s="181" t="s">
        <v>1316</v>
      </c>
      <c r="AH284" s="181" t="s">
        <v>213</v>
      </c>
    </row>
    <row r="285" customFormat="false" ht="15" hidden="false" customHeight="false" outlineLevel="0" collapsed="false">
      <c r="A285" s="181" t="s">
        <v>60</v>
      </c>
      <c r="B285" s="182" t="s">
        <v>43</v>
      </c>
      <c r="C285" s="181" t="s">
        <v>1317</v>
      </c>
      <c r="D285" s="181" t="s">
        <v>1318</v>
      </c>
      <c r="E285" s="181" t="s">
        <v>256</v>
      </c>
      <c r="F285" s="90" t="s">
        <v>234</v>
      </c>
      <c r="G285" s="181" t="s">
        <v>1314</v>
      </c>
      <c r="H285" s="183" t="n">
        <f aca="false">IFERROR(INDEX(Schedule!$E$2:$E$147,MATCH($G285,Schedule!$A$2:$A$147,0)),"")</f>
        <v>45017</v>
      </c>
      <c r="I285" s="183" t="n">
        <f aca="false">IFERROR(INDEX(Schedule!$F$2:$F$147,MATCH($G285,Schedule!$A$2:$A$147,0)),"")</f>
        <v>45231</v>
      </c>
      <c r="J285" s="92"/>
      <c r="K285" s="92"/>
      <c r="L285" s="92"/>
      <c r="M285" s="92"/>
      <c r="N285" s="92"/>
      <c r="O285" s="90" t="n">
        <v>1</v>
      </c>
      <c r="P285" s="184" t="n">
        <f aca="false">IFERROR((IF(OR(ISNUMBER(J285),UPPER(TRIM(J285))="N/A"),1,0)*IF($W285="N",0,INDEX('Rules of Credit'!$B$5:$F$8,MATCH($F285,'Rules of Credit'!$A$5:$A$8,0),1))+IF(OR(ISNUMBER(K285),UPPER(TRIM(K285))="N/A"),1,0)*INDEX('Rules of Credit'!$B$5:$F$8,MATCH($F285,'Rules of Credit'!$A$5:$A$8,0),2)+IF(OR(ISNUMBER(L285),UPPER(TRIM(L285))="N/A"),1,0)*INDEX('Rules of Credit'!$B$5:$F$8,MATCH($F285,'Rules of Credit'!$A$5:$A$8,0),3)+IF(OR(ISNUMBER(M285),UPPER(TRIM(M285))="N/A"),1,0)*IF($X285="N",0,INDEX('Rules of Credit'!$B$5:$F$8,MATCH($F285,'Rules of Credit'!$A$5:$A$8,0),4))+IF(OR(ISNUMBER(N285),UPPER(TRIM(N285))="N/A"),1,0)*INDEX('Rules of Credit'!$B$5:$F$8,MATCH($F285,'Rules of Credit'!$A$5:$A$8,0),5))/(IF($W285="N",0,INDEX('Rules of Credit'!$B$5:$F$8,MATCH($F285,'Rules of Credit'!$A$5:$A$8,0),1))+INDEX('Rules of Credit'!$B$5:$F$8,MATCH($F285,'Rules of Credit'!$A$5:$A$8,0),2)+INDEX('Rules of Credit'!$B$5:$F$8,MATCH($F285,'Rules of Credit'!$A$5:$A$8,0),3)+IF($X285="N",0,INDEX('Rules of Credit'!$B$5:$F$8,MATCH($F285,'Rules of Credit'!$A$5:$A$8,0),4))+INDEX('Rules of Credit'!$B$5:$F$8,MATCH($F285,'Rules of Credit'!$A$5:$A$8,0),5)),0)</f>
        <v>0</v>
      </c>
      <c r="Q285" s="184" t="n">
        <f aca="false">IF(OR($H285="",$I285=""),0,IF('Tracker Summary'!$C$3&lt;$H285,0,IF('Tracker Summary'!$C$3&gt;=$I285,1,('Tracker Summary'!$C$3-$H285)/($I285-$H285+1))))</f>
        <v>0</v>
      </c>
      <c r="R285" s="184" t="n">
        <f aca="false">P285-Q285</f>
        <v>0</v>
      </c>
      <c r="S285" s="181" t="str">
        <f aca="false">IF($I285="","Not scheduled",IF(P285&gt;=1,"Complete",IF('Tracker Summary'!$C$3&gt;$I285,"Overdue",IF(P285-Q285&lt;-0.1,"Behind",IF(AND(P285=0,'Tracker Summary'!$C$3&lt;$H285),"Not started","On track")))))</f>
        <v>Not started</v>
      </c>
      <c r="T285" s="90"/>
      <c r="U285" s="181" t="str">
        <f aca="false">IFERROR(INDEX(Schedule!$D$2:$D$147,MATCH($G285,Schedule!$A$2:$A$147,0)),"")</f>
        <v>Yard Piping &amp; Utilities — UV chamber and digester</v>
      </c>
      <c r="V285" s="183" t="n">
        <f aca="false">IFERROR(INDEX(Schedule!$F$2:$F$147,MATCH("33-P01",Schedule!$A$2:$A$147,0)),"")</f>
        <v>45016</v>
      </c>
      <c r="W285" s="181" t="s">
        <v>91</v>
      </c>
      <c r="X285" s="181" t="s">
        <v>91</v>
      </c>
      <c r="Y285" s="181" t="n">
        <v>0</v>
      </c>
      <c r="Z285" s="181" t="n">
        <v>0</v>
      </c>
      <c r="AA285" s="181" t="s">
        <v>1319</v>
      </c>
      <c r="AB285" s="181" t="s">
        <v>1320</v>
      </c>
      <c r="AC285" s="181" t="s">
        <v>92</v>
      </c>
      <c r="AD285" s="181" t="s">
        <v>93</v>
      </c>
      <c r="AE285" s="181" t="s">
        <v>1316</v>
      </c>
      <c r="AF285" s="181"/>
      <c r="AG285" s="181" t="s">
        <v>1316</v>
      </c>
      <c r="AH285" s="181" t="s">
        <v>213</v>
      </c>
    </row>
    <row r="286" customFormat="false" ht="15" hidden="false" customHeight="false" outlineLevel="0" collapsed="false">
      <c r="A286" s="181" t="s">
        <v>60</v>
      </c>
      <c r="B286" s="182" t="s">
        <v>43</v>
      </c>
      <c r="C286" s="181" t="s">
        <v>1321</v>
      </c>
      <c r="D286" s="181" t="s">
        <v>1322</v>
      </c>
      <c r="E286" s="181" t="s">
        <v>256</v>
      </c>
      <c r="F286" s="90" t="s">
        <v>234</v>
      </c>
      <c r="G286" s="181" t="s">
        <v>1314</v>
      </c>
      <c r="H286" s="183" t="n">
        <f aca="false">IFERROR(INDEX(Schedule!$E$2:$E$147,MATCH($G286,Schedule!$A$2:$A$147,0)),"")</f>
        <v>45017</v>
      </c>
      <c r="I286" s="183" t="n">
        <f aca="false">IFERROR(INDEX(Schedule!$F$2:$F$147,MATCH($G286,Schedule!$A$2:$A$147,0)),"")</f>
        <v>45231</v>
      </c>
      <c r="J286" s="92"/>
      <c r="K286" s="92"/>
      <c r="L286" s="92"/>
      <c r="M286" s="92"/>
      <c r="N286" s="92"/>
      <c r="O286" s="90" t="n">
        <v>1</v>
      </c>
      <c r="P286" s="184" t="n">
        <f aca="false">IFERROR((IF(OR(ISNUMBER(J286),UPPER(TRIM(J286))="N/A"),1,0)*IF($W286="N",0,INDEX('Rules of Credit'!$B$5:$F$8,MATCH($F286,'Rules of Credit'!$A$5:$A$8,0),1))+IF(OR(ISNUMBER(K286),UPPER(TRIM(K286))="N/A"),1,0)*INDEX('Rules of Credit'!$B$5:$F$8,MATCH($F286,'Rules of Credit'!$A$5:$A$8,0),2)+IF(OR(ISNUMBER(L286),UPPER(TRIM(L286))="N/A"),1,0)*INDEX('Rules of Credit'!$B$5:$F$8,MATCH($F286,'Rules of Credit'!$A$5:$A$8,0),3)+IF(OR(ISNUMBER(M286),UPPER(TRIM(M286))="N/A"),1,0)*IF($X286="N",0,INDEX('Rules of Credit'!$B$5:$F$8,MATCH($F286,'Rules of Credit'!$A$5:$A$8,0),4))+IF(OR(ISNUMBER(N286),UPPER(TRIM(N286))="N/A"),1,0)*INDEX('Rules of Credit'!$B$5:$F$8,MATCH($F286,'Rules of Credit'!$A$5:$A$8,0),5))/(IF($W286="N",0,INDEX('Rules of Credit'!$B$5:$F$8,MATCH($F286,'Rules of Credit'!$A$5:$A$8,0),1))+INDEX('Rules of Credit'!$B$5:$F$8,MATCH($F286,'Rules of Credit'!$A$5:$A$8,0),2)+INDEX('Rules of Credit'!$B$5:$F$8,MATCH($F286,'Rules of Credit'!$A$5:$A$8,0),3)+IF($X286="N",0,INDEX('Rules of Credit'!$B$5:$F$8,MATCH($F286,'Rules of Credit'!$A$5:$A$8,0),4))+INDEX('Rules of Credit'!$B$5:$F$8,MATCH($F286,'Rules of Credit'!$A$5:$A$8,0),5)),0)</f>
        <v>0</v>
      </c>
      <c r="Q286" s="184" t="n">
        <f aca="false">IF(OR($H286="",$I286=""),0,IF('Tracker Summary'!$C$3&lt;$H286,0,IF('Tracker Summary'!$C$3&gt;=$I286,1,('Tracker Summary'!$C$3-$H286)/($I286-$H286+1))))</f>
        <v>0</v>
      </c>
      <c r="R286" s="184" t="n">
        <f aca="false">P286-Q286</f>
        <v>0</v>
      </c>
      <c r="S286" s="181" t="str">
        <f aca="false">IF($I286="","Not scheduled",IF(P286&gt;=1,"Complete",IF('Tracker Summary'!$C$3&gt;$I286,"Overdue",IF(P286-Q286&lt;-0.1,"Behind",IF(AND(P286=0,'Tracker Summary'!$C$3&lt;$H286),"Not started","On track")))))</f>
        <v>Not started</v>
      </c>
      <c r="T286" s="90"/>
      <c r="U286" s="181" t="str">
        <f aca="false">IFERROR(INDEX(Schedule!$D$2:$D$147,MATCH($G286,Schedule!$A$2:$A$147,0)),"")</f>
        <v>Yard Piping &amp; Utilities — UV chamber and digester</v>
      </c>
      <c r="V286" s="183" t="n">
        <f aca="false">IFERROR(INDEX(Schedule!$F$2:$F$147,MATCH("33-P01",Schedule!$A$2:$A$147,0)),"")</f>
        <v>45016</v>
      </c>
      <c r="W286" s="181" t="s">
        <v>91</v>
      </c>
      <c r="X286" s="181" t="s">
        <v>91</v>
      </c>
      <c r="Y286" s="181" t="n">
        <v>0</v>
      </c>
      <c r="Z286" s="181" t="n">
        <v>0</v>
      </c>
      <c r="AA286" s="181" t="s">
        <v>1323</v>
      </c>
      <c r="AB286" s="181" t="s">
        <v>1324</v>
      </c>
      <c r="AC286" s="181" t="s">
        <v>92</v>
      </c>
      <c r="AD286" s="181" t="s">
        <v>93</v>
      </c>
      <c r="AE286" s="181" t="s">
        <v>1325</v>
      </c>
      <c r="AF286" s="181"/>
      <c r="AG286" s="181" t="s">
        <v>1325</v>
      </c>
      <c r="AH286" s="181" t="s">
        <v>213</v>
      </c>
    </row>
    <row r="287" customFormat="false" ht="15" hidden="false" customHeight="false" outlineLevel="0" collapsed="false">
      <c r="A287" s="181" t="s">
        <v>60</v>
      </c>
      <c r="B287" s="182" t="s">
        <v>43</v>
      </c>
      <c r="C287" s="181" t="s">
        <v>1326</v>
      </c>
      <c r="D287" s="181" t="s">
        <v>1327</v>
      </c>
      <c r="E287" s="181" t="s">
        <v>256</v>
      </c>
      <c r="F287" s="90" t="s">
        <v>234</v>
      </c>
      <c r="G287" s="181" t="s">
        <v>1314</v>
      </c>
      <c r="H287" s="183" t="n">
        <f aca="false">IFERROR(INDEX(Schedule!$E$2:$E$147,MATCH($G287,Schedule!$A$2:$A$147,0)),"")</f>
        <v>45017</v>
      </c>
      <c r="I287" s="183" t="n">
        <f aca="false">IFERROR(INDEX(Schedule!$F$2:$F$147,MATCH($G287,Schedule!$A$2:$A$147,0)),"")</f>
        <v>45231</v>
      </c>
      <c r="J287" s="92"/>
      <c r="K287" s="92"/>
      <c r="L287" s="92"/>
      <c r="M287" s="92"/>
      <c r="N287" s="92"/>
      <c r="O287" s="90" t="n">
        <v>1</v>
      </c>
      <c r="P287" s="184" t="n">
        <f aca="false">IFERROR((IF(OR(ISNUMBER(J287),UPPER(TRIM(J287))="N/A"),1,0)*IF($W287="N",0,INDEX('Rules of Credit'!$B$5:$F$8,MATCH($F287,'Rules of Credit'!$A$5:$A$8,0),1))+IF(OR(ISNUMBER(K287),UPPER(TRIM(K287))="N/A"),1,0)*INDEX('Rules of Credit'!$B$5:$F$8,MATCH($F287,'Rules of Credit'!$A$5:$A$8,0),2)+IF(OR(ISNUMBER(L287),UPPER(TRIM(L287))="N/A"),1,0)*INDEX('Rules of Credit'!$B$5:$F$8,MATCH($F287,'Rules of Credit'!$A$5:$A$8,0),3)+IF(OR(ISNUMBER(M287),UPPER(TRIM(M287))="N/A"),1,0)*IF($X287="N",0,INDEX('Rules of Credit'!$B$5:$F$8,MATCH($F287,'Rules of Credit'!$A$5:$A$8,0),4))+IF(OR(ISNUMBER(N287),UPPER(TRIM(N287))="N/A"),1,0)*INDEX('Rules of Credit'!$B$5:$F$8,MATCH($F287,'Rules of Credit'!$A$5:$A$8,0),5))/(IF($W287="N",0,INDEX('Rules of Credit'!$B$5:$F$8,MATCH($F287,'Rules of Credit'!$A$5:$A$8,0),1))+INDEX('Rules of Credit'!$B$5:$F$8,MATCH($F287,'Rules of Credit'!$A$5:$A$8,0),2)+INDEX('Rules of Credit'!$B$5:$F$8,MATCH($F287,'Rules of Credit'!$A$5:$A$8,0),3)+IF($X287="N",0,INDEX('Rules of Credit'!$B$5:$F$8,MATCH($F287,'Rules of Credit'!$A$5:$A$8,0),4))+INDEX('Rules of Credit'!$B$5:$F$8,MATCH($F287,'Rules of Credit'!$A$5:$A$8,0),5)),0)</f>
        <v>0</v>
      </c>
      <c r="Q287" s="184" t="n">
        <f aca="false">IF(OR($H287="",$I287=""),0,IF('Tracker Summary'!$C$3&lt;$H287,0,IF('Tracker Summary'!$C$3&gt;=$I287,1,('Tracker Summary'!$C$3-$H287)/($I287-$H287+1))))</f>
        <v>0</v>
      </c>
      <c r="R287" s="184" t="n">
        <f aca="false">P287-Q287</f>
        <v>0</v>
      </c>
      <c r="S287" s="181" t="str">
        <f aca="false">IF($I287="","Not scheduled",IF(P287&gt;=1,"Complete",IF('Tracker Summary'!$C$3&gt;$I287,"Overdue",IF(P287-Q287&lt;-0.1,"Behind",IF(AND(P287=0,'Tracker Summary'!$C$3&lt;$H287),"Not started","On track")))))</f>
        <v>Not started</v>
      </c>
      <c r="T287" s="90"/>
      <c r="U287" s="181" t="str">
        <f aca="false">IFERROR(INDEX(Schedule!$D$2:$D$147,MATCH($G287,Schedule!$A$2:$A$147,0)),"")</f>
        <v>Yard Piping &amp; Utilities — UV chamber and digester</v>
      </c>
      <c r="V287" s="183" t="n">
        <f aca="false">IFERROR(INDEX(Schedule!$F$2:$F$147,MATCH("33-P01",Schedule!$A$2:$A$147,0)),"")</f>
        <v>45016</v>
      </c>
      <c r="W287" s="181" t="s">
        <v>91</v>
      </c>
      <c r="X287" s="181" t="s">
        <v>91</v>
      </c>
      <c r="Y287" s="181" t="n">
        <v>0</v>
      </c>
      <c r="Z287" s="181" t="n">
        <v>0</v>
      </c>
      <c r="AA287" s="181" t="s">
        <v>1328</v>
      </c>
      <c r="AB287" s="181" t="s">
        <v>1329</v>
      </c>
      <c r="AC287" s="181" t="s">
        <v>120</v>
      </c>
      <c r="AD287" s="181" t="s">
        <v>93</v>
      </c>
      <c r="AE287" s="181" t="s">
        <v>1330</v>
      </c>
      <c r="AF287" s="181"/>
      <c r="AG287" s="181" t="s">
        <v>1330</v>
      </c>
      <c r="AH287" s="181" t="s">
        <v>213</v>
      </c>
    </row>
    <row r="288" customFormat="false" ht="15" hidden="false" customHeight="false" outlineLevel="0" collapsed="false">
      <c r="A288" s="181" t="s">
        <v>60</v>
      </c>
      <c r="B288" s="182" t="s">
        <v>43</v>
      </c>
      <c r="C288" s="181" t="s">
        <v>1331</v>
      </c>
      <c r="D288" s="181" t="s">
        <v>1332</v>
      </c>
      <c r="E288" s="181" t="s">
        <v>256</v>
      </c>
      <c r="F288" s="90" t="s">
        <v>234</v>
      </c>
      <c r="G288" s="181" t="s">
        <v>1314</v>
      </c>
      <c r="H288" s="183" t="n">
        <f aca="false">IFERROR(INDEX(Schedule!$E$2:$E$147,MATCH($G288,Schedule!$A$2:$A$147,0)),"")</f>
        <v>45017</v>
      </c>
      <c r="I288" s="183" t="n">
        <f aca="false">IFERROR(INDEX(Schedule!$F$2:$F$147,MATCH($G288,Schedule!$A$2:$A$147,0)),"")</f>
        <v>45231</v>
      </c>
      <c r="J288" s="92"/>
      <c r="K288" s="92"/>
      <c r="L288" s="92"/>
      <c r="M288" s="92"/>
      <c r="N288" s="92"/>
      <c r="O288" s="90" t="n">
        <v>1</v>
      </c>
      <c r="P288" s="184" t="n">
        <f aca="false">IFERROR((IF(OR(ISNUMBER(J288),UPPER(TRIM(J288))="N/A"),1,0)*IF($W288="N",0,INDEX('Rules of Credit'!$B$5:$F$8,MATCH($F288,'Rules of Credit'!$A$5:$A$8,0),1))+IF(OR(ISNUMBER(K288),UPPER(TRIM(K288))="N/A"),1,0)*INDEX('Rules of Credit'!$B$5:$F$8,MATCH($F288,'Rules of Credit'!$A$5:$A$8,0),2)+IF(OR(ISNUMBER(L288),UPPER(TRIM(L288))="N/A"),1,0)*INDEX('Rules of Credit'!$B$5:$F$8,MATCH($F288,'Rules of Credit'!$A$5:$A$8,0),3)+IF(OR(ISNUMBER(M288),UPPER(TRIM(M288))="N/A"),1,0)*IF($X288="N",0,INDEX('Rules of Credit'!$B$5:$F$8,MATCH($F288,'Rules of Credit'!$A$5:$A$8,0),4))+IF(OR(ISNUMBER(N288),UPPER(TRIM(N288))="N/A"),1,0)*INDEX('Rules of Credit'!$B$5:$F$8,MATCH($F288,'Rules of Credit'!$A$5:$A$8,0),5))/(IF($W288="N",0,INDEX('Rules of Credit'!$B$5:$F$8,MATCH($F288,'Rules of Credit'!$A$5:$A$8,0),1))+INDEX('Rules of Credit'!$B$5:$F$8,MATCH($F288,'Rules of Credit'!$A$5:$A$8,0),2)+INDEX('Rules of Credit'!$B$5:$F$8,MATCH($F288,'Rules of Credit'!$A$5:$A$8,0),3)+IF($X288="N",0,INDEX('Rules of Credit'!$B$5:$F$8,MATCH($F288,'Rules of Credit'!$A$5:$A$8,0),4))+INDEX('Rules of Credit'!$B$5:$F$8,MATCH($F288,'Rules of Credit'!$A$5:$A$8,0),5)),0)</f>
        <v>0</v>
      </c>
      <c r="Q288" s="184" t="n">
        <f aca="false">IF(OR($H288="",$I288=""),0,IF('Tracker Summary'!$C$3&lt;$H288,0,IF('Tracker Summary'!$C$3&gt;=$I288,1,('Tracker Summary'!$C$3-$H288)/($I288-$H288+1))))</f>
        <v>0</v>
      </c>
      <c r="R288" s="184" t="n">
        <f aca="false">P288-Q288</f>
        <v>0</v>
      </c>
      <c r="S288" s="181" t="str">
        <f aca="false">IF($I288="","Not scheduled",IF(P288&gt;=1,"Complete",IF('Tracker Summary'!$C$3&gt;$I288,"Overdue",IF(P288-Q288&lt;-0.1,"Behind",IF(AND(P288=0,'Tracker Summary'!$C$3&lt;$H288),"Not started","On track")))))</f>
        <v>Not started</v>
      </c>
      <c r="T288" s="90"/>
      <c r="U288" s="181" t="str">
        <f aca="false">IFERROR(INDEX(Schedule!$D$2:$D$147,MATCH($G288,Schedule!$A$2:$A$147,0)),"")</f>
        <v>Yard Piping &amp; Utilities — UV chamber and digester</v>
      </c>
      <c r="V288" s="183" t="n">
        <f aca="false">IFERROR(INDEX(Schedule!$F$2:$F$147,MATCH("33-P01",Schedule!$A$2:$A$147,0)),"")</f>
        <v>45016</v>
      </c>
      <c r="W288" s="181" t="s">
        <v>91</v>
      </c>
      <c r="X288" s="181" t="s">
        <v>91</v>
      </c>
      <c r="Y288" s="181" t="n">
        <v>0</v>
      </c>
      <c r="Z288" s="181" t="n">
        <v>0</v>
      </c>
      <c r="AA288" s="181" t="s">
        <v>1333</v>
      </c>
      <c r="AB288" s="181" t="s">
        <v>1334</v>
      </c>
      <c r="AC288" s="181" t="s">
        <v>120</v>
      </c>
      <c r="AD288" s="181" t="s">
        <v>93</v>
      </c>
      <c r="AE288" s="181" t="s">
        <v>1330</v>
      </c>
      <c r="AF288" s="181"/>
      <c r="AG288" s="181" t="s">
        <v>1330</v>
      </c>
      <c r="AH288" s="181" t="s">
        <v>213</v>
      </c>
    </row>
    <row r="289" customFormat="false" ht="15" hidden="false" customHeight="false" outlineLevel="0" collapsed="false">
      <c r="A289" s="181" t="s">
        <v>60</v>
      </c>
      <c r="B289" s="182" t="s">
        <v>43</v>
      </c>
      <c r="C289" s="181" t="s">
        <v>1335</v>
      </c>
      <c r="D289" s="181" t="s">
        <v>1336</v>
      </c>
      <c r="E289" s="181" t="s">
        <v>98</v>
      </c>
      <c r="F289" s="90" t="s">
        <v>234</v>
      </c>
      <c r="G289" s="181" t="s">
        <v>1337</v>
      </c>
      <c r="H289" s="183" t="n">
        <f aca="false">IFERROR(INDEX(Schedule!$E$2:$E$147,MATCH($G289,Schedule!$A$2:$A$147,0)),"")</f>
        <v>45017</v>
      </c>
      <c r="I289" s="183" t="n">
        <f aca="false">IFERROR(INDEX(Schedule!$F$2:$F$147,MATCH($G289,Schedule!$A$2:$A$147,0)),"")</f>
        <v>45231</v>
      </c>
      <c r="J289" s="92"/>
      <c r="K289" s="92"/>
      <c r="L289" s="92"/>
      <c r="M289" s="92"/>
      <c r="N289" s="92"/>
      <c r="O289" s="90" t="n">
        <v>1</v>
      </c>
      <c r="P289" s="184" t="n">
        <f aca="false">IFERROR((IF(OR(ISNUMBER(J289),UPPER(TRIM(J289))="N/A"),1,0)*IF($W289="N",0,INDEX('Rules of Credit'!$B$5:$F$8,MATCH($F289,'Rules of Credit'!$A$5:$A$8,0),1))+IF(OR(ISNUMBER(K289),UPPER(TRIM(K289))="N/A"),1,0)*INDEX('Rules of Credit'!$B$5:$F$8,MATCH($F289,'Rules of Credit'!$A$5:$A$8,0),2)+IF(OR(ISNUMBER(L289),UPPER(TRIM(L289))="N/A"),1,0)*INDEX('Rules of Credit'!$B$5:$F$8,MATCH($F289,'Rules of Credit'!$A$5:$A$8,0),3)+IF(OR(ISNUMBER(M289),UPPER(TRIM(M289))="N/A"),1,0)*IF($X289="N",0,INDEX('Rules of Credit'!$B$5:$F$8,MATCH($F289,'Rules of Credit'!$A$5:$A$8,0),4))+IF(OR(ISNUMBER(N289),UPPER(TRIM(N289))="N/A"),1,0)*INDEX('Rules of Credit'!$B$5:$F$8,MATCH($F289,'Rules of Credit'!$A$5:$A$8,0),5))/(IF($W289="N",0,INDEX('Rules of Credit'!$B$5:$F$8,MATCH($F289,'Rules of Credit'!$A$5:$A$8,0),1))+INDEX('Rules of Credit'!$B$5:$F$8,MATCH($F289,'Rules of Credit'!$A$5:$A$8,0),2)+INDEX('Rules of Credit'!$B$5:$F$8,MATCH($F289,'Rules of Credit'!$A$5:$A$8,0),3)+IF($X289="N",0,INDEX('Rules of Credit'!$B$5:$F$8,MATCH($F289,'Rules of Credit'!$A$5:$A$8,0),4))+INDEX('Rules of Credit'!$B$5:$F$8,MATCH($F289,'Rules of Credit'!$A$5:$A$8,0),5)),0)</f>
        <v>0</v>
      </c>
      <c r="Q289" s="184" t="n">
        <f aca="false">IF(OR($H289="",$I289=""),0,IF('Tracker Summary'!$C$3&lt;$H289,0,IF('Tracker Summary'!$C$3&gt;=$I289,1,('Tracker Summary'!$C$3-$H289)/($I289-$H289+1))))</f>
        <v>0</v>
      </c>
      <c r="R289" s="184" t="n">
        <f aca="false">P289-Q289</f>
        <v>0</v>
      </c>
      <c r="S289" s="181" t="str">
        <f aca="false">IF($I289="","Not scheduled",IF(P289&gt;=1,"Complete",IF('Tracker Summary'!$C$3&gt;$I289,"Overdue",IF(P289-Q289&lt;-0.1,"Behind",IF(AND(P289=0,'Tracker Summary'!$C$3&lt;$H289),"Not started","On track")))))</f>
        <v>Not started</v>
      </c>
      <c r="T289" s="90"/>
      <c r="U289" s="181" t="str">
        <f aca="false">IFERROR(INDEX(Schedule!$D$2:$D$147,MATCH($G289,Schedule!$A$2:$A$147,0)),"")</f>
        <v>Yard Piping &amp; Utilities — Yard piping, vaults and site utilities</v>
      </c>
      <c r="V289" s="183" t="n">
        <f aca="false">IFERROR(INDEX(Schedule!$F$2:$F$147,MATCH("33-P01",Schedule!$A$2:$A$147,0)),"")</f>
        <v>45016</v>
      </c>
      <c r="W289" s="181" t="s">
        <v>99</v>
      </c>
      <c r="X289" s="181" t="s">
        <v>99</v>
      </c>
      <c r="Y289" s="181" t="n">
        <v>3</v>
      </c>
      <c r="Z289" s="181" t="n">
        <v>7</v>
      </c>
      <c r="AA289" s="181"/>
      <c r="AB289" s="181"/>
      <c r="AC289" s="181" t="s">
        <v>92</v>
      </c>
      <c r="AD289" s="181" t="s">
        <v>93</v>
      </c>
      <c r="AE289" s="181" t="s">
        <v>1338</v>
      </c>
      <c r="AF289" s="181" t="s">
        <v>1339</v>
      </c>
      <c r="AG289" s="181" t="s">
        <v>1340</v>
      </c>
      <c r="AH289" s="181" t="s">
        <v>95</v>
      </c>
    </row>
    <row r="290" customFormat="false" ht="15" hidden="false" customHeight="false" outlineLevel="0" collapsed="false">
      <c r="A290" s="181" t="s">
        <v>60</v>
      </c>
      <c r="B290" s="182" t="s">
        <v>43</v>
      </c>
      <c r="C290" s="181" t="s">
        <v>1341</v>
      </c>
      <c r="D290" s="181" t="s">
        <v>1342</v>
      </c>
      <c r="E290" s="181" t="s">
        <v>98</v>
      </c>
      <c r="F290" s="90" t="s">
        <v>216</v>
      </c>
      <c r="G290" s="181" t="s">
        <v>1337</v>
      </c>
      <c r="H290" s="183" t="n">
        <f aca="false">IFERROR(INDEX(Schedule!$E$2:$E$147,MATCH($G290,Schedule!$A$2:$A$147,0)),"")</f>
        <v>45017</v>
      </c>
      <c r="I290" s="183" t="n">
        <f aca="false">IFERROR(INDEX(Schedule!$F$2:$F$147,MATCH($G290,Schedule!$A$2:$A$147,0)),"")</f>
        <v>45231</v>
      </c>
      <c r="J290" s="92"/>
      <c r="K290" s="92"/>
      <c r="L290" s="92"/>
      <c r="M290" s="92"/>
      <c r="N290" s="92"/>
      <c r="O290" s="90" t="n">
        <v>1</v>
      </c>
      <c r="P290" s="184" t="n">
        <f aca="false">IFERROR((IF(OR(ISNUMBER(J290),UPPER(TRIM(J290))="N/A"),1,0)*IF($W290="N",0,INDEX('Rules of Credit'!$B$5:$F$8,MATCH($F290,'Rules of Credit'!$A$5:$A$8,0),1))+IF(OR(ISNUMBER(K290),UPPER(TRIM(K290))="N/A"),1,0)*INDEX('Rules of Credit'!$B$5:$F$8,MATCH($F290,'Rules of Credit'!$A$5:$A$8,0),2)+IF(OR(ISNUMBER(L290),UPPER(TRIM(L290))="N/A"),1,0)*INDEX('Rules of Credit'!$B$5:$F$8,MATCH($F290,'Rules of Credit'!$A$5:$A$8,0),3)+IF(OR(ISNUMBER(M290),UPPER(TRIM(M290))="N/A"),1,0)*IF($X290="N",0,INDEX('Rules of Credit'!$B$5:$F$8,MATCH($F290,'Rules of Credit'!$A$5:$A$8,0),4))+IF(OR(ISNUMBER(N290),UPPER(TRIM(N290))="N/A"),1,0)*INDEX('Rules of Credit'!$B$5:$F$8,MATCH($F290,'Rules of Credit'!$A$5:$A$8,0),5))/(IF($W290="N",0,INDEX('Rules of Credit'!$B$5:$F$8,MATCH($F290,'Rules of Credit'!$A$5:$A$8,0),1))+INDEX('Rules of Credit'!$B$5:$F$8,MATCH($F290,'Rules of Credit'!$A$5:$A$8,0),2)+INDEX('Rules of Credit'!$B$5:$F$8,MATCH($F290,'Rules of Credit'!$A$5:$A$8,0),3)+IF($X290="N",0,INDEX('Rules of Credit'!$B$5:$F$8,MATCH($F290,'Rules of Credit'!$A$5:$A$8,0),4))+INDEX('Rules of Credit'!$B$5:$F$8,MATCH($F290,'Rules of Credit'!$A$5:$A$8,0),5)),0)</f>
        <v>0</v>
      </c>
      <c r="Q290" s="184" t="n">
        <f aca="false">IF(OR($H290="",$I290=""),0,IF('Tracker Summary'!$C$3&lt;$H290,0,IF('Tracker Summary'!$C$3&gt;=$I290,1,('Tracker Summary'!$C$3-$H290)/($I290-$H290+1))))</f>
        <v>0</v>
      </c>
      <c r="R290" s="184" t="n">
        <f aca="false">P290-Q290</f>
        <v>0</v>
      </c>
      <c r="S290" s="181" t="str">
        <f aca="false">IF($I290="","Not scheduled",IF(P290&gt;=1,"Complete",IF('Tracker Summary'!$C$3&gt;$I290,"Overdue",IF(P290-Q290&lt;-0.1,"Behind",IF(AND(P290=0,'Tracker Summary'!$C$3&lt;$H290),"Not started","On track")))))</f>
        <v>Not started</v>
      </c>
      <c r="T290" s="90"/>
      <c r="U290" s="181" t="str">
        <f aca="false">IFERROR(INDEX(Schedule!$D$2:$D$147,MATCH($G290,Schedule!$A$2:$A$147,0)),"")</f>
        <v>Yard Piping &amp; Utilities — Yard piping, vaults and site utilities</v>
      </c>
      <c r="V290" s="183" t="n">
        <f aca="false">IFERROR(INDEX(Schedule!$F$2:$F$147,MATCH("33-P01",Schedule!$A$2:$A$147,0)),"")</f>
        <v>45016</v>
      </c>
      <c r="W290" s="181" t="s">
        <v>91</v>
      </c>
      <c r="X290" s="181" t="s">
        <v>91</v>
      </c>
      <c r="Y290" s="181" t="n">
        <v>0</v>
      </c>
      <c r="Z290" s="181" t="n">
        <v>0</v>
      </c>
      <c r="AA290" s="181"/>
      <c r="AB290" s="181"/>
      <c r="AC290" s="181" t="s">
        <v>92</v>
      </c>
      <c r="AD290" s="181" t="s">
        <v>93</v>
      </c>
      <c r="AE290" s="181" t="s">
        <v>1343</v>
      </c>
      <c r="AF290" s="181" t="s">
        <v>1344</v>
      </c>
      <c r="AG290" s="181" t="s">
        <v>1345</v>
      </c>
      <c r="AH290" s="181" t="s">
        <v>95</v>
      </c>
    </row>
    <row r="291" customFormat="false" ht="15" hidden="false" customHeight="false" outlineLevel="0" collapsed="false">
      <c r="A291" s="181" t="s">
        <v>60</v>
      </c>
      <c r="B291" s="182" t="s">
        <v>43</v>
      </c>
      <c r="C291" s="181" t="s">
        <v>1346</v>
      </c>
      <c r="D291" s="181" t="s">
        <v>1347</v>
      </c>
      <c r="E291" s="181" t="s">
        <v>98</v>
      </c>
      <c r="F291" s="90" t="s">
        <v>234</v>
      </c>
      <c r="G291" s="181" t="s">
        <v>1337</v>
      </c>
      <c r="H291" s="183" t="n">
        <f aca="false">IFERROR(INDEX(Schedule!$E$2:$E$147,MATCH($G291,Schedule!$A$2:$A$147,0)),"")</f>
        <v>45017</v>
      </c>
      <c r="I291" s="183" t="n">
        <f aca="false">IFERROR(INDEX(Schedule!$F$2:$F$147,MATCH($G291,Schedule!$A$2:$A$147,0)),"")</f>
        <v>45231</v>
      </c>
      <c r="J291" s="92"/>
      <c r="K291" s="92"/>
      <c r="L291" s="92"/>
      <c r="M291" s="92"/>
      <c r="N291" s="92"/>
      <c r="O291" s="90" t="n">
        <v>1</v>
      </c>
      <c r="P291" s="184" t="n">
        <f aca="false">IFERROR((IF(OR(ISNUMBER(J291),UPPER(TRIM(J291))="N/A"),1,0)*IF($W291="N",0,INDEX('Rules of Credit'!$B$5:$F$8,MATCH($F291,'Rules of Credit'!$A$5:$A$8,0),1))+IF(OR(ISNUMBER(K291),UPPER(TRIM(K291))="N/A"),1,0)*INDEX('Rules of Credit'!$B$5:$F$8,MATCH($F291,'Rules of Credit'!$A$5:$A$8,0),2)+IF(OR(ISNUMBER(L291),UPPER(TRIM(L291))="N/A"),1,0)*INDEX('Rules of Credit'!$B$5:$F$8,MATCH($F291,'Rules of Credit'!$A$5:$A$8,0),3)+IF(OR(ISNUMBER(M291),UPPER(TRIM(M291))="N/A"),1,0)*IF($X291="N",0,INDEX('Rules of Credit'!$B$5:$F$8,MATCH($F291,'Rules of Credit'!$A$5:$A$8,0),4))+IF(OR(ISNUMBER(N291),UPPER(TRIM(N291))="N/A"),1,0)*INDEX('Rules of Credit'!$B$5:$F$8,MATCH($F291,'Rules of Credit'!$A$5:$A$8,0),5))/(IF($W291="N",0,INDEX('Rules of Credit'!$B$5:$F$8,MATCH($F291,'Rules of Credit'!$A$5:$A$8,0),1))+INDEX('Rules of Credit'!$B$5:$F$8,MATCH($F291,'Rules of Credit'!$A$5:$A$8,0),2)+INDEX('Rules of Credit'!$B$5:$F$8,MATCH($F291,'Rules of Credit'!$A$5:$A$8,0),3)+IF($X291="N",0,INDEX('Rules of Credit'!$B$5:$F$8,MATCH($F291,'Rules of Credit'!$A$5:$A$8,0),4))+INDEX('Rules of Credit'!$B$5:$F$8,MATCH($F291,'Rules of Credit'!$A$5:$A$8,0),5)),0)</f>
        <v>0</v>
      </c>
      <c r="Q291" s="184" t="n">
        <f aca="false">IF(OR($H291="",$I291=""),0,IF('Tracker Summary'!$C$3&lt;$H291,0,IF('Tracker Summary'!$C$3&gt;=$I291,1,('Tracker Summary'!$C$3-$H291)/($I291-$H291+1))))</f>
        <v>0</v>
      </c>
      <c r="R291" s="184" t="n">
        <f aca="false">P291-Q291</f>
        <v>0</v>
      </c>
      <c r="S291" s="181" t="str">
        <f aca="false">IF($I291="","Not scheduled",IF(P291&gt;=1,"Complete",IF('Tracker Summary'!$C$3&gt;$I291,"Overdue",IF(P291-Q291&lt;-0.1,"Behind",IF(AND(P291=0,'Tracker Summary'!$C$3&lt;$H291),"Not started","On track")))))</f>
        <v>Not started</v>
      </c>
      <c r="T291" s="90"/>
      <c r="U291" s="181" t="str">
        <f aca="false">IFERROR(INDEX(Schedule!$D$2:$D$147,MATCH($G291,Schedule!$A$2:$A$147,0)),"")</f>
        <v>Yard Piping &amp; Utilities — Yard piping, vaults and site utilities</v>
      </c>
      <c r="V291" s="183" t="n">
        <f aca="false">IFERROR(INDEX(Schedule!$F$2:$F$147,MATCH("33-P01",Schedule!$A$2:$A$147,0)),"")</f>
        <v>45016</v>
      </c>
      <c r="W291" s="181" t="s">
        <v>99</v>
      </c>
      <c r="X291" s="181" t="s">
        <v>99</v>
      </c>
      <c r="Y291" s="181" t="n">
        <v>4</v>
      </c>
      <c r="Z291" s="181" t="n">
        <v>5</v>
      </c>
      <c r="AA291" s="181" t="s">
        <v>1348</v>
      </c>
      <c r="AB291" s="181" t="s">
        <v>1320</v>
      </c>
      <c r="AC291" s="181" t="s">
        <v>92</v>
      </c>
      <c r="AD291" s="181" t="s">
        <v>93</v>
      </c>
      <c r="AE291" s="181" t="s">
        <v>1343</v>
      </c>
      <c r="AF291" s="181" t="s">
        <v>1349</v>
      </c>
      <c r="AG291" s="181" t="s">
        <v>1350</v>
      </c>
      <c r="AH291" s="181" t="s">
        <v>95</v>
      </c>
    </row>
    <row r="292" customFormat="false" ht="15" hidden="false" customHeight="false" outlineLevel="0" collapsed="false">
      <c r="A292" s="181" t="s">
        <v>60</v>
      </c>
      <c r="B292" s="182" t="s">
        <v>43</v>
      </c>
      <c r="C292" s="181" t="s">
        <v>1351</v>
      </c>
      <c r="D292" s="181" t="s">
        <v>1352</v>
      </c>
      <c r="E292" s="181" t="s">
        <v>98</v>
      </c>
      <c r="F292" s="90" t="s">
        <v>234</v>
      </c>
      <c r="G292" s="181" t="s">
        <v>1337</v>
      </c>
      <c r="H292" s="183" t="n">
        <f aca="false">IFERROR(INDEX(Schedule!$E$2:$E$147,MATCH($G292,Schedule!$A$2:$A$147,0)),"")</f>
        <v>45017</v>
      </c>
      <c r="I292" s="183" t="n">
        <f aca="false">IFERROR(INDEX(Schedule!$F$2:$F$147,MATCH($G292,Schedule!$A$2:$A$147,0)),"")</f>
        <v>45231</v>
      </c>
      <c r="J292" s="92"/>
      <c r="K292" s="92"/>
      <c r="L292" s="92"/>
      <c r="M292" s="92"/>
      <c r="N292" s="92"/>
      <c r="O292" s="90" t="n">
        <v>1</v>
      </c>
      <c r="P292" s="184" t="n">
        <f aca="false">IFERROR((IF(OR(ISNUMBER(J292),UPPER(TRIM(J292))="N/A"),1,0)*IF($W292="N",0,INDEX('Rules of Credit'!$B$5:$F$8,MATCH($F292,'Rules of Credit'!$A$5:$A$8,0),1))+IF(OR(ISNUMBER(K292),UPPER(TRIM(K292))="N/A"),1,0)*INDEX('Rules of Credit'!$B$5:$F$8,MATCH($F292,'Rules of Credit'!$A$5:$A$8,0),2)+IF(OR(ISNUMBER(L292),UPPER(TRIM(L292))="N/A"),1,0)*INDEX('Rules of Credit'!$B$5:$F$8,MATCH($F292,'Rules of Credit'!$A$5:$A$8,0),3)+IF(OR(ISNUMBER(M292),UPPER(TRIM(M292))="N/A"),1,0)*IF($X292="N",0,INDEX('Rules of Credit'!$B$5:$F$8,MATCH($F292,'Rules of Credit'!$A$5:$A$8,0),4))+IF(OR(ISNUMBER(N292),UPPER(TRIM(N292))="N/A"),1,0)*INDEX('Rules of Credit'!$B$5:$F$8,MATCH($F292,'Rules of Credit'!$A$5:$A$8,0),5))/(IF($W292="N",0,INDEX('Rules of Credit'!$B$5:$F$8,MATCH($F292,'Rules of Credit'!$A$5:$A$8,0),1))+INDEX('Rules of Credit'!$B$5:$F$8,MATCH($F292,'Rules of Credit'!$A$5:$A$8,0),2)+INDEX('Rules of Credit'!$B$5:$F$8,MATCH($F292,'Rules of Credit'!$A$5:$A$8,0),3)+IF($X292="N",0,INDEX('Rules of Credit'!$B$5:$F$8,MATCH($F292,'Rules of Credit'!$A$5:$A$8,0),4))+INDEX('Rules of Credit'!$B$5:$F$8,MATCH($F292,'Rules of Credit'!$A$5:$A$8,0),5)),0)</f>
        <v>0</v>
      </c>
      <c r="Q292" s="184" t="n">
        <f aca="false">IF(OR($H292="",$I292=""),0,IF('Tracker Summary'!$C$3&lt;$H292,0,IF('Tracker Summary'!$C$3&gt;=$I292,1,('Tracker Summary'!$C$3-$H292)/($I292-$H292+1))))</f>
        <v>0</v>
      </c>
      <c r="R292" s="184" t="n">
        <f aca="false">P292-Q292</f>
        <v>0</v>
      </c>
      <c r="S292" s="181" t="str">
        <f aca="false">IF($I292="","Not scheduled",IF(P292&gt;=1,"Complete",IF('Tracker Summary'!$C$3&gt;$I292,"Overdue",IF(P292-Q292&lt;-0.1,"Behind",IF(AND(P292=0,'Tracker Summary'!$C$3&lt;$H292),"Not started","On track")))))</f>
        <v>Not started</v>
      </c>
      <c r="T292" s="90"/>
      <c r="U292" s="181" t="str">
        <f aca="false">IFERROR(INDEX(Schedule!$D$2:$D$147,MATCH($G292,Schedule!$A$2:$A$147,0)),"")</f>
        <v>Yard Piping &amp; Utilities — Yard piping, vaults and site utilities</v>
      </c>
      <c r="V292" s="183" t="n">
        <f aca="false">IFERROR(INDEX(Schedule!$F$2:$F$147,MATCH("33-P01",Schedule!$A$2:$A$147,0)),"")</f>
        <v>45016</v>
      </c>
      <c r="W292" s="181" t="s">
        <v>99</v>
      </c>
      <c r="X292" s="181" t="s">
        <v>99</v>
      </c>
      <c r="Y292" s="181" t="n">
        <v>4</v>
      </c>
      <c r="Z292" s="181" t="n">
        <v>5</v>
      </c>
      <c r="AA292" s="181" t="s">
        <v>1353</v>
      </c>
      <c r="AB292" s="181" t="s">
        <v>1354</v>
      </c>
      <c r="AC292" s="181" t="s">
        <v>92</v>
      </c>
      <c r="AD292" s="181" t="s">
        <v>93</v>
      </c>
      <c r="AE292" s="181" t="s">
        <v>1343</v>
      </c>
      <c r="AF292" s="181" t="s">
        <v>1349</v>
      </c>
      <c r="AG292" s="181" t="s">
        <v>1350</v>
      </c>
      <c r="AH292" s="181" t="s">
        <v>95</v>
      </c>
    </row>
    <row r="293" customFormat="false" ht="15" hidden="false" customHeight="false" outlineLevel="0" collapsed="false">
      <c r="A293" s="181" t="s">
        <v>60</v>
      </c>
      <c r="B293" s="182" t="s">
        <v>43</v>
      </c>
      <c r="C293" s="181" t="s">
        <v>1355</v>
      </c>
      <c r="D293" s="181" t="s">
        <v>1356</v>
      </c>
      <c r="E293" s="181" t="s">
        <v>98</v>
      </c>
      <c r="F293" s="90" t="s">
        <v>234</v>
      </c>
      <c r="G293" s="181" t="s">
        <v>1337</v>
      </c>
      <c r="H293" s="183" t="n">
        <f aca="false">IFERROR(INDEX(Schedule!$E$2:$E$147,MATCH($G293,Schedule!$A$2:$A$147,0)),"")</f>
        <v>45017</v>
      </c>
      <c r="I293" s="183" t="n">
        <f aca="false">IFERROR(INDEX(Schedule!$F$2:$F$147,MATCH($G293,Schedule!$A$2:$A$147,0)),"")</f>
        <v>45231</v>
      </c>
      <c r="J293" s="92"/>
      <c r="K293" s="92"/>
      <c r="L293" s="92"/>
      <c r="M293" s="92"/>
      <c r="N293" s="92"/>
      <c r="O293" s="90" t="n">
        <v>1</v>
      </c>
      <c r="P293" s="184" t="n">
        <f aca="false">IFERROR((IF(OR(ISNUMBER(J293),UPPER(TRIM(J293))="N/A"),1,0)*IF($W293="N",0,INDEX('Rules of Credit'!$B$5:$F$8,MATCH($F293,'Rules of Credit'!$A$5:$A$8,0),1))+IF(OR(ISNUMBER(K293),UPPER(TRIM(K293))="N/A"),1,0)*INDEX('Rules of Credit'!$B$5:$F$8,MATCH($F293,'Rules of Credit'!$A$5:$A$8,0),2)+IF(OR(ISNUMBER(L293),UPPER(TRIM(L293))="N/A"),1,0)*INDEX('Rules of Credit'!$B$5:$F$8,MATCH($F293,'Rules of Credit'!$A$5:$A$8,0),3)+IF(OR(ISNUMBER(M293),UPPER(TRIM(M293))="N/A"),1,0)*IF($X293="N",0,INDEX('Rules of Credit'!$B$5:$F$8,MATCH($F293,'Rules of Credit'!$A$5:$A$8,0),4))+IF(OR(ISNUMBER(N293),UPPER(TRIM(N293))="N/A"),1,0)*INDEX('Rules of Credit'!$B$5:$F$8,MATCH($F293,'Rules of Credit'!$A$5:$A$8,0),5))/(IF($W293="N",0,INDEX('Rules of Credit'!$B$5:$F$8,MATCH($F293,'Rules of Credit'!$A$5:$A$8,0),1))+INDEX('Rules of Credit'!$B$5:$F$8,MATCH($F293,'Rules of Credit'!$A$5:$A$8,0),2)+INDEX('Rules of Credit'!$B$5:$F$8,MATCH($F293,'Rules of Credit'!$A$5:$A$8,0),3)+IF($X293="N",0,INDEX('Rules of Credit'!$B$5:$F$8,MATCH($F293,'Rules of Credit'!$A$5:$A$8,0),4))+INDEX('Rules of Credit'!$B$5:$F$8,MATCH($F293,'Rules of Credit'!$A$5:$A$8,0),5)),0)</f>
        <v>0</v>
      </c>
      <c r="Q293" s="184" t="n">
        <f aca="false">IF(OR($H293="",$I293=""),0,IF('Tracker Summary'!$C$3&lt;$H293,0,IF('Tracker Summary'!$C$3&gt;=$I293,1,('Tracker Summary'!$C$3-$H293)/($I293-$H293+1))))</f>
        <v>0</v>
      </c>
      <c r="R293" s="184" t="n">
        <f aca="false">P293-Q293</f>
        <v>0</v>
      </c>
      <c r="S293" s="181" t="str">
        <f aca="false">IF($I293="","Not scheduled",IF(P293&gt;=1,"Complete",IF('Tracker Summary'!$C$3&gt;$I293,"Overdue",IF(P293-Q293&lt;-0.1,"Behind",IF(AND(P293=0,'Tracker Summary'!$C$3&lt;$H293),"Not started","On track")))))</f>
        <v>Not started</v>
      </c>
      <c r="T293" s="90"/>
      <c r="U293" s="181" t="str">
        <f aca="false">IFERROR(INDEX(Schedule!$D$2:$D$147,MATCH($G293,Schedule!$A$2:$A$147,0)),"")</f>
        <v>Yard Piping &amp; Utilities — Yard piping, vaults and site utilities</v>
      </c>
      <c r="V293" s="183" t="n">
        <f aca="false">IFERROR(INDEX(Schedule!$F$2:$F$147,MATCH("33-P01",Schedule!$A$2:$A$147,0)),"")</f>
        <v>45016</v>
      </c>
      <c r="W293" s="181" t="s">
        <v>99</v>
      </c>
      <c r="X293" s="181" t="s">
        <v>99</v>
      </c>
      <c r="Y293" s="181" t="n">
        <v>3</v>
      </c>
      <c r="Z293" s="181" t="n">
        <v>4</v>
      </c>
      <c r="AA293" s="181"/>
      <c r="AB293" s="181"/>
      <c r="AC293" s="181" t="s">
        <v>92</v>
      </c>
      <c r="AD293" s="181" t="s">
        <v>93</v>
      </c>
      <c r="AE293" s="181" t="s">
        <v>1343</v>
      </c>
      <c r="AF293" s="181" t="s">
        <v>1357</v>
      </c>
      <c r="AG293" s="181" t="s">
        <v>1358</v>
      </c>
      <c r="AH293" s="181" t="s">
        <v>95</v>
      </c>
    </row>
    <row r="294" customFormat="false" ht="15" hidden="false" customHeight="false" outlineLevel="0" collapsed="false">
      <c r="A294" s="181" t="s">
        <v>60</v>
      </c>
      <c r="B294" s="182" t="s">
        <v>43</v>
      </c>
      <c r="C294" s="181" t="s">
        <v>1359</v>
      </c>
      <c r="D294" s="181" t="s">
        <v>1360</v>
      </c>
      <c r="E294" s="181" t="s">
        <v>98</v>
      </c>
      <c r="F294" s="90" t="s">
        <v>234</v>
      </c>
      <c r="G294" s="181" t="s">
        <v>1337</v>
      </c>
      <c r="H294" s="183" t="n">
        <f aca="false">IFERROR(INDEX(Schedule!$E$2:$E$147,MATCH($G294,Schedule!$A$2:$A$147,0)),"")</f>
        <v>45017</v>
      </c>
      <c r="I294" s="183" t="n">
        <f aca="false">IFERROR(INDEX(Schedule!$F$2:$F$147,MATCH($G294,Schedule!$A$2:$A$147,0)),"")</f>
        <v>45231</v>
      </c>
      <c r="J294" s="92"/>
      <c r="K294" s="92"/>
      <c r="L294" s="92"/>
      <c r="M294" s="92"/>
      <c r="N294" s="92"/>
      <c r="O294" s="90" t="n">
        <v>1</v>
      </c>
      <c r="P294" s="184" t="n">
        <f aca="false">IFERROR((IF(OR(ISNUMBER(J294),UPPER(TRIM(J294))="N/A"),1,0)*IF($W294="N",0,INDEX('Rules of Credit'!$B$5:$F$8,MATCH($F294,'Rules of Credit'!$A$5:$A$8,0),1))+IF(OR(ISNUMBER(K294),UPPER(TRIM(K294))="N/A"),1,0)*INDEX('Rules of Credit'!$B$5:$F$8,MATCH($F294,'Rules of Credit'!$A$5:$A$8,0),2)+IF(OR(ISNUMBER(L294),UPPER(TRIM(L294))="N/A"),1,0)*INDEX('Rules of Credit'!$B$5:$F$8,MATCH($F294,'Rules of Credit'!$A$5:$A$8,0),3)+IF(OR(ISNUMBER(M294),UPPER(TRIM(M294))="N/A"),1,0)*IF($X294="N",0,INDEX('Rules of Credit'!$B$5:$F$8,MATCH($F294,'Rules of Credit'!$A$5:$A$8,0),4))+IF(OR(ISNUMBER(N294),UPPER(TRIM(N294))="N/A"),1,0)*INDEX('Rules of Credit'!$B$5:$F$8,MATCH($F294,'Rules of Credit'!$A$5:$A$8,0),5))/(IF($W294="N",0,INDEX('Rules of Credit'!$B$5:$F$8,MATCH($F294,'Rules of Credit'!$A$5:$A$8,0),1))+INDEX('Rules of Credit'!$B$5:$F$8,MATCH($F294,'Rules of Credit'!$A$5:$A$8,0),2)+INDEX('Rules of Credit'!$B$5:$F$8,MATCH($F294,'Rules of Credit'!$A$5:$A$8,0),3)+IF($X294="N",0,INDEX('Rules of Credit'!$B$5:$F$8,MATCH($F294,'Rules of Credit'!$A$5:$A$8,0),4))+INDEX('Rules of Credit'!$B$5:$F$8,MATCH($F294,'Rules of Credit'!$A$5:$A$8,0),5)),0)</f>
        <v>0</v>
      </c>
      <c r="Q294" s="184" t="n">
        <f aca="false">IF(OR($H294="",$I294=""),0,IF('Tracker Summary'!$C$3&lt;$H294,0,IF('Tracker Summary'!$C$3&gt;=$I294,1,('Tracker Summary'!$C$3-$H294)/($I294-$H294+1))))</f>
        <v>0</v>
      </c>
      <c r="R294" s="184" t="n">
        <f aca="false">P294-Q294</f>
        <v>0</v>
      </c>
      <c r="S294" s="181" t="str">
        <f aca="false">IF($I294="","Not scheduled",IF(P294&gt;=1,"Complete",IF('Tracker Summary'!$C$3&gt;$I294,"Overdue",IF(P294-Q294&lt;-0.1,"Behind",IF(AND(P294=0,'Tracker Summary'!$C$3&lt;$H294),"Not started","On track")))))</f>
        <v>Not started</v>
      </c>
      <c r="T294" s="90"/>
      <c r="U294" s="181" t="str">
        <f aca="false">IFERROR(INDEX(Schedule!$D$2:$D$147,MATCH($G294,Schedule!$A$2:$A$147,0)),"")</f>
        <v>Yard Piping &amp; Utilities — Yard piping, vaults and site utilities</v>
      </c>
      <c r="V294" s="183" t="n">
        <f aca="false">IFERROR(INDEX(Schedule!$F$2:$F$147,MATCH("33-P01",Schedule!$A$2:$A$147,0)),"")</f>
        <v>45016</v>
      </c>
      <c r="W294" s="181" t="s">
        <v>99</v>
      </c>
      <c r="X294" s="181" t="s">
        <v>99</v>
      </c>
      <c r="Y294" s="181" t="n">
        <v>4</v>
      </c>
      <c r="Z294" s="181" t="n">
        <v>5</v>
      </c>
      <c r="AA294" s="181" t="s">
        <v>1361</v>
      </c>
      <c r="AB294" s="181" t="s">
        <v>1362</v>
      </c>
      <c r="AC294" s="181" t="s">
        <v>92</v>
      </c>
      <c r="AD294" s="181" t="s">
        <v>93</v>
      </c>
      <c r="AE294" s="181" t="s">
        <v>1343</v>
      </c>
      <c r="AF294" s="181" t="s">
        <v>1349</v>
      </c>
      <c r="AG294" s="181" t="s">
        <v>1350</v>
      </c>
      <c r="AH294" s="181" t="s">
        <v>95</v>
      </c>
    </row>
    <row r="295" customFormat="false" ht="15" hidden="false" customHeight="false" outlineLevel="0" collapsed="false">
      <c r="A295" s="181" t="s">
        <v>60</v>
      </c>
      <c r="B295" s="182" t="s">
        <v>43</v>
      </c>
      <c r="C295" s="181" t="s">
        <v>1363</v>
      </c>
      <c r="D295" s="181" t="s">
        <v>1364</v>
      </c>
      <c r="E295" s="181" t="s">
        <v>98</v>
      </c>
      <c r="F295" s="90" t="s">
        <v>234</v>
      </c>
      <c r="G295" s="181" t="s">
        <v>1337</v>
      </c>
      <c r="H295" s="183" t="n">
        <f aca="false">IFERROR(INDEX(Schedule!$E$2:$E$147,MATCH($G295,Schedule!$A$2:$A$147,0)),"")</f>
        <v>45017</v>
      </c>
      <c r="I295" s="183" t="n">
        <f aca="false">IFERROR(INDEX(Schedule!$F$2:$F$147,MATCH($G295,Schedule!$A$2:$A$147,0)),"")</f>
        <v>45231</v>
      </c>
      <c r="J295" s="92"/>
      <c r="K295" s="92"/>
      <c r="L295" s="92"/>
      <c r="M295" s="92"/>
      <c r="N295" s="92"/>
      <c r="O295" s="90" t="n">
        <v>1</v>
      </c>
      <c r="P295" s="184" t="n">
        <f aca="false">IFERROR((IF(OR(ISNUMBER(J295),UPPER(TRIM(J295))="N/A"),1,0)*IF($W295="N",0,INDEX('Rules of Credit'!$B$5:$F$8,MATCH($F295,'Rules of Credit'!$A$5:$A$8,0),1))+IF(OR(ISNUMBER(K295),UPPER(TRIM(K295))="N/A"),1,0)*INDEX('Rules of Credit'!$B$5:$F$8,MATCH($F295,'Rules of Credit'!$A$5:$A$8,0),2)+IF(OR(ISNUMBER(L295),UPPER(TRIM(L295))="N/A"),1,0)*INDEX('Rules of Credit'!$B$5:$F$8,MATCH($F295,'Rules of Credit'!$A$5:$A$8,0),3)+IF(OR(ISNUMBER(M295),UPPER(TRIM(M295))="N/A"),1,0)*IF($X295="N",0,INDEX('Rules of Credit'!$B$5:$F$8,MATCH($F295,'Rules of Credit'!$A$5:$A$8,0),4))+IF(OR(ISNUMBER(N295),UPPER(TRIM(N295))="N/A"),1,0)*INDEX('Rules of Credit'!$B$5:$F$8,MATCH($F295,'Rules of Credit'!$A$5:$A$8,0),5))/(IF($W295="N",0,INDEX('Rules of Credit'!$B$5:$F$8,MATCH($F295,'Rules of Credit'!$A$5:$A$8,0),1))+INDEX('Rules of Credit'!$B$5:$F$8,MATCH($F295,'Rules of Credit'!$A$5:$A$8,0),2)+INDEX('Rules of Credit'!$B$5:$F$8,MATCH($F295,'Rules of Credit'!$A$5:$A$8,0),3)+IF($X295="N",0,INDEX('Rules of Credit'!$B$5:$F$8,MATCH($F295,'Rules of Credit'!$A$5:$A$8,0),4))+INDEX('Rules of Credit'!$B$5:$F$8,MATCH($F295,'Rules of Credit'!$A$5:$A$8,0),5)),0)</f>
        <v>0</v>
      </c>
      <c r="Q295" s="184" t="n">
        <f aca="false">IF(OR($H295="",$I295=""),0,IF('Tracker Summary'!$C$3&lt;$H295,0,IF('Tracker Summary'!$C$3&gt;=$I295,1,('Tracker Summary'!$C$3-$H295)/($I295-$H295+1))))</f>
        <v>0</v>
      </c>
      <c r="R295" s="184" t="n">
        <f aca="false">P295-Q295</f>
        <v>0</v>
      </c>
      <c r="S295" s="181" t="str">
        <f aca="false">IF($I295="","Not scheduled",IF(P295&gt;=1,"Complete",IF('Tracker Summary'!$C$3&gt;$I295,"Overdue",IF(P295-Q295&lt;-0.1,"Behind",IF(AND(P295=0,'Tracker Summary'!$C$3&lt;$H295),"Not started","On track")))))</f>
        <v>Not started</v>
      </c>
      <c r="T295" s="90"/>
      <c r="U295" s="181" t="str">
        <f aca="false">IFERROR(INDEX(Schedule!$D$2:$D$147,MATCH($G295,Schedule!$A$2:$A$147,0)),"")</f>
        <v>Yard Piping &amp; Utilities — Yard piping, vaults and site utilities</v>
      </c>
      <c r="V295" s="183" t="n">
        <f aca="false">IFERROR(INDEX(Schedule!$F$2:$F$147,MATCH("33-P01",Schedule!$A$2:$A$147,0)),"")</f>
        <v>45016</v>
      </c>
      <c r="W295" s="181" t="s">
        <v>99</v>
      </c>
      <c r="X295" s="181" t="s">
        <v>99</v>
      </c>
      <c r="Y295" s="181" t="n">
        <v>4</v>
      </c>
      <c r="Z295" s="181" t="n">
        <v>5</v>
      </c>
      <c r="AA295" s="181"/>
      <c r="AB295" s="181"/>
      <c r="AC295" s="181" t="s">
        <v>92</v>
      </c>
      <c r="AD295" s="181" t="s">
        <v>93</v>
      </c>
      <c r="AE295" s="181" t="s">
        <v>1343</v>
      </c>
      <c r="AF295" s="181" t="s">
        <v>1349</v>
      </c>
      <c r="AG295" s="181" t="s">
        <v>1350</v>
      </c>
      <c r="AH295" s="181" t="s">
        <v>95</v>
      </c>
    </row>
    <row r="296" customFormat="false" ht="15" hidden="false" customHeight="false" outlineLevel="0" collapsed="false">
      <c r="A296" s="181" t="s">
        <v>60</v>
      </c>
      <c r="B296" s="182" t="s">
        <v>43</v>
      </c>
      <c r="C296" s="181" t="s">
        <v>1365</v>
      </c>
      <c r="D296" s="181" t="s">
        <v>1366</v>
      </c>
      <c r="E296" s="181" t="s">
        <v>1367</v>
      </c>
      <c r="F296" s="90" t="s">
        <v>234</v>
      </c>
      <c r="G296" s="181" t="s">
        <v>1337</v>
      </c>
      <c r="H296" s="183" t="n">
        <f aca="false">IFERROR(INDEX(Schedule!$E$2:$E$147,MATCH($G296,Schedule!$A$2:$A$147,0)),"")</f>
        <v>45017</v>
      </c>
      <c r="I296" s="183" t="n">
        <f aca="false">IFERROR(INDEX(Schedule!$F$2:$F$147,MATCH($G296,Schedule!$A$2:$A$147,0)),"")</f>
        <v>45231</v>
      </c>
      <c r="J296" s="92"/>
      <c r="K296" s="92"/>
      <c r="L296" s="92"/>
      <c r="M296" s="92"/>
      <c r="N296" s="92"/>
      <c r="O296" s="90" t="n">
        <v>1</v>
      </c>
      <c r="P296" s="184" t="n">
        <f aca="false">IFERROR((IF(OR(ISNUMBER(J296),UPPER(TRIM(J296))="N/A"),1,0)*IF($W296="N",0,INDEX('Rules of Credit'!$B$5:$F$8,MATCH($F296,'Rules of Credit'!$A$5:$A$8,0),1))+IF(OR(ISNUMBER(K296),UPPER(TRIM(K296))="N/A"),1,0)*INDEX('Rules of Credit'!$B$5:$F$8,MATCH($F296,'Rules of Credit'!$A$5:$A$8,0),2)+IF(OR(ISNUMBER(L296),UPPER(TRIM(L296))="N/A"),1,0)*INDEX('Rules of Credit'!$B$5:$F$8,MATCH($F296,'Rules of Credit'!$A$5:$A$8,0),3)+IF(OR(ISNUMBER(M296),UPPER(TRIM(M296))="N/A"),1,0)*IF($X296="N",0,INDEX('Rules of Credit'!$B$5:$F$8,MATCH($F296,'Rules of Credit'!$A$5:$A$8,0),4))+IF(OR(ISNUMBER(N296),UPPER(TRIM(N296))="N/A"),1,0)*INDEX('Rules of Credit'!$B$5:$F$8,MATCH($F296,'Rules of Credit'!$A$5:$A$8,0),5))/(IF($W296="N",0,INDEX('Rules of Credit'!$B$5:$F$8,MATCH($F296,'Rules of Credit'!$A$5:$A$8,0),1))+INDEX('Rules of Credit'!$B$5:$F$8,MATCH($F296,'Rules of Credit'!$A$5:$A$8,0),2)+INDEX('Rules of Credit'!$B$5:$F$8,MATCH($F296,'Rules of Credit'!$A$5:$A$8,0),3)+IF($X296="N",0,INDEX('Rules of Credit'!$B$5:$F$8,MATCH($F296,'Rules of Credit'!$A$5:$A$8,0),4))+INDEX('Rules of Credit'!$B$5:$F$8,MATCH($F296,'Rules of Credit'!$A$5:$A$8,0),5)),0)</f>
        <v>0</v>
      </c>
      <c r="Q296" s="184" t="n">
        <f aca="false">IF(OR($H296="",$I296=""),0,IF('Tracker Summary'!$C$3&lt;$H296,0,IF('Tracker Summary'!$C$3&gt;=$I296,1,('Tracker Summary'!$C$3-$H296)/($I296-$H296+1))))</f>
        <v>0</v>
      </c>
      <c r="R296" s="184" t="n">
        <f aca="false">P296-Q296</f>
        <v>0</v>
      </c>
      <c r="S296" s="181" t="str">
        <f aca="false">IF($I296="","Not scheduled",IF(P296&gt;=1,"Complete",IF('Tracker Summary'!$C$3&gt;$I296,"Overdue",IF(P296-Q296&lt;-0.1,"Behind",IF(AND(P296=0,'Tracker Summary'!$C$3&lt;$H296),"Not started","On track")))))</f>
        <v>Not started</v>
      </c>
      <c r="T296" s="90"/>
      <c r="U296" s="181" t="str">
        <f aca="false">IFERROR(INDEX(Schedule!$D$2:$D$147,MATCH($G296,Schedule!$A$2:$A$147,0)),"")</f>
        <v>Yard Piping &amp; Utilities — Yard piping, vaults and site utilities</v>
      </c>
      <c r="V296" s="183" t="n">
        <f aca="false">IFERROR(INDEX(Schedule!$F$2:$F$147,MATCH("33-P01",Schedule!$A$2:$A$147,0)),"")</f>
        <v>45016</v>
      </c>
      <c r="W296" s="181" t="s">
        <v>99</v>
      </c>
      <c r="X296" s="181" t="s">
        <v>99</v>
      </c>
      <c r="Y296" s="181" t="n">
        <v>4</v>
      </c>
      <c r="Z296" s="181" t="n">
        <v>6</v>
      </c>
      <c r="AA296" s="181" t="s">
        <v>1368</v>
      </c>
      <c r="AB296" s="181" t="s">
        <v>1329</v>
      </c>
      <c r="AC296" s="181" t="s">
        <v>92</v>
      </c>
      <c r="AD296" s="181" t="s">
        <v>93</v>
      </c>
      <c r="AE296" s="181" t="s">
        <v>1369</v>
      </c>
      <c r="AF296" s="181" t="s">
        <v>1349</v>
      </c>
      <c r="AG296" s="181" t="s">
        <v>1370</v>
      </c>
      <c r="AH296" s="181" t="s">
        <v>95</v>
      </c>
    </row>
    <row r="297" customFormat="false" ht="15" hidden="false" customHeight="false" outlineLevel="0" collapsed="false">
      <c r="A297" s="181" t="s">
        <v>60</v>
      </c>
      <c r="B297" s="182" t="s">
        <v>43</v>
      </c>
      <c r="C297" s="181" t="s">
        <v>1371</v>
      </c>
      <c r="D297" s="181" t="s">
        <v>1372</v>
      </c>
      <c r="E297" s="181" t="s">
        <v>98</v>
      </c>
      <c r="F297" s="90" t="s">
        <v>234</v>
      </c>
      <c r="G297" s="181" t="s">
        <v>1337</v>
      </c>
      <c r="H297" s="183" t="n">
        <f aca="false">IFERROR(INDEX(Schedule!$E$2:$E$147,MATCH($G297,Schedule!$A$2:$A$147,0)),"")</f>
        <v>45017</v>
      </c>
      <c r="I297" s="183" t="n">
        <f aca="false">IFERROR(INDEX(Schedule!$F$2:$F$147,MATCH($G297,Schedule!$A$2:$A$147,0)),"")</f>
        <v>45231</v>
      </c>
      <c r="J297" s="92"/>
      <c r="K297" s="92"/>
      <c r="L297" s="92"/>
      <c r="M297" s="92"/>
      <c r="N297" s="92"/>
      <c r="O297" s="90" t="n">
        <v>1</v>
      </c>
      <c r="P297" s="184" t="n">
        <f aca="false">IFERROR((IF(OR(ISNUMBER(J297),UPPER(TRIM(J297))="N/A"),1,0)*IF($W297="N",0,INDEX('Rules of Credit'!$B$5:$F$8,MATCH($F297,'Rules of Credit'!$A$5:$A$8,0),1))+IF(OR(ISNUMBER(K297),UPPER(TRIM(K297))="N/A"),1,0)*INDEX('Rules of Credit'!$B$5:$F$8,MATCH($F297,'Rules of Credit'!$A$5:$A$8,0),2)+IF(OR(ISNUMBER(L297),UPPER(TRIM(L297))="N/A"),1,0)*INDEX('Rules of Credit'!$B$5:$F$8,MATCH($F297,'Rules of Credit'!$A$5:$A$8,0),3)+IF(OR(ISNUMBER(M297),UPPER(TRIM(M297))="N/A"),1,0)*IF($X297="N",0,INDEX('Rules of Credit'!$B$5:$F$8,MATCH($F297,'Rules of Credit'!$A$5:$A$8,0),4))+IF(OR(ISNUMBER(N297),UPPER(TRIM(N297))="N/A"),1,0)*INDEX('Rules of Credit'!$B$5:$F$8,MATCH($F297,'Rules of Credit'!$A$5:$A$8,0),5))/(IF($W297="N",0,INDEX('Rules of Credit'!$B$5:$F$8,MATCH($F297,'Rules of Credit'!$A$5:$A$8,0),1))+INDEX('Rules of Credit'!$B$5:$F$8,MATCH($F297,'Rules of Credit'!$A$5:$A$8,0),2)+INDEX('Rules of Credit'!$B$5:$F$8,MATCH($F297,'Rules of Credit'!$A$5:$A$8,0),3)+IF($X297="N",0,INDEX('Rules of Credit'!$B$5:$F$8,MATCH($F297,'Rules of Credit'!$A$5:$A$8,0),4))+INDEX('Rules of Credit'!$B$5:$F$8,MATCH($F297,'Rules of Credit'!$A$5:$A$8,0),5)),0)</f>
        <v>0</v>
      </c>
      <c r="Q297" s="184" t="n">
        <f aca="false">IF(OR($H297="",$I297=""),0,IF('Tracker Summary'!$C$3&lt;$H297,0,IF('Tracker Summary'!$C$3&gt;=$I297,1,('Tracker Summary'!$C$3-$H297)/($I297-$H297+1))))</f>
        <v>0</v>
      </c>
      <c r="R297" s="184" t="n">
        <f aca="false">P297-Q297</f>
        <v>0</v>
      </c>
      <c r="S297" s="181" t="str">
        <f aca="false">IF($I297="","Not scheduled",IF(P297&gt;=1,"Complete",IF('Tracker Summary'!$C$3&gt;$I297,"Overdue",IF(P297-Q297&lt;-0.1,"Behind",IF(AND(P297=0,'Tracker Summary'!$C$3&lt;$H297),"Not started","On track")))))</f>
        <v>Not started</v>
      </c>
      <c r="T297" s="90"/>
      <c r="U297" s="181" t="str">
        <f aca="false">IFERROR(INDEX(Schedule!$D$2:$D$147,MATCH($G297,Schedule!$A$2:$A$147,0)),"")</f>
        <v>Yard Piping &amp; Utilities — Yard piping, vaults and site utilities</v>
      </c>
      <c r="V297" s="183" t="n">
        <f aca="false">IFERROR(INDEX(Schedule!$F$2:$F$147,MATCH("33-P01",Schedule!$A$2:$A$147,0)),"")</f>
        <v>45016</v>
      </c>
      <c r="W297" s="181" t="s">
        <v>99</v>
      </c>
      <c r="X297" s="181" t="s">
        <v>99</v>
      </c>
      <c r="Y297" s="181" t="n">
        <v>5</v>
      </c>
      <c r="Z297" s="181" t="n">
        <v>5</v>
      </c>
      <c r="AA297" s="181"/>
      <c r="AB297" s="181"/>
      <c r="AC297" s="181" t="s">
        <v>92</v>
      </c>
      <c r="AD297" s="181" t="s">
        <v>93</v>
      </c>
      <c r="AE297" s="181" t="s">
        <v>1373</v>
      </c>
      <c r="AF297" s="181" t="s">
        <v>1349</v>
      </c>
      <c r="AG297" s="181" t="s">
        <v>1374</v>
      </c>
      <c r="AH297" s="181" t="s">
        <v>95</v>
      </c>
    </row>
    <row r="298" customFormat="false" ht="15" hidden="false" customHeight="false" outlineLevel="0" collapsed="false">
      <c r="A298" s="181" t="s">
        <v>60</v>
      </c>
      <c r="B298" s="182" t="s">
        <v>43</v>
      </c>
      <c r="C298" s="181" t="s">
        <v>1375</v>
      </c>
      <c r="D298" s="181" t="s">
        <v>1376</v>
      </c>
      <c r="E298" s="181" t="s">
        <v>98</v>
      </c>
      <c r="F298" s="90" t="s">
        <v>234</v>
      </c>
      <c r="G298" s="181" t="s">
        <v>1337</v>
      </c>
      <c r="H298" s="183" t="n">
        <f aca="false">IFERROR(INDEX(Schedule!$E$2:$E$147,MATCH($G298,Schedule!$A$2:$A$147,0)),"")</f>
        <v>45017</v>
      </c>
      <c r="I298" s="183" t="n">
        <f aca="false">IFERROR(INDEX(Schedule!$F$2:$F$147,MATCH($G298,Schedule!$A$2:$A$147,0)),"")</f>
        <v>45231</v>
      </c>
      <c r="J298" s="92"/>
      <c r="K298" s="92"/>
      <c r="L298" s="92"/>
      <c r="M298" s="92"/>
      <c r="N298" s="92"/>
      <c r="O298" s="90" t="n">
        <v>1</v>
      </c>
      <c r="P298" s="184" t="n">
        <f aca="false">IFERROR((IF(OR(ISNUMBER(J298),UPPER(TRIM(J298))="N/A"),1,0)*IF($W298="N",0,INDEX('Rules of Credit'!$B$5:$F$8,MATCH($F298,'Rules of Credit'!$A$5:$A$8,0),1))+IF(OR(ISNUMBER(K298),UPPER(TRIM(K298))="N/A"),1,0)*INDEX('Rules of Credit'!$B$5:$F$8,MATCH($F298,'Rules of Credit'!$A$5:$A$8,0),2)+IF(OR(ISNUMBER(L298),UPPER(TRIM(L298))="N/A"),1,0)*INDEX('Rules of Credit'!$B$5:$F$8,MATCH($F298,'Rules of Credit'!$A$5:$A$8,0),3)+IF(OR(ISNUMBER(M298),UPPER(TRIM(M298))="N/A"),1,0)*IF($X298="N",0,INDEX('Rules of Credit'!$B$5:$F$8,MATCH($F298,'Rules of Credit'!$A$5:$A$8,0),4))+IF(OR(ISNUMBER(N298),UPPER(TRIM(N298))="N/A"),1,0)*INDEX('Rules of Credit'!$B$5:$F$8,MATCH($F298,'Rules of Credit'!$A$5:$A$8,0),5))/(IF($W298="N",0,INDEX('Rules of Credit'!$B$5:$F$8,MATCH($F298,'Rules of Credit'!$A$5:$A$8,0),1))+INDEX('Rules of Credit'!$B$5:$F$8,MATCH($F298,'Rules of Credit'!$A$5:$A$8,0),2)+INDEX('Rules of Credit'!$B$5:$F$8,MATCH($F298,'Rules of Credit'!$A$5:$A$8,0),3)+IF($X298="N",0,INDEX('Rules of Credit'!$B$5:$F$8,MATCH($F298,'Rules of Credit'!$A$5:$A$8,0),4))+INDEX('Rules of Credit'!$B$5:$F$8,MATCH($F298,'Rules of Credit'!$A$5:$A$8,0),5)),0)</f>
        <v>0</v>
      </c>
      <c r="Q298" s="184" t="n">
        <f aca="false">IF(OR($H298="",$I298=""),0,IF('Tracker Summary'!$C$3&lt;$H298,0,IF('Tracker Summary'!$C$3&gt;=$I298,1,('Tracker Summary'!$C$3-$H298)/($I298-$H298+1))))</f>
        <v>0</v>
      </c>
      <c r="R298" s="184" t="n">
        <f aca="false">P298-Q298</f>
        <v>0</v>
      </c>
      <c r="S298" s="181" t="str">
        <f aca="false">IF($I298="","Not scheduled",IF(P298&gt;=1,"Complete",IF('Tracker Summary'!$C$3&gt;$I298,"Overdue",IF(P298-Q298&lt;-0.1,"Behind",IF(AND(P298=0,'Tracker Summary'!$C$3&lt;$H298),"Not started","On track")))))</f>
        <v>Not started</v>
      </c>
      <c r="T298" s="90"/>
      <c r="U298" s="181" t="str">
        <f aca="false">IFERROR(INDEX(Schedule!$D$2:$D$147,MATCH($G298,Schedule!$A$2:$A$147,0)),"")</f>
        <v>Yard Piping &amp; Utilities — Yard piping, vaults and site utilities</v>
      </c>
      <c r="V298" s="183" t="n">
        <f aca="false">IFERROR(INDEX(Schedule!$F$2:$F$147,MATCH("33-P01",Schedule!$A$2:$A$147,0)),"")</f>
        <v>45016</v>
      </c>
      <c r="W298" s="181" t="s">
        <v>99</v>
      </c>
      <c r="X298" s="181" t="s">
        <v>99</v>
      </c>
      <c r="Y298" s="181" t="n">
        <v>3</v>
      </c>
      <c r="Z298" s="181" t="n">
        <v>4</v>
      </c>
      <c r="AA298" s="181"/>
      <c r="AB298" s="181"/>
      <c r="AC298" s="181" t="s">
        <v>92</v>
      </c>
      <c r="AD298" s="181" t="s">
        <v>93</v>
      </c>
      <c r="AE298" s="181" t="s">
        <v>1343</v>
      </c>
      <c r="AF298" s="181" t="s">
        <v>1357</v>
      </c>
      <c r="AG298" s="181" t="s">
        <v>1358</v>
      </c>
      <c r="AH298" s="181" t="s">
        <v>95</v>
      </c>
    </row>
    <row r="299" customFormat="false" ht="15" hidden="false" customHeight="false" outlineLevel="0" collapsed="false">
      <c r="A299" s="181" t="s">
        <v>60</v>
      </c>
      <c r="B299" s="182" t="s">
        <v>43</v>
      </c>
      <c r="C299" s="181" t="s">
        <v>1377</v>
      </c>
      <c r="D299" s="181" t="s">
        <v>1378</v>
      </c>
      <c r="E299" s="181" t="s">
        <v>1367</v>
      </c>
      <c r="F299" s="90" t="s">
        <v>234</v>
      </c>
      <c r="G299" s="181" t="s">
        <v>1337</v>
      </c>
      <c r="H299" s="183" t="n">
        <f aca="false">IFERROR(INDEX(Schedule!$E$2:$E$147,MATCH($G299,Schedule!$A$2:$A$147,0)),"")</f>
        <v>45017</v>
      </c>
      <c r="I299" s="183" t="n">
        <f aca="false">IFERROR(INDEX(Schedule!$F$2:$F$147,MATCH($G299,Schedule!$A$2:$A$147,0)),"")</f>
        <v>45231</v>
      </c>
      <c r="J299" s="92"/>
      <c r="K299" s="92"/>
      <c r="L299" s="92"/>
      <c r="M299" s="92"/>
      <c r="N299" s="92"/>
      <c r="O299" s="90" t="n">
        <v>1</v>
      </c>
      <c r="P299" s="184" t="n">
        <f aca="false">IFERROR((IF(OR(ISNUMBER(J299),UPPER(TRIM(J299))="N/A"),1,0)*IF($W299="N",0,INDEX('Rules of Credit'!$B$5:$F$8,MATCH($F299,'Rules of Credit'!$A$5:$A$8,0),1))+IF(OR(ISNUMBER(K299),UPPER(TRIM(K299))="N/A"),1,0)*INDEX('Rules of Credit'!$B$5:$F$8,MATCH($F299,'Rules of Credit'!$A$5:$A$8,0),2)+IF(OR(ISNUMBER(L299),UPPER(TRIM(L299))="N/A"),1,0)*INDEX('Rules of Credit'!$B$5:$F$8,MATCH($F299,'Rules of Credit'!$A$5:$A$8,0),3)+IF(OR(ISNUMBER(M299),UPPER(TRIM(M299))="N/A"),1,0)*IF($X299="N",0,INDEX('Rules of Credit'!$B$5:$F$8,MATCH($F299,'Rules of Credit'!$A$5:$A$8,0),4))+IF(OR(ISNUMBER(N299),UPPER(TRIM(N299))="N/A"),1,0)*INDEX('Rules of Credit'!$B$5:$F$8,MATCH($F299,'Rules of Credit'!$A$5:$A$8,0),5))/(IF($W299="N",0,INDEX('Rules of Credit'!$B$5:$F$8,MATCH($F299,'Rules of Credit'!$A$5:$A$8,0),1))+INDEX('Rules of Credit'!$B$5:$F$8,MATCH($F299,'Rules of Credit'!$A$5:$A$8,0),2)+INDEX('Rules of Credit'!$B$5:$F$8,MATCH($F299,'Rules of Credit'!$A$5:$A$8,0),3)+IF($X299="N",0,INDEX('Rules of Credit'!$B$5:$F$8,MATCH($F299,'Rules of Credit'!$A$5:$A$8,0),4))+INDEX('Rules of Credit'!$B$5:$F$8,MATCH($F299,'Rules of Credit'!$A$5:$A$8,0),5)),0)</f>
        <v>0</v>
      </c>
      <c r="Q299" s="184" t="n">
        <f aca="false">IF(OR($H299="",$I299=""),0,IF('Tracker Summary'!$C$3&lt;$H299,0,IF('Tracker Summary'!$C$3&gt;=$I299,1,('Tracker Summary'!$C$3-$H299)/($I299-$H299+1))))</f>
        <v>0</v>
      </c>
      <c r="R299" s="184" t="n">
        <f aca="false">P299-Q299</f>
        <v>0</v>
      </c>
      <c r="S299" s="181" t="str">
        <f aca="false">IF($I299="","Not scheduled",IF(P299&gt;=1,"Complete",IF('Tracker Summary'!$C$3&gt;$I299,"Overdue",IF(P299-Q299&lt;-0.1,"Behind",IF(AND(P299=0,'Tracker Summary'!$C$3&lt;$H299),"Not started","On track")))))</f>
        <v>Not started</v>
      </c>
      <c r="T299" s="90"/>
      <c r="U299" s="181" t="str">
        <f aca="false">IFERROR(INDEX(Schedule!$D$2:$D$147,MATCH($G299,Schedule!$A$2:$A$147,0)),"")</f>
        <v>Yard Piping &amp; Utilities — Yard piping, vaults and site utilities</v>
      </c>
      <c r="V299" s="183" t="n">
        <f aca="false">IFERROR(INDEX(Schedule!$F$2:$F$147,MATCH("33-P01",Schedule!$A$2:$A$147,0)),"")</f>
        <v>45016</v>
      </c>
      <c r="W299" s="181" t="s">
        <v>99</v>
      </c>
      <c r="X299" s="181" t="s">
        <v>99</v>
      </c>
      <c r="Y299" s="181" t="n">
        <v>7</v>
      </c>
      <c r="Z299" s="181" t="n">
        <v>8</v>
      </c>
      <c r="AA299" s="181" t="s">
        <v>1379</v>
      </c>
      <c r="AB299" s="181" t="s">
        <v>1380</v>
      </c>
      <c r="AC299" s="181" t="s">
        <v>92</v>
      </c>
      <c r="AD299" s="181" t="s">
        <v>93</v>
      </c>
      <c r="AE299" s="181" t="s">
        <v>1369</v>
      </c>
      <c r="AF299" s="181" t="s">
        <v>1381</v>
      </c>
      <c r="AG299" s="181" t="s">
        <v>1382</v>
      </c>
      <c r="AH299" s="181" t="s">
        <v>95</v>
      </c>
    </row>
    <row r="300" customFormat="false" ht="15" hidden="false" customHeight="false" outlineLevel="0" collapsed="false">
      <c r="A300" s="181" t="s">
        <v>60</v>
      </c>
      <c r="B300" s="182" t="s">
        <v>43</v>
      </c>
      <c r="C300" s="181" t="s">
        <v>1383</v>
      </c>
      <c r="D300" s="181" t="s">
        <v>1384</v>
      </c>
      <c r="E300" s="181" t="s">
        <v>98</v>
      </c>
      <c r="F300" s="90" t="s">
        <v>234</v>
      </c>
      <c r="G300" s="181" t="s">
        <v>1337</v>
      </c>
      <c r="H300" s="183" t="n">
        <f aca="false">IFERROR(INDEX(Schedule!$E$2:$E$147,MATCH($G300,Schedule!$A$2:$A$147,0)),"")</f>
        <v>45017</v>
      </c>
      <c r="I300" s="183" t="n">
        <f aca="false">IFERROR(INDEX(Schedule!$F$2:$F$147,MATCH($G300,Schedule!$A$2:$A$147,0)),"")</f>
        <v>45231</v>
      </c>
      <c r="J300" s="92"/>
      <c r="K300" s="92"/>
      <c r="L300" s="92"/>
      <c r="M300" s="92"/>
      <c r="N300" s="92"/>
      <c r="O300" s="90" t="n">
        <v>1</v>
      </c>
      <c r="P300" s="184" t="n">
        <f aca="false">IFERROR((IF(OR(ISNUMBER(J300),UPPER(TRIM(J300))="N/A"),1,0)*IF($W300="N",0,INDEX('Rules of Credit'!$B$5:$F$8,MATCH($F300,'Rules of Credit'!$A$5:$A$8,0),1))+IF(OR(ISNUMBER(K300),UPPER(TRIM(K300))="N/A"),1,0)*INDEX('Rules of Credit'!$B$5:$F$8,MATCH($F300,'Rules of Credit'!$A$5:$A$8,0),2)+IF(OR(ISNUMBER(L300),UPPER(TRIM(L300))="N/A"),1,0)*INDEX('Rules of Credit'!$B$5:$F$8,MATCH($F300,'Rules of Credit'!$A$5:$A$8,0),3)+IF(OR(ISNUMBER(M300),UPPER(TRIM(M300))="N/A"),1,0)*IF($X300="N",0,INDEX('Rules of Credit'!$B$5:$F$8,MATCH($F300,'Rules of Credit'!$A$5:$A$8,0),4))+IF(OR(ISNUMBER(N300),UPPER(TRIM(N300))="N/A"),1,0)*INDEX('Rules of Credit'!$B$5:$F$8,MATCH($F300,'Rules of Credit'!$A$5:$A$8,0),5))/(IF($W300="N",0,INDEX('Rules of Credit'!$B$5:$F$8,MATCH($F300,'Rules of Credit'!$A$5:$A$8,0),1))+INDEX('Rules of Credit'!$B$5:$F$8,MATCH($F300,'Rules of Credit'!$A$5:$A$8,0),2)+INDEX('Rules of Credit'!$B$5:$F$8,MATCH($F300,'Rules of Credit'!$A$5:$A$8,0),3)+IF($X300="N",0,INDEX('Rules of Credit'!$B$5:$F$8,MATCH($F300,'Rules of Credit'!$A$5:$A$8,0),4))+INDEX('Rules of Credit'!$B$5:$F$8,MATCH($F300,'Rules of Credit'!$A$5:$A$8,0),5)),0)</f>
        <v>0</v>
      </c>
      <c r="Q300" s="184" t="n">
        <f aca="false">IF(OR($H300="",$I300=""),0,IF('Tracker Summary'!$C$3&lt;$H300,0,IF('Tracker Summary'!$C$3&gt;=$I300,1,('Tracker Summary'!$C$3-$H300)/($I300-$H300+1))))</f>
        <v>0</v>
      </c>
      <c r="R300" s="184" t="n">
        <f aca="false">P300-Q300</f>
        <v>0</v>
      </c>
      <c r="S300" s="181" t="str">
        <f aca="false">IF($I300="","Not scheduled",IF(P300&gt;=1,"Complete",IF('Tracker Summary'!$C$3&gt;$I300,"Overdue",IF(P300-Q300&lt;-0.1,"Behind",IF(AND(P300=0,'Tracker Summary'!$C$3&lt;$H300),"Not started","On track")))))</f>
        <v>Not started</v>
      </c>
      <c r="T300" s="90"/>
      <c r="U300" s="181" t="str">
        <f aca="false">IFERROR(INDEX(Schedule!$D$2:$D$147,MATCH($G300,Schedule!$A$2:$A$147,0)),"")</f>
        <v>Yard Piping &amp; Utilities — Yard piping, vaults and site utilities</v>
      </c>
      <c r="V300" s="183" t="n">
        <f aca="false">IFERROR(INDEX(Schedule!$F$2:$F$147,MATCH("33-P01",Schedule!$A$2:$A$147,0)),"")</f>
        <v>45016</v>
      </c>
      <c r="W300" s="181" t="s">
        <v>99</v>
      </c>
      <c r="X300" s="181" t="s">
        <v>99</v>
      </c>
      <c r="Y300" s="181" t="n">
        <v>4</v>
      </c>
      <c r="Z300" s="181" t="n">
        <v>5</v>
      </c>
      <c r="AA300" s="181" t="s">
        <v>1385</v>
      </c>
      <c r="AB300" s="181" t="s">
        <v>1386</v>
      </c>
      <c r="AC300" s="181" t="s">
        <v>92</v>
      </c>
      <c r="AD300" s="181" t="s">
        <v>93</v>
      </c>
      <c r="AE300" s="181" t="s">
        <v>1343</v>
      </c>
      <c r="AF300" s="181" t="s">
        <v>1349</v>
      </c>
      <c r="AG300" s="181" t="s">
        <v>1350</v>
      </c>
      <c r="AH300" s="181" t="s">
        <v>95</v>
      </c>
    </row>
    <row r="301" customFormat="false" ht="15" hidden="false" customHeight="false" outlineLevel="0" collapsed="false">
      <c r="A301" s="181" t="s">
        <v>60</v>
      </c>
      <c r="B301" s="182" t="s">
        <v>43</v>
      </c>
      <c r="C301" s="181" t="s">
        <v>1387</v>
      </c>
      <c r="D301" s="181" t="s">
        <v>1388</v>
      </c>
      <c r="E301" s="181" t="s">
        <v>98</v>
      </c>
      <c r="F301" s="90" t="s">
        <v>234</v>
      </c>
      <c r="G301" s="181" t="s">
        <v>1337</v>
      </c>
      <c r="H301" s="183" t="n">
        <f aca="false">IFERROR(INDEX(Schedule!$E$2:$E$147,MATCH($G301,Schedule!$A$2:$A$147,0)),"")</f>
        <v>45017</v>
      </c>
      <c r="I301" s="183" t="n">
        <f aca="false">IFERROR(INDEX(Schedule!$F$2:$F$147,MATCH($G301,Schedule!$A$2:$A$147,0)),"")</f>
        <v>45231</v>
      </c>
      <c r="J301" s="92"/>
      <c r="K301" s="92"/>
      <c r="L301" s="92"/>
      <c r="M301" s="92"/>
      <c r="N301" s="92"/>
      <c r="O301" s="90" t="n">
        <v>1</v>
      </c>
      <c r="P301" s="184" t="n">
        <f aca="false">IFERROR((IF(OR(ISNUMBER(J301),UPPER(TRIM(J301))="N/A"),1,0)*IF($W301="N",0,INDEX('Rules of Credit'!$B$5:$F$8,MATCH($F301,'Rules of Credit'!$A$5:$A$8,0),1))+IF(OR(ISNUMBER(K301),UPPER(TRIM(K301))="N/A"),1,0)*INDEX('Rules of Credit'!$B$5:$F$8,MATCH($F301,'Rules of Credit'!$A$5:$A$8,0),2)+IF(OR(ISNUMBER(L301),UPPER(TRIM(L301))="N/A"),1,0)*INDEX('Rules of Credit'!$B$5:$F$8,MATCH($F301,'Rules of Credit'!$A$5:$A$8,0),3)+IF(OR(ISNUMBER(M301),UPPER(TRIM(M301))="N/A"),1,0)*IF($X301="N",0,INDEX('Rules of Credit'!$B$5:$F$8,MATCH($F301,'Rules of Credit'!$A$5:$A$8,0),4))+IF(OR(ISNUMBER(N301),UPPER(TRIM(N301))="N/A"),1,0)*INDEX('Rules of Credit'!$B$5:$F$8,MATCH($F301,'Rules of Credit'!$A$5:$A$8,0),5))/(IF($W301="N",0,INDEX('Rules of Credit'!$B$5:$F$8,MATCH($F301,'Rules of Credit'!$A$5:$A$8,0),1))+INDEX('Rules of Credit'!$B$5:$F$8,MATCH($F301,'Rules of Credit'!$A$5:$A$8,0),2)+INDEX('Rules of Credit'!$B$5:$F$8,MATCH($F301,'Rules of Credit'!$A$5:$A$8,0),3)+IF($X301="N",0,INDEX('Rules of Credit'!$B$5:$F$8,MATCH($F301,'Rules of Credit'!$A$5:$A$8,0),4))+INDEX('Rules of Credit'!$B$5:$F$8,MATCH($F301,'Rules of Credit'!$A$5:$A$8,0),5)),0)</f>
        <v>0</v>
      </c>
      <c r="Q301" s="184" t="n">
        <f aca="false">IF(OR($H301="",$I301=""),0,IF('Tracker Summary'!$C$3&lt;$H301,0,IF('Tracker Summary'!$C$3&gt;=$I301,1,('Tracker Summary'!$C$3-$H301)/($I301-$H301+1))))</f>
        <v>0</v>
      </c>
      <c r="R301" s="184" t="n">
        <f aca="false">P301-Q301</f>
        <v>0</v>
      </c>
      <c r="S301" s="181" t="str">
        <f aca="false">IF($I301="","Not scheduled",IF(P301&gt;=1,"Complete",IF('Tracker Summary'!$C$3&gt;$I301,"Overdue",IF(P301-Q301&lt;-0.1,"Behind",IF(AND(P301=0,'Tracker Summary'!$C$3&lt;$H301),"Not started","On track")))))</f>
        <v>Not started</v>
      </c>
      <c r="T301" s="90"/>
      <c r="U301" s="181" t="str">
        <f aca="false">IFERROR(INDEX(Schedule!$D$2:$D$147,MATCH($G301,Schedule!$A$2:$A$147,0)),"")</f>
        <v>Yard Piping &amp; Utilities — Yard piping, vaults and site utilities</v>
      </c>
      <c r="V301" s="183" t="n">
        <f aca="false">IFERROR(INDEX(Schedule!$F$2:$F$147,MATCH("33-P01",Schedule!$A$2:$A$147,0)),"")</f>
        <v>45016</v>
      </c>
      <c r="W301" s="181" t="s">
        <v>99</v>
      </c>
      <c r="X301" s="181" t="s">
        <v>99</v>
      </c>
      <c r="Y301" s="181" t="n">
        <v>4</v>
      </c>
      <c r="Z301" s="181" t="n">
        <v>7</v>
      </c>
      <c r="AA301" s="181"/>
      <c r="AB301" s="181" t="s">
        <v>1389</v>
      </c>
      <c r="AC301" s="181" t="s">
        <v>120</v>
      </c>
      <c r="AD301" s="181" t="s">
        <v>93</v>
      </c>
      <c r="AE301" s="181" t="s">
        <v>1343</v>
      </c>
      <c r="AF301" s="181" t="s">
        <v>1390</v>
      </c>
      <c r="AG301" s="181" t="s">
        <v>1391</v>
      </c>
      <c r="AH301" s="181" t="s">
        <v>95</v>
      </c>
    </row>
    <row r="302" customFormat="false" ht="15" hidden="false" customHeight="false" outlineLevel="0" collapsed="false">
      <c r="A302" s="181" t="s">
        <v>60</v>
      </c>
      <c r="B302" s="182" t="s">
        <v>43</v>
      </c>
      <c r="C302" s="181" t="s">
        <v>1392</v>
      </c>
      <c r="D302" s="181" t="s">
        <v>1393</v>
      </c>
      <c r="E302" s="181" t="s">
        <v>98</v>
      </c>
      <c r="F302" s="90" t="s">
        <v>234</v>
      </c>
      <c r="G302" s="181" t="s">
        <v>1337</v>
      </c>
      <c r="H302" s="183" t="n">
        <f aca="false">IFERROR(INDEX(Schedule!$E$2:$E$147,MATCH($G302,Schedule!$A$2:$A$147,0)),"")</f>
        <v>45017</v>
      </c>
      <c r="I302" s="183" t="n">
        <f aca="false">IFERROR(INDEX(Schedule!$F$2:$F$147,MATCH($G302,Schedule!$A$2:$A$147,0)),"")</f>
        <v>45231</v>
      </c>
      <c r="J302" s="92"/>
      <c r="K302" s="92"/>
      <c r="L302" s="92"/>
      <c r="M302" s="92"/>
      <c r="N302" s="92"/>
      <c r="O302" s="90" t="n">
        <v>1</v>
      </c>
      <c r="P302" s="184" t="n">
        <f aca="false">IFERROR((IF(OR(ISNUMBER(J302),UPPER(TRIM(J302))="N/A"),1,0)*IF($W302="N",0,INDEX('Rules of Credit'!$B$5:$F$8,MATCH($F302,'Rules of Credit'!$A$5:$A$8,0),1))+IF(OR(ISNUMBER(K302),UPPER(TRIM(K302))="N/A"),1,0)*INDEX('Rules of Credit'!$B$5:$F$8,MATCH($F302,'Rules of Credit'!$A$5:$A$8,0),2)+IF(OR(ISNUMBER(L302),UPPER(TRIM(L302))="N/A"),1,0)*INDEX('Rules of Credit'!$B$5:$F$8,MATCH($F302,'Rules of Credit'!$A$5:$A$8,0),3)+IF(OR(ISNUMBER(M302),UPPER(TRIM(M302))="N/A"),1,0)*IF($X302="N",0,INDEX('Rules of Credit'!$B$5:$F$8,MATCH($F302,'Rules of Credit'!$A$5:$A$8,0),4))+IF(OR(ISNUMBER(N302),UPPER(TRIM(N302))="N/A"),1,0)*INDEX('Rules of Credit'!$B$5:$F$8,MATCH($F302,'Rules of Credit'!$A$5:$A$8,0),5))/(IF($W302="N",0,INDEX('Rules of Credit'!$B$5:$F$8,MATCH($F302,'Rules of Credit'!$A$5:$A$8,0),1))+INDEX('Rules of Credit'!$B$5:$F$8,MATCH($F302,'Rules of Credit'!$A$5:$A$8,0),2)+INDEX('Rules of Credit'!$B$5:$F$8,MATCH($F302,'Rules of Credit'!$A$5:$A$8,0),3)+IF($X302="N",0,INDEX('Rules of Credit'!$B$5:$F$8,MATCH($F302,'Rules of Credit'!$A$5:$A$8,0),4))+INDEX('Rules of Credit'!$B$5:$F$8,MATCH($F302,'Rules of Credit'!$A$5:$A$8,0),5)),0)</f>
        <v>0</v>
      </c>
      <c r="Q302" s="184" t="n">
        <f aca="false">IF(OR($H302="",$I302=""),0,IF('Tracker Summary'!$C$3&lt;$H302,0,IF('Tracker Summary'!$C$3&gt;=$I302,1,('Tracker Summary'!$C$3-$H302)/($I302-$H302+1))))</f>
        <v>0</v>
      </c>
      <c r="R302" s="184" t="n">
        <f aca="false">P302-Q302</f>
        <v>0</v>
      </c>
      <c r="S302" s="181" t="str">
        <f aca="false">IF($I302="","Not scheduled",IF(P302&gt;=1,"Complete",IF('Tracker Summary'!$C$3&gt;$I302,"Overdue",IF(P302-Q302&lt;-0.1,"Behind",IF(AND(P302=0,'Tracker Summary'!$C$3&lt;$H302),"Not started","On track")))))</f>
        <v>Not started</v>
      </c>
      <c r="T302" s="90"/>
      <c r="U302" s="181" t="str">
        <f aca="false">IFERROR(INDEX(Schedule!$D$2:$D$147,MATCH($G302,Schedule!$A$2:$A$147,0)),"")</f>
        <v>Yard Piping &amp; Utilities — Yard piping, vaults and site utilities</v>
      </c>
      <c r="V302" s="183" t="n">
        <f aca="false">IFERROR(INDEX(Schedule!$F$2:$F$147,MATCH("33-P01",Schedule!$A$2:$A$147,0)),"")</f>
        <v>45016</v>
      </c>
      <c r="W302" s="181" t="s">
        <v>99</v>
      </c>
      <c r="X302" s="181" t="s">
        <v>99</v>
      </c>
      <c r="Y302" s="181" t="n">
        <v>4</v>
      </c>
      <c r="Z302" s="181" t="n">
        <v>5</v>
      </c>
      <c r="AA302" s="181" t="s">
        <v>1394</v>
      </c>
      <c r="AB302" s="181" t="s">
        <v>1395</v>
      </c>
      <c r="AC302" s="181" t="s">
        <v>92</v>
      </c>
      <c r="AD302" s="181" t="s">
        <v>93</v>
      </c>
      <c r="AE302" s="181" t="s">
        <v>1343</v>
      </c>
      <c r="AF302" s="181" t="s">
        <v>1349</v>
      </c>
      <c r="AG302" s="181" t="s">
        <v>1350</v>
      </c>
      <c r="AH302" s="181" t="s">
        <v>95</v>
      </c>
    </row>
    <row r="303" customFormat="false" ht="15" hidden="false" customHeight="false" outlineLevel="0" collapsed="false">
      <c r="A303" s="181" t="s">
        <v>60</v>
      </c>
      <c r="B303" s="182" t="s">
        <v>43</v>
      </c>
      <c r="C303" s="181" t="s">
        <v>1396</v>
      </c>
      <c r="D303" s="181" t="s">
        <v>1397</v>
      </c>
      <c r="E303" s="181" t="s">
        <v>98</v>
      </c>
      <c r="F303" s="90" t="s">
        <v>234</v>
      </c>
      <c r="G303" s="181" t="s">
        <v>1337</v>
      </c>
      <c r="H303" s="183" t="n">
        <f aca="false">IFERROR(INDEX(Schedule!$E$2:$E$147,MATCH($G303,Schedule!$A$2:$A$147,0)),"")</f>
        <v>45017</v>
      </c>
      <c r="I303" s="183" t="n">
        <f aca="false">IFERROR(INDEX(Schedule!$F$2:$F$147,MATCH($G303,Schedule!$A$2:$A$147,0)),"")</f>
        <v>45231</v>
      </c>
      <c r="J303" s="92"/>
      <c r="K303" s="92"/>
      <c r="L303" s="92"/>
      <c r="M303" s="92"/>
      <c r="N303" s="92"/>
      <c r="O303" s="90" t="n">
        <v>1</v>
      </c>
      <c r="P303" s="184" t="n">
        <f aca="false">IFERROR((IF(OR(ISNUMBER(J303),UPPER(TRIM(J303))="N/A"),1,0)*IF($W303="N",0,INDEX('Rules of Credit'!$B$5:$F$8,MATCH($F303,'Rules of Credit'!$A$5:$A$8,0),1))+IF(OR(ISNUMBER(K303),UPPER(TRIM(K303))="N/A"),1,0)*INDEX('Rules of Credit'!$B$5:$F$8,MATCH($F303,'Rules of Credit'!$A$5:$A$8,0),2)+IF(OR(ISNUMBER(L303),UPPER(TRIM(L303))="N/A"),1,0)*INDEX('Rules of Credit'!$B$5:$F$8,MATCH($F303,'Rules of Credit'!$A$5:$A$8,0),3)+IF(OR(ISNUMBER(M303),UPPER(TRIM(M303))="N/A"),1,0)*IF($X303="N",0,INDEX('Rules of Credit'!$B$5:$F$8,MATCH($F303,'Rules of Credit'!$A$5:$A$8,0),4))+IF(OR(ISNUMBER(N303),UPPER(TRIM(N303))="N/A"),1,0)*INDEX('Rules of Credit'!$B$5:$F$8,MATCH($F303,'Rules of Credit'!$A$5:$A$8,0),5))/(IF($W303="N",0,INDEX('Rules of Credit'!$B$5:$F$8,MATCH($F303,'Rules of Credit'!$A$5:$A$8,0),1))+INDEX('Rules of Credit'!$B$5:$F$8,MATCH($F303,'Rules of Credit'!$A$5:$A$8,0),2)+INDEX('Rules of Credit'!$B$5:$F$8,MATCH($F303,'Rules of Credit'!$A$5:$A$8,0),3)+IF($X303="N",0,INDEX('Rules of Credit'!$B$5:$F$8,MATCH($F303,'Rules of Credit'!$A$5:$A$8,0),4))+INDEX('Rules of Credit'!$B$5:$F$8,MATCH($F303,'Rules of Credit'!$A$5:$A$8,0),5)),0)</f>
        <v>0</v>
      </c>
      <c r="Q303" s="184" t="n">
        <f aca="false">IF(OR($H303="",$I303=""),0,IF('Tracker Summary'!$C$3&lt;$H303,0,IF('Tracker Summary'!$C$3&gt;=$I303,1,('Tracker Summary'!$C$3-$H303)/($I303-$H303+1))))</f>
        <v>0</v>
      </c>
      <c r="R303" s="184" t="n">
        <f aca="false">P303-Q303</f>
        <v>0</v>
      </c>
      <c r="S303" s="181" t="str">
        <f aca="false">IF($I303="","Not scheduled",IF(P303&gt;=1,"Complete",IF('Tracker Summary'!$C$3&gt;$I303,"Overdue",IF(P303-Q303&lt;-0.1,"Behind",IF(AND(P303=0,'Tracker Summary'!$C$3&lt;$H303),"Not started","On track")))))</f>
        <v>Not started</v>
      </c>
      <c r="T303" s="90"/>
      <c r="U303" s="181" t="str">
        <f aca="false">IFERROR(INDEX(Schedule!$D$2:$D$147,MATCH($G303,Schedule!$A$2:$A$147,0)),"")</f>
        <v>Yard Piping &amp; Utilities — Yard piping, vaults and site utilities</v>
      </c>
      <c r="V303" s="183" t="n">
        <f aca="false">IFERROR(INDEX(Schedule!$F$2:$F$147,MATCH("33-P01",Schedule!$A$2:$A$147,0)),"")</f>
        <v>45016</v>
      </c>
      <c r="W303" s="181" t="s">
        <v>99</v>
      </c>
      <c r="X303" s="181" t="s">
        <v>99</v>
      </c>
      <c r="Y303" s="181" t="n">
        <v>4</v>
      </c>
      <c r="Z303" s="181" t="n">
        <v>5</v>
      </c>
      <c r="AA303" s="181" t="s">
        <v>1398</v>
      </c>
      <c r="AB303" s="181" t="s">
        <v>1399</v>
      </c>
      <c r="AC303" s="181" t="s">
        <v>92</v>
      </c>
      <c r="AD303" s="181" t="s">
        <v>93</v>
      </c>
      <c r="AE303" s="181" t="s">
        <v>1343</v>
      </c>
      <c r="AF303" s="181" t="s">
        <v>1349</v>
      </c>
      <c r="AG303" s="181" t="s">
        <v>1350</v>
      </c>
      <c r="AH303" s="181" t="s">
        <v>95</v>
      </c>
    </row>
    <row r="304" customFormat="false" ht="15" hidden="false" customHeight="false" outlineLevel="0" collapsed="false">
      <c r="A304" s="181" t="s">
        <v>60</v>
      </c>
      <c r="B304" s="182" t="s">
        <v>43</v>
      </c>
      <c r="C304" s="181" t="s">
        <v>1400</v>
      </c>
      <c r="D304" s="181" t="s">
        <v>1401</v>
      </c>
      <c r="E304" s="181" t="s">
        <v>1367</v>
      </c>
      <c r="F304" s="90" t="s">
        <v>234</v>
      </c>
      <c r="G304" s="181" t="s">
        <v>1337</v>
      </c>
      <c r="H304" s="183" t="n">
        <f aca="false">IFERROR(INDEX(Schedule!$E$2:$E$147,MATCH($G304,Schedule!$A$2:$A$147,0)),"")</f>
        <v>45017</v>
      </c>
      <c r="I304" s="183" t="n">
        <f aca="false">IFERROR(INDEX(Schedule!$F$2:$F$147,MATCH($G304,Schedule!$A$2:$A$147,0)),"")</f>
        <v>45231</v>
      </c>
      <c r="J304" s="92"/>
      <c r="K304" s="92"/>
      <c r="L304" s="92"/>
      <c r="M304" s="92"/>
      <c r="N304" s="92"/>
      <c r="O304" s="90" t="n">
        <v>1</v>
      </c>
      <c r="P304" s="184" t="n">
        <f aca="false">IFERROR((IF(OR(ISNUMBER(J304),UPPER(TRIM(J304))="N/A"),1,0)*IF($W304="N",0,INDEX('Rules of Credit'!$B$5:$F$8,MATCH($F304,'Rules of Credit'!$A$5:$A$8,0),1))+IF(OR(ISNUMBER(K304),UPPER(TRIM(K304))="N/A"),1,0)*INDEX('Rules of Credit'!$B$5:$F$8,MATCH($F304,'Rules of Credit'!$A$5:$A$8,0),2)+IF(OR(ISNUMBER(L304),UPPER(TRIM(L304))="N/A"),1,0)*INDEX('Rules of Credit'!$B$5:$F$8,MATCH($F304,'Rules of Credit'!$A$5:$A$8,0),3)+IF(OR(ISNUMBER(M304),UPPER(TRIM(M304))="N/A"),1,0)*IF($X304="N",0,INDEX('Rules of Credit'!$B$5:$F$8,MATCH($F304,'Rules of Credit'!$A$5:$A$8,0),4))+IF(OR(ISNUMBER(N304),UPPER(TRIM(N304))="N/A"),1,0)*INDEX('Rules of Credit'!$B$5:$F$8,MATCH($F304,'Rules of Credit'!$A$5:$A$8,0),5))/(IF($W304="N",0,INDEX('Rules of Credit'!$B$5:$F$8,MATCH($F304,'Rules of Credit'!$A$5:$A$8,0),1))+INDEX('Rules of Credit'!$B$5:$F$8,MATCH($F304,'Rules of Credit'!$A$5:$A$8,0),2)+INDEX('Rules of Credit'!$B$5:$F$8,MATCH($F304,'Rules of Credit'!$A$5:$A$8,0),3)+IF($X304="N",0,INDEX('Rules of Credit'!$B$5:$F$8,MATCH($F304,'Rules of Credit'!$A$5:$A$8,0),4))+INDEX('Rules of Credit'!$B$5:$F$8,MATCH($F304,'Rules of Credit'!$A$5:$A$8,0),5)),0)</f>
        <v>0</v>
      </c>
      <c r="Q304" s="184" t="n">
        <f aca="false">IF(OR($H304="",$I304=""),0,IF('Tracker Summary'!$C$3&lt;$H304,0,IF('Tracker Summary'!$C$3&gt;=$I304,1,('Tracker Summary'!$C$3-$H304)/($I304-$H304+1))))</f>
        <v>0</v>
      </c>
      <c r="R304" s="184" t="n">
        <f aca="false">P304-Q304</f>
        <v>0</v>
      </c>
      <c r="S304" s="181" t="str">
        <f aca="false">IF($I304="","Not scheduled",IF(P304&gt;=1,"Complete",IF('Tracker Summary'!$C$3&gt;$I304,"Overdue",IF(P304-Q304&lt;-0.1,"Behind",IF(AND(P304=0,'Tracker Summary'!$C$3&lt;$H304),"Not started","On track")))))</f>
        <v>Not started</v>
      </c>
      <c r="T304" s="90"/>
      <c r="U304" s="181" t="str">
        <f aca="false">IFERROR(INDEX(Schedule!$D$2:$D$147,MATCH($G304,Schedule!$A$2:$A$147,0)),"")</f>
        <v>Yard Piping &amp; Utilities — Yard piping, vaults and site utilities</v>
      </c>
      <c r="V304" s="183" t="n">
        <f aca="false">IFERROR(INDEX(Schedule!$F$2:$F$147,MATCH("33-P01",Schedule!$A$2:$A$147,0)),"")</f>
        <v>45016</v>
      </c>
      <c r="W304" s="181" t="s">
        <v>99</v>
      </c>
      <c r="X304" s="181" t="s">
        <v>99</v>
      </c>
      <c r="Y304" s="181" t="n">
        <v>4</v>
      </c>
      <c r="Z304" s="181" t="n">
        <v>6</v>
      </c>
      <c r="AA304" s="181" t="s">
        <v>1402</v>
      </c>
      <c r="AB304" s="181" t="s">
        <v>1403</v>
      </c>
      <c r="AC304" s="181" t="s">
        <v>120</v>
      </c>
      <c r="AD304" s="181" t="s">
        <v>93</v>
      </c>
      <c r="AE304" s="181" t="s">
        <v>1369</v>
      </c>
      <c r="AF304" s="181" t="s">
        <v>1349</v>
      </c>
      <c r="AG304" s="181" t="s">
        <v>1370</v>
      </c>
      <c r="AH304" s="181" t="s">
        <v>95</v>
      </c>
    </row>
    <row r="305" customFormat="false" ht="15" hidden="false" customHeight="false" outlineLevel="0" collapsed="false">
      <c r="A305" s="181" t="s">
        <v>60</v>
      </c>
      <c r="B305" s="182" t="s">
        <v>43</v>
      </c>
      <c r="C305" s="181" t="s">
        <v>1404</v>
      </c>
      <c r="D305" s="181" t="s">
        <v>1405</v>
      </c>
      <c r="E305" s="181" t="s">
        <v>1367</v>
      </c>
      <c r="F305" s="90" t="s">
        <v>234</v>
      </c>
      <c r="G305" s="181" t="s">
        <v>1337</v>
      </c>
      <c r="H305" s="183" t="n">
        <f aca="false">IFERROR(INDEX(Schedule!$E$2:$E$147,MATCH($G305,Schedule!$A$2:$A$147,0)),"")</f>
        <v>45017</v>
      </c>
      <c r="I305" s="183" t="n">
        <f aca="false">IFERROR(INDEX(Schedule!$F$2:$F$147,MATCH($G305,Schedule!$A$2:$A$147,0)),"")</f>
        <v>45231</v>
      </c>
      <c r="J305" s="92"/>
      <c r="K305" s="92"/>
      <c r="L305" s="92"/>
      <c r="M305" s="92"/>
      <c r="N305" s="92"/>
      <c r="O305" s="90" t="n">
        <v>1</v>
      </c>
      <c r="P305" s="184" t="n">
        <f aca="false">IFERROR((IF(OR(ISNUMBER(J305),UPPER(TRIM(J305))="N/A"),1,0)*IF($W305="N",0,INDEX('Rules of Credit'!$B$5:$F$8,MATCH($F305,'Rules of Credit'!$A$5:$A$8,0),1))+IF(OR(ISNUMBER(K305),UPPER(TRIM(K305))="N/A"),1,0)*INDEX('Rules of Credit'!$B$5:$F$8,MATCH($F305,'Rules of Credit'!$A$5:$A$8,0),2)+IF(OR(ISNUMBER(L305),UPPER(TRIM(L305))="N/A"),1,0)*INDEX('Rules of Credit'!$B$5:$F$8,MATCH($F305,'Rules of Credit'!$A$5:$A$8,0),3)+IF(OR(ISNUMBER(M305),UPPER(TRIM(M305))="N/A"),1,0)*IF($X305="N",0,INDEX('Rules of Credit'!$B$5:$F$8,MATCH($F305,'Rules of Credit'!$A$5:$A$8,0),4))+IF(OR(ISNUMBER(N305),UPPER(TRIM(N305))="N/A"),1,0)*INDEX('Rules of Credit'!$B$5:$F$8,MATCH($F305,'Rules of Credit'!$A$5:$A$8,0),5))/(IF($W305="N",0,INDEX('Rules of Credit'!$B$5:$F$8,MATCH($F305,'Rules of Credit'!$A$5:$A$8,0),1))+INDEX('Rules of Credit'!$B$5:$F$8,MATCH($F305,'Rules of Credit'!$A$5:$A$8,0),2)+INDEX('Rules of Credit'!$B$5:$F$8,MATCH($F305,'Rules of Credit'!$A$5:$A$8,0),3)+IF($X305="N",0,INDEX('Rules of Credit'!$B$5:$F$8,MATCH($F305,'Rules of Credit'!$A$5:$A$8,0),4))+INDEX('Rules of Credit'!$B$5:$F$8,MATCH($F305,'Rules of Credit'!$A$5:$A$8,0),5)),0)</f>
        <v>0</v>
      </c>
      <c r="Q305" s="184" t="n">
        <f aca="false">IF(OR($H305="",$I305=""),0,IF('Tracker Summary'!$C$3&lt;$H305,0,IF('Tracker Summary'!$C$3&gt;=$I305,1,('Tracker Summary'!$C$3-$H305)/($I305-$H305+1))))</f>
        <v>0</v>
      </c>
      <c r="R305" s="184" t="n">
        <f aca="false">P305-Q305</f>
        <v>0</v>
      </c>
      <c r="S305" s="181" t="str">
        <f aca="false">IF($I305="","Not scheduled",IF(P305&gt;=1,"Complete",IF('Tracker Summary'!$C$3&gt;$I305,"Overdue",IF(P305-Q305&lt;-0.1,"Behind",IF(AND(P305=0,'Tracker Summary'!$C$3&lt;$H305),"Not started","On track")))))</f>
        <v>Not started</v>
      </c>
      <c r="T305" s="90"/>
      <c r="U305" s="181" t="str">
        <f aca="false">IFERROR(INDEX(Schedule!$D$2:$D$147,MATCH($G305,Schedule!$A$2:$A$147,0)),"")</f>
        <v>Yard Piping &amp; Utilities — Yard piping, vaults and site utilities</v>
      </c>
      <c r="V305" s="183" t="n">
        <f aca="false">IFERROR(INDEX(Schedule!$F$2:$F$147,MATCH("33-P01",Schedule!$A$2:$A$147,0)),"")</f>
        <v>45016</v>
      </c>
      <c r="W305" s="181" t="s">
        <v>99</v>
      </c>
      <c r="X305" s="181" t="s">
        <v>99</v>
      </c>
      <c r="Y305" s="181" t="n">
        <v>4</v>
      </c>
      <c r="Z305" s="181" t="n">
        <v>6</v>
      </c>
      <c r="AA305" s="181" t="s">
        <v>1406</v>
      </c>
      <c r="AB305" s="181" t="s">
        <v>1407</v>
      </c>
      <c r="AC305" s="181" t="s">
        <v>92</v>
      </c>
      <c r="AD305" s="181" t="s">
        <v>93</v>
      </c>
      <c r="AE305" s="181" t="s">
        <v>1369</v>
      </c>
      <c r="AF305" s="181" t="s">
        <v>1349</v>
      </c>
      <c r="AG305" s="181" t="s">
        <v>1370</v>
      </c>
      <c r="AH305" s="181" t="s">
        <v>95</v>
      </c>
    </row>
    <row r="306" customFormat="false" ht="15" hidden="false" customHeight="false" outlineLevel="0" collapsed="false">
      <c r="A306" s="181" t="s">
        <v>60</v>
      </c>
      <c r="B306" s="182" t="s">
        <v>43</v>
      </c>
      <c r="C306" s="181" t="s">
        <v>1408</v>
      </c>
      <c r="D306" s="181" t="s">
        <v>1409</v>
      </c>
      <c r="E306" s="181" t="s">
        <v>98</v>
      </c>
      <c r="F306" s="90" t="s">
        <v>234</v>
      </c>
      <c r="G306" s="181" t="s">
        <v>1337</v>
      </c>
      <c r="H306" s="183" t="n">
        <f aca="false">IFERROR(INDEX(Schedule!$E$2:$E$147,MATCH($G306,Schedule!$A$2:$A$147,0)),"")</f>
        <v>45017</v>
      </c>
      <c r="I306" s="183" t="n">
        <f aca="false">IFERROR(INDEX(Schedule!$F$2:$F$147,MATCH($G306,Schedule!$A$2:$A$147,0)),"")</f>
        <v>45231</v>
      </c>
      <c r="J306" s="92"/>
      <c r="K306" s="92"/>
      <c r="L306" s="92"/>
      <c r="M306" s="92"/>
      <c r="N306" s="92"/>
      <c r="O306" s="90" t="n">
        <v>1</v>
      </c>
      <c r="P306" s="184" t="n">
        <f aca="false">IFERROR((IF(OR(ISNUMBER(J306),UPPER(TRIM(J306))="N/A"),1,0)*IF($W306="N",0,INDEX('Rules of Credit'!$B$5:$F$8,MATCH($F306,'Rules of Credit'!$A$5:$A$8,0),1))+IF(OR(ISNUMBER(K306),UPPER(TRIM(K306))="N/A"),1,0)*INDEX('Rules of Credit'!$B$5:$F$8,MATCH($F306,'Rules of Credit'!$A$5:$A$8,0),2)+IF(OR(ISNUMBER(L306),UPPER(TRIM(L306))="N/A"),1,0)*INDEX('Rules of Credit'!$B$5:$F$8,MATCH($F306,'Rules of Credit'!$A$5:$A$8,0),3)+IF(OR(ISNUMBER(M306),UPPER(TRIM(M306))="N/A"),1,0)*IF($X306="N",0,INDEX('Rules of Credit'!$B$5:$F$8,MATCH($F306,'Rules of Credit'!$A$5:$A$8,0),4))+IF(OR(ISNUMBER(N306),UPPER(TRIM(N306))="N/A"),1,0)*INDEX('Rules of Credit'!$B$5:$F$8,MATCH($F306,'Rules of Credit'!$A$5:$A$8,0),5))/(IF($W306="N",0,INDEX('Rules of Credit'!$B$5:$F$8,MATCH($F306,'Rules of Credit'!$A$5:$A$8,0),1))+INDEX('Rules of Credit'!$B$5:$F$8,MATCH($F306,'Rules of Credit'!$A$5:$A$8,0),2)+INDEX('Rules of Credit'!$B$5:$F$8,MATCH($F306,'Rules of Credit'!$A$5:$A$8,0),3)+IF($X306="N",0,INDEX('Rules of Credit'!$B$5:$F$8,MATCH($F306,'Rules of Credit'!$A$5:$A$8,0),4))+INDEX('Rules of Credit'!$B$5:$F$8,MATCH($F306,'Rules of Credit'!$A$5:$A$8,0),5)),0)</f>
        <v>0</v>
      </c>
      <c r="Q306" s="184" t="n">
        <f aca="false">IF(OR($H306="",$I306=""),0,IF('Tracker Summary'!$C$3&lt;$H306,0,IF('Tracker Summary'!$C$3&gt;=$I306,1,('Tracker Summary'!$C$3-$H306)/($I306-$H306+1))))</f>
        <v>0</v>
      </c>
      <c r="R306" s="184" t="n">
        <f aca="false">P306-Q306</f>
        <v>0</v>
      </c>
      <c r="S306" s="181" t="str">
        <f aca="false">IF($I306="","Not scheduled",IF(P306&gt;=1,"Complete",IF('Tracker Summary'!$C$3&gt;$I306,"Overdue",IF(P306-Q306&lt;-0.1,"Behind",IF(AND(P306=0,'Tracker Summary'!$C$3&lt;$H306),"Not started","On track")))))</f>
        <v>Not started</v>
      </c>
      <c r="T306" s="90"/>
      <c r="U306" s="181" t="str">
        <f aca="false">IFERROR(INDEX(Schedule!$D$2:$D$147,MATCH($G306,Schedule!$A$2:$A$147,0)),"")</f>
        <v>Yard Piping &amp; Utilities — Yard piping, vaults and site utilities</v>
      </c>
      <c r="V306" s="183" t="n">
        <f aca="false">IFERROR(INDEX(Schedule!$F$2:$F$147,MATCH("33-P01",Schedule!$A$2:$A$147,0)),"")</f>
        <v>45016</v>
      </c>
      <c r="W306" s="181" t="s">
        <v>99</v>
      </c>
      <c r="X306" s="181" t="s">
        <v>99</v>
      </c>
      <c r="Y306" s="181" t="n">
        <v>4</v>
      </c>
      <c r="Z306" s="181" t="n">
        <v>5</v>
      </c>
      <c r="AA306" s="181" t="s">
        <v>1410</v>
      </c>
      <c r="AB306" s="181" t="s">
        <v>1411</v>
      </c>
      <c r="AC306" s="181" t="s">
        <v>92</v>
      </c>
      <c r="AD306" s="181" t="s">
        <v>93</v>
      </c>
      <c r="AE306" s="181" t="s">
        <v>1343</v>
      </c>
      <c r="AF306" s="181" t="s">
        <v>1349</v>
      </c>
      <c r="AG306" s="181" t="s">
        <v>1350</v>
      </c>
      <c r="AH306" s="181" t="s">
        <v>95</v>
      </c>
    </row>
    <row r="307" customFormat="false" ht="15" hidden="false" customHeight="false" outlineLevel="0" collapsed="false">
      <c r="A307" s="181" t="s">
        <v>60</v>
      </c>
      <c r="B307" s="182" t="s">
        <v>43</v>
      </c>
      <c r="C307" s="181" t="s">
        <v>1412</v>
      </c>
      <c r="D307" s="181" t="s">
        <v>1413</v>
      </c>
      <c r="E307" s="181" t="s">
        <v>98</v>
      </c>
      <c r="F307" s="90" t="s">
        <v>234</v>
      </c>
      <c r="G307" s="181" t="s">
        <v>1337</v>
      </c>
      <c r="H307" s="183" t="n">
        <f aca="false">IFERROR(INDEX(Schedule!$E$2:$E$147,MATCH($G307,Schedule!$A$2:$A$147,0)),"")</f>
        <v>45017</v>
      </c>
      <c r="I307" s="183" t="n">
        <f aca="false">IFERROR(INDEX(Schedule!$F$2:$F$147,MATCH($G307,Schedule!$A$2:$A$147,0)),"")</f>
        <v>45231</v>
      </c>
      <c r="J307" s="92"/>
      <c r="K307" s="92"/>
      <c r="L307" s="92"/>
      <c r="M307" s="92"/>
      <c r="N307" s="92"/>
      <c r="O307" s="90" t="n">
        <v>1</v>
      </c>
      <c r="P307" s="184" t="n">
        <f aca="false">IFERROR((IF(OR(ISNUMBER(J307),UPPER(TRIM(J307))="N/A"),1,0)*IF($W307="N",0,INDEX('Rules of Credit'!$B$5:$F$8,MATCH($F307,'Rules of Credit'!$A$5:$A$8,0),1))+IF(OR(ISNUMBER(K307),UPPER(TRIM(K307))="N/A"),1,0)*INDEX('Rules of Credit'!$B$5:$F$8,MATCH($F307,'Rules of Credit'!$A$5:$A$8,0),2)+IF(OR(ISNUMBER(L307),UPPER(TRIM(L307))="N/A"),1,0)*INDEX('Rules of Credit'!$B$5:$F$8,MATCH($F307,'Rules of Credit'!$A$5:$A$8,0),3)+IF(OR(ISNUMBER(M307),UPPER(TRIM(M307))="N/A"),1,0)*IF($X307="N",0,INDEX('Rules of Credit'!$B$5:$F$8,MATCH($F307,'Rules of Credit'!$A$5:$A$8,0),4))+IF(OR(ISNUMBER(N307),UPPER(TRIM(N307))="N/A"),1,0)*INDEX('Rules of Credit'!$B$5:$F$8,MATCH($F307,'Rules of Credit'!$A$5:$A$8,0),5))/(IF($W307="N",0,INDEX('Rules of Credit'!$B$5:$F$8,MATCH($F307,'Rules of Credit'!$A$5:$A$8,0),1))+INDEX('Rules of Credit'!$B$5:$F$8,MATCH($F307,'Rules of Credit'!$A$5:$A$8,0),2)+INDEX('Rules of Credit'!$B$5:$F$8,MATCH($F307,'Rules of Credit'!$A$5:$A$8,0),3)+IF($X307="N",0,INDEX('Rules of Credit'!$B$5:$F$8,MATCH($F307,'Rules of Credit'!$A$5:$A$8,0),4))+INDEX('Rules of Credit'!$B$5:$F$8,MATCH($F307,'Rules of Credit'!$A$5:$A$8,0),5)),0)</f>
        <v>0</v>
      </c>
      <c r="Q307" s="184" t="n">
        <f aca="false">IF(OR($H307="",$I307=""),0,IF('Tracker Summary'!$C$3&lt;$H307,0,IF('Tracker Summary'!$C$3&gt;=$I307,1,('Tracker Summary'!$C$3-$H307)/($I307-$H307+1))))</f>
        <v>0</v>
      </c>
      <c r="R307" s="184" t="n">
        <f aca="false">P307-Q307</f>
        <v>0</v>
      </c>
      <c r="S307" s="181" t="str">
        <f aca="false">IF($I307="","Not scheduled",IF(P307&gt;=1,"Complete",IF('Tracker Summary'!$C$3&gt;$I307,"Overdue",IF(P307-Q307&lt;-0.1,"Behind",IF(AND(P307=0,'Tracker Summary'!$C$3&lt;$H307),"Not started","On track")))))</f>
        <v>Not started</v>
      </c>
      <c r="T307" s="90"/>
      <c r="U307" s="181" t="str">
        <f aca="false">IFERROR(INDEX(Schedule!$D$2:$D$147,MATCH($G307,Schedule!$A$2:$A$147,0)),"")</f>
        <v>Yard Piping &amp; Utilities — Yard piping, vaults and site utilities</v>
      </c>
      <c r="V307" s="183" t="n">
        <f aca="false">IFERROR(INDEX(Schedule!$F$2:$F$147,MATCH("33-P01",Schedule!$A$2:$A$147,0)),"")</f>
        <v>45016</v>
      </c>
      <c r="W307" s="181" t="s">
        <v>99</v>
      </c>
      <c r="X307" s="181" t="s">
        <v>99</v>
      </c>
      <c r="Y307" s="181" t="n">
        <v>4</v>
      </c>
      <c r="Z307" s="181" t="n">
        <v>5</v>
      </c>
      <c r="AA307" s="181" t="s">
        <v>1414</v>
      </c>
      <c r="AB307" s="181" t="s">
        <v>570</v>
      </c>
      <c r="AC307" s="181" t="s">
        <v>92</v>
      </c>
      <c r="AD307" s="181" t="s">
        <v>93</v>
      </c>
      <c r="AE307" s="181" t="s">
        <v>1343</v>
      </c>
      <c r="AF307" s="181" t="s">
        <v>1349</v>
      </c>
      <c r="AG307" s="181" t="s">
        <v>1350</v>
      </c>
      <c r="AH307" s="181" t="s">
        <v>95</v>
      </c>
    </row>
    <row r="308" customFormat="false" ht="15" hidden="false" customHeight="false" outlineLevel="0" collapsed="false">
      <c r="A308" s="181" t="s">
        <v>60</v>
      </c>
      <c r="B308" s="182" t="s">
        <v>43</v>
      </c>
      <c r="C308" s="181" t="s">
        <v>1415</v>
      </c>
      <c r="D308" s="181" t="s">
        <v>1416</v>
      </c>
      <c r="E308" s="181" t="s">
        <v>1367</v>
      </c>
      <c r="F308" s="90" t="s">
        <v>234</v>
      </c>
      <c r="G308" s="181" t="s">
        <v>1337</v>
      </c>
      <c r="H308" s="183" t="n">
        <f aca="false">IFERROR(INDEX(Schedule!$E$2:$E$147,MATCH($G308,Schedule!$A$2:$A$147,0)),"")</f>
        <v>45017</v>
      </c>
      <c r="I308" s="183" t="n">
        <f aca="false">IFERROR(INDEX(Schedule!$F$2:$F$147,MATCH($G308,Schedule!$A$2:$A$147,0)),"")</f>
        <v>45231</v>
      </c>
      <c r="J308" s="92"/>
      <c r="K308" s="92"/>
      <c r="L308" s="92"/>
      <c r="M308" s="92"/>
      <c r="N308" s="92"/>
      <c r="O308" s="90" t="n">
        <v>1</v>
      </c>
      <c r="P308" s="184" t="n">
        <f aca="false">IFERROR((IF(OR(ISNUMBER(J308),UPPER(TRIM(J308))="N/A"),1,0)*IF($W308="N",0,INDEX('Rules of Credit'!$B$5:$F$8,MATCH($F308,'Rules of Credit'!$A$5:$A$8,0),1))+IF(OR(ISNUMBER(K308),UPPER(TRIM(K308))="N/A"),1,0)*INDEX('Rules of Credit'!$B$5:$F$8,MATCH($F308,'Rules of Credit'!$A$5:$A$8,0),2)+IF(OR(ISNUMBER(L308),UPPER(TRIM(L308))="N/A"),1,0)*INDEX('Rules of Credit'!$B$5:$F$8,MATCH($F308,'Rules of Credit'!$A$5:$A$8,0),3)+IF(OR(ISNUMBER(M308),UPPER(TRIM(M308))="N/A"),1,0)*IF($X308="N",0,INDEX('Rules of Credit'!$B$5:$F$8,MATCH($F308,'Rules of Credit'!$A$5:$A$8,0),4))+IF(OR(ISNUMBER(N308),UPPER(TRIM(N308))="N/A"),1,0)*INDEX('Rules of Credit'!$B$5:$F$8,MATCH($F308,'Rules of Credit'!$A$5:$A$8,0),5))/(IF($W308="N",0,INDEX('Rules of Credit'!$B$5:$F$8,MATCH($F308,'Rules of Credit'!$A$5:$A$8,0),1))+INDEX('Rules of Credit'!$B$5:$F$8,MATCH($F308,'Rules of Credit'!$A$5:$A$8,0),2)+INDEX('Rules of Credit'!$B$5:$F$8,MATCH($F308,'Rules of Credit'!$A$5:$A$8,0),3)+IF($X308="N",0,INDEX('Rules of Credit'!$B$5:$F$8,MATCH($F308,'Rules of Credit'!$A$5:$A$8,0),4))+INDEX('Rules of Credit'!$B$5:$F$8,MATCH($F308,'Rules of Credit'!$A$5:$A$8,0),5)),0)</f>
        <v>0</v>
      </c>
      <c r="Q308" s="184" t="n">
        <f aca="false">IF(OR($H308="",$I308=""),0,IF('Tracker Summary'!$C$3&lt;$H308,0,IF('Tracker Summary'!$C$3&gt;=$I308,1,('Tracker Summary'!$C$3-$H308)/($I308-$H308+1))))</f>
        <v>0</v>
      </c>
      <c r="R308" s="184" t="n">
        <f aca="false">P308-Q308</f>
        <v>0</v>
      </c>
      <c r="S308" s="181" t="str">
        <f aca="false">IF($I308="","Not scheduled",IF(P308&gt;=1,"Complete",IF('Tracker Summary'!$C$3&gt;$I308,"Overdue",IF(P308-Q308&lt;-0.1,"Behind",IF(AND(P308=0,'Tracker Summary'!$C$3&lt;$H308),"Not started","On track")))))</f>
        <v>Not started</v>
      </c>
      <c r="T308" s="90"/>
      <c r="U308" s="181" t="str">
        <f aca="false">IFERROR(INDEX(Schedule!$D$2:$D$147,MATCH($G308,Schedule!$A$2:$A$147,0)),"")</f>
        <v>Yard Piping &amp; Utilities — Yard piping, vaults and site utilities</v>
      </c>
      <c r="V308" s="183" t="n">
        <f aca="false">IFERROR(INDEX(Schedule!$F$2:$F$147,MATCH("33-P01",Schedule!$A$2:$A$147,0)),"")</f>
        <v>45016</v>
      </c>
      <c r="W308" s="181" t="s">
        <v>99</v>
      </c>
      <c r="X308" s="181" t="s">
        <v>99</v>
      </c>
      <c r="Y308" s="181" t="n">
        <v>4</v>
      </c>
      <c r="Z308" s="181" t="n">
        <v>6</v>
      </c>
      <c r="AA308" s="181" t="s">
        <v>1417</v>
      </c>
      <c r="AB308" s="181" t="s">
        <v>1334</v>
      </c>
      <c r="AC308" s="181" t="s">
        <v>120</v>
      </c>
      <c r="AD308" s="181" t="s">
        <v>93</v>
      </c>
      <c r="AE308" s="181" t="s">
        <v>1369</v>
      </c>
      <c r="AF308" s="181" t="s">
        <v>1349</v>
      </c>
      <c r="AG308" s="181" t="s">
        <v>1370</v>
      </c>
      <c r="AH308" s="181" t="s">
        <v>95</v>
      </c>
    </row>
    <row r="309" customFormat="false" ht="15" hidden="false" customHeight="false" outlineLevel="0" collapsed="false">
      <c r="A309" s="181" t="s">
        <v>60</v>
      </c>
      <c r="B309" s="182" t="s">
        <v>43</v>
      </c>
      <c r="C309" s="181" t="s">
        <v>1418</v>
      </c>
      <c r="D309" s="181" t="s">
        <v>1419</v>
      </c>
      <c r="E309" s="181" t="s">
        <v>98</v>
      </c>
      <c r="F309" s="90" t="s">
        <v>234</v>
      </c>
      <c r="G309" s="181" t="s">
        <v>1337</v>
      </c>
      <c r="H309" s="183" t="n">
        <f aca="false">IFERROR(INDEX(Schedule!$E$2:$E$147,MATCH($G309,Schedule!$A$2:$A$147,0)),"")</f>
        <v>45017</v>
      </c>
      <c r="I309" s="183" t="n">
        <f aca="false">IFERROR(INDEX(Schedule!$F$2:$F$147,MATCH($G309,Schedule!$A$2:$A$147,0)),"")</f>
        <v>45231</v>
      </c>
      <c r="J309" s="92"/>
      <c r="K309" s="92"/>
      <c r="L309" s="92"/>
      <c r="M309" s="92"/>
      <c r="N309" s="92"/>
      <c r="O309" s="90" t="n">
        <v>1</v>
      </c>
      <c r="P309" s="184" t="n">
        <f aca="false">IFERROR((IF(OR(ISNUMBER(J309),UPPER(TRIM(J309))="N/A"),1,0)*IF($W309="N",0,INDEX('Rules of Credit'!$B$5:$F$8,MATCH($F309,'Rules of Credit'!$A$5:$A$8,0),1))+IF(OR(ISNUMBER(K309),UPPER(TRIM(K309))="N/A"),1,0)*INDEX('Rules of Credit'!$B$5:$F$8,MATCH($F309,'Rules of Credit'!$A$5:$A$8,0),2)+IF(OR(ISNUMBER(L309),UPPER(TRIM(L309))="N/A"),1,0)*INDEX('Rules of Credit'!$B$5:$F$8,MATCH($F309,'Rules of Credit'!$A$5:$A$8,0),3)+IF(OR(ISNUMBER(M309),UPPER(TRIM(M309))="N/A"),1,0)*IF($X309="N",0,INDEX('Rules of Credit'!$B$5:$F$8,MATCH($F309,'Rules of Credit'!$A$5:$A$8,0),4))+IF(OR(ISNUMBER(N309),UPPER(TRIM(N309))="N/A"),1,0)*INDEX('Rules of Credit'!$B$5:$F$8,MATCH($F309,'Rules of Credit'!$A$5:$A$8,0),5))/(IF($W309="N",0,INDEX('Rules of Credit'!$B$5:$F$8,MATCH($F309,'Rules of Credit'!$A$5:$A$8,0),1))+INDEX('Rules of Credit'!$B$5:$F$8,MATCH($F309,'Rules of Credit'!$A$5:$A$8,0),2)+INDEX('Rules of Credit'!$B$5:$F$8,MATCH($F309,'Rules of Credit'!$A$5:$A$8,0),3)+IF($X309="N",0,INDEX('Rules of Credit'!$B$5:$F$8,MATCH($F309,'Rules of Credit'!$A$5:$A$8,0),4))+INDEX('Rules of Credit'!$B$5:$F$8,MATCH($F309,'Rules of Credit'!$A$5:$A$8,0),5)),0)</f>
        <v>0</v>
      </c>
      <c r="Q309" s="184" t="n">
        <f aca="false">IF(OR($H309="",$I309=""),0,IF('Tracker Summary'!$C$3&lt;$H309,0,IF('Tracker Summary'!$C$3&gt;=$I309,1,('Tracker Summary'!$C$3-$H309)/($I309-$H309+1))))</f>
        <v>0</v>
      </c>
      <c r="R309" s="184" t="n">
        <f aca="false">P309-Q309</f>
        <v>0</v>
      </c>
      <c r="S309" s="181" t="str">
        <f aca="false">IF($I309="","Not scheduled",IF(P309&gt;=1,"Complete",IF('Tracker Summary'!$C$3&gt;$I309,"Overdue",IF(P309-Q309&lt;-0.1,"Behind",IF(AND(P309=0,'Tracker Summary'!$C$3&lt;$H309),"Not started","On track")))))</f>
        <v>Not started</v>
      </c>
      <c r="T309" s="90"/>
      <c r="U309" s="181" t="str">
        <f aca="false">IFERROR(INDEX(Schedule!$D$2:$D$147,MATCH($G309,Schedule!$A$2:$A$147,0)),"")</f>
        <v>Yard Piping &amp; Utilities — Yard piping, vaults and site utilities</v>
      </c>
      <c r="V309" s="183" t="n">
        <f aca="false">IFERROR(INDEX(Schedule!$F$2:$F$147,MATCH("33-P01",Schedule!$A$2:$A$147,0)),"")</f>
        <v>45016</v>
      </c>
      <c r="W309" s="181" t="s">
        <v>99</v>
      </c>
      <c r="X309" s="181" t="s">
        <v>99</v>
      </c>
      <c r="Y309" s="181" t="n">
        <v>4</v>
      </c>
      <c r="Z309" s="181" t="n">
        <v>5</v>
      </c>
      <c r="AA309" s="181" t="s">
        <v>1420</v>
      </c>
      <c r="AB309" s="181" t="s">
        <v>1421</v>
      </c>
      <c r="AC309" s="181" t="s">
        <v>120</v>
      </c>
      <c r="AD309" s="181" t="s">
        <v>93</v>
      </c>
      <c r="AE309" s="181" t="s">
        <v>1343</v>
      </c>
      <c r="AF309" s="181" t="s">
        <v>1349</v>
      </c>
      <c r="AG309" s="181" t="s">
        <v>1350</v>
      </c>
      <c r="AH309" s="181" t="s">
        <v>95</v>
      </c>
    </row>
    <row r="310" customFormat="false" ht="15" hidden="false" customHeight="false" outlineLevel="0" collapsed="false">
      <c r="A310" s="181" t="s">
        <v>60</v>
      </c>
      <c r="B310" s="182" t="s">
        <v>43</v>
      </c>
      <c r="C310" s="181" t="s">
        <v>1422</v>
      </c>
      <c r="D310" s="181" t="s">
        <v>1423</v>
      </c>
      <c r="E310" s="181" t="s">
        <v>1367</v>
      </c>
      <c r="F310" s="90" t="s">
        <v>234</v>
      </c>
      <c r="G310" s="181" t="s">
        <v>1337</v>
      </c>
      <c r="H310" s="183" t="n">
        <f aca="false">IFERROR(INDEX(Schedule!$E$2:$E$147,MATCH($G310,Schedule!$A$2:$A$147,0)),"")</f>
        <v>45017</v>
      </c>
      <c r="I310" s="183" t="n">
        <f aca="false">IFERROR(INDEX(Schedule!$F$2:$F$147,MATCH($G310,Schedule!$A$2:$A$147,0)),"")</f>
        <v>45231</v>
      </c>
      <c r="J310" s="92"/>
      <c r="K310" s="92"/>
      <c r="L310" s="92"/>
      <c r="M310" s="92"/>
      <c r="N310" s="92"/>
      <c r="O310" s="90" t="n">
        <v>1</v>
      </c>
      <c r="P310" s="184" t="n">
        <f aca="false">IFERROR((IF(OR(ISNUMBER(J310),UPPER(TRIM(J310))="N/A"),1,0)*IF($W310="N",0,INDEX('Rules of Credit'!$B$5:$F$8,MATCH($F310,'Rules of Credit'!$A$5:$A$8,0),1))+IF(OR(ISNUMBER(K310),UPPER(TRIM(K310))="N/A"),1,0)*INDEX('Rules of Credit'!$B$5:$F$8,MATCH($F310,'Rules of Credit'!$A$5:$A$8,0),2)+IF(OR(ISNUMBER(L310),UPPER(TRIM(L310))="N/A"),1,0)*INDEX('Rules of Credit'!$B$5:$F$8,MATCH($F310,'Rules of Credit'!$A$5:$A$8,0),3)+IF(OR(ISNUMBER(M310),UPPER(TRIM(M310))="N/A"),1,0)*IF($X310="N",0,INDEX('Rules of Credit'!$B$5:$F$8,MATCH($F310,'Rules of Credit'!$A$5:$A$8,0),4))+IF(OR(ISNUMBER(N310),UPPER(TRIM(N310))="N/A"),1,0)*INDEX('Rules of Credit'!$B$5:$F$8,MATCH($F310,'Rules of Credit'!$A$5:$A$8,0),5))/(IF($W310="N",0,INDEX('Rules of Credit'!$B$5:$F$8,MATCH($F310,'Rules of Credit'!$A$5:$A$8,0),1))+INDEX('Rules of Credit'!$B$5:$F$8,MATCH($F310,'Rules of Credit'!$A$5:$A$8,0),2)+INDEX('Rules of Credit'!$B$5:$F$8,MATCH($F310,'Rules of Credit'!$A$5:$A$8,0),3)+IF($X310="N",0,INDEX('Rules of Credit'!$B$5:$F$8,MATCH($F310,'Rules of Credit'!$A$5:$A$8,0),4))+INDEX('Rules of Credit'!$B$5:$F$8,MATCH($F310,'Rules of Credit'!$A$5:$A$8,0),5)),0)</f>
        <v>0</v>
      </c>
      <c r="Q310" s="184" t="n">
        <f aca="false">IF(OR($H310="",$I310=""),0,IF('Tracker Summary'!$C$3&lt;$H310,0,IF('Tracker Summary'!$C$3&gt;=$I310,1,('Tracker Summary'!$C$3-$H310)/($I310-$H310+1))))</f>
        <v>0</v>
      </c>
      <c r="R310" s="184" t="n">
        <f aca="false">P310-Q310</f>
        <v>0</v>
      </c>
      <c r="S310" s="181" t="str">
        <f aca="false">IF($I310="","Not scheduled",IF(P310&gt;=1,"Complete",IF('Tracker Summary'!$C$3&gt;$I310,"Overdue",IF(P310-Q310&lt;-0.1,"Behind",IF(AND(P310=0,'Tracker Summary'!$C$3&lt;$H310),"Not started","On track")))))</f>
        <v>Not started</v>
      </c>
      <c r="T310" s="90"/>
      <c r="U310" s="181" t="str">
        <f aca="false">IFERROR(INDEX(Schedule!$D$2:$D$147,MATCH($G310,Schedule!$A$2:$A$147,0)),"")</f>
        <v>Yard Piping &amp; Utilities — Yard piping, vaults and site utilities</v>
      </c>
      <c r="V310" s="183" t="n">
        <f aca="false">IFERROR(INDEX(Schedule!$F$2:$F$147,MATCH("33-P01",Schedule!$A$2:$A$147,0)),"")</f>
        <v>45016</v>
      </c>
      <c r="W310" s="181" t="s">
        <v>99</v>
      </c>
      <c r="X310" s="181" t="s">
        <v>99</v>
      </c>
      <c r="Y310" s="181" t="n">
        <v>4</v>
      </c>
      <c r="Z310" s="181" t="n">
        <v>6</v>
      </c>
      <c r="AA310" s="181" t="s">
        <v>1424</v>
      </c>
      <c r="AB310" s="181" t="s">
        <v>1324</v>
      </c>
      <c r="AC310" s="181" t="s">
        <v>120</v>
      </c>
      <c r="AD310" s="181" t="s">
        <v>93</v>
      </c>
      <c r="AE310" s="181" t="s">
        <v>1369</v>
      </c>
      <c r="AF310" s="181" t="s">
        <v>1349</v>
      </c>
      <c r="AG310" s="181" t="s">
        <v>1370</v>
      </c>
      <c r="AH310" s="181" t="s">
        <v>95</v>
      </c>
    </row>
    <row r="311" customFormat="false" ht="15" hidden="false" customHeight="false" outlineLevel="0" collapsed="false">
      <c r="A311" s="181" t="s">
        <v>60</v>
      </c>
      <c r="B311" s="182" t="s">
        <v>43</v>
      </c>
      <c r="C311" s="181" t="s">
        <v>1425</v>
      </c>
      <c r="D311" s="181" t="s">
        <v>1426</v>
      </c>
      <c r="E311" s="181" t="s">
        <v>98</v>
      </c>
      <c r="F311" s="90" t="s">
        <v>234</v>
      </c>
      <c r="G311" s="181" t="s">
        <v>1337</v>
      </c>
      <c r="H311" s="183" t="n">
        <f aca="false">IFERROR(INDEX(Schedule!$E$2:$E$147,MATCH($G311,Schedule!$A$2:$A$147,0)),"")</f>
        <v>45017</v>
      </c>
      <c r="I311" s="183" t="n">
        <f aca="false">IFERROR(INDEX(Schedule!$F$2:$F$147,MATCH($G311,Schedule!$A$2:$A$147,0)),"")</f>
        <v>45231</v>
      </c>
      <c r="J311" s="92"/>
      <c r="K311" s="92"/>
      <c r="L311" s="92"/>
      <c r="M311" s="92"/>
      <c r="N311" s="92"/>
      <c r="O311" s="90" t="n">
        <v>1</v>
      </c>
      <c r="P311" s="184" t="n">
        <f aca="false">IFERROR((IF(OR(ISNUMBER(J311),UPPER(TRIM(J311))="N/A"),1,0)*IF($W311="N",0,INDEX('Rules of Credit'!$B$5:$F$8,MATCH($F311,'Rules of Credit'!$A$5:$A$8,0),1))+IF(OR(ISNUMBER(K311),UPPER(TRIM(K311))="N/A"),1,0)*INDEX('Rules of Credit'!$B$5:$F$8,MATCH($F311,'Rules of Credit'!$A$5:$A$8,0),2)+IF(OR(ISNUMBER(L311),UPPER(TRIM(L311))="N/A"),1,0)*INDEX('Rules of Credit'!$B$5:$F$8,MATCH($F311,'Rules of Credit'!$A$5:$A$8,0),3)+IF(OR(ISNUMBER(M311),UPPER(TRIM(M311))="N/A"),1,0)*IF($X311="N",0,INDEX('Rules of Credit'!$B$5:$F$8,MATCH($F311,'Rules of Credit'!$A$5:$A$8,0),4))+IF(OR(ISNUMBER(N311),UPPER(TRIM(N311))="N/A"),1,0)*INDEX('Rules of Credit'!$B$5:$F$8,MATCH($F311,'Rules of Credit'!$A$5:$A$8,0),5))/(IF($W311="N",0,INDEX('Rules of Credit'!$B$5:$F$8,MATCH($F311,'Rules of Credit'!$A$5:$A$8,0),1))+INDEX('Rules of Credit'!$B$5:$F$8,MATCH($F311,'Rules of Credit'!$A$5:$A$8,0),2)+INDEX('Rules of Credit'!$B$5:$F$8,MATCH($F311,'Rules of Credit'!$A$5:$A$8,0),3)+IF($X311="N",0,INDEX('Rules of Credit'!$B$5:$F$8,MATCH($F311,'Rules of Credit'!$A$5:$A$8,0),4))+INDEX('Rules of Credit'!$B$5:$F$8,MATCH($F311,'Rules of Credit'!$A$5:$A$8,0),5)),0)</f>
        <v>0</v>
      </c>
      <c r="Q311" s="184" t="n">
        <f aca="false">IF(OR($H311="",$I311=""),0,IF('Tracker Summary'!$C$3&lt;$H311,0,IF('Tracker Summary'!$C$3&gt;=$I311,1,('Tracker Summary'!$C$3-$H311)/($I311-$H311+1))))</f>
        <v>0</v>
      </c>
      <c r="R311" s="184" t="n">
        <f aca="false">P311-Q311</f>
        <v>0</v>
      </c>
      <c r="S311" s="181" t="str">
        <f aca="false">IF($I311="","Not scheduled",IF(P311&gt;=1,"Complete",IF('Tracker Summary'!$C$3&gt;$I311,"Overdue",IF(P311-Q311&lt;-0.1,"Behind",IF(AND(P311=0,'Tracker Summary'!$C$3&lt;$H311),"Not started","On track")))))</f>
        <v>Not started</v>
      </c>
      <c r="T311" s="90"/>
      <c r="U311" s="181" t="str">
        <f aca="false">IFERROR(INDEX(Schedule!$D$2:$D$147,MATCH($G311,Schedule!$A$2:$A$147,0)),"")</f>
        <v>Yard Piping &amp; Utilities — Yard piping, vaults and site utilities</v>
      </c>
      <c r="V311" s="183" t="n">
        <f aca="false">IFERROR(INDEX(Schedule!$F$2:$F$147,MATCH("33-P01",Schedule!$A$2:$A$147,0)),"")</f>
        <v>45016</v>
      </c>
      <c r="W311" s="181" t="s">
        <v>99</v>
      </c>
      <c r="X311" s="181" t="s">
        <v>99</v>
      </c>
      <c r="Y311" s="181" t="n">
        <v>7</v>
      </c>
      <c r="Z311" s="181" t="n">
        <v>6</v>
      </c>
      <c r="AA311" s="181" t="s">
        <v>1427</v>
      </c>
      <c r="AB311" s="181" t="s">
        <v>1428</v>
      </c>
      <c r="AC311" s="181" t="s">
        <v>120</v>
      </c>
      <c r="AD311" s="181" t="s">
        <v>93</v>
      </c>
      <c r="AE311" s="181" t="s">
        <v>1429</v>
      </c>
      <c r="AF311" s="181" t="s">
        <v>1349</v>
      </c>
      <c r="AG311" s="181" t="s">
        <v>1430</v>
      </c>
      <c r="AH311" s="181" t="s">
        <v>95</v>
      </c>
    </row>
    <row r="312" customFormat="false" ht="15" hidden="false" customHeight="false" outlineLevel="0" collapsed="false">
      <c r="A312" s="181" t="s">
        <v>60</v>
      </c>
      <c r="B312" s="182" t="s">
        <v>43</v>
      </c>
      <c r="C312" s="181" t="s">
        <v>1431</v>
      </c>
      <c r="D312" s="181" t="s">
        <v>1432</v>
      </c>
      <c r="E312" s="181" t="s">
        <v>1367</v>
      </c>
      <c r="F312" s="90" t="s">
        <v>234</v>
      </c>
      <c r="G312" s="181" t="s">
        <v>1337</v>
      </c>
      <c r="H312" s="183" t="n">
        <f aca="false">IFERROR(INDEX(Schedule!$E$2:$E$147,MATCH($G312,Schedule!$A$2:$A$147,0)),"")</f>
        <v>45017</v>
      </c>
      <c r="I312" s="183" t="n">
        <f aca="false">IFERROR(INDEX(Schedule!$F$2:$F$147,MATCH($G312,Schedule!$A$2:$A$147,0)),"")</f>
        <v>45231</v>
      </c>
      <c r="J312" s="92"/>
      <c r="K312" s="92"/>
      <c r="L312" s="92"/>
      <c r="M312" s="92"/>
      <c r="N312" s="92"/>
      <c r="O312" s="90" t="n">
        <v>1</v>
      </c>
      <c r="P312" s="184" t="n">
        <f aca="false">IFERROR((IF(OR(ISNUMBER(J312),UPPER(TRIM(J312))="N/A"),1,0)*IF($W312="N",0,INDEX('Rules of Credit'!$B$5:$F$8,MATCH($F312,'Rules of Credit'!$A$5:$A$8,0),1))+IF(OR(ISNUMBER(K312),UPPER(TRIM(K312))="N/A"),1,0)*INDEX('Rules of Credit'!$B$5:$F$8,MATCH($F312,'Rules of Credit'!$A$5:$A$8,0),2)+IF(OR(ISNUMBER(L312),UPPER(TRIM(L312))="N/A"),1,0)*INDEX('Rules of Credit'!$B$5:$F$8,MATCH($F312,'Rules of Credit'!$A$5:$A$8,0),3)+IF(OR(ISNUMBER(M312),UPPER(TRIM(M312))="N/A"),1,0)*IF($X312="N",0,INDEX('Rules of Credit'!$B$5:$F$8,MATCH($F312,'Rules of Credit'!$A$5:$A$8,0),4))+IF(OR(ISNUMBER(N312),UPPER(TRIM(N312))="N/A"),1,0)*INDEX('Rules of Credit'!$B$5:$F$8,MATCH($F312,'Rules of Credit'!$A$5:$A$8,0),5))/(IF($W312="N",0,INDEX('Rules of Credit'!$B$5:$F$8,MATCH($F312,'Rules of Credit'!$A$5:$A$8,0),1))+INDEX('Rules of Credit'!$B$5:$F$8,MATCH($F312,'Rules of Credit'!$A$5:$A$8,0),2)+INDEX('Rules of Credit'!$B$5:$F$8,MATCH($F312,'Rules of Credit'!$A$5:$A$8,0),3)+IF($X312="N",0,INDEX('Rules of Credit'!$B$5:$F$8,MATCH($F312,'Rules of Credit'!$A$5:$A$8,0),4))+INDEX('Rules of Credit'!$B$5:$F$8,MATCH($F312,'Rules of Credit'!$A$5:$A$8,0),5)),0)</f>
        <v>0</v>
      </c>
      <c r="Q312" s="184" t="n">
        <f aca="false">IF(OR($H312="",$I312=""),0,IF('Tracker Summary'!$C$3&lt;$H312,0,IF('Tracker Summary'!$C$3&gt;=$I312,1,('Tracker Summary'!$C$3-$H312)/($I312-$H312+1))))</f>
        <v>0</v>
      </c>
      <c r="R312" s="184" t="n">
        <f aca="false">P312-Q312</f>
        <v>0</v>
      </c>
      <c r="S312" s="181" t="str">
        <f aca="false">IF($I312="","Not scheduled",IF(P312&gt;=1,"Complete",IF('Tracker Summary'!$C$3&gt;$I312,"Overdue",IF(P312-Q312&lt;-0.1,"Behind",IF(AND(P312=0,'Tracker Summary'!$C$3&lt;$H312),"Not started","On track")))))</f>
        <v>Not started</v>
      </c>
      <c r="T312" s="90"/>
      <c r="U312" s="181" t="str">
        <f aca="false">IFERROR(INDEX(Schedule!$D$2:$D$147,MATCH($G312,Schedule!$A$2:$A$147,0)),"")</f>
        <v>Yard Piping &amp; Utilities — Yard piping, vaults and site utilities</v>
      </c>
      <c r="V312" s="183" t="n">
        <f aca="false">IFERROR(INDEX(Schedule!$F$2:$F$147,MATCH("33-P01",Schedule!$A$2:$A$147,0)),"")</f>
        <v>45016</v>
      </c>
      <c r="W312" s="181" t="s">
        <v>99</v>
      </c>
      <c r="X312" s="181" t="s">
        <v>99</v>
      </c>
      <c r="Y312" s="181" t="n">
        <v>7</v>
      </c>
      <c r="Z312" s="181" t="n">
        <v>8</v>
      </c>
      <c r="AA312" s="181" t="s">
        <v>1433</v>
      </c>
      <c r="AB312" s="181" t="s">
        <v>1434</v>
      </c>
      <c r="AC312" s="181" t="s">
        <v>92</v>
      </c>
      <c r="AD312" s="181" t="s">
        <v>93</v>
      </c>
      <c r="AE312" s="181" t="s">
        <v>1369</v>
      </c>
      <c r="AF312" s="181" t="s">
        <v>1381</v>
      </c>
      <c r="AG312" s="181" t="s">
        <v>1382</v>
      </c>
      <c r="AH312" s="181" t="s">
        <v>95</v>
      </c>
    </row>
    <row r="313" customFormat="false" ht="15" hidden="false" customHeight="false" outlineLevel="0" collapsed="false">
      <c r="A313" s="181" t="s">
        <v>60</v>
      </c>
      <c r="B313" s="182" t="s">
        <v>43</v>
      </c>
      <c r="C313" s="181" t="s">
        <v>1435</v>
      </c>
      <c r="D313" s="181" t="s">
        <v>1436</v>
      </c>
      <c r="E313" s="181" t="s">
        <v>98</v>
      </c>
      <c r="F313" s="90" t="s">
        <v>234</v>
      </c>
      <c r="G313" s="181" t="s">
        <v>1337</v>
      </c>
      <c r="H313" s="183" t="n">
        <f aca="false">IFERROR(INDEX(Schedule!$E$2:$E$147,MATCH($G313,Schedule!$A$2:$A$147,0)),"")</f>
        <v>45017</v>
      </c>
      <c r="I313" s="183" t="n">
        <f aca="false">IFERROR(INDEX(Schedule!$F$2:$F$147,MATCH($G313,Schedule!$A$2:$A$147,0)),"")</f>
        <v>45231</v>
      </c>
      <c r="J313" s="92"/>
      <c r="K313" s="92"/>
      <c r="L313" s="92"/>
      <c r="M313" s="92"/>
      <c r="N313" s="92"/>
      <c r="O313" s="90" t="n">
        <v>1</v>
      </c>
      <c r="P313" s="184" t="n">
        <f aca="false">IFERROR((IF(OR(ISNUMBER(J313),UPPER(TRIM(J313))="N/A"),1,0)*IF($W313="N",0,INDEX('Rules of Credit'!$B$5:$F$8,MATCH($F313,'Rules of Credit'!$A$5:$A$8,0),1))+IF(OR(ISNUMBER(K313),UPPER(TRIM(K313))="N/A"),1,0)*INDEX('Rules of Credit'!$B$5:$F$8,MATCH($F313,'Rules of Credit'!$A$5:$A$8,0),2)+IF(OR(ISNUMBER(L313),UPPER(TRIM(L313))="N/A"),1,0)*INDEX('Rules of Credit'!$B$5:$F$8,MATCH($F313,'Rules of Credit'!$A$5:$A$8,0),3)+IF(OR(ISNUMBER(M313),UPPER(TRIM(M313))="N/A"),1,0)*IF($X313="N",0,INDEX('Rules of Credit'!$B$5:$F$8,MATCH($F313,'Rules of Credit'!$A$5:$A$8,0),4))+IF(OR(ISNUMBER(N313),UPPER(TRIM(N313))="N/A"),1,0)*INDEX('Rules of Credit'!$B$5:$F$8,MATCH($F313,'Rules of Credit'!$A$5:$A$8,0),5))/(IF($W313="N",0,INDEX('Rules of Credit'!$B$5:$F$8,MATCH($F313,'Rules of Credit'!$A$5:$A$8,0),1))+INDEX('Rules of Credit'!$B$5:$F$8,MATCH($F313,'Rules of Credit'!$A$5:$A$8,0),2)+INDEX('Rules of Credit'!$B$5:$F$8,MATCH($F313,'Rules of Credit'!$A$5:$A$8,0),3)+IF($X313="N",0,INDEX('Rules of Credit'!$B$5:$F$8,MATCH($F313,'Rules of Credit'!$A$5:$A$8,0),4))+INDEX('Rules of Credit'!$B$5:$F$8,MATCH($F313,'Rules of Credit'!$A$5:$A$8,0),5)),0)</f>
        <v>0</v>
      </c>
      <c r="Q313" s="184" t="n">
        <f aca="false">IF(OR($H313="",$I313=""),0,IF('Tracker Summary'!$C$3&lt;$H313,0,IF('Tracker Summary'!$C$3&gt;=$I313,1,('Tracker Summary'!$C$3-$H313)/($I313-$H313+1))))</f>
        <v>0</v>
      </c>
      <c r="R313" s="184" t="n">
        <f aca="false">P313-Q313</f>
        <v>0</v>
      </c>
      <c r="S313" s="181" t="str">
        <f aca="false">IF($I313="","Not scheduled",IF(P313&gt;=1,"Complete",IF('Tracker Summary'!$C$3&gt;$I313,"Overdue",IF(P313-Q313&lt;-0.1,"Behind",IF(AND(P313=0,'Tracker Summary'!$C$3&lt;$H313),"Not started","On track")))))</f>
        <v>Not started</v>
      </c>
      <c r="T313" s="90"/>
      <c r="U313" s="181" t="str">
        <f aca="false">IFERROR(INDEX(Schedule!$D$2:$D$147,MATCH($G313,Schedule!$A$2:$A$147,0)),"")</f>
        <v>Yard Piping &amp; Utilities — Yard piping, vaults and site utilities</v>
      </c>
      <c r="V313" s="183" t="n">
        <f aca="false">IFERROR(INDEX(Schedule!$F$2:$F$147,MATCH("33-P01",Schedule!$A$2:$A$147,0)),"")</f>
        <v>45016</v>
      </c>
      <c r="W313" s="181" t="s">
        <v>99</v>
      </c>
      <c r="X313" s="181" t="s">
        <v>99</v>
      </c>
      <c r="Y313" s="181" t="n">
        <v>4</v>
      </c>
      <c r="Z313" s="181" t="n">
        <v>5</v>
      </c>
      <c r="AA313" s="181" t="s">
        <v>1437</v>
      </c>
      <c r="AB313" s="181" t="s">
        <v>1438</v>
      </c>
      <c r="AC313" s="181" t="s">
        <v>92</v>
      </c>
      <c r="AD313" s="181" t="s">
        <v>93</v>
      </c>
      <c r="AE313" s="181" t="s">
        <v>1343</v>
      </c>
      <c r="AF313" s="181" t="s">
        <v>1349</v>
      </c>
      <c r="AG313" s="181" t="s">
        <v>1350</v>
      </c>
      <c r="AH313" s="181" t="s">
        <v>95</v>
      </c>
    </row>
    <row r="314" customFormat="false" ht="15" hidden="false" customHeight="false" outlineLevel="0" collapsed="false">
      <c r="A314" s="181" t="s">
        <v>60</v>
      </c>
      <c r="B314" s="182" t="s">
        <v>43</v>
      </c>
      <c r="C314" s="181" t="s">
        <v>1439</v>
      </c>
      <c r="D314" s="181" t="s">
        <v>1440</v>
      </c>
      <c r="E314" s="181" t="s">
        <v>1367</v>
      </c>
      <c r="F314" s="90" t="s">
        <v>234</v>
      </c>
      <c r="G314" s="181" t="s">
        <v>1337</v>
      </c>
      <c r="H314" s="183" t="n">
        <f aca="false">IFERROR(INDEX(Schedule!$E$2:$E$147,MATCH($G314,Schedule!$A$2:$A$147,0)),"")</f>
        <v>45017</v>
      </c>
      <c r="I314" s="183" t="n">
        <f aca="false">IFERROR(INDEX(Schedule!$F$2:$F$147,MATCH($G314,Schedule!$A$2:$A$147,0)),"")</f>
        <v>45231</v>
      </c>
      <c r="J314" s="92"/>
      <c r="K314" s="92"/>
      <c r="L314" s="92"/>
      <c r="M314" s="92"/>
      <c r="N314" s="92"/>
      <c r="O314" s="90" t="n">
        <v>1</v>
      </c>
      <c r="P314" s="184" t="n">
        <f aca="false">IFERROR((IF(OR(ISNUMBER(J314),UPPER(TRIM(J314))="N/A"),1,0)*IF($W314="N",0,INDEX('Rules of Credit'!$B$5:$F$8,MATCH($F314,'Rules of Credit'!$A$5:$A$8,0),1))+IF(OR(ISNUMBER(K314),UPPER(TRIM(K314))="N/A"),1,0)*INDEX('Rules of Credit'!$B$5:$F$8,MATCH($F314,'Rules of Credit'!$A$5:$A$8,0),2)+IF(OR(ISNUMBER(L314),UPPER(TRIM(L314))="N/A"),1,0)*INDEX('Rules of Credit'!$B$5:$F$8,MATCH($F314,'Rules of Credit'!$A$5:$A$8,0),3)+IF(OR(ISNUMBER(M314),UPPER(TRIM(M314))="N/A"),1,0)*IF($X314="N",0,INDEX('Rules of Credit'!$B$5:$F$8,MATCH($F314,'Rules of Credit'!$A$5:$A$8,0),4))+IF(OR(ISNUMBER(N314),UPPER(TRIM(N314))="N/A"),1,0)*INDEX('Rules of Credit'!$B$5:$F$8,MATCH($F314,'Rules of Credit'!$A$5:$A$8,0),5))/(IF($W314="N",0,INDEX('Rules of Credit'!$B$5:$F$8,MATCH($F314,'Rules of Credit'!$A$5:$A$8,0),1))+INDEX('Rules of Credit'!$B$5:$F$8,MATCH($F314,'Rules of Credit'!$A$5:$A$8,0),2)+INDEX('Rules of Credit'!$B$5:$F$8,MATCH($F314,'Rules of Credit'!$A$5:$A$8,0),3)+IF($X314="N",0,INDEX('Rules of Credit'!$B$5:$F$8,MATCH($F314,'Rules of Credit'!$A$5:$A$8,0),4))+INDEX('Rules of Credit'!$B$5:$F$8,MATCH($F314,'Rules of Credit'!$A$5:$A$8,0),5)),0)</f>
        <v>0</v>
      </c>
      <c r="Q314" s="184" t="n">
        <f aca="false">IF(OR($H314="",$I314=""),0,IF('Tracker Summary'!$C$3&lt;$H314,0,IF('Tracker Summary'!$C$3&gt;=$I314,1,('Tracker Summary'!$C$3-$H314)/($I314-$H314+1))))</f>
        <v>0</v>
      </c>
      <c r="R314" s="184" t="n">
        <f aca="false">P314-Q314</f>
        <v>0</v>
      </c>
      <c r="S314" s="181" t="str">
        <f aca="false">IF($I314="","Not scheduled",IF(P314&gt;=1,"Complete",IF('Tracker Summary'!$C$3&gt;$I314,"Overdue",IF(P314-Q314&lt;-0.1,"Behind",IF(AND(P314=0,'Tracker Summary'!$C$3&lt;$H314),"Not started","On track")))))</f>
        <v>Not started</v>
      </c>
      <c r="T314" s="90"/>
      <c r="U314" s="181" t="str">
        <f aca="false">IFERROR(INDEX(Schedule!$D$2:$D$147,MATCH($G314,Schedule!$A$2:$A$147,0)),"")</f>
        <v>Yard Piping &amp; Utilities — Yard piping, vaults and site utilities</v>
      </c>
      <c r="V314" s="183" t="n">
        <f aca="false">IFERROR(INDEX(Schedule!$F$2:$F$147,MATCH("33-P01",Schedule!$A$2:$A$147,0)),"")</f>
        <v>45016</v>
      </c>
      <c r="W314" s="181" t="s">
        <v>99</v>
      </c>
      <c r="X314" s="181" t="s">
        <v>99</v>
      </c>
      <c r="Y314" s="181" t="n">
        <v>4</v>
      </c>
      <c r="Z314" s="181" t="n">
        <v>6</v>
      </c>
      <c r="AA314" s="181" t="s">
        <v>1441</v>
      </c>
      <c r="AB314" s="181" t="s">
        <v>1442</v>
      </c>
      <c r="AC314" s="181" t="s">
        <v>92</v>
      </c>
      <c r="AD314" s="181" t="s">
        <v>93</v>
      </c>
      <c r="AE314" s="181" t="s">
        <v>1369</v>
      </c>
      <c r="AF314" s="181" t="s">
        <v>1349</v>
      </c>
      <c r="AG314" s="181" t="s">
        <v>1370</v>
      </c>
      <c r="AH314" s="181" t="s">
        <v>95</v>
      </c>
    </row>
    <row r="315" customFormat="false" ht="15" hidden="false" customHeight="false" outlineLevel="0" collapsed="false">
      <c r="A315" s="181" t="s">
        <v>60</v>
      </c>
      <c r="B315" s="182" t="s">
        <v>43</v>
      </c>
      <c r="C315" s="181" t="s">
        <v>1443</v>
      </c>
      <c r="D315" s="181" t="s">
        <v>1444</v>
      </c>
      <c r="E315" s="181" t="s">
        <v>98</v>
      </c>
      <c r="F315" s="90" t="s">
        <v>234</v>
      </c>
      <c r="G315" s="181" t="s">
        <v>1337</v>
      </c>
      <c r="H315" s="183" t="n">
        <f aca="false">IFERROR(INDEX(Schedule!$E$2:$E$147,MATCH($G315,Schedule!$A$2:$A$147,0)),"")</f>
        <v>45017</v>
      </c>
      <c r="I315" s="183" t="n">
        <f aca="false">IFERROR(INDEX(Schedule!$F$2:$F$147,MATCH($G315,Schedule!$A$2:$A$147,0)),"")</f>
        <v>45231</v>
      </c>
      <c r="J315" s="92"/>
      <c r="K315" s="92"/>
      <c r="L315" s="92"/>
      <c r="M315" s="92"/>
      <c r="N315" s="92"/>
      <c r="O315" s="90" t="n">
        <v>1</v>
      </c>
      <c r="P315" s="184" t="n">
        <f aca="false">IFERROR((IF(OR(ISNUMBER(J315),UPPER(TRIM(J315))="N/A"),1,0)*IF($W315="N",0,INDEX('Rules of Credit'!$B$5:$F$8,MATCH($F315,'Rules of Credit'!$A$5:$A$8,0),1))+IF(OR(ISNUMBER(K315),UPPER(TRIM(K315))="N/A"),1,0)*INDEX('Rules of Credit'!$B$5:$F$8,MATCH($F315,'Rules of Credit'!$A$5:$A$8,0),2)+IF(OR(ISNUMBER(L315),UPPER(TRIM(L315))="N/A"),1,0)*INDEX('Rules of Credit'!$B$5:$F$8,MATCH($F315,'Rules of Credit'!$A$5:$A$8,0),3)+IF(OR(ISNUMBER(M315),UPPER(TRIM(M315))="N/A"),1,0)*IF($X315="N",0,INDEX('Rules of Credit'!$B$5:$F$8,MATCH($F315,'Rules of Credit'!$A$5:$A$8,0),4))+IF(OR(ISNUMBER(N315),UPPER(TRIM(N315))="N/A"),1,0)*INDEX('Rules of Credit'!$B$5:$F$8,MATCH($F315,'Rules of Credit'!$A$5:$A$8,0),5))/(IF($W315="N",0,INDEX('Rules of Credit'!$B$5:$F$8,MATCH($F315,'Rules of Credit'!$A$5:$A$8,0),1))+INDEX('Rules of Credit'!$B$5:$F$8,MATCH($F315,'Rules of Credit'!$A$5:$A$8,0),2)+INDEX('Rules of Credit'!$B$5:$F$8,MATCH($F315,'Rules of Credit'!$A$5:$A$8,0),3)+IF($X315="N",0,INDEX('Rules of Credit'!$B$5:$F$8,MATCH($F315,'Rules of Credit'!$A$5:$A$8,0),4))+INDEX('Rules of Credit'!$B$5:$F$8,MATCH($F315,'Rules of Credit'!$A$5:$A$8,0),5)),0)</f>
        <v>0</v>
      </c>
      <c r="Q315" s="184" t="n">
        <f aca="false">IF(OR($H315="",$I315=""),0,IF('Tracker Summary'!$C$3&lt;$H315,0,IF('Tracker Summary'!$C$3&gt;=$I315,1,('Tracker Summary'!$C$3-$H315)/($I315-$H315+1))))</f>
        <v>0</v>
      </c>
      <c r="R315" s="184" t="n">
        <f aca="false">P315-Q315</f>
        <v>0</v>
      </c>
      <c r="S315" s="181" t="str">
        <f aca="false">IF($I315="","Not scheduled",IF(P315&gt;=1,"Complete",IF('Tracker Summary'!$C$3&gt;$I315,"Overdue",IF(P315-Q315&lt;-0.1,"Behind",IF(AND(P315=0,'Tracker Summary'!$C$3&lt;$H315),"Not started","On track")))))</f>
        <v>Not started</v>
      </c>
      <c r="T315" s="90"/>
      <c r="U315" s="181" t="str">
        <f aca="false">IFERROR(INDEX(Schedule!$D$2:$D$147,MATCH($G315,Schedule!$A$2:$A$147,0)),"")</f>
        <v>Yard Piping &amp; Utilities — Yard piping, vaults and site utilities</v>
      </c>
      <c r="V315" s="183" t="n">
        <f aca="false">IFERROR(INDEX(Schedule!$F$2:$F$147,MATCH("33-P01",Schedule!$A$2:$A$147,0)),"")</f>
        <v>45016</v>
      </c>
      <c r="W315" s="181" t="s">
        <v>99</v>
      </c>
      <c r="X315" s="181" t="s">
        <v>99</v>
      </c>
      <c r="Y315" s="181" t="n">
        <v>4</v>
      </c>
      <c r="Z315" s="181" t="n">
        <v>5</v>
      </c>
      <c r="AA315" s="181"/>
      <c r="AB315" s="181"/>
      <c r="AC315" s="181" t="s">
        <v>92</v>
      </c>
      <c r="AD315" s="181" t="s">
        <v>93</v>
      </c>
      <c r="AE315" s="181" t="s">
        <v>1343</v>
      </c>
      <c r="AF315" s="181" t="s">
        <v>1349</v>
      </c>
      <c r="AG315" s="181" t="s">
        <v>1350</v>
      </c>
      <c r="AH315" s="181" t="s">
        <v>95</v>
      </c>
    </row>
    <row r="316" customFormat="false" ht="15" hidden="false" customHeight="false" outlineLevel="0" collapsed="false">
      <c r="A316" s="181" t="s">
        <v>60</v>
      </c>
      <c r="B316" s="182" t="s">
        <v>43</v>
      </c>
      <c r="C316" s="181" t="s">
        <v>1445</v>
      </c>
      <c r="D316" s="181" t="s">
        <v>1446</v>
      </c>
      <c r="E316" s="181" t="s">
        <v>98</v>
      </c>
      <c r="F316" s="90" t="s">
        <v>234</v>
      </c>
      <c r="G316" s="181" t="s">
        <v>1337</v>
      </c>
      <c r="H316" s="183" t="n">
        <f aca="false">IFERROR(INDEX(Schedule!$E$2:$E$147,MATCH($G316,Schedule!$A$2:$A$147,0)),"")</f>
        <v>45017</v>
      </c>
      <c r="I316" s="183" t="n">
        <f aca="false">IFERROR(INDEX(Schedule!$F$2:$F$147,MATCH($G316,Schedule!$A$2:$A$147,0)),"")</f>
        <v>45231</v>
      </c>
      <c r="J316" s="92"/>
      <c r="K316" s="92"/>
      <c r="L316" s="92"/>
      <c r="M316" s="92"/>
      <c r="N316" s="92"/>
      <c r="O316" s="90" t="n">
        <v>1</v>
      </c>
      <c r="P316" s="184" t="n">
        <f aca="false">IFERROR((IF(OR(ISNUMBER(J316),UPPER(TRIM(J316))="N/A"),1,0)*IF($W316="N",0,INDEX('Rules of Credit'!$B$5:$F$8,MATCH($F316,'Rules of Credit'!$A$5:$A$8,0),1))+IF(OR(ISNUMBER(K316),UPPER(TRIM(K316))="N/A"),1,0)*INDEX('Rules of Credit'!$B$5:$F$8,MATCH($F316,'Rules of Credit'!$A$5:$A$8,0),2)+IF(OR(ISNUMBER(L316),UPPER(TRIM(L316))="N/A"),1,0)*INDEX('Rules of Credit'!$B$5:$F$8,MATCH($F316,'Rules of Credit'!$A$5:$A$8,0),3)+IF(OR(ISNUMBER(M316),UPPER(TRIM(M316))="N/A"),1,0)*IF($X316="N",0,INDEX('Rules of Credit'!$B$5:$F$8,MATCH($F316,'Rules of Credit'!$A$5:$A$8,0),4))+IF(OR(ISNUMBER(N316),UPPER(TRIM(N316))="N/A"),1,0)*INDEX('Rules of Credit'!$B$5:$F$8,MATCH($F316,'Rules of Credit'!$A$5:$A$8,0),5))/(IF($W316="N",0,INDEX('Rules of Credit'!$B$5:$F$8,MATCH($F316,'Rules of Credit'!$A$5:$A$8,0),1))+INDEX('Rules of Credit'!$B$5:$F$8,MATCH($F316,'Rules of Credit'!$A$5:$A$8,0),2)+INDEX('Rules of Credit'!$B$5:$F$8,MATCH($F316,'Rules of Credit'!$A$5:$A$8,0),3)+IF($X316="N",0,INDEX('Rules of Credit'!$B$5:$F$8,MATCH($F316,'Rules of Credit'!$A$5:$A$8,0),4))+INDEX('Rules of Credit'!$B$5:$F$8,MATCH($F316,'Rules of Credit'!$A$5:$A$8,0),5)),0)</f>
        <v>0</v>
      </c>
      <c r="Q316" s="184" t="n">
        <f aca="false">IF(OR($H316="",$I316=""),0,IF('Tracker Summary'!$C$3&lt;$H316,0,IF('Tracker Summary'!$C$3&gt;=$I316,1,('Tracker Summary'!$C$3-$H316)/($I316-$H316+1))))</f>
        <v>0</v>
      </c>
      <c r="R316" s="184" t="n">
        <f aca="false">P316-Q316</f>
        <v>0</v>
      </c>
      <c r="S316" s="181" t="str">
        <f aca="false">IF($I316="","Not scheduled",IF(P316&gt;=1,"Complete",IF('Tracker Summary'!$C$3&gt;$I316,"Overdue",IF(P316-Q316&lt;-0.1,"Behind",IF(AND(P316=0,'Tracker Summary'!$C$3&lt;$H316),"Not started","On track")))))</f>
        <v>Not started</v>
      </c>
      <c r="T316" s="90"/>
      <c r="U316" s="181" t="str">
        <f aca="false">IFERROR(INDEX(Schedule!$D$2:$D$147,MATCH($G316,Schedule!$A$2:$A$147,0)),"")</f>
        <v>Yard Piping &amp; Utilities — Yard piping, vaults and site utilities</v>
      </c>
      <c r="V316" s="183" t="n">
        <f aca="false">IFERROR(INDEX(Schedule!$F$2:$F$147,MATCH("33-P01",Schedule!$A$2:$A$147,0)),"")</f>
        <v>45016</v>
      </c>
      <c r="W316" s="181" t="s">
        <v>99</v>
      </c>
      <c r="X316" s="181" t="s">
        <v>99</v>
      </c>
      <c r="Y316" s="181" t="n">
        <v>4</v>
      </c>
      <c r="Z316" s="181" t="n">
        <v>5</v>
      </c>
      <c r="AA316" s="181"/>
      <c r="AB316" s="181" t="s">
        <v>1447</v>
      </c>
      <c r="AC316" s="181" t="s">
        <v>92</v>
      </c>
      <c r="AD316" s="181" t="s">
        <v>93</v>
      </c>
      <c r="AE316" s="181" t="s">
        <v>1448</v>
      </c>
      <c r="AF316" s="181" t="s">
        <v>1357</v>
      </c>
      <c r="AG316" s="181" t="s">
        <v>1449</v>
      </c>
      <c r="AH316" s="181" t="s">
        <v>95</v>
      </c>
    </row>
    <row r="317" customFormat="false" ht="15" hidden="false" customHeight="false" outlineLevel="0" collapsed="false">
      <c r="A317" s="181" t="s">
        <v>60</v>
      </c>
      <c r="B317" s="182" t="s">
        <v>43</v>
      </c>
      <c r="C317" s="181" t="s">
        <v>1450</v>
      </c>
      <c r="D317" s="181" t="s">
        <v>1451</v>
      </c>
      <c r="E317" s="181" t="s">
        <v>98</v>
      </c>
      <c r="F317" s="90" t="s">
        <v>234</v>
      </c>
      <c r="G317" s="181" t="s">
        <v>1337</v>
      </c>
      <c r="H317" s="183" t="n">
        <f aca="false">IFERROR(INDEX(Schedule!$E$2:$E$147,MATCH($G317,Schedule!$A$2:$A$147,0)),"")</f>
        <v>45017</v>
      </c>
      <c r="I317" s="183" t="n">
        <f aca="false">IFERROR(INDEX(Schedule!$F$2:$F$147,MATCH($G317,Schedule!$A$2:$A$147,0)),"")</f>
        <v>45231</v>
      </c>
      <c r="J317" s="92"/>
      <c r="K317" s="92"/>
      <c r="L317" s="92"/>
      <c r="M317" s="92"/>
      <c r="N317" s="92"/>
      <c r="O317" s="90" t="n">
        <v>1</v>
      </c>
      <c r="P317" s="184" t="n">
        <f aca="false">IFERROR((IF(OR(ISNUMBER(J317),UPPER(TRIM(J317))="N/A"),1,0)*IF($W317="N",0,INDEX('Rules of Credit'!$B$5:$F$8,MATCH($F317,'Rules of Credit'!$A$5:$A$8,0),1))+IF(OR(ISNUMBER(K317),UPPER(TRIM(K317))="N/A"),1,0)*INDEX('Rules of Credit'!$B$5:$F$8,MATCH($F317,'Rules of Credit'!$A$5:$A$8,0),2)+IF(OR(ISNUMBER(L317),UPPER(TRIM(L317))="N/A"),1,0)*INDEX('Rules of Credit'!$B$5:$F$8,MATCH($F317,'Rules of Credit'!$A$5:$A$8,0),3)+IF(OR(ISNUMBER(M317),UPPER(TRIM(M317))="N/A"),1,0)*IF($X317="N",0,INDEX('Rules of Credit'!$B$5:$F$8,MATCH($F317,'Rules of Credit'!$A$5:$A$8,0),4))+IF(OR(ISNUMBER(N317),UPPER(TRIM(N317))="N/A"),1,0)*INDEX('Rules of Credit'!$B$5:$F$8,MATCH($F317,'Rules of Credit'!$A$5:$A$8,0),5))/(IF($W317="N",0,INDEX('Rules of Credit'!$B$5:$F$8,MATCH($F317,'Rules of Credit'!$A$5:$A$8,0),1))+INDEX('Rules of Credit'!$B$5:$F$8,MATCH($F317,'Rules of Credit'!$A$5:$A$8,0),2)+INDEX('Rules of Credit'!$B$5:$F$8,MATCH($F317,'Rules of Credit'!$A$5:$A$8,0),3)+IF($X317="N",0,INDEX('Rules of Credit'!$B$5:$F$8,MATCH($F317,'Rules of Credit'!$A$5:$A$8,0),4))+INDEX('Rules of Credit'!$B$5:$F$8,MATCH($F317,'Rules of Credit'!$A$5:$A$8,0),5)),0)</f>
        <v>0</v>
      </c>
      <c r="Q317" s="184" t="n">
        <f aca="false">IF(OR($H317="",$I317=""),0,IF('Tracker Summary'!$C$3&lt;$H317,0,IF('Tracker Summary'!$C$3&gt;=$I317,1,('Tracker Summary'!$C$3-$H317)/($I317-$H317+1))))</f>
        <v>0</v>
      </c>
      <c r="R317" s="184" t="n">
        <f aca="false">P317-Q317</f>
        <v>0</v>
      </c>
      <c r="S317" s="181" t="str">
        <f aca="false">IF($I317="","Not scheduled",IF(P317&gt;=1,"Complete",IF('Tracker Summary'!$C$3&gt;$I317,"Overdue",IF(P317-Q317&lt;-0.1,"Behind",IF(AND(P317=0,'Tracker Summary'!$C$3&lt;$H317),"Not started","On track")))))</f>
        <v>Not started</v>
      </c>
      <c r="T317" s="90"/>
      <c r="U317" s="181" t="str">
        <f aca="false">IFERROR(INDEX(Schedule!$D$2:$D$147,MATCH($G317,Schedule!$A$2:$A$147,0)),"")</f>
        <v>Yard Piping &amp; Utilities — Yard piping, vaults and site utilities</v>
      </c>
      <c r="V317" s="183" t="n">
        <f aca="false">IFERROR(INDEX(Schedule!$F$2:$F$147,MATCH("33-P01",Schedule!$A$2:$A$147,0)),"")</f>
        <v>45016</v>
      </c>
      <c r="W317" s="181" t="s">
        <v>99</v>
      </c>
      <c r="X317" s="181" t="s">
        <v>99</v>
      </c>
      <c r="Y317" s="181" t="n">
        <v>5</v>
      </c>
      <c r="Z317" s="181" t="n">
        <v>5</v>
      </c>
      <c r="AA317" s="181"/>
      <c r="AB317" s="181"/>
      <c r="AC317" s="181" t="s">
        <v>120</v>
      </c>
      <c r="AD317" s="181" t="s">
        <v>93</v>
      </c>
      <c r="AE317" s="181" t="s">
        <v>1452</v>
      </c>
      <c r="AF317" s="181" t="s">
        <v>1357</v>
      </c>
      <c r="AG317" s="181" t="s">
        <v>1453</v>
      </c>
      <c r="AH317" s="181" t="s">
        <v>95</v>
      </c>
    </row>
    <row r="318" customFormat="false" ht="15" hidden="false" customHeight="false" outlineLevel="0" collapsed="false">
      <c r="A318" s="181" t="s">
        <v>60</v>
      </c>
      <c r="B318" s="182" t="s">
        <v>43</v>
      </c>
      <c r="C318" s="181" t="s">
        <v>1454</v>
      </c>
      <c r="D318" s="181" t="s">
        <v>1455</v>
      </c>
      <c r="E318" s="181" t="s">
        <v>98</v>
      </c>
      <c r="F318" s="90" t="s">
        <v>234</v>
      </c>
      <c r="G318" s="181" t="s">
        <v>1337</v>
      </c>
      <c r="H318" s="183" t="n">
        <f aca="false">IFERROR(INDEX(Schedule!$E$2:$E$147,MATCH($G318,Schedule!$A$2:$A$147,0)),"")</f>
        <v>45017</v>
      </c>
      <c r="I318" s="183" t="n">
        <f aca="false">IFERROR(INDEX(Schedule!$F$2:$F$147,MATCH($G318,Schedule!$A$2:$A$147,0)),"")</f>
        <v>45231</v>
      </c>
      <c r="J318" s="92"/>
      <c r="K318" s="92"/>
      <c r="L318" s="92"/>
      <c r="M318" s="92"/>
      <c r="N318" s="92"/>
      <c r="O318" s="90" t="n">
        <v>1</v>
      </c>
      <c r="P318" s="184" t="n">
        <f aca="false">IFERROR((IF(OR(ISNUMBER(J318),UPPER(TRIM(J318))="N/A"),1,0)*IF($W318="N",0,INDEX('Rules of Credit'!$B$5:$F$8,MATCH($F318,'Rules of Credit'!$A$5:$A$8,0),1))+IF(OR(ISNUMBER(K318),UPPER(TRIM(K318))="N/A"),1,0)*INDEX('Rules of Credit'!$B$5:$F$8,MATCH($F318,'Rules of Credit'!$A$5:$A$8,0),2)+IF(OR(ISNUMBER(L318),UPPER(TRIM(L318))="N/A"),1,0)*INDEX('Rules of Credit'!$B$5:$F$8,MATCH($F318,'Rules of Credit'!$A$5:$A$8,0),3)+IF(OR(ISNUMBER(M318),UPPER(TRIM(M318))="N/A"),1,0)*IF($X318="N",0,INDEX('Rules of Credit'!$B$5:$F$8,MATCH($F318,'Rules of Credit'!$A$5:$A$8,0),4))+IF(OR(ISNUMBER(N318),UPPER(TRIM(N318))="N/A"),1,0)*INDEX('Rules of Credit'!$B$5:$F$8,MATCH($F318,'Rules of Credit'!$A$5:$A$8,0),5))/(IF($W318="N",0,INDEX('Rules of Credit'!$B$5:$F$8,MATCH($F318,'Rules of Credit'!$A$5:$A$8,0),1))+INDEX('Rules of Credit'!$B$5:$F$8,MATCH($F318,'Rules of Credit'!$A$5:$A$8,0),2)+INDEX('Rules of Credit'!$B$5:$F$8,MATCH($F318,'Rules of Credit'!$A$5:$A$8,0),3)+IF($X318="N",0,INDEX('Rules of Credit'!$B$5:$F$8,MATCH($F318,'Rules of Credit'!$A$5:$A$8,0),4))+INDEX('Rules of Credit'!$B$5:$F$8,MATCH($F318,'Rules of Credit'!$A$5:$A$8,0),5)),0)</f>
        <v>0</v>
      </c>
      <c r="Q318" s="184" t="n">
        <f aca="false">IF(OR($H318="",$I318=""),0,IF('Tracker Summary'!$C$3&lt;$H318,0,IF('Tracker Summary'!$C$3&gt;=$I318,1,('Tracker Summary'!$C$3-$H318)/($I318-$H318+1))))</f>
        <v>0</v>
      </c>
      <c r="R318" s="184" t="n">
        <f aca="false">P318-Q318</f>
        <v>0</v>
      </c>
      <c r="S318" s="181" t="str">
        <f aca="false">IF($I318="","Not scheduled",IF(P318&gt;=1,"Complete",IF('Tracker Summary'!$C$3&gt;$I318,"Overdue",IF(P318-Q318&lt;-0.1,"Behind",IF(AND(P318=0,'Tracker Summary'!$C$3&lt;$H318),"Not started","On track")))))</f>
        <v>Not started</v>
      </c>
      <c r="T318" s="90"/>
      <c r="U318" s="181" t="str">
        <f aca="false">IFERROR(INDEX(Schedule!$D$2:$D$147,MATCH($G318,Schedule!$A$2:$A$147,0)),"")</f>
        <v>Yard Piping &amp; Utilities — Yard piping, vaults and site utilities</v>
      </c>
      <c r="V318" s="183" t="n">
        <f aca="false">IFERROR(INDEX(Schedule!$F$2:$F$147,MATCH("33-P01",Schedule!$A$2:$A$147,0)),"")</f>
        <v>45016</v>
      </c>
      <c r="W318" s="181" t="s">
        <v>99</v>
      </c>
      <c r="X318" s="181" t="s">
        <v>99</v>
      </c>
      <c r="Y318" s="181" t="n">
        <v>5</v>
      </c>
      <c r="Z318" s="181" t="n">
        <v>5</v>
      </c>
      <c r="AA318" s="181"/>
      <c r="AB318" s="181"/>
      <c r="AC318" s="181" t="s">
        <v>120</v>
      </c>
      <c r="AD318" s="181" t="s">
        <v>93</v>
      </c>
      <c r="AE318" s="181" t="s">
        <v>1452</v>
      </c>
      <c r="AF318" s="181" t="s">
        <v>1357</v>
      </c>
      <c r="AG318" s="181" t="s">
        <v>1453</v>
      </c>
      <c r="AH318" s="181" t="s">
        <v>95</v>
      </c>
    </row>
    <row r="319" customFormat="false" ht="15" hidden="false" customHeight="false" outlineLevel="0" collapsed="false">
      <c r="A319" s="181" t="s">
        <v>60</v>
      </c>
      <c r="B319" s="182" t="s">
        <v>43</v>
      </c>
      <c r="C319" s="181" t="s">
        <v>1456</v>
      </c>
      <c r="D319" s="181" t="s">
        <v>1457</v>
      </c>
      <c r="E319" s="181" t="s">
        <v>98</v>
      </c>
      <c r="F319" s="90" t="s">
        <v>234</v>
      </c>
      <c r="G319" s="181" t="s">
        <v>1337</v>
      </c>
      <c r="H319" s="183" t="n">
        <f aca="false">IFERROR(INDEX(Schedule!$E$2:$E$147,MATCH($G319,Schedule!$A$2:$A$147,0)),"")</f>
        <v>45017</v>
      </c>
      <c r="I319" s="183" t="n">
        <f aca="false">IFERROR(INDEX(Schedule!$F$2:$F$147,MATCH($G319,Schedule!$A$2:$A$147,0)),"")</f>
        <v>45231</v>
      </c>
      <c r="J319" s="92"/>
      <c r="K319" s="92"/>
      <c r="L319" s="92"/>
      <c r="M319" s="92"/>
      <c r="N319" s="92"/>
      <c r="O319" s="90" t="n">
        <v>1</v>
      </c>
      <c r="P319" s="184" t="n">
        <f aca="false">IFERROR((IF(OR(ISNUMBER(J319),UPPER(TRIM(J319))="N/A"),1,0)*IF($W319="N",0,INDEX('Rules of Credit'!$B$5:$F$8,MATCH($F319,'Rules of Credit'!$A$5:$A$8,0),1))+IF(OR(ISNUMBER(K319),UPPER(TRIM(K319))="N/A"),1,0)*INDEX('Rules of Credit'!$B$5:$F$8,MATCH($F319,'Rules of Credit'!$A$5:$A$8,0),2)+IF(OR(ISNUMBER(L319),UPPER(TRIM(L319))="N/A"),1,0)*INDEX('Rules of Credit'!$B$5:$F$8,MATCH($F319,'Rules of Credit'!$A$5:$A$8,0),3)+IF(OR(ISNUMBER(M319),UPPER(TRIM(M319))="N/A"),1,0)*IF($X319="N",0,INDEX('Rules of Credit'!$B$5:$F$8,MATCH($F319,'Rules of Credit'!$A$5:$A$8,0),4))+IF(OR(ISNUMBER(N319),UPPER(TRIM(N319))="N/A"),1,0)*INDEX('Rules of Credit'!$B$5:$F$8,MATCH($F319,'Rules of Credit'!$A$5:$A$8,0),5))/(IF($W319="N",0,INDEX('Rules of Credit'!$B$5:$F$8,MATCH($F319,'Rules of Credit'!$A$5:$A$8,0),1))+INDEX('Rules of Credit'!$B$5:$F$8,MATCH($F319,'Rules of Credit'!$A$5:$A$8,0),2)+INDEX('Rules of Credit'!$B$5:$F$8,MATCH($F319,'Rules of Credit'!$A$5:$A$8,0),3)+IF($X319="N",0,INDEX('Rules of Credit'!$B$5:$F$8,MATCH($F319,'Rules of Credit'!$A$5:$A$8,0),4))+INDEX('Rules of Credit'!$B$5:$F$8,MATCH($F319,'Rules of Credit'!$A$5:$A$8,0),5)),0)</f>
        <v>0</v>
      </c>
      <c r="Q319" s="184" t="n">
        <f aca="false">IF(OR($H319="",$I319=""),0,IF('Tracker Summary'!$C$3&lt;$H319,0,IF('Tracker Summary'!$C$3&gt;=$I319,1,('Tracker Summary'!$C$3-$H319)/($I319-$H319+1))))</f>
        <v>0</v>
      </c>
      <c r="R319" s="184" t="n">
        <f aca="false">P319-Q319</f>
        <v>0</v>
      </c>
      <c r="S319" s="181" t="str">
        <f aca="false">IF($I319="","Not scheduled",IF(P319&gt;=1,"Complete",IF('Tracker Summary'!$C$3&gt;$I319,"Overdue",IF(P319-Q319&lt;-0.1,"Behind",IF(AND(P319=0,'Tracker Summary'!$C$3&lt;$H319),"Not started","On track")))))</f>
        <v>Not started</v>
      </c>
      <c r="T319" s="90"/>
      <c r="U319" s="181" t="str">
        <f aca="false">IFERROR(INDEX(Schedule!$D$2:$D$147,MATCH($G319,Schedule!$A$2:$A$147,0)),"")</f>
        <v>Yard Piping &amp; Utilities — Yard piping, vaults and site utilities</v>
      </c>
      <c r="V319" s="183" t="n">
        <f aca="false">IFERROR(INDEX(Schedule!$F$2:$F$147,MATCH("33-P01",Schedule!$A$2:$A$147,0)),"")</f>
        <v>45016</v>
      </c>
      <c r="W319" s="181" t="s">
        <v>99</v>
      </c>
      <c r="X319" s="181" t="s">
        <v>99</v>
      </c>
      <c r="Y319" s="181" t="n">
        <v>4</v>
      </c>
      <c r="Z319" s="181" t="n">
        <v>5</v>
      </c>
      <c r="AA319" s="181"/>
      <c r="AB319" s="181"/>
      <c r="AC319" s="181" t="s">
        <v>92</v>
      </c>
      <c r="AD319" s="181" t="s">
        <v>93</v>
      </c>
      <c r="AE319" s="181" t="s">
        <v>1448</v>
      </c>
      <c r="AF319" s="181" t="s">
        <v>1357</v>
      </c>
      <c r="AG319" s="181" t="s">
        <v>1449</v>
      </c>
      <c r="AH319" s="181" t="s">
        <v>95</v>
      </c>
    </row>
    <row r="320" customFormat="false" ht="15" hidden="false" customHeight="false" outlineLevel="0" collapsed="false">
      <c r="A320" s="181" t="s">
        <v>60</v>
      </c>
      <c r="B320" s="182" t="s">
        <v>43</v>
      </c>
      <c r="C320" s="181" t="s">
        <v>1458</v>
      </c>
      <c r="D320" s="181" t="s">
        <v>1457</v>
      </c>
      <c r="E320" s="181" t="s">
        <v>98</v>
      </c>
      <c r="F320" s="90" t="s">
        <v>234</v>
      </c>
      <c r="G320" s="181" t="s">
        <v>1337</v>
      </c>
      <c r="H320" s="183" t="n">
        <f aca="false">IFERROR(INDEX(Schedule!$E$2:$E$147,MATCH($G320,Schedule!$A$2:$A$147,0)),"")</f>
        <v>45017</v>
      </c>
      <c r="I320" s="183" t="n">
        <f aca="false">IFERROR(INDEX(Schedule!$F$2:$F$147,MATCH($G320,Schedule!$A$2:$A$147,0)),"")</f>
        <v>45231</v>
      </c>
      <c r="J320" s="92"/>
      <c r="K320" s="92"/>
      <c r="L320" s="92"/>
      <c r="M320" s="92"/>
      <c r="N320" s="92"/>
      <c r="O320" s="90" t="n">
        <v>1</v>
      </c>
      <c r="P320" s="184" t="n">
        <f aca="false">IFERROR((IF(OR(ISNUMBER(J320),UPPER(TRIM(J320))="N/A"),1,0)*IF($W320="N",0,INDEX('Rules of Credit'!$B$5:$F$8,MATCH($F320,'Rules of Credit'!$A$5:$A$8,0),1))+IF(OR(ISNUMBER(K320),UPPER(TRIM(K320))="N/A"),1,0)*INDEX('Rules of Credit'!$B$5:$F$8,MATCH($F320,'Rules of Credit'!$A$5:$A$8,0),2)+IF(OR(ISNUMBER(L320),UPPER(TRIM(L320))="N/A"),1,0)*INDEX('Rules of Credit'!$B$5:$F$8,MATCH($F320,'Rules of Credit'!$A$5:$A$8,0),3)+IF(OR(ISNUMBER(M320),UPPER(TRIM(M320))="N/A"),1,0)*IF($X320="N",0,INDEX('Rules of Credit'!$B$5:$F$8,MATCH($F320,'Rules of Credit'!$A$5:$A$8,0),4))+IF(OR(ISNUMBER(N320),UPPER(TRIM(N320))="N/A"),1,0)*INDEX('Rules of Credit'!$B$5:$F$8,MATCH($F320,'Rules of Credit'!$A$5:$A$8,0),5))/(IF($W320="N",0,INDEX('Rules of Credit'!$B$5:$F$8,MATCH($F320,'Rules of Credit'!$A$5:$A$8,0),1))+INDEX('Rules of Credit'!$B$5:$F$8,MATCH($F320,'Rules of Credit'!$A$5:$A$8,0),2)+INDEX('Rules of Credit'!$B$5:$F$8,MATCH($F320,'Rules of Credit'!$A$5:$A$8,0),3)+IF($X320="N",0,INDEX('Rules of Credit'!$B$5:$F$8,MATCH($F320,'Rules of Credit'!$A$5:$A$8,0),4))+INDEX('Rules of Credit'!$B$5:$F$8,MATCH($F320,'Rules of Credit'!$A$5:$A$8,0),5)),0)</f>
        <v>0</v>
      </c>
      <c r="Q320" s="184" t="n">
        <f aca="false">IF(OR($H320="",$I320=""),0,IF('Tracker Summary'!$C$3&lt;$H320,0,IF('Tracker Summary'!$C$3&gt;=$I320,1,('Tracker Summary'!$C$3-$H320)/($I320-$H320+1))))</f>
        <v>0</v>
      </c>
      <c r="R320" s="184" t="n">
        <f aca="false">P320-Q320</f>
        <v>0</v>
      </c>
      <c r="S320" s="181" t="str">
        <f aca="false">IF($I320="","Not scheduled",IF(P320&gt;=1,"Complete",IF('Tracker Summary'!$C$3&gt;$I320,"Overdue",IF(P320-Q320&lt;-0.1,"Behind",IF(AND(P320=0,'Tracker Summary'!$C$3&lt;$H320),"Not started","On track")))))</f>
        <v>Not started</v>
      </c>
      <c r="T320" s="90"/>
      <c r="U320" s="181" t="str">
        <f aca="false">IFERROR(INDEX(Schedule!$D$2:$D$147,MATCH($G320,Schedule!$A$2:$A$147,0)),"")</f>
        <v>Yard Piping &amp; Utilities — Yard piping, vaults and site utilities</v>
      </c>
      <c r="V320" s="183" t="n">
        <f aca="false">IFERROR(INDEX(Schedule!$F$2:$F$147,MATCH("33-P01",Schedule!$A$2:$A$147,0)),"")</f>
        <v>45016</v>
      </c>
      <c r="W320" s="181" t="s">
        <v>99</v>
      </c>
      <c r="X320" s="181" t="s">
        <v>99</v>
      </c>
      <c r="Y320" s="181" t="n">
        <v>4</v>
      </c>
      <c r="Z320" s="181" t="n">
        <v>5</v>
      </c>
      <c r="AA320" s="181"/>
      <c r="AB320" s="181"/>
      <c r="AC320" s="181" t="s">
        <v>92</v>
      </c>
      <c r="AD320" s="181" t="s">
        <v>93</v>
      </c>
      <c r="AE320" s="181" t="s">
        <v>1448</v>
      </c>
      <c r="AF320" s="181" t="s">
        <v>1357</v>
      </c>
      <c r="AG320" s="181" t="s">
        <v>1449</v>
      </c>
      <c r="AH320" s="181" t="s">
        <v>95</v>
      </c>
    </row>
    <row r="321" customFormat="false" ht="15" hidden="false" customHeight="false" outlineLevel="0" collapsed="false">
      <c r="A321" s="181" t="s">
        <v>60</v>
      </c>
      <c r="B321" s="182" t="s">
        <v>43</v>
      </c>
      <c r="C321" s="181" t="s">
        <v>1459</v>
      </c>
      <c r="D321" s="181" t="s">
        <v>1460</v>
      </c>
      <c r="E321" s="181" t="s">
        <v>98</v>
      </c>
      <c r="F321" s="90" t="s">
        <v>234</v>
      </c>
      <c r="G321" s="181" t="s">
        <v>1337</v>
      </c>
      <c r="H321" s="183" t="n">
        <f aca="false">IFERROR(INDEX(Schedule!$E$2:$E$147,MATCH($G321,Schedule!$A$2:$A$147,0)),"")</f>
        <v>45017</v>
      </c>
      <c r="I321" s="183" t="n">
        <f aca="false">IFERROR(INDEX(Schedule!$F$2:$F$147,MATCH($G321,Schedule!$A$2:$A$147,0)),"")</f>
        <v>45231</v>
      </c>
      <c r="J321" s="92"/>
      <c r="K321" s="92"/>
      <c r="L321" s="92"/>
      <c r="M321" s="92"/>
      <c r="N321" s="92"/>
      <c r="O321" s="90" t="n">
        <v>1</v>
      </c>
      <c r="P321" s="184" t="n">
        <f aca="false">IFERROR((IF(OR(ISNUMBER(J321),UPPER(TRIM(J321))="N/A"),1,0)*IF($W321="N",0,INDEX('Rules of Credit'!$B$5:$F$8,MATCH($F321,'Rules of Credit'!$A$5:$A$8,0),1))+IF(OR(ISNUMBER(K321),UPPER(TRIM(K321))="N/A"),1,0)*INDEX('Rules of Credit'!$B$5:$F$8,MATCH($F321,'Rules of Credit'!$A$5:$A$8,0),2)+IF(OR(ISNUMBER(L321),UPPER(TRIM(L321))="N/A"),1,0)*INDEX('Rules of Credit'!$B$5:$F$8,MATCH($F321,'Rules of Credit'!$A$5:$A$8,0),3)+IF(OR(ISNUMBER(M321),UPPER(TRIM(M321))="N/A"),1,0)*IF($X321="N",0,INDEX('Rules of Credit'!$B$5:$F$8,MATCH($F321,'Rules of Credit'!$A$5:$A$8,0),4))+IF(OR(ISNUMBER(N321),UPPER(TRIM(N321))="N/A"),1,0)*INDEX('Rules of Credit'!$B$5:$F$8,MATCH($F321,'Rules of Credit'!$A$5:$A$8,0),5))/(IF($W321="N",0,INDEX('Rules of Credit'!$B$5:$F$8,MATCH($F321,'Rules of Credit'!$A$5:$A$8,0),1))+INDEX('Rules of Credit'!$B$5:$F$8,MATCH($F321,'Rules of Credit'!$A$5:$A$8,0),2)+INDEX('Rules of Credit'!$B$5:$F$8,MATCH($F321,'Rules of Credit'!$A$5:$A$8,0),3)+IF($X321="N",0,INDEX('Rules of Credit'!$B$5:$F$8,MATCH($F321,'Rules of Credit'!$A$5:$A$8,0),4))+INDEX('Rules of Credit'!$B$5:$F$8,MATCH($F321,'Rules of Credit'!$A$5:$A$8,0),5)),0)</f>
        <v>0</v>
      </c>
      <c r="Q321" s="184" t="n">
        <f aca="false">IF(OR($H321="",$I321=""),0,IF('Tracker Summary'!$C$3&lt;$H321,0,IF('Tracker Summary'!$C$3&gt;=$I321,1,('Tracker Summary'!$C$3-$H321)/($I321-$H321+1))))</f>
        <v>0</v>
      </c>
      <c r="R321" s="184" t="n">
        <f aca="false">P321-Q321</f>
        <v>0</v>
      </c>
      <c r="S321" s="181" t="str">
        <f aca="false">IF($I321="","Not scheduled",IF(P321&gt;=1,"Complete",IF('Tracker Summary'!$C$3&gt;$I321,"Overdue",IF(P321-Q321&lt;-0.1,"Behind",IF(AND(P321=0,'Tracker Summary'!$C$3&lt;$H321),"Not started","On track")))))</f>
        <v>Not started</v>
      </c>
      <c r="T321" s="90"/>
      <c r="U321" s="181" t="str">
        <f aca="false">IFERROR(INDEX(Schedule!$D$2:$D$147,MATCH($G321,Schedule!$A$2:$A$147,0)),"")</f>
        <v>Yard Piping &amp; Utilities — Yard piping, vaults and site utilities</v>
      </c>
      <c r="V321" s="183" t="n">
        <f aca="false">IFERROR(INDEX(Schedule!$F$2:$F$147,MATCH("33-P01",Schedule!$A$2:$A$147,0)),"")</f>
        <v>45016</v>
      </c>
      <c r="W321" s="181" t="s">
        <v>99</v>
      </c>
      <c r="X321" s="181" t="s">
        <v>99</v>
      </c>
      <c r="Y321" s="181" t="n">
        <v>4</v>
      </c>
      <c r="Z321" s="181" t="n">
        <v>5</v>
      </c>
      <c r="AA321" s="181"/>
      <c r="AB321" s="181"/>
      <c r="AC321" s="181" t="s">
        <v>120</v>
      </c>
      <c r="AD321" s="181" t="s">
        <v>93</v>
      </c>
      <c r="AE321" s="181" t="s">
        <v>1448</v>
      </c>
      <c r="AF321" s="181" t="s">
        <v>1357</v>
      </c>
      <c r="AG321" s="181" t="s">
        <v>1449</v>
      </c>
      <c r="AH321" s="181" t="s">
        <v>95</v>
      </c>
    </row>
    <row r="322" customFormat="false" ht="15" hidden="false" customHeight="false" outlineLevel="0" collapsed="false">
      <c r="A322" s="181" t="s">
        <v>60</v>
      </c>
      <c r="B322" s="182" t="s">
        <v>43</v>
      </c>
      <c r="C322" s="181" t="s">
        <v>1461</v>
      </c>
      <c r="D322" s="181" t="s">
        <v>1460</v>
      </c>
      <c r="E322" s="181" t="s">
        <v>98</v>
      </c>
      <c r="F322" s="90" t="s">
        <v>234</v>
      </c>
      <c r="G322" s="181" t="s">
        <v>1337</v>
      </c>
      <c r="H322" s="183" t="n">
        <f aca="false">IFERROR(INDEX(Schedule!$E$2:$E$147,MATCH($G322,Schedule!$A$2:$A$147,0)),"")</f>
        <v>45017</v>
      </c>
      <c r="I322" s="183" t="n">
        <f aca="false">IFERROR(INDEX(Schedule!$F$2:$F$147,MATCH($G322,Schedule!$A$2:$A$147,0)),"")</f>
        <v>45231</v>
      </c>
      <c r="J322" s="92"/>
      <c r="K322" s="92"/>
      <c r="L322" s="92"/>
      <c r="M322" s="92"/>
      <c r="N322" s="92"/>
      <c r="O322" s="90" t="n">
        <v>1</v>
      </c>
      <c r="P322" s="184" t="n">
        <f aca="false">IFERROR((IF(OR(ISNUMBER(J322),UPPER(TRIM(J322))="N/A"),1,0)*IF($W322="N",0,INDEX('Rules of Credit'!$B$5:$F$8,MATCH($F322,'Rules of Credit'!$A$5:$A$8,0),1))+IF(OR(ISNUMBER(K322),UPPER(TRIM(K322))="N/A"),1,0)*INDEX('Rules of Credit'!$B$5:$F$8,MATCH($F322,'Rules of Credit'!$A$5:$A$8,0),2)+IF(OR(ISNUMBER(L322),UPPER(TRIM(L322))="N/A"),1,0)*INDEX('Rules of Credit'!$B$5:$F$8,MATCH($F322,'Rules of Credit'!$A$5:$A$8,0),3)+IF(OR(ISNUMBER(M322),UPPER(TRIM(M322))="N/A"),1,0)*IF($X322="N",0,INDEX('Rules of Credit'!$B$5:$F$8,MATCH($F322,'Rules of Credit'!$A$5:$A$8,0),4))+IF(OR(ISNUMBER(N322),UPPER(TRIM(N322))="N/A"),1,0)*INDEX('Rules of Credit'!$B$5:$F$8,MATCH($F322,'Rules of Credit'!$A$5:$A$8,0),5))/(IF($W322="N",0,INDEX('Rules of Credit'!$B$5:$F$8,MATCH($F322,'Rules of Credit'!$A$5:$A$8,0),1))+INDEX('Rules of Credit'!$B$5:$F$8,MATCH($F322,'Rules of Credit'!$A$5:$A$8,0),2)+INDEX('Rules of Credit'!$B$5:$F$8,MATCH($F322,'Rules of Credit'!$A$5:$A$8,0),3)+IF($X322="N",0,INDEX('Rules of Credit'!$B$5:$F$8,MATCH($F322,'Rules of Credit'!$A$5:$A$8,0),4))+INDEX('Rules of Credit'!$B$5:$F$8,MATCH($F322,'Rules of Credit'!$A$5:$A$8,0),5)),0)</f>
        <v>0</v>
      </c>
      <c r="Q322" s="184" t="n">
        <f aca="false">IF(OR($H322="",$I322=""),0,IF('Tracker Summary'!$C$3&lt;$H322,0,IF('Tracker Summary'!$C$3&gt;=$I322,1,('Tracker Summary'!$C$3-$H322)/($I322-$H322+1))))</f>
        <v>0</v>
      </c>
      <c r="R322" s="184" t="n">
        <f aca="false">P322-Q322</f>
        <v>0</v>
      </c>
      <c r="S322" s="181" t="str">
        <f aca="false">IF($I322="","Not scheduled",IF(P322&gt;=1,"Complete",IF('Tracker Summary'!$C$3&gt;$I322,"Overdue",IF(P322-Q322&lt;-0.1,"Behind",IF(AND(P322=0,'Tracker Summary'!$C$3&lt;$H322),"Not started","On track")))))</f>
        <v>Not started</v>
      </c>
      <c r="T322" s="90"/>
      <c r="U322" s="181" t="str">
        <f aca="false">IFERROR(INDEX(Schedule!$D$2:$D$147,MATCH($G322,Schedule!$A$2:$A$147,0)),"")</f>
        <v>Yard Piping &amp; Utilities — Yard piping, vaults and site utilities</v>
      </c>
      <c r="V322" s="183" t="n">
        <f aca="false">IFERROR(INDEX(Schedule!$F$2:$F$147,MATCH("33-P01",Schedule!$A$2:$A$147,0)),"")</f>
        <v>45016</v>
      </c>
      <c r="W322" s="181" t="s">
        <v>99</v>
      </c>
      <c r="X322" s="181" t="s">
        <v>99</v>
      </c>
      <c r="Y322" s="181" t="n">
        <v>4</v>
      </c>
      <c r="Z322" s="181" t="n">
        <v>5</v>
      </c>
      <c r="AA322" s="181"/>
      <c r="AB322" s="181"/>
      <c r="AC322" s="181" t="s">
        <v>120</v>
      </c>
      <c r="AD322" s="181" t="s">
        <v>93</v>
      </c>
      <c r="AE322" s="181" t="s">
        <v>1448</v>
      </c>
      <c r="AF322" s="181" t="s">
        <v>1357</v>
      </c>
      <c r="AG322" s="181" t="s">
        <v>1449</v>
      </c>
      <c r="AH322" s="181" t="s">
        <v>95</v>
      </c>
    </row>
    <row r="323" customFormat="false" ht="15" hidden="false" customHeight="false" outlineLevel="0" collapsed="false">
      <c r="A323" s="181" t="s">
        <v>60</v>
      </c>
      <c r="B323" s="182" t="s">
        <v>43</v>
      </c>
      <c r="C323" s="181" t="s">
        <v>1462</v>
      </c>
      <c r="D323" s="181" t="s">
        <v>1463</v>
      </c>
      <c r="E323" s="181" t="s">
        <v>98</v>
      </c>
      <c r="F323" s="90" t="s">
        <v>234</v>
      </c>
      <c r="G323" s="181" t="s">
        <v>1337</v>
      </c>
      <c r="H323" s="183" t="n">
        <f aca="false">IFERROR(INDEX(Schedule!$E$2:$E$147,MATCH($G323,Schedule!$A$2:$A$147,0)),"")</f>
        <v>45017</v>
      </c>
      <c r="I323" s="183" t="n">
        <f aca="false">IFERROR(INDEX(Schedule!$F$2:$F$147,MATCH($G323,Schedule!$A$2:$A$147,0)),"")</f>
        <v>45231</v>
      </c>
      <c r="J323" s="92"/>
      <c r="K323" s="92"/>
      <c r="L323" s="92"/>
      <c r="M323" s="92"/>
      <c r="N323" s="92"/>
      <c r="O323" s="90" t="n">
        <v>1</v>
      </c>
      <c r="P323" s="184" t="n">
        <f aca="false">IFERROR((IF(OR(ISNUMBER(J323),UPPER(TRIM(J323))="N/A"),1,0)*IF($W323="N",0,INDEX('Rules of Credit'!$B$5:$F$8,MATCH($F323,'Rules of Credit'!$A$5:$A$8,0),1))+IF(OR(ISNUMBER(K323),UPPER(TRIM(K323))="N/A"),1,0)*INDEX('Rules of Credit'!$B$5:$F$8,MATCH($F323,'Rules of Credit'!$A$5:$A$8,0),2)+IF(OR(ISNUMBER(L323),UPPER(TRIM(L323))="N/A"),1,0)*INDEX('Rules of Credit'!$B$5:$F$8,MATCH($F323,'Rules of Credit'!$A$5:$A$8,0),3)+IF(OR(ISNUMBER(M323),UPPER(TRIM(M323))="N/A"),1,0)*IF($X323="N",0,INDEX('Rules of Credit'!$B$5:$F$8,MATCH($F323,'Rules of Credit'!$A$5:$A$8,0),4))+IF(OR(ISNUMBER(N323),UPPER(TRIM(N323))="N/A"),1,0)*INDEX('Rules of Credit'!$B$5:$F$8,MATCH($F323,'Rules of Credit'!$A$5:$A$8,0),5))/(IF($W323="N",0,INDEX('Rules of Credit'!$B$5:$F$8,MATCH($F323,'Rules of Credit'!$A$5:$A$8,0),1))+INDEX('Rules of Credit'!$B$5:$F$8,MATCH($F323,'Rules of Credit'!$A$5:$A$8,0),2)+INDEX('Rules of Credit'!$B$5:$F$8,MATCH($F323,'Rules of Credit'!$A$5:$A$8,0),3)+IF($X323="N",0,INDEX('Rules of Credit'!$B$5:$F$8,MATCH($F323,'Rules of Credit'!$A$5:$A$8,0),4))+INDEX('Rules of Credit'!$B$5:$F$8,MATCH($F323,'Rules of Credit'!$A$5:$A$8,0),5)),0)</f>
        <v>0</v>
      </c>
      <c r="Q323" s="184" t="n">
        <f aca="false">IF(OR($H323="",$I323=""),0,IF('Tracker Summary'!$C$3&lt;$H323,0,IF('Tracker Summary'!$C$3&gt;=$I323,1,('Tracker Summary'!$C$3-$H323)/($I323-$H323+1))))</f>
        <v>0</v>
      </c>
      <c r="R323" s="184" t="n">
        <f aca="false">P323-Q323</f>
        <v>0</v>
      </c>
      <c r="S323" s="181" t="str">
        <f aca="false">IF($I323="","Not scheduled",IF(P323&gt;=1,"Complete",IF('Tracker Summary'!$C$3&gt;$I323,"Overdue",IF(P323-Q323&lt;-0.1,"Behind",IF(AND(P323=0,'Tracker Summary'!$C$3&lt;$H323),"Not started","On track")))))</f>
        <v>Not started</v>
      </c>
      <c r="T323" s="90"/>
      <c r="U323" s="181" t="str">
        <f aca="false">IFERROR(INDEX(Schedule!$D$2:$D$147,MATCH($G323,Schedule!$A$2:$A$147,0)),"")</f>
        <v>Yard Piping &amp; Utilities — Yard piping, vaults and site utilities</v>
      </c>
      <c r="V323" s="183" t="n">
        <f aca="false">IFERROR(INDEX(Schedule!$F$2:$F$147,MATCH("33-P01",Schedule!$A$2:$A$147,0)),"")</f>
        <v>45016</v>
      </c>
      <c r="W323" s="181" t="s">
        <v>99</v>
      </c>
      <c r="X323" s="181" t="s">
        <v>99</v>
      </c>
      <c r="Y323" s="181" t="n">
        <v>4</v>
      </c>
      <c r="Z323" s="181" t="n">
        <v>5</v>
      </c>
      <c r="AA323" s="181"/>
      <c r="AB323" s="181"/>
      <c r="AC323" s="181" t="s">
        <v>120</v>
      </c>
      <c r="AD323" s="181" t="s">
        <v>93</v>
      </c>
      <c r="AE323" s="181" t="s">
        <v>1448</v>
      </c>
      <c r="AF323" s="181" t="s">
        <v>1357</v>
      </c>
      <c r="AG323" s="181" t="s">
        <v>1449</v>
      </c>
      <c r="AH323" s="181" t="s">
        <v>95</v>
      </c>
    </row>
    <row r="324" customFormat="false" ht="15" hidden="false" customHeight="false" outlineLevel="0" collapsed="false">
      <c r="A324" s="181" t="s">
        <v>60</v>
      </c>
      <c r="B324" s="182" t="s">
        <v>43</v>
      </c>
      <c r="C324" s="181" t="s">
        <v>1464</v>
      </c>
      <c r="D324" s="181" t="s">
        <v>1465</v>
      </c>
      <c r="E324" s="181" t="s">
        <v>98</v>
      </c>
      <c r="F324" s="90" t="s">
        <v>234</v>
      </c>
      <c r="G324" s="181" t="s">
        <v>1337</v>
      </c>
      <c r="H324" s="183" t="n">
        <f aca="false">IFERROR(INDEX(Schedule!$E$2:$E$147,MATCH($G324,Schedule!$A$2:$A$147,0)),"")</f>
        <v>45017</v>
      </c>
      <c r="I324" s="183" t="n">
        <f aca="false">IFERROR(INDEX(Schedule!$F$2:$F$147,MATCH($G324,Schedule!$A$2:$A$147,0)),"")</f>
        <v>45231</v>
      </c>
      <c r="J324" s="92"/>
      <c r="K324" s="92"/>
      <c r="L324" s="92"/>
      <c r="M324" s="92"/>
      <c r="N324" s="92"/>
      <c r="O324" s="90" t="n">
        <v>1</v>
      </c>
      <c r="P324" s="184" t="n">
        <f aca="false">IFERROR((IF(OR(ISNUMBER(J324),UPPER(TRIM(J324))="N/A"),1,0)*IF($W324="N",0,INDEX('Rules of Credit'!$B$5:$F$8,MATCH($F324,'Rules of Credit'!$A$5:$A$8,0),1))+IF(OR(ISNUMBER(K324),UPPER(TRIM(K324))="N/A"),1,0)*INDEX('Rules of Credit'!$B$5:$F$8,MATCH($F324,'Rules of Credit'!$A$5:$A$8,0),2)+IF(OR(ISNUMBER(L324),UPPER(TRIM(L324))="N/A"),1,0)*INDEX('Rules of Credit'!$B$5:$F$8,MATCH($F324,'Rules of Credit'!$A$5:$A$8,0),3)+IF(OR(ISNUMBER(M324),UPPER(TRIM(M324))="N/A"),1,0)*IF($X324="N",0,INDEX('Rules of Credit'!$B$5:$F$8,MATCH($F324,'Rules of Credit'!$A$5:$A$8,0),4))+IF(OR(ISNUMBER(N324),UPPER(TRIM(N324))="N/A"),1,0)*INDEX('Rules of Credit'!$B$5:$F$8,MATCH($F324,'Rules of Credit'!$A$5:$A$8,0),5))/(IF($W324="N",0,INDEX('Rules of Credit'!$B$5:$F$8,MATCH($F324,'Rules of Credit'!$A$5:$A$8,0),1))+INDEX('Rules of Credit'!$B$5:$F$8,MATCH($F324,'Rules of Credit'!$A$5:$A$8,0),2)+INDEX('Rules of Credit'!$B$5:$F$8,MATCH($F324,'Rules of Credit'!$A$5:$A$8,0),3)+IF($X324="N",0,INDEX('Rules of Credit'!$B$5:$F$8,MATCH($F324,'Rules of Credit'!$A$5:$A$8,0),4))+INDEX('Rules of Credit'!$B$5:$F$8,MATCH($F324,'Rules of Credit'!$A$5:$A$8,0),5)),0)</f>
        <v>0</v>
      </c>
      <c r="Q324" s="184" t="n">
        <f aca="false">IF(OR($H324="",$I324=""),0,IF('Tracker Summary'!$C$3&lt;$H324,0,IF('Tracker Summary'!$C$3&gt;=$I324,1,('Tracker Summary'!$C$3-$H324)/($I324-$H324+1))))</f>
        <v>0</v>
      </c>
      <c r="R324" s="184" t="n">
        <f aca="false">P324-Q324</f>
        <v>0</v>
      </c>
      <c r="S324" s="181" t="str">
        <f aca="false">IF($I324="","Not scheduled",IF(P324&gt;=1,"Complete",IF('Tracker Summary'!$C$3&gt;$I324,"Overdue",IF(P324-Q324&lt;-0.1,"Behind",IF(AND(P324=0,'Tracker Summary'!$C$3&lt;$H324),"Not started","On track")))))</f>
        <v>Not started</v>
      </c>
      <c r="T324" s="90"/>
      <c r="U324" s="181" t="str">
        <f aca="false">IFERROR(INDEX(Schedule!$D$2:$D$147,MATCH($G324,Schedule!$A$2:$A$147,0)),"")</f>
        <v>Yard Piping &amp; Utilities — Yard piping, vaults and site utilities</v>
      </c>
      <c r="V324" s="183" t="n">
        <f aca="false">IFERROR(INDEX(Schedule!$F$2:$F$147,MATCH("33-P01",Schedule!$A$2:$A$147,0)),"")</f>
        <v>45016</v>
      </c>
      <c r="W324" s="181" t="s">
        <v>99</v>
      </c>
      <c r="X324" s="181" t="s">
        <v>99</v>
      </c>
      <c r="Y324" s="181" t="n">
        <v>4</v>
      </c>
      <c r="Z324" s="181" t="n">
        <v>5</v>
      </c>
      <c r="AA324" s="181"/>
      <c r="AB324" s="181"/>
      <c r="AC324" s="181" t="s">
        <v>120</v>
      </c>
      <c r="AD324" s="181" t="s">
        <v>93</v>
      </c>
      <c r="AE324" s="181" t="s">
        <v>1448</v>
      </c>
      <c r="AF324" s="181" t="s">
        <v>1357</v>
      </c>
      <c r="AG324" s="181" t="s">
        <v>1449</v>
      </c>
      <c r="AH324" s="181" t="s">
        <v>95</v>
      </c>
    </row>
    <row r="325" customFormat="false" ht="15" hidden="false" customHeight="false" outlineLevel="0" collapsed="false">
      <c r="A325" s="181" t="s">
        <v>60</v>
      </c>
      <c r="B325" s="182" t="s">
        <v>43</v>
      </c>
      <c r="C325" s="181" t="s">
        <v>1466</v>
      </c>
      <c r="D325" s="181" t="s">
        <v>1467</v>
      </c>
      <c r="E325" s="181" t="s">
        <v>98</v>
      </c>
      <c r="F325" s="90" t="s">
        <v>234</v>
      </c>
      <c r="G325" s="181" t="s">
        <v>1337</v>
      </c>
      <c r="H325" s="183" t="n">
        <f aca="false">IFERROR(INDEX(Schedule!$E$2:$E$147,MATCH($G325,Schedule!$A$2:$A$147,0)),"")</f>
        <v>45017</v>
      </c>
      <c r="I325" s="183" t="n">
        <f aca="false">IFERROR(INDEX(Schedule!$F$2:$F$147,MATCH($G325,Schedule!$A$2:$A$147,0)),"")</f>
        <v>45231</v>
      </c>
      <c r="J325" s="92"/>
      <c r="K325" s="92"/>
      <c r="L325" s="92"/>
      <c r="M325" s="92"/>
      <c r="N325" s="92"/>
      <c r="O325" s="90" t="n">
        <v>1</v>
      </c>
      <c r="P325" s="184" t="n">
        <f aca="false">IFERROR((IF(OR(ISNUMBER(J325),UPPER(TRIM(J325))="N/A"),1,0)*IF($W325="N",0,INDEX('Rules of Credit'!$B$5:$F$8,MATCH($F325,'Rules of Credit'!$A$5:$A$8,0),1))+IF(OR(ISNUMBER(K325),UPPER(TRIM(K325))="N/A"),1,0)*INDEX('Rules of Credit'!$B$5:$F$8,MATCH($F325,'Rules of Credit'!$A$5:$A$8,0),2)+IF(OR(ISNUMBER(L325),UPPER(TRIM(L325))="N/A"),1,0)*INDEX('Rules of Credit'!$B$5:$F$8,MATCH($F325,'Rules of Credit'!$A$5:$A$8,0),3)+IF(OR(ISNUMBER(M325),UPPER(TRIM(M325))="N/A"),1,0)*IF($X325="N",0,INDEX('Rules of Credit'!$B$5:$F$8,MATCH($F325,'Rules of Credit'!$A$5:$A$8,0),4))+IF(OR(ISNUMBER(N325),UPPER(TRIM(N325))="N/A"),1,0)*INDEX('Rules of Credit'!$B$5:$F$8,MATCH($F325,'Rules of Credit'!$A$5:$A$8,0),5))/(IF($W325="N",0,INDEX('Rules of Credit'!$B$5:$F$8,MATCH($F325,'Rules of Credit'!$A$5:$A$8,0),1))+INDEX('Rules of Credit'!$B$5:$F$8,MATCH($F325,'Rules of Credit'!$A$5:$A$8,0),2)+INDEX('Rules of Credit'!$B$5:$F$8,MATCH($F325,'Rules of Credit'!$A$5:$A$8,0),3)+IF($X325="N",0,INDEX('Rules of Credit'!$B$5:$F$8,MATCH($F325,'Rules of Credit'!$A$5:$A$8,0),4))+INDEX('Rules of Credit'!$B$5:$F$8,MATCH($F325,'Rules of Credit'!$A$5:$A$8,0),5)),0)</f>
        <v>0</v>
      </c>
      <c r="Q325" s="184" t="n">
        <f aca="false">IF(OR($H325="",$I325=""),0,IF('Tracker Summary'!$C$3&lt;$H325,0,IF('Tracker Summary'!$C$3&gt;=$I325,1,('Tracker Summary'!$C$3-$H325)/($I325-$H325+1))))</f>
        <v>0</v>
      </c>
      <c r="R325" s="184" t="n">
        <f aca="false">P325-Q325</f>
        <v>0</v>
      </c>
      <c r="S325" s="181" t="str">
        <f aca="false">IF($I325="","Not scheduled",IF(P325&gt;=1,"Complete",IF('Tracker Summary'!$C$3&gt;$I325,"Overdue",IF(P325-Q325&lt;-0.1,"Behind",IF(AND(P325=0,'Tracker Summary'!$C$3&lt;$H325),"Not started","On track")))))</f>
        <v>Not started</v>
      </c>
      <c r="T325" s="90"/>
      <c r="U325" s="181" t="str">
        <f aca="false">IFERROR(INDEX(Schedule!$D$2:$D$147,MATCH($G325,Schedule!$A$2:$A$147,0)),"")</f>
        <v>Yard Piping &amp; Utilities — Yard piping, vaults and site utilities</v>
      </c>
      <c r="V325" s="183" t="n">
        <f aca="false">IFERROR(INDEX(Schedule!$F$2:$F$147,MATCH("33-P01",Schedule!$A$2:$A$147,0)),"")</f>
        <v>45016</v>
      </c>
      <c r="W325" s="181" t="s">
        <v>99</v>
      </c>
      <c r="X325" s="181" t="s">
        <v>99</v>
      </c>
      <c r="Y325" s="181" t="n">
        <v>4</v>
      </c>
      <c r="Z325" s="181" t="n">
        <v>5</v>
      </c>
      <c r="AA325" s="181"/>
      <c r="AB325" s="181"/>
      <c r="AC325" s="181" t="s">
        <v>120</v>
      </c>
      <c r="AD325" s="181" t="s">
        <v>93</v>
      </c>
      <c r="AE325" s="181" t="s">
        <v>1448</v>
      </c>
      <c r="AF325" s="181" t="s">
        <v>1357</v>
      </c>
      <c r="AG325" s="181" t="s">
        <v>1449</v>
      </c>
      <c r="AH325" s="181" t="s">
        <v>95</v>
      </c>
    </row>
    <row r="326" customFormat="false" ht="15" hidden="false" customHeight="false" outlineLevel="0" collapsed="false">
      <c r="A326" s="181" t="s">
        <v>60</v>
      </c>
      <c r="B326" s="182" t="s">
        <v>43</v>
      </c>
      <c r="C326" s="181" t="s">
        <v>1468</v>
      </c>
      <c r="D326" s="181" t="s">
        <v>1467</v>
      </c>
      <c r="E326" s="181" t="s">
        <v>98</v>
      </c>
      <c r="F326" s="90" t="s">
        <v>234</v>
      </c>
      <c r="G326" s="181" t="s">
        <v>1337</v>
      </c>
      <c r="H326" s="183" t="n">
        <f aca="false">IFERROR(INDEX(Schedule!$E$2:$E$147,MATCH($G326,Schedule!$A$2:$A$147,0)),"")</f>
        <v>45017</v>
      </c>
      <c r="I326" s="183" t="n">
        <f aca="false">IFERROR(INDEX(Schedule!$F$2:$F$147,MATCH($G326,Schedule!$A$2:$A$147,0)),"")</f>
        <v>45231</v>
      </c>
      <c r="J326" s="92"/>
      <c r="K326" s="92"/>
      <c r="L326" s="92"/>
      <c r="M326" s="92"/>
      <c r="N326" s="92"/>
      <c r="O326" s="90" t="n">
        <v>1</v>
      </c>
      <c r="P326" s="184" t="n">
        <f aca="false">IFERROR((IF(OR(ISNUMBER(J326),UPPER(TRIM(J326))="N/A"),1,0)*IF($W326="N",0,INDEX('Rules of Credit'!$B$5:$F$8,MATCH($F326,'Rules of Credit'!$A$5:$A$8,0),1))+IF(OR(ISNUMBER(K326),UPPER(TRIM(K326))="N/A"),1,0)*INDEX('Rules of Credit'!$B$5:$F$8,MATCH($F326,'Rules of Credit'!$A$5:$A$8,0),2)+IF(OR(ISNUMBER(L326),UPPER(TRIM(L326))="N/A"),1,0)*INDEX('Rules of Credit'!$B$5:$F$8,MATCH($F326,'Rules of Credit'!$A$5:$A$8,0),3)+IF(OR(ISNUMBER(M326),UPPER(TRIM(M326))="N/A"),1,0)*IF($X326="N",0,INDEX('Rules of Credit'!$B$5:$F$8,MATCH($F326,'Rules of Credit'!$A$5:$A$8,0),4))+IF(OR(ISNUMBER(N326),UPPER(TRIM(N326))="N/A"),1,0)*INDEX('Rules of Credit'!$B$5:$F$8,MATCH($F326,'Rules of Credit'!$A$5:$A$8,0),5))/(IF($W326="N",0,INDEX('Rules of Credit'!$B$5:$F$8,MATCH($F326,'Rules of Credit'!$A$5:$A$8,0),1))+INDEX('Rules of Credit'!$B$5:$F$8,MATCH($F326,'Rules of Credit'!$A$5:$A$8,0),2)+INDEX('Rules of Credit'!$B$5:$F$8,MATCH($F326,'Rules of Credit'!$A$5:$A$8,0),3)+IF($X326="N",0,INDEX('Rules of Credit'!$B$5:$F$8,MATCH($F326,'Rules of Credit'!$A$5:$A$8,0),4))+INDEX('Rules of Credit'!$B$5:$F$8,MATCH($F326,'Rules of Credit'!$A$5:$A$8,0),5)),0)</f>
        <v>0</v>
      </c>
      <c r="Q326" s="184" t="n">
        <f aca="false">IF(OR($H326="",$I326=""),0,IF('Tracker Summary'!$C$3&lt;$H326,0,IF('Tracker Summary'!$C$3&gt;=$I326,1,('Tracker Summary'!$C$3-$H326)/($I326-$H326+1))))</f>
        <v>0</v>
      </c>
      <c r="R326" s="184" t="n">
        <f aca="false">P326-Q326</f>
        <v>0</v>
      </c>
      <c r="S326" s="181" t="str">
        <f aca="false">IF($I326="","Not scheduled",IF(P326&gt;=1,"Complete",IF('Tracker Summary'!$C$3&gt;$I326,"Overdue",IF(P326-Q326&lt;-0.1,"Behind",IF(AND(P326=0,'Tracker Summary'!$C$3&lt;$H326),"Not started","On track")))))</f>
        <v>Not started</v>
      </c>
      <c r="T326" s="90"/>
      <c r="U326" s="181" t="str">
        <f aca="false">IFERROR(INDEX(Schedule!$D$2:$D$147,MATCH($G326,Schedule!$A$2:$A$147,0)),"")</f>
        <v>Yard Piping &amp; Utilities — Yard piping, vaults and site utilities</v>
      </c>
      <c r="V326" s="183" t="n">
        <f aca="false">IFERROR(INDEX(Schedule!$F$2:$F$147,MATCH("33-P01",Schedule!$A$2:$A$147,0)),"")</f>
        <v>45016</v>
      </c>
      <c r="W326" s="181" t="s">
        <v>99</v>
      </c>
      <c r="X326" s="181" t="s">
        <v>99</v>
      </c>
      <c r="Y326" s="181" t="n">
        <v>4</v>
      </c>
      <c r="Z326" s="181" t="n">
        <v>5</v>
      </c>
      <c r="AA326" s="181"/>
      <c r="AB326" s="181"/>
      <c r="AC326" s="181" t="s">
        <v>120</v>
      </c>
      <c r="AD326" s="181" t="s">
        <v>93</v>
      </c>
      <c r="AE326" s="181" t="s">
        <v>1448</v>
      </c>
      <c r="AF326" s="181" t="s">
        <v>1357</v>
      </c>
      <c r="AG326" s="181" t="s">
        <v>1449</v>
      </c>
      <c r="AH326" s="181" t="s">
        <v>95</v>
      </c>
    </row>
    <row r="327" customFormat="false" ht="15" hidden="false" customHeight="false" outlineLevel="0" collapsed="false">
      <c r="A327" s="181" t="s">
        <v>60</v>
      </c>
      <c r="B327" s="182" t="s">
        <v>43</v>
      </c>
      <c r="C327" s="181" t="s">
        <v>1469</v>
      </c>
      <c r="D327" s="181" t="s">
        <v>1470</v>
      </c>
      <c r="E327" s="181" t="s">
        <v>98</v>
      </c>
      <c r="F327" s="90" t="s">
        <v>234</v>
      </c>
      <c r="G327" s="181" t="s">
        <v>1337</v>
      </c>
      <c r="H327" s="183" t="n">
        <f aca="false">IFERROR(INDEX(Schedule!$E$2:$E$147,MATCH($G327,Schedule!$A$2:$A$147,0)),"")</f>
        <v>45017</v>
      </c>
      <c r="I327" s="183" t="n">
        <f aca="false">IFERROR(INDEX(Schedule!$F$2:$F$147,MATCH($G327,Schedule!$A$2:$A$147,0)),"")</f>
        <v>45231</v>
      </c>
      <c r="J327" s="92"/>
      <c r="K327" s="92"/>
      <c r="L327" s="92"/>
      <c r="M327" s="92"/>
      <c r="N327" s="92"/>
      <c r="O327" s="90" t="n">
        <v>1</v>
      </c>
      <c r="P327" s="184" t="n">
        <f aca="false">IFERROR((IF(OR(ISNUMBER(J327),UPPER(TRIM(J327))="N/A"),1,0)*IF($W327="N",0,INDEX('Rules of Credit'!$B$5:$F$8,MATCH($F327,'Rules of Credit'!$A$5:$A$8,0),1))+IF(OR(ISNUMBER(K327),UPPER(TRIM(K327))="N/A"),1,0)*INDEX('Rules of Credit'!$B$5:$F$8,MATCH($F327,'Rules of Credit'!$A$5:$A$8,0),2)+IF(OR(ISNUMBER(L327),UPPER(TRIM(L327))="N/A"),1,0)*INDEX('Rules of Credit'!$B$5:$F$8,MATCH($F327,'Rules of Credit'!$A$5:$A$8,0),3)+IF(OR(ISNUMBER(M327),UPPER(TRIM(M327))="N/A"),1,0)*IF($X327="N",0,INDEX('Rules of Credit'!$B$5:$F$8,MATCH($F327,'Rules of Credit'!$A$5:$A$8,0),4))+IF(OR(ISNUMBER(N327),UPPER(TRIM(N327))="N/A"),1,0)*INDEX('Rules of Credit'!$B$5:$F$8,MATCH($F327,'Rules of Credit'!$A$5:$A$8,0),5))/(IF($W327="N",0,INDEX('Rules of Credit'!$B$5:$F$8,MATCH($F327,'Rules of Credit'!$A$5:$A$8,0),1))+INDEX('Rules of Credit'!$B$5:$F$8,MATCH($F327,'Rules of Credit'!$A$5:$A$8,0),2)+INDEX('Rules of Credit'!$B$5:$F$8,MATCH($F327,'Rules of Credit'!$A$5:$A$8,0),3)+IF($X327="N",0,INDEX('Rules of Credit'!$B$5:$F$8,MATCH($F327,'Rules of Credit'!$A$5:$A$8,0),4))+INDEX('Rules of Credit'!$B$5:$F$8,MATCH($F327,'Rules of Credit'!$A$5:$A$8,0),5)),0)</f>
        <v>0</v>
      </c>
      <c r="Q327" s="184" t="n">
        <f aca="false">IF(OR($H327="",$I327=""),0,IF('Tracker Summary'!$C$3&lt;$H327,0,IF('Tracker Summary'!$C$3&gt;=$I327,1,('Tracker Summary'!$C$3-$H327)/($I327-$H327+1))))</f>
        <v>0</v>
      </c>
      <c r="R327" s="184" t="n">
        <f aca="false">P327-Q327</f>
        <v>0</v>
      </c>
      <c r="S327" s="181" t="str">
        <f aca="false">IF($I327="","Not scheduled",IF(P327&gt;=1,"Complete",IF('Tracker Summary'!$C$3&gt;$I327,"Overdue",IF(P327-Q327&lt;-0.1,"Behind",IF(AND(P327=0,'Tracker Summary'!$C$3&lt;$H327),"Not started","On track")))))</f>
        <v>Not started</v>
      </c>
      <c r="T327" s="90"/>
      <c r="U327" s="181" t="str">
        <f aca="false">IFERROR(INDEX(Schedule!$D$2:$D$147,MATCH($G327,Schedule!$A$2:$A$147,0)),"")</f>
        <v>Yard Piping &amp; Utilities — Yard piping, vaults and site utilities</v>
      </c>
      <c r="V327" s="183" t="n">
        <f aca="false">IFERROR(INDEX(Schedule!$F$2:$F$147,MATCH("33-P01",Schedule!$A$2:$A$147,0)),"")</f>
        <v>45016</v>
      </c>
      <c r="W327" s="181" t="s">
        <v>99</v>
      </c>
      <c r="X327" s="181" t="s">
        <v>99</v>
      </c>
      <c r="Y327" s="181" t="n">
        <v>4</v>
      </c>
      <c r="Z327" s="181" t="n">
        <v>5</v>
      </c>
      <c r="AA327" s="181"/>
      <c r="AB327" s="181"/>
      <c r="AC327" s="181" t="s">
        <v>120</v>
      </c>
      <c r="AD327" s="181" t="s">
        <v>93</v>
      </c>
      <c r="AE327" s="181" t="s">
        <v>1448</v>
      </c>
      <c r="AF327" s="181" t="s">
        <v>1357</v>
      </c>
      <c r="AG327" s="181" t="s">
        <v>1449</v>
      </c>
      <c r="AH327" s="181" t="s">
        <v>95</v>
      </c>
    </row>
    <row r="328" customFormat="false" ht="15" hidden="false" customHeight="false" outlineLevel="0" collapsed="false">
      <c r="A328" s="181" t="s">
        <v>60</v>
      </c>
      <c r="B328" s="182" t="s">
        <v>43</v>
      </c>
      <c r="C328" s="181" t="s">
        <v>1471</v>
      </c>
      <c r="D328" s="181" t="s">
        <v>1457</v>
      </c>
      <c r="E328" s="181" t="s">
        <v>98</v>
      </c>
      <c r="F328" s="90" t="s">
        <v>234</v>
      </c>
      <c r="G328" s="181" t="s">
        <v>1337</v>
      </c>
      <c r="H328" s="183" t="n">
        <f aca="false">IFERROR(INDEX(Schedule!$E$2:$E$147,MATCH($G328,Schedule!$A$2:$A$147,0)),"")</f>
        <v>45017</v>
      </c>
      <c r="I328" s="183" t="n">
        <f aca="false">IFERROR(INDEX(Schedule!$F$2:$F$147,MATCH($G328,Schedule!$A$2:$A$147,0)),"")</f>
        <v>45231</v>
      </c>
      <c r="J328" s="92"/>
      <c r="K328" s="92"/>
      <c r="L328" s="92"/>
      <c r="M328" s="92"/>
      <c r="N328" s="92"/>
      <c r="O328" s="90" t="n">
        <v>1</v>
      </c>
      <c r="P328" s="184" t="n">
        <f aca="false">IFERROR((IF(OR(ISNUMBER(J328),UPPER(TRIM(J328))="N/A"),1,0)*IF($W328="N",0,INDEX('Rules of Credit'!$B$5:$F$8,MATCH($F328,'Rules of Credit'!$A$5:$A$8,0),1))+IF(OR(ISNUMBER(K328),UPPER(TRIM(K328))="N/A"),1,0)*INDEX('Rules of Credit'!$B$5:$F$8,MATCH($F328,'Rules of Credit'!$A$5:$A$8,0),2)+IF(OR(ISNUMBER(L328),UPPER(TRIM(L328))="N/A"),1,0)*INDEX('Rules of Credit'!$B$5:$F$8,MATCH($F328,'Rules of Credit'!$A$5:$A$8,0),3)+IF(OR(ISNUMBER(M328),UPPER(TRIM(M328))="N/A"),1,0)*IF($X328="N",0,INDEX('Rules of Credit'!$B$5:$F$8,MATCH($F328,'Rules of Credit'!$A$5:$A$8,0),4))+IF(OR(ISNUMBER(N328),UPPER(TRIM(N328))="N/A"),1,0)*INDEX('Rules of Credit'!$B$5:$F$8,MATCH($F328,'Rules of Credit'!$A$5:$A$8,0),5))/(IF($W328="N",0,INDEX('Rules of Credit'!$B$5:$F$8,MATCH($F328,'Rules of Credit'!$A$5:$A$8,0),1))+INDEX('Rules of Credit'!$B$5:$F$8,MATCH($F328,'Rules of Credit'!$A$5:$A$8,0),2)+INDEX('Rules of Credit'!$B$5:$F$8,MATCH($F328,'Rules of Credit'!$A$5:$A$8,0),3)+IF($X328="N",0,INDEX('Rules of Credit'!$B$5:$F$8,MATCH($F328,'Rules of Credit'!$A$5:$A$8,0),4))+INDEX('Rules of Credit'!$B$5:$F$8,MATCH($F328,'Rules of Credit'!$A$5:$A$8,0),5)),0)</f>
        <v>0</v>
      </c>
      <c r="Q328" s="184" t="n">
        <f aca="false">IF(OR($H328="",$I328=""),0,IF('Tracker Summary'!$C$3&lt;$H328,0,IF('Tracker Summary'!$C$3&gt;=$I328,1,('Tracker Summary'!$C$3-$H328)/($I328-$H328+1))))</f>
        <v>0</v>
      </c>
      <c r="R328" s="184" t="n">
        <f aca="false">P328-Q328</f>
        <v>0</v>
      </c>
      <c r="S328" s="181" t="str">
        <f aca="false">IF($I328="","Not scheduled",IF(P328&gt;=1,"Complete",IF('Tracker Summary'!$C$3&gt;$I328,"Overdue",IF(P328-Q328&lt;-0.1,"Behind",IF(AND(P328=0,'Tracker Summary'!$C$3&lt;$H328),"Not started","On track")))))</f>
        <v>Not started</v>
      </c>
      <c r="T328" s="90"/>
      <c r="U328" s="181" t="str">
        <f aca="false">IFERROR(INDEX(Schedule!$D$2:$D$147,MATCH($G328,Schedule!$A$2:$A$147,0)),"")</f>
        <v>Yard Piping &amp; Utilities — Yard piping, vaults and site utilities</v>
      </c>
      <c r="V328" s="183" t="n">
        <f aca="false">IFERROR(INDEX(Schedule!$F$2:$F$147,MATCH("33-P01",Schedule!$A$2:$A$147,0)),"")</f>
        <v>45016</v>
      </c>
      <c r="W328" s="181" t="s">
        <v>99</v>
      </c>
      <c r="X328" s="181" t="s">
        <v>99</v>
      </c>
      <c r="Y328" s="181" t="n">
        <v>4</v>
      </c>
      <c r="Z328" s="181" t="n">
        <v>5</v>
      </c>
      <c r="AA328" s="181"/>
      <c r="AB328" s="181"/>
      <c r="AC328" s="181" t="s">
        <v>120</v>
      </c>
      <c r="AD328" s="181" t="s">
        <v>93</v>
      </c>
      <c r="AE328" s="181" t="s">
        <v>1448</v>
      </c>
      <c r="AF328" s="181" t="s">
        <v>1357</v>
      </c>
      <c r="AG328" s="181" t="s">
        <v>1449</v>
      </c>
      <c r="AH328" s="181" t="s">
        <v>95</v>
      </c>
    </row>
    <row r="329" customFormat="false" ht="15" hidden="false" customHeight="false" outlineLevel="0" collapsed="false">
      <c r="A329" s="181" t="s">
        <v>60</v>
      </c>
      <c r="B329" s="182" t="s">
        <v>43</v>
      </c>
      <c r="C329" s="181" t="s">
        <v>548</v>
      </c>
      <c r="D329" s="181" t="s">
        <v>1472</v>
      </c>
      <c r="E329" s="181" t="s">
        <v>98</v>
      </c>
      <c r="F329" s="90" t="s">
        <v>234</v>
      </c>
      <c r="G329" s="181" t="s">
        <v>1337</v>
      </c>
      <c r="H329" s="183" t="n">
        <f aca="false">IFERROR(INDEX(Schedule!$E$2:$E$147,MATCH($G329,Schedule!$A$2:$A$147,0)),"")</f>
        <v>45017</v>
      </c>
      <c r="I329" s="183" t="n">
        <f aca="false">IFERROR(INDEX(Schedule!$F$2:$F$147,MATCH($G329,Schedule!$A$2:$A$147,0)),"")</f>
        <v>45231</v>
      </c>
      <c r="J329" s="92"/>
      <c r="K329" s="92"/>
      <c r="L329" s="92"/>
      <c r="M329" s="92"/>
      <c r="N329" s="92"/>
      <c r="O329" s="90" t="n">
        <v>1</v>
      </c>
      <c r="P329" s="184" t="n">
        <f aca="false">IFERROR((IF(OR(ISNUMBER(J329),UPPER(TRIM(J329))="N/A"),1,0)*IF($W329="N",0,INDEX('Rules of Credit'!$B$5:$F$8,MATCH($F329,'Rules of Credit'!$A$5:$A$8,0),1))+IF(OR(ISNUMBER(K329),UPPER(TRIM(K329))="N/A"),1,0)*INDEX('Rules of Credit'!$B$5:$F$8,MATCH($F329,'Rules of Credit'!$A$5:$A$8,0),2)+IF(OR(ISNUMBER(L329),UPPER(TRIM(L329))="N/A"),1,0)*INDEX('Rules of Credit'!$B$5:$F$8,MATCH($F329,'Rules of Credit'!$A$5:$A$8,0),3)+IF(OR(ISNUMBER(M329),UPPER(TRIM(M329))="N/A"),1,0)*IF($X329="N",0,INDEX('Rules of Credit'!$B$5:$F$8,MATCH($F329,'Rules of Credit'!$A$5:$A$8,0),4))+IF(OR(ISNUMBER(N329),UPPER(TRIM(N329))="N/A"),1,0)*INDEX('Rules of Credit'!$B$5:$F$8,MATCH($F329,'Rules of Credit'!$A$5:$A$8,0),5))/(IF($W329="N",0,INDEX('Rules of Credit'!$B$5:$F$8,MATCH($F329,'Rules of Credit'!$A$5:$A$8,0),1))+INDEX('Rules of Credit'!$B$5:$F$8,MATCH($F329,'Rules of Credit'!$A$5:$A$8,0),2)+INDEX('Rules of Credit'!$B$5:$F$8,MATCH($F329,'Rules of Credit'!$A$5:$A$8,0),3)+IF($X329="N",0,INDEX('Rules of Credit'!$B$5:$F$8,MATCH($F329,'Rules of Credit'!$A$5:$A$8,0),4))+INDEX('Rules of Credit'!$B$5:$F$8,MATCH($F329,'Rules of Credit'!$A$5:$A$8,0),5)),0)</f>
        <v>0</v>
      </c>
      <c r="Q329" s="184" t="n">
        <f aca="false">IF(OR($H329="",$I329=""),0,IF('Tracker Summary'!$C$3&lt;$H329,0,IF('Tracker Summary'!$C$3&gt;=$I329,1,('Tracker Summary'!$C$3-$H329)/($I329-$H329+1))))</f>
        <v>0</v>
      </c>
      <c r="R329" s="184" t="n">
        <f aca="false">P329-Q329</f>
        <v>0</v>
      </c>
      <c r="S329" s="181" t="str">
        <f aca="false">IF($I329="","Not scheduled",IF(P329&gt;=1,"Complete",IF('Tracker Summary'!$C$3&gt;$I329,"Overdue",IF(P329-Q329&lt;-0.1,"Behind",IF(AND(P329=0,'Tracker Summary'!$C$3&lt;$H329),"Not started","On track")))))</f>
        <v>Not started</v>
      </c>
      <c r="T329" s="90"/>
      <c r="U329" s="181" t="str">
        <f aca="false">IFERROR(INDEX(Schedule!$D$2:$D$147,MATCH($G329,Schedule!$A$2:$A$147,0)),"")</f>
        <v>Yard Piping &amp; Utilities — Yard piping, vaults and site utilities</v>
      </c>
      <c r="V329" s="183" t="n">
        <f aca="false">IFERROR(INDEX(Schedule!$F$2:$F$147,MATCH("33-P01",Schedule!$A$2:$A$147,0)),"")</f>
        <v>45016</v>
      </c>
      <c r="W329" s="181" t="s">
        <v>99</v>
      </c>
      <c r="X329" s="181" t="s">
        <v>99</v>
      </c>
      <c r="Y329" s="181" t="n">
        <v>3</v>
      </c>
      <c r="Z329" s="181" t="n">
        <v>3</v>
      </c>
      <c r="AA329" s="181"/>
      <c r="AB329" s="181" t="s">
        <v>1473</v>
      </c>
      <c r="AC329" s="181" t="s">
        <v>120</v>
      </c>
      <c r="AD329" s="181" t="s">
        <v>93</v>
      </c>
      <c r="AE329" s="181" t="s">
        <v>1474</v>
      </c>
      <c r="AF329" s="181" t="s">
        <v>1475</v>
      </c>
      <c r="AG329" s="181" t="s">
        <v>1476</v>
      </c>
      <c r="AH329" s="181" t="s">
        <v>95</v>
      </c>
    </row>
    <row r="330" customFormat="false" ht="15" hidden="false" customHeight="false" outlineLevel="0" collapsed="false">
      <c r="A330" s="181" t="s">
        <v>60</v>
      </c>
      <c r="B330" s="182" t="s">
        <v>43</v>
      </c>
      <c r="C330" s="181" t="s">
        <v>1477</v>
      </c>
      <c r="D330" s="181" t="s">
        <v>1478</v>
      </c>
      <c r="E330" s="181" t="s">
        <v>98</v>
      </c>
      <c r="F330" s="90" t="s">
        <v>234</v>
      </c>
      <c r="G330" s="181" t="s">
        <v>1337</v>
      </c>
      <c r="H330" s="183" t="n">
        <f aca="false">IFERROR(INDEX(Schedule!$E$2:$E$147,MATCH($G330,Schedule!$A$2:$A$147,0)),"")</f>
        <v>45017</v>
      </c>
      <c r="I330" s="183" t="n">
        <f aca="false">IFERROR(INDEX(Schedule!$F$2:$F$147,MATCH($G330,Schedule!$A$2:$A$147,0)),"")</f>
        <v>45231</v>
      </c>
      <c r="J330" s="92"/>
      <c r="K330" s="92"/>
      <c r="L330" s="92"/>
      <c r="M330" s="92"/>
      <c r="N330" s="92"/>
      <c r="O330" s="90" t="n">
        <v>1</v>
      </c>
      <c r="P330" s="184" t="n">
        <f aca="false">IFERROR((IF(OR(ISNUMBER(J330),UPPER(TRIM(J330))="N/A"),1,0)*IF($W330="N",0,INDEX('Rules of Credit'!$B$5:$F$8,MATCH($F330,'Rules of Credit'!$A$5:$A$8,0),1))+IF(OR(ISNUMBER(K330),UPPER(TRIM(K330))="N/A"),1,0)*INDEX('Rules of Credit'!$B$5:$F$8,MATCH($F330,'Rules of Credit'!$A$5:$A$8,0),2)+IF(OR(ISNUMBER(L330),UPPER(TRIM(L330))="N/A"),1,0)*INDEX('Rules of Credit'!$B$5:$F$8,MATCH($F330,'Rules of Credit'!$A$5:$A$8,0),3)+IF(OR(ISNUMBER(M330),UPPER(TRIM(M330))="N/A"),1,0)*IF($X330="N",0,INDEX('Rules of Credit'!$B$5:$F$8,MATCH($F330,'Rules of Credit'!$A$5:$A$8,0),4))+IF(OR(ISNUMBER(N330),UPPER(TRIM(N330))="N/A"),1,0)*INDEX('Rules of Credit'!$B$5:$F$8,MATCH($F330,'Rules of Credit'!$A$5:$A$8,0),5))/(IF($W330="N",0,INDEX('Rules of Credit'!$B$5:$F$8,MATCH($F330,'Rules of Credit'!$A$5:$A$8,0),1))+INDEX('Rules of Credit'!$B$5:$F$8,MATCH($F330,'Rules of Credit'!$A$5:$A$8,0),2)+INDEX('Rules of Credit'!$B$5:$F$8,MATCH($F330,'Rules of Credit'!$A$5:$A$8,0),3)+IF($X330="N",0,INDEX('Rules of Credit'!$B$5:$F$8,MATCH($F330,'Rules of Credit'!$A$5:$A$8,0),4))+INDEX('Rules of Credit'!$B$5:$F$8,MATCH($F330,'Rules of Credit'!$A$5:$A$8,0),5)),0)</f>
        <v>0</v>
      </c>
      <c r="Q330" s="184" t="n">
        <f aca="false">IF(OR($H330="",$I330=""),0,IF('Tracker Summary'!$C$3&lt;$H330,0,IF('Tracker Summary'!$C$3&gt;=$I330,1,('Tracker Summary'!$C$3-$H330)/($I330-$H330+1))))</f>
        <v>0</v>
      </c>
      <c r="R330" s="184" t="n">
        <f aca="false">P330-Q330</f>
        <v>0</v>
      </c>
      <c r="S330" s="181" t="str">
        <f aca="false">IF($I330="","Not scheduled",IF(P330&gt;=1,"Complete",IF('Tracker Summary'!$C$3&gt;$I330,"Overdue",IF(P330-Q330&lt;-0.1,"Behind",IF(AND(P330=0,'Tracker Summary'!$C$3&lt;$H330),"Not started","On track")))))</f>
        <v>Not started</v>
      </c>
      <c r="T330" s="90"/>
      <c r="U330" s="181" t="str">
        <f aca="false">IFERROR(INDEX(Schedule!$D$2:$D$147,MATCH($G330,Schedule!$A$2:$A$147,0)),"")</f>
        <v>Yard Piping &amp; Utilities — Yard piping, vaults and site utilities</v>
      </c>
      <c r="V330" s="183" t="n">
        <f aca="false">IFERROR(INDEX(Schedule!$F$2:$F$147,MATCH("33-P01",Schedule!$A$2:$A$147,0)),"")</f>
        <v>45016</v>
      </c>
      <c r="W330" s="181" t="s">
        <v>99</v>
      </c>
      <c r="X330" s="181" t="s">
        <v>99</v>
      </c>
      <c r="Y330" s="181" t="n">
        <v>3</v>
      </c>
      <c r="Z330" s="181" t="n">
        <v>5</v>
      </c>
      <c r="AA330" s="181"/>
      <c r="AB330" s="181"/>
      <c r="AC330" s="181" t="s">
        <v>92</v>
      </c>
      <c r="AD330" s="181" t="s">
        <v>93</v>
      </c>
      <c r="AE330" s="181" t="s">
        <v>1474</v>
      </c>
      <c r="AF330" s="181" t="s">
        <v>1475</v>
      </c>
      <c r="AG330" s="181" t="s">
        <v>1479</v>
      </c>
      <c r="AH330" s="181" t="s">
        <v>95</v>
      </c>
    </row>
    <row r="331" customFormat="false" ht="15" hidden="false" customHeight="false" outlineLevel="0" collapsed="false">
      <c r="A331" s="181" t="s">
        <v>60</v>
      </c>
      <c r="B331" s="182" t="s">
        <v>43</v>
      </c>
      <c r="C331" s="181" t="s">
        <v>1480</v>
      </c>
      <c r="D331" s="181" t="s">
        <v>1481</v>
      </c>
      <c r="E331" s="181" t="s">
        <v>98</v>
      </c>
      <c r="F331" s="90" t="s">
        <v>234</v>
      </c>
      <c r="G331" s="181" t="s">
        <v>1337</v>
      </c>
      <c r="H331" s="183" t="n">
        <f aca="false">IFERROR(INDEX(Schedule!$E$2:$E$147,MATCH($G331,Schedule!$A$2:$A$147,0)),"")</f>
        <v>45017</v>
      </c>
      <c r="I331" s="183" t="n">
        <f aca="false">IFERROR(INDEX(Schedule!$F$2:$F$147,MATCH($G331,Schedule!$A$2:$A$147,0)),"")</f>
        <v>45231</v>
      </c>
      <c r="J331" s="92"/>
      <c r="K331" s="92"/>
      <c r="L331" s="92"/>
      <c r="M331" s="92"/>
      <c r="N331" s="92"/>
      <c r="O331" s="90" t="n">
        <v>1</v>
      </c>
      <c r="P331" s="184" t="n">
        <f aca="false">IFERROR((IF(OR(ISNUMBER(J331),UPPER(TRIM(J331))="N/A"),1,0)*IF($W331="N",0,INDEX('Rules of Credit'!$B$5:$F$8,MATCH($F331,'Rules of Credit'!$A$5:$A$8,0),1))+IF(OR(ISNUMBER(K331),UPPER(TRIM(K331))="N/A"),1,0)*INDEX('Rules of Credit'!$B$5:$F$8,MATCH($F331,'Rules of Credit'!$A$5:$A$8,0),2)+IF(OR(ISNUMBER(L331),UPPER(TRIM(L331))="N/A"),1,0)*INDEX('Rules of Credit'!$B$5:$F$8,MATCH($F331,'Rules of Credit'!$A$5:$A$8,0),3)+IF(OR(ISNUMBER(M331),UPPER(TRIM(M331))="N/A"),1,0)*IF($X331="N",0,INDEX('Rules of Credit'!$B$5:$F$8,MATCH($F331,'Rules of Credit'!$A$5:$A$8,0),4))+IF(OR(ISNUMBER(N331),UPPER(TRIM(N331))="N/A"),1,0)*INDEX('Rules of Credit'!$B$5:$F$8,MATCH($F331,'Rules of Credit'!$A$5:$A$8,0),5))/(IF($W331="N",0,INDEX('Rules of Credit'!$B$5:$F$8,MATCH($F331,'Rules of Credit'!$A$5:$A$8,0),1))+INDEX('Rules of Credit'!$B$5:$F$8,MATCH($F331,'Rules of Credit'!$A$5:$A$8,0),2)+INDEX('Rules of Credit'!$B$5:$F$8,MATCH($F331,'Rules of Credit'!$A$5:$A$8,0),3)+IF($X331="N",0,INDEX('Rules of Credit'!$B$5:$F$8,MATCH($F331,'Rules of Credit'!$A$5:$A$8,0),4))+INDEX('Rules of Credit'!$B$5:$F$8,MATCH($F331,'Rules of Credit'!$A$5:$A$8,0),5)),0)</f>
        <v>0</v>
      </c>
      <c r="Q331" s="184" t="n">
        <f aca="false">IF(OR($H331="",$I331=""),0,IF('Tracker Summary'!$C$3&lt;$H331,0,IF('Tracker Summary'!$C$3&gt;=$I331,1,('Tracker Summary'!$C$3-$H331)/($I331-$H331+1))))</f>
        <v>0</v>
      </c>
      <c r="R331" s="184" t="n">
        <f aca="false">P331-Q331</f>
        <v>0</v>
      </c>
      <c r="S331" s="181" t="str">
        <f aca="false">IF($I331="","Not scheduled",IF(P331&gt;=1,"Complete",IF('Tracker Summary'!$C$3&gt;$I331,"Overdue",IF(P331-Q331&lt;-0.1,"Behind",IF(AND(P331=0,'Tracker Summary'!$C$3&lt;$H331),"Not started","On track")))))</f>
        <v>Not started</v>
      </c>
      <c r="T331" s="90"/>
      <c r="U331" s="181" t="str">
        <f aca="false">IFERROR(INDEX(Schedule!$D$2:$D$147,MATCH($G331,Schedule!$A$2:$A$147,0)),"")</f>
        <v>Yard Piping &amp; Utilities — Yard piping, vaults and site utilities</v>
      </c>
      <c r="V331" s="183" t="n">
        <f aca="false">IFERROR(INDEX(Schedule!$F$2:$F$147,MATCH("33-P01",Schedule!$A$2:$A$147,0)),"")</f>
        <v>45016</v>
      </c>
      <c r="W331" s="181" t="s">
        <v>99</v>
      </c>
      <c r="X331" s="181" t="s">
        <v>91</v>
      </c>
      <c r="Y331" s="181" t="n">
        <v>1</v>
      </c>
      <c r="Z331" s="181" t="n">
        <v>0</v>
      </c>
      <c r="AA331" s="181"/>
      <c r="AB331" s="181"/>
      <c r="AC331" s="181" t="s">
        <v>120</v>
      </c>
      <c r="AD331" s="181" t="s">
        <v>93</v>
      </c>
      <c r="AE331" s="181" t="s">
        <v>1482</v>
      </c>
      <c r="AF331" s="181" t="s">
        <v>1483</v>
      </c>
      <c r="AG331" s="181" t="s">
        <v>1484</v>
      </c>
      <c r="AH331" s="181" t="s">
        <v>95</v>
      </c>
    </row>
    <row r="332" customFormat="false" ht="15" hidden="false" customHeight="false" outlineLevel="0" collapsed="false">
      <c r="A332" s="181" t="s">
        <v>60</v>
      </c>
      <c r="B332" s="182" t="s">
        <v>43</v>
      </c>
      <c r="C332" s="181" t="s">
        <v>1485</v>
      </c>
      <c r="D332" s="181" t="s">
        <v>1486</v>
      </c>
      <c r="E332" s="181" t="s">
        <v>98</v>
      </c>
      <c r="F332" s="90" t="s">
        <v>234</v>
      </c>
      <c r="G332" s="181" t="s">
        <v>1337</v>
      </c>
      <c r="H332" s="183" t="n">
        <f aca="false">IFERROR(INDEX(Schedule!$E$2:$E$147,MATCH($G332,Schedule!$A$2:$A$147,0)),"")</f>
        <v>45017</v>
      </c>
      <c r="I332" s="183" t="n">
        <f aca="false">IFERROR(INDEX(Schedule!$F$2:$F$147,MATCH($G332,Schedule!$A$2:$A$147,0)),"")</f>
        <v>45231</v>
      </c>
      <c r="J332" s="92"/>
      <c r="K332" s="92"/>
      <c r="L332" s="92"/>
      <c r="M332" s="92"/>
      <c r="N332" s="92"/>
      <c r="O332" s="90" t="n">
        <v>1</v>
      </c>
      <c r="P332" s="184" t="n">
        <f aca="false">IFERROR((IF(OR(ISNUMBER(J332),UPPER(TRIM(J332))="N/A"),1,0)*IF($W332="N",0,INDEX('Rules of Credit'!$B$5:$F$8,MATCH($F332,'Rules of Credit'!$A$5:$A$8,0),1))+IF(OR(ISNUMBER(K332),UPPER(TRIM(K332))="N/A"),1,0)*INDEX('Rules of Credit'!$B$5:$F$8,MATCH($F332,'Rules of Credit'!$A$5:$A$8,0),2)+IF(OR(ISNUMBER(L332),UPPER(TRIM(L332))="N/A"),1,0)*INDEX('Rules of Credit'!$B$5:$F$8,MATCH($F332,'Rules of Credit'!$A$5:$A$8,0),3)+IF(OR(ISNUMBER(M332),UPPER(TRIM(M332))="N/A"),1,0)*IF($X332="N",0,INDEX('Rules of Credit'!$B$5:$F$8,MATCH($F332,'Rules of Credit'!$A$5:$A$8,0),4))+IF(OR(ISNUMBER(N332),UPPER(TRIM(N332))="N/A"),1,0)*INDEX('Rules of Credit'!$B$5:$F$8,MATCH($F332,'Rules of Credit'!$A$5:$A$8,0),5))/(IF($W332="N",0,INDEX('Rules of Credit'!$B$5:$F$8,MATCH($F332,'Rules of Credit'!$A$5:$A$8,0),1))+INDEX('Rules of Credit'!$B$5:$F$8,MATCH($F332,'Rules of Credit'!$A$5:$A$8,0),2)+INDEX('Rules of Credit'!$B$5:$F$8,MATCH($F332,'Rules of Credit'!$A$5:$A$8,0),3)+IF($X332="N",0,INDEX('Rules of Credit'!$B$5:$F$8,MATCH($F332,'Rules of Credit'!$A$5:$A$8,0),4))+INDEX('Rules of Credit'!$B$5:$F$8,MATCH($F332,'Rules of Credit'!$A$5:$A$8,0),5)),0)</f>
        <v>0</v>
      </c>
      <c r="Q332" s="184" t="n">
        <f aca="false">IF(OR($H332="",$I332=""),0,IF('Tracker Summary'!$C$3&lt;$H332,0,IF('Tracker Summary'!$C$3&gt;=$I332,1,('Tracker Summary'!$C$3-$H332)/($I332-$H332+1))))</f>
        <v>0</v>
      </c>
      <c r="R332" s="184" t="n">
        <f aca="false">P332-Q332</f>
        <v>0</v>
      </c>
      <c r="S332" s="181" t="str">
        <f aca="false">IF($I332="","Not scheduled",IF(P332&gt;=1,"Complete",IF('Tracker Summary'!$C$3&gt;$I332,"Overdue",IF(P332-Q332&lt;-0.1,"Behind",IF(AND(P332=0,'Tracker Summary'!$C$3&lt;$H332),"Not started","On track")))))</f>
        <v>Not started</v>
      </c>
      <c r="T332" s="90"/>
      <c r="U332" s="181" t="str">
        <f aca="false">IFERROR(INDEX(Schedule!$D$2:$D$147,MATCH($G332,Schedule!$A$2:$A$147,0)),"")</f>
        <v>Yard Piping &amp; Utilities — Yard piping, vaults and site utilities</v>
      </c>
      <c r="V332" s="183" t="n">
        <f aca="false">IFERROR(INDEX(Schedule!$F$2:$F$147,MATCH("33-P01",Schedule!$A$2:$A$147,0)),"")</f>
        <v>45016</v>
      </c>
      <c r="W332" s="181" t="s">
        <v>99</v>
      </c>
      <c r="X332" s="181" t="s">
        <v>91</v>
      </c>
      <c r="Y332" s="181" t="n">
        <v>1</v>
      </c>
      <c r="Z332" s="181" t="n">
        <v>0</v>
      </c>
      <c r="AA332" s="181"/>
      <c r="AB332" s="181"/>
      <c r="AC332" s="181" t="s">
        <v>120</v>
      </c>
      <c r="AD332" s="181" t="s">
        <v>93</v>
      </c>
      <c r="AE332" s="181" t="s">
        <v>1487</v>
      </c>
      <c r="AF332" s="181" t="s">
        <v>1483</v>
      </c>
      <c r="AG332" s="181" t="s">
        <v>1488</v>
      </c>
      <c r="AH332" s="181" t="s">
        <v>95</v>
      </c>
    </row>
    <row r="333" customFormat="false" ht="15" hidden="false" customHeight="false" outlineLevel="0" collapsed="false">
      <c r="A333" s="181" t="s">
        <v>60</v>
      </c>
      <c r="B333" s="182" t="s">
        <v>43</v>
      </c>
      <c r="C333" s="181" t="s">
        <v>1489</v>
      </c>
      <c r="D333" s="181" t="s">
        <v>1490</v>
      </c>
      <c r="E333" s="181" t="s">
        <v>98</v>
      </c>
      <c r="F333" s="90" t="s">
        <v>234</v>
      </c>
      <c r="G333" s="181" t="s">
        <v>1337</v>
      </c>
      <c r="H333" s="183" t="n">
        <f aca="false">IFERROR(INDEX(Schedule!$E$2:$E$147,MATCH($G333,Schedule!$A$2:$A$147,0)),"")</f>
        <v>45017</v>
      </c>
      <c r="I333" s="183" t="n">
        <f aca="false">IFERROR(INDEX(Schedule!$F$2:$F$147,MATCH($G333,Schedule!$A$2:$A$147,0)),"")</f>
        <v>45231</v>
      </c>
      <c r="J333" s="92"/>
      <c r="K333" s="92"/>
      <c r="L333" s="92"/>
      <c r="M333" s="92"/>
      <c r="N333" s="92"/>
      <c r="O333" s="90" t="n">
        <v>1</v>
      </c>
      <c r="P333" s="184" t="n">
        <f aca="false">IFERROR((IF(OR(ISNUMBER(J333),UPPER(TRIM(J333))="N/A"),1,0)*IF($W333="N",0,INDEX('Rules of Credit'!$B$5:$F$8,MATCH($F333,'Rules of Credit'!$A$5:$A$8,0),1))+IF(OR(ISNUMBER(K333),UPPER(TRIM(K333))="N/A"),1,0)*INDEX('Rules of Credit'!$B$5:$F$8,MATCH($F333,'Rules of Credit'!$A$5:$A$8,0),2)+IF(OR(ISNUMBER(L333),UPPER(TRIM(L333))="N/A"),1,0)*INDEX('Rules of Credit'!$B$5:$F$8,MATCH($F333,'Rules of Credit'!$A$5:$A$8,0),3)+IF(OR(ISNUMBER(M333),UPPER(TRIM(M333))="N/A"),1,0)*IF($X333="N",0,INDEX('Rules of Credit'!$B$5:$F$8,MATCH($F333,'Rules of Credit'!$A$5:$A$8,0),4))+IF(OR(ISNUMBER(N333),UPPER(TRIM(N333))="N/A"),1,0)*INDEX('Rules of Credit'!$B$5:$F$8,MATCH($F333,'Rules of Credit'!$A$5:$A$8,0),5))/(IF($W333="N",0,INDEX('Rules of Credit'!$B$5:$F$8,MATCH($F333,'Rules of Credit'!$A$5:$A$8,0),1))+INDEX('Rules of Credit'!$B$5:$F$8,MATCH($F333,'Rules of Credit'!$A$5:$A$8,0),2)+INDEX('Rules of Credit'!$B$5:$F$8,MATCH($F333,'Rules of Credit'!$A$5:$A$8,0),3)+IF($X333="N",0,INDEX('Rules of Credit'!$B$5:$F$8,MATCH($F333,'Rules of Credit'!$A$5:$A$8,0),4))+INDEX('Rules of Credit'!$B$5:$F$8,MATCH($F333,'Rules of Credit'!$A$5:$A$8,0),5)),0)</f>
        <v>0</v>
      </c>
      <c r="Q333" s="184" t="n">
        <f aca="false">IF(OR($H333="",$I333=""),0,IF('Tracker Summary'!$C$3&lt;$H333,0,IF('Tracker Summary'!$C$3&gt;=$I333,1,('Tracker Summary'!$C$3-$H333)/($I333-$H333+1))))</f>
        <v>0</v>
      </c>
      <c r="R333" s="184" t="n">
        <f aca="false">P333-Q333</f>
        <v>0</v>
      </c>
      <c r="S333" s="181" t="str">
        <f aca="false">IF($I333="","Not scheduled",IF(P333&gt;=1,"Complete",IF('Tracker Summary'!$C$3&gt;$I333,"Overdue",IF(P333-Q333&lt;-0.1,"Behind",IF(AND(P333=0,'Tracker Summary'!$C$3&lt;$H333),"Not started","On track")))))</f>
        <v>Not started</v>
      </c>
      <c r="T333" s="90"/>
      <c r="U333" s="181" t="str">
        <f aca="false">IFERROR(INDEX(Schedule!$D$2:$D$147,MATCH($G333,Schedule!$A$2:$A$147,0)),"")</f>
        <v>Yard Piping &amp; Utilities — Yard piping, vaults and site utilities</v>
      </c>
      <c r="V333" s="183" t="n">
        <f aca="false">IFERROR(INDEX(Schedule!$F$2:$F$147,MATCH("33-P01",Schedule!$A$2:$A$147,0)),"")</f>
        <v>45016</v>
      </c>
      <c r="W333" s="181" t="s">
        <v>99</v>
      </c>
      <c r="X333" s="181" t="s">
        <v>91</v>
      </c>
      <c r="Y333" s="181" t="n">
        <v>1</v>
      </c>
      <c r="Z333" s="181" t="n">
        <v>0</v>
      </c>
      <c r="AA333" s="181"/>
      <c r="AB333" s="181"/>
      <c r="AC333" s="181" t="s">
        <v>120</v>
      </c>
      <c r="AD333" s="181" t="s">
        <v>93</v>
      </c>
      <c r="AE333" s="181" t="s">
        <v>1487</v>
      </c>
      <c r="AF333" s="181" t="s">
        <v>1483</v>
      </c>
      <c r="AG333" s="181" t="s">
        <v>1488</v>
      </c>
      <c r="AH333" s="181" t="s">
        <v>95</v>
      </c>
    </row>
    <row r="334" customFormat="false" ht="15" hidden="false" customHeight="false" outlineLevel="0" collapsed="false">
      <c r="A334" s="181" t="s">
        <v>60</v>
      </c>
      <c r="B334" s="182" t="s">
        <v>43</v>
      </c>
      <c r="C334" s="181" t="s">
        <v>1491</v>
      </c>
      <c r="D334" s="181" t="s">
        <v>1492</v>
      </c>
      <c r="E334" s="181" t="s">
        <v>98</v>
      </c>
      <c r="F334" s="90" t="s">
        <v>234</v>
      </c>
      <c r="G334" s="181" t="s">
        <v>1337</v>
      </c>
      <c r="H334" s="183" t="n">
        <f aca="false">IFERROR(INDEX(Schedule!$E$2:$E$147,MATCH($G334,Schedule!$A$2:$A$147,0)),"")</f>
        <v>45017</v>
      </c>
      <c r="I334" s="183" t="n">
        <f aca="false">IFERROR(INDEX(Schedule!$F$2:$F$147,MATCH($G334,Schedule!$A$2:$A$147,0)),"")</f>
        <v>45231</v>
      </c>
      <c r="J334" s="92"/>
      <c r="K334" s="92"/>
      <c r="L334" s="92"/>
      <c r="M334" s="92"/>
      <c r="N334" s="92"/>
      <c r="O334" s="90" t="n">
        <v>1</v>
      </c>
      <c r="P334" s="184" t="n">
        <f aca="false">IFERROR((IF(OR(ISNUMBER(J334),UPPER(TRIM(J334))="N/A"),1,0)*IF($W334="N",0,INDEX('Rules of Credit'!$B$5:$F$8,MATCH($F334,'Rules of Credit'!$A$5:$A$8,0),1))+IF(OR(ISNUMBER(K334),UPPER(TRIM(K334))="N/A"),1,0)*INDEX('Rules of Credit'!$B$5:$F$8,MATCH($F334,'Rules of Credit'!$A$5:$A$8,0),2)+IF(OR(ISNUMBER(L334),UPPER(TRIM(L334))="N/A"),1,0)*INDEX('Rules of Credit'!$B$5:$F$8,MATCH($F334,'Rules of Credit'!$A$5:$A$8,0),3)+IF(OR(ISNUMBER(M334),UPPER(TRIM(M334))="N/A"),1,0)*IF($X334="N",0,INDEX('Rules of Credit'!$B$5:$F$8,MATCH($F334,'Rules of Credit'!$A$5:$A$8,0),4))+IF(OR(ISNUMBER(N334),UPPER(TRIM(N334))="N/A"),1,0)*INDEX('Rules of Credit'!$B$5:$F$8,MATCH($F334,'Rules of Credit'!$A$5:$A$8,0),5))/(IF($W334="N",0,INDEX('Rules of Credit'!$B$5:$F$8,MATCH($F334,'Rules of Credit'!$A$5:$A$8,0),1))+INDEX('Rules of Credit'!$B$5:$F$8,MATCH($F334,'Rules of Credit'!$A$5:$A$8,0),2)+INDEX('Rules of Credit'!$B$5:$F$8,MATCH($F334,'Rules of Credit'!$A$5:$A$8,0),3)+IF($X334="N",0,INDEX('Rules of Credit'!$B$5:$F$8,MATCH($F334,'Rules of Credit'!$A$5:$A$8,0),4))+INDEX('Rules of Credit'!$B$5:$F$8,MATCH($F334,'Rules of Credit'!$A$5:$A$8,0),5)),0)</f>
        <v>0</v>
      </c>
      <c r="Q334" s="184" t="n">
        <f aca="false">IF(OR($H334="",$I334=""),0,IF('Tracker Summary'!$C$3&lt;$H334,0,IF('Tracker Summary'!$C$3&gt;=$I334,1,('Tracker Summary'!$C$3-$H334)/($I334-$H334+1))))</f>
        <v>0</v>
      </c>
      <c r="R334" s="184" t="n">
        <f aca="false">P334-Q334</f>
        <v>0</v>
      </c>
      <c r="S334" s="181" t="str">
        <f aca="false">IF($I334="","Not scheduled",IF(P334&gt;=1,"Complete",IF('Tracker Summary'!$C$3&gt;$I334,"Overdue",IF(P334-Q334&lt;-0.1,"Behind",IF(AND(P334=0,'Tracker Summary'!$C$3&lt;$H334),"Not started","On track")))))</f>
        <v>Not started</v>
      </c>
      <c r="T334" s="90"/>
      <c r="U334" s="181" t="str">
        <f aca="false">IFERROR(INDEX(Schedule!$D$2:$D$147,MATCH($G334,Schedule!$A$2:$A$147,0)),"")</f>
        <v>Yard Piping &amp; Utilities — Yard piping, vaults and site utilities</v>
      </c>
      <c r="V334" s="183" t="n">
        <f aca="false">IFERROR(INDEX(Schedule!$F$2:$F$147,MATCH("33-P01",Schedule!$A$2:$A$147,0)),"")</f>
        <v>45016</v>
      </c>
      <c r="W334" s="181" t="s">
        <v>99</v>
      </c>
      <c r="X334" s="181" t="s">
        <v>91</v>
      </c>
      <c r="Y334" s="181" t="n">
        <v>1</v>
      </c>
      <c r="Z334" s="181" t="n">
        <v>0</v>
      </c>
      <c r="AA334" s="181"/>
      <c r="AB334" s="181"/>
      <c r="AC334" s="181" t="s">
        <v>120</v>
      </c>
      <c r="AD334" s="181" t="s">
        <v>93</v>
      </c>
      <c r="AE334" s="181" t="s">
        <v>1493</v>
      </c>
      <c r="AF334" s="181" t="s">
        <v>1483</v>
      </c>
      <c r="AG334" s="181" t="s">
        <v>1494</v>
      </c>
      <c r="AH334" s="181" t="s">
        <v>95</v>
      </c>
    </row>
    <row r="335" customFormat="false" ht="15" hidden="false" customHeight="false" outlineLevel="0" collapsed="false">
      <c r="A335" s="181" t="s">
        <v>60</v>
      </c>
      <c r="B335" s="182" t="s">
        <v>43</v>
      </c>
      <c r="C335" s="181" t="s">
        <v>1495</v>
      </c>
      <c r="D335" s="181" t="s">
        <v>1496</v>
      </c>
      <c r="E335" s="181" t="s">
        <v>98</v>
      </c>
      <c r="F335" s="90" t="s">
        <v>234</v>
      </c>
      <c r="G335" s="181" t="s">
        <v>1337</v>
      </c>
      <c r="H335" s="183" t="n">
        <f aca="false">IFERROR(INDEX(Schedule!$E$2:$E$147,MATCH($G335,Schedule!$A$2:$A$147,0)),"")</f>
        <v>45017</v>
      </c>
      <c r="I335" s="183" t="n">
        <f aca="false">IFERROR(INDEX(Schedule!$F$2:$F$147,MATCH($G335,Schedule!$A$2:$A$147,0)),"")</f>
        <v>45231</v>
      </c>
      <c r="J335" s="92"/>
      <c r="K335" s="92"/>
      <c r="L335" s="92"/>
      <c r="M335" s="92"/>
      <c r="N335" s="92"/>
      <c r="O335" s="90" t="n">
        <v>1</v>
      </c>
      <c r="P335" s="184" t="n">
        <f aca="false">IFERROR((IF(OR(ISNUMBER(J335),UPPER(TRIM(J335))="N/A"),1,0)*IF($W335="N",0,INDEX('Rules of Credit'!$B$5:$F$8,MATCH($F335,'Rules of Credit'!$A$5:$A$8,0),1))+IF(OR(ISNUMBER(K335),UPPER(TRIM(K335))="N/A"),1,0)*INDEX('Rules of Credit'!$B$5:$F$8,MATCH($F335,'Rules of Credit'!$A$5:$A$8,0),2)+IF(OR(ISNUMBER(L335),UPPER(TRIM(L335))="N/A"),1,0)*INDEX('Rules of Credit'!$B$5:$F$8,MATCH($F335,'Rules of Credit'!$A$5:$A$8,0),3)+IF(OR(ISNUMBER(M335),UPPER(TRIM(M335))="N/A"),1,0)*IF($X335="N",0,INDEX('Rules of Credit'!$B$5:$F$8,MATCH($F335,'Rules of Credit'!$A$5:$A$8,0),4))+IF(OR(ISNUMBER(N335),UPPER(TRIM(N335))="N/A"),1,0)*INDEX('Rules of Credit'!$B$5:$F$8,MATCH($F335,'Rules of Credit'!$A$5:$A$8,0),5))/(IF($W335="N",0,INDEX('Rules of Credit'!$B$5:$F$8,MATCH($F335,'Rules of Credit'!$A$5:$A$8,0),1))+INDEX('Rules of Credit'!$B$5:$F$8,MATCH($F335,'Rules of Credit'!$A$5:$A$8,0),2)+INDEX('Rules of Credit'!$B$5:$F$8,MATCH($F335,'Rules of Credit'!$A$5:$A$8,0),3)+IF($X335="N",0,INDEX('Rules of Credit'!$B$5:$F$8,MATCH($F335,'Rules of Credit'!$A$5:$A$8,0),4))+INDEX('Rules of Credit'!$B$5:$F$8,MATCH($F335,'Rules of Credit'!$A$5:$A$8,0),5)),0)</f>
        <v>0</v>
      </c>
      <c r="Q335" s="184" t="n">
        <f aca="false">IF(OR($H335="",$I335=""),0,IF('Tracker Summary'!$C$3&lt;$H335,0,IF('Tracker Summary'!$C$3&gt;=$I335,1,('Tracker Summary'!$C$3-$H335)/($I335-$H335+1))))</f>
        <v>0</v>
      </c>
      <c r="R335" s="184" t="n">
        <f aca="false">P335-Q335</f>
        <v>0</v>
      </c>
      <c r="S335" s="181" t="str">
        <f aca="false">IF($I335="","Not scheduled",IF(P335&gt;=1,"Complete",IF('Tracker Summary'!$C$3&gt;$I335,"Overdue",IF(P335-Q335&lt;-0.1,"Behind",IF(AND(P335=0,'Tracker Summary'!$C$3&lt;$H335),"Not started","On track")))))</f>
        <v>Not started</v>
      </c>
      <c r="T335" s="90"/>
      <c r="U335" s="181" t="str">
        <f aca="false">IFERROR(INDEX(Schedule!$D$2:$D$147,MATCH($G335,Schedule!$A$2:$A$147,0)),"")</f>
        <v>Yard Piping &amp; Utilities — Yard piping, vaults and site utilities</v>
      </c>
      <c r="V335" s="183" t="n">
        <f aca="false">IFERROR(INDEX(Schedule!$F$2:$F$147,MATCH("33-P01",Schedule!$A$2:$A$147,0)),"")</f>
        <v>45016</v>
      </c>
      <c r="W335" s="181" t="s">
        <v>99</v>
      </c>
      <c r="X335" s="181" t="s">
        <v>91</v>
      </c>
      <c r="Y335" s="181" t="n">
        <v>1</v>
      </c>
      <c r="Z335" s="181" t="n">
        <v>0</v>
      </c>
      <c r="AA335" s="181"/>
      <c r="AB335" s="181"/>
      <c r="AC335" s="181" t="s">
        <v>120</v>
      </c>
      <c r="AD335" s="181" t="s">
        <v>93</v>
      </c>
      <c r="AE335" s="181" t="s">
        <v>1493</v>
      </c>
      <c r="AF335" s="181" t="s">
        <v>1483</v>
      </c>
      <c r="AG335" s="181" t="s">
        <v>1494</v>
      </c>
      <c r="AH335" s="181" t="s">
        <v>95</v>
      </c>
    </row>
    <row r="336" customFormat="false" ht="15" hidden="false" customHeight="false" outlineLevel="0" collapsed="false">
      <c r="A336" s="181" t="s">
        <v>60</v>
      </c>
      <c r="B336" s="182" t="s">
        <v>43</v>
      </c>
      <c r="C336" s="181" t="s">
        <v>1497</v>
      </c>
      <c r="D336" s="181" t="s">
        <v>1498</v>
      </c>
      <c r="E336" s="181" t="s">
        <v>98</v>
      </c>
      <c r="F336" s="90" t="s">
        <v>234</v>
      </c>
      <c r="G336" s="181" t="s">
        <v>1337</v>
      </c>
      <c r="H336" s="183" t="n">
        <f aca="false">IFERROR(INDEX(Schedule!$E$2:$E$147,MATCH($G336,Schedule!$A$2:$A$147,0)),"")</f>
        <v>45017</v>
      </c>
      <c r="I336" s="183" t="n">
        <f aca="false">IFERROR(INDEX(Schedule!$F$2:$F$147,MATCH($G336,Schedule!$A$2:$A$147,0)),"")</f>
        <v>45231</v>
      </c>
      <c r="J336" s="92"/>
      <c r="K336" s="92"/>
      <c r="L336" s="92"/>
      <c r="M336" s="92"/>
      <c r="N336" s="92"/>
      <c r="O336" s="90" t="n">
        <v>1</v>
      </c>
      <c r="P336" s="184" t="n">
        <f aca="false">IFERROR((IF(OR(ISNUMBER(J336),UPPER(TRIM(J336))="N/A"),1,0)*IF($W336="N",0,INDEX('Rules of Credit'!$B$5:$F$8,MATCH($F336,'Rules of Credit'!$A$5:$A$8,0),1))+IF(OR(ISNUMBER(K336),UPPER(TRIM(K336))="N/A"),1,0)*INDEX('Rules of Credit'!$B$5:$F$8,MATCH($F336,'Rules of Credit'!$A$5:$A$8,0),2)+IF(OR(ISNUMBER(L336),UPPER(TRIM(L336))="N/A"),1,0)*INDEX('Rules of Credit'!$B$5:$F$8,MATCH($F336,'Rules of Credit'!$A$5:$A$8,0),3)+IF(OR(ISNUMBER(M336),UPPER(TRIM(M336))="N/A"),1,0)*IF($X336="N",0,INDEX('Rules of Credit'!$B$5:$F$8,MATCH($F336,'Rules of Credit'!$A$5:$A$8,0),4))+IF(OR(ISNUMBER(N336),UPPER(TRIM(N336))="N/A"),1,0)*INDEX('Rules of Credit'!$B$5:$F$8,MATCH($F336,'Rules of Credit'!$A$5:$A$8,0),5))/(IF($W336="N",0,INDEX('Rules of Credit'!$B$5:$F$8,MATCH($F336,'Rules of Credit'!$A$5:$A$8,0),1))+INDEX('Rules of Credit'!$B$5:$F$8,MATCH($F336,'Rules of Credit'!$A$5:$A$8,0),2)+INDEX('Rules of Credit'!$B$5:$F$8,MATCH($F336,'Rules of Credit'!$A$5:$A$8,0),3)+IF($X336="N",0,INDEX('Rules of Credit'!$B$5:$F$8,MATCH($F336,'Rules of Credit'!$A$5:$A$8,0),4))+INDEX('Rules of Credit'!$B$5:$F$8,MATCH($F336,'Rules of Credit'!$A$5:$A$8,0),5)),0)</f>
        <v>0</v>
      </c>
      <c r="Q336" s="184" t="n">
        <f aca="false">IF(OR($H336="",$I336=""),0,IF('Tracker Summary'!$C$3&lt;$H336,0,IF('Tracker Summary'!$C$3&gt;=$I336,1,('Tracker Summary'!$C$3-$H336)/($I336-$H336+1))))</f>
        <v>0</v>
      </c>
      <c r="R336" s="184" t="n">
        <f aca="false">P336-Q336</f>
        <v>0</v>
      </c>
      <c r="S336" s="181" t="str">
        <f aca="false">IF($I336="","Not scheduled",IF(P336&gt;=1,"Complete",IF('Tracker Summary'!$C$3&gt;$I336,"Overdue",IF(P336-Q336&lt;-0.1,"Behind",IF(AND(P336=0,'Tracker Summary'!$C$3&lt;$H336),"Not started","On track")))))</f>
        <v>Not started</v>
      </c>
      <c r="T336" s="90"/>
      <c r="U336" s="181" t="str">
        <f aca="false">IFERROR(INDEX(Schedule!$D$2:$D$147,MATCH($G336,Schedule!$A$2:$A$147,0)),"")</f>
        <v>Yard Piping &amp; Utilities — Yard piping, vaults and site utilities</v>
      </c>
      <c r="V336" s="183" t="n">
        <f aca="false">IFERROR(INDEX(Schedule!$F$2:$F$147,MATCH("33-P01",Schedule!$A$2:$A$147,0)),"")</f>
        <v>45016</v>
      </c>
      <c r="W336" s="181" t="s">
        <v>99</v>
      </c>
      <c r="X336" s="181" t="s">
        <v>91</v>
      </c>
      <c r="Y336" s="181" t="n">
        <v>1</v>
      </c>
      <c r="Z336" s="181" t="n">
        <v>0</v>
      </c>
      <c r="AA336" s="181"/>
      <c r="AB336" s="181"/>
      <c r="AC336" s="181" t="s">
        <v>120</v>
      </c>
      <c r="AD336" s="181" t="s">
        <v>93</v>
      </c>
      <c r="AE336" s="181" t="s">
        <v>1493</v>
      </c>
      <c r="AF336" s="181" t="s">
        <v>1483</v>
      </c>
      <c r="AG336" s="181" t="s">
        <v>1494</v>
      </c>
      <c r="AH336" s="181" t="s">
        <v>95</v>
      </c>
    </row>
    <row r="337" customFormat="false" ht="15" hidden="false" customHeight="false" outlineLevel="0" collapsed="false">
      <c r="A337" s="181" t="s">
        <v>60</v>
      </c>
      <c r="B337" s="182" t="s">
        <v>43</v>
      </c>
      <c r="C337" s="181" t="s">
        <v>1499</v>
      </c>
      <c r="D337" s="181" t="s">
        <v>1500</v>
      </c>
      <c r="E337" s="181" t="s">
        <v>98</v>
      </c>
      <c r="F337" s="90" t="s">
        <v>234</v>
      </c>
      <c r="G337" s="181" t="s">
        <v>1337</v>
      </c>
      <c r="H337" s="183" t="n">
        <f aca="false">IFERROR(INDEX(Schedule!$E$2:$E$147,MATCH($G337,Schedule!$A$2:$A$147,0)),"")</f>
        <v>45017</v>
      </c>
      <c r="I337" s="183" t="n">
        <f aca="false">IFERROR(INDEX(Schedule!$F$2:$F$147,MATCH($G337,Schedule!$A$2:$A$147,0)),"")</f>
        <v>45231</v>
      </c>
      <c r="J337" s="92"/>
      <c r="K337" s="92"/>
      <c r="L337" s="92"/>
      <c r="M337" s="92"/>
      <c r="N337" s="92"/>
      <c r="O337" s="90" t="n">
        <v>1</v>
      </c>
      <c r="P337" s="184" t="n">
        <f aca="false">IFERROR((IF(OR(ISNUMBER(J337),UPPER(TRIM(J337))="N/A"),1,0)*IF($W337="N",0,INDEX('Rules of Credit'!$B$5:$F$8,MATCH($F337,'Rules of Credit'!$A$5:$A$8,0),1))+IF(OR(ISNUMBER(K337),UPPER(TRIM(K337))="N/A"),1,0)*INDEX('Rules of Credit'!$B$5:$F$8,MATCH($F337,'Rules of Credit'!$A$5:$A$8,0),2)+IF(OR(ISNUMBER(L337),UPPER(TRIM(L337))="N/A"),1,0)*INDEX('Rules of Credit'!$B$5:$F$8,MATCH($F337,'Rules of Credit'!$A$5:$A$8,0),3)+IF(OR(ISNUMBER(M337),UPPER(TRIM(M337))="N/A"),1,0)*IF($X337="N",0,INDEX('Rules of Credit'!$B$5:$F$8,MATCH($F337,'Rules of Credit'!$A$5:$A$8,0),4))+IF(OR(ISNUMBER(N337),UPPER(TRIM(N337))="N/A"),1,0)*INDEX('Rules of Credit'!$B$5:$F$8,MATCH($F337,'Rules of Credit'!$A$5:$A$8,0),5))/(IF($W337="N",0,INDEX('Rules of Credit'!$B$5:$F$8,MATCH($F337,'Rules of Credit'!$A$5:$A$8,0),1))+INDEX('Rules of Credit'!$B$5:$F$8,MATCH($F337,'Rules of Credit'!$A$5:$A$8,0),2)+INDEX('Rules of Credit'!$B$5:$F$8,MATCH($F337,'Rules of Credit'!$A$5:$A$8,0),3)+IF($X337="N",0,INDEX('Rules of Credit'!$B$5:$F$8,MATCH($F337,'Rules of Credit'!$A$5:$A$8,0),4))+INDEX('Rules of Credit'!$B$5:$F$8,MATCH($F337,'Rules of Credit'!$A$5:$A$8,0),5)),0)</f>
        <v>0</v>
      </c>
      <c r="Q337" s="184" t="n">
        <f aca="false">IF(OR($H337="",$I337=""),0,IF('Tracker Summary'!$C$3&lt;$H337,0,IF('Tracker Summary'!$C$3&gt;=$I337,1,('Tracker Summary'!$C$3-$H337)/($I337-$H337+1))))</f>
        <v>0</v>
      </c>
      <c r="R337" s="184" t="n">
        <f aca="false">P337-Q337</f>
        <v>0</v>
      </c>
      <c r="S337" s="181" t="str">
        <f aca="false">IF($I337="","Not scheduled",IF(P337&gt;=1,"Complete",IF('Tracker Summary'!$C$3&gt;$I337,"Overdue",IF(P337-Q337&lt;-0.1,"Behind",IF(AND(P337=0,'Tracker Summary'!$C$3&lt;$H337),"Not started","On track")))))</f>
        <v>Not started</v>
      </c>
      <c r="T337" s="90"/>
      <c r="U337" s="181" t="str">
        <f aca="false">IFERROR(INDEX(Schedule!$D$2:$D$147,MATCH($G337,Schedule!$A$2:$A$147,0)),"")</f>
        <v>Yard Piping &amp; Utilities — Yard piping, vaults and site utilities</v>
      </c>
      <c r="V337" s="183" t="n">
        <f aca="false">IFERROR(INDEX(Schedule!$F$2:$F$147,MATCH("33-P01",Schedule!$A$2:$A$147,0)),"")</f>
        <v>45016</v>
      </c>
      <c r="W337" s="181" t="s">
        <v>99</v>
      </c>
      <c r="X337" s="181" t="s">
        <v>91</v>
      </c>
      <c r="Y337" s="181" t="n">
        <v>1</v>
      </c>
      <c r="Z337" s="181" t="n">
        <v>0</v>
      </c>
      <c r="AA337" s="181"/>
      <c r="AB337" s="181"/>
      <c r="AC337" s="181" t="s">
        <v>120</v>
      </c>
      <c r="AD337" s="181" t="s">
        <v>93</v>
      </c>
      <c r="AE337" s="181" t="s">
        <v>1493</v>
      </c>
      <c r="AF337" s="181" t="s">
        <v>1483</v>
      </c>
      <c r="AG337" s="181" t="s">
        <v>1494</v>
      </c>
      <c r="AH337" s="181" t="s">
        <v>95</v>
      </c>
    </row>
    <row r="338" customFormat="false" ht="15" hidden="false" customHeight="false" outlineLevel="0" collapsed="false">
      <c r="A338" s="181" t="s">
        <v>60</v>
      </c>
      <c r="B338" s="182" t="s">
        <v>43</v>
      </c>
      <c r="C338" s="181" t="s">
        <v>1501</v>
      </c>
      <c r="D338" s="181" t="s">
        <v>1502</v>
      </c>
      <c r="E338" s="181" t="s">
        <v>98</v>
      </c>
      <c r="F338" s="90" t="s">
        <v>234</v>
      </c>
      <c r="G338" s="181" t="s">
        <v>1337</v>
      </c>
      <c r="H338" s="183" t="n">
        <f aca="false">IFERROR(INDEX(Schedule!$E$2:$E$147,MATCH($G338,Schedule!$A$2:$A$147,0)),"")</f>
        <v>45017</v>
      </c>
      <c r="I338" s="183" t="n">
        <f aca="false">IFERROR(INDEX(Schedule!$F$2:$F$147,MATCH($G338,Schedule!$A$2:$A$147,0)),"")</f>
        <v>45231</v>
      </c>
      <c r="J338" s="92"/>
      <c r="K338" s="92"/>
      <c r="L338" s="92"/>
      <c r="M338" s="92"/>
      <c r="N338" s="92"/>
      <c r="O338" s="90" t="n">
        <v>1</v>
      </c>
      <c r="P338" s="184" t="n">
        <f aca="false">IFERROR((IF(OR(ISNUMBER(J338),UPPER(TRIM(J338))="N/A"),1,0)*IF($W338="N",0,INDEX('Rules of Credit'!$B$5:$F$8,MATCH($F338,'Rules of Credit'!$A$5:$A$8,0),1))+IF(OR(ISNUMBER(K338),UPPER(TRIM(K338))="N/A"),1,0)*INDEX('Rules of Credit'!$B$5:$F$8,MATCH($F338,'Rules of Credit'!$A$5:$A$8,0),2)+IF(OR(ISNUMBER(L338),UPPER(TRIM(L338))="N/A"),1,0)*INDEX('Rules of Credit'!$B$5:$F$8,MATCH($F338,'Rules of Credit'!$A$5:$A$8,0),3)+IF(OR(ISNUMBER(M338),UPPER(TRIM(M338))="N/A"),1,0)*IF($X338="N",0,INDEX('Rules of Credit'!$B$5:$F$8,MATCH($F338,'Rules of Credit'!$A$5:$A$8,0),4))+IF(OR(ISNUMBER(N338),UPPER(TRIM(N338))="N/A"),1,0)*INDEX('Rules of Credit'!$B$5:$F$8,MATCH($F338,'Rules of Credit'!$A$5:$A$8,0),5))/(IF($W338="N",0,INDEX('Rules of Credit'!$B$5:$F$8,MATCH($F338,'Rules of Credit'!$A$5:$A$8,0),1))+INDEX('Rules of Credit'!$B$5:$F$8,MATCH($F338,'Rules of Credit'!$A$5:$A$8,0),2)+INDEX('Rules of Credit'!$B$5:$F$8,MATCH($F338,'Rules of Credit'!$A$5:$A$8,0),3)+IF($X338="N",0,INDEX('Rules of Credit'!$B$5:$F$8,MATCH($F338,'Rules of Credit'!$A$5:$A$8,0),4))+INDEX('Rules of Credit'!$B$5:$F$8,MATCH($F338,'Rules of Credit'!$A$5:$A$8,0),5)),0)</f>
        <v>0</v>
      </c>
      <c r="Q338" s="184" t="n">
        <f aca="false">IF(OR($H338="",$I338=""),0,IF('Tracker Summary'!$C$3&lt;$H338,0,IF('Tracker Summary'!$C$3&gt;=$I338,1,('Tracker Summary'!$C$3-$H338)/($I338-$H338+1))))</f>
        <v>0</v>
      </c>
      <c r="R338" s="184" t="n">
        <f aca="false">P338-Q338</f>
        <v>0</v>
      </c>
      <c r="S338" s="181" t="str">
        <f aca="false">IF($I338="","Not scheduled",IF(P338&gt;=1,"Complete",IF('Tracker Summary'!$C$3&gt;$I338,"Overdue",IF(P338-Q338&lt;-0.1,"Behind",IF(AND(P338=0,'Tracker Summary'!$C$3&lt;$H338),"Not started","On track")))))</f>
        <v>Not started</v>
      </c>
      <c r="T338" s="90"/>
      <c r="U338" s="181" t="str">
        <f aca="false">IFERROR(INDEX(Schedule!$D$2:$D$147,MATCH($G338,Schedule!$A$2:$A$147,0)),"")</f>
        <v>Yard Piping &amp; Utilities — Yard piping, vaults and site utilities</v>
      </c>
      <c r="V338" s="183" t="n">
        <f aca="false">IFERROR(INDEX(Schedule!$F$2:$F$147,MATCH("33-P01",Schedule!$A$2:$A$147,0)),"")</f>
        <v>45016</v>
      </c>
      <c r="W338" s="181" t="s">
        <v>99</v>
      </c>
      <c r="X338" s="181" t="s">
        <v>91</v>
      </c>
      <c r="Y338" s="181" t="n">
        <v>1</v>
      </c>
      <c r="Z338" s="181" t="n">
        <v>0</v>
      </c>
      <c r="AA338" s="181"/>
      <c r="AB338" s="181"/>
      <c r="AC338" s="181" t="s">
        <v>120</v>
      </c>
      <c r="AD338" s="181" t="s">
        <v>93</v>
      </c>
      <c r="AE338" s="181" t="s">
        <v>1493</v>
      </c>
      <c r="AF338" s="181" t="s">
        <v>1483</v>
      </c>
      <c r="AG338" s="181" t="s">
        <v>1494</v>
      </c>
      <c r="AH338" s="181" t="s">
        <v>95</v>
      </c>
    </row>
    <row r="339" customFormat="false" ht="15" hidden="false" customHeight="false" outlineLevel="0" collapsed="false">
      <c r="A339" s="181" t="s">
        <v>60</v>
      </c>
      <c r="B339" s="182" t="s">
        <v>43</v>
      </c>
      <c r="C339" s="181" t="s">
        <v>1503</v>
      </c>
      <c r="D339" s="181" t="s">
        <v>1504</v>
      </c>
      <c r="E339" s="181" t="s">
        <v>98</v>
      </c>
      <c r="F339" s="90" t="s">
        <v>234</v>
      </c>
      <c r="G339" s="181" t="s">
        <v>1337</v>
      </c>
      <c r="H339" s="183" t="n">
        <f aca="false">IFERROR(INDEX(Schedule!$E$2:$E$147,MATCH($G339,Schedule!$A$2:$A$147,0)),"")</f>
        <v>45017</v>
      </c>
      <c r="I339" s="183" t="n">
        <f aca="false">IFERROR(INDEX(Schedule!$F$2:$F$147,MATCH($G339,Schedule!$A$2:$A$147,0)),"")</f>
        <v>45231</v>
      </c>
      <c r="J339" s="92"/>
      <c r="K339" s="92"/>
      <c r="L339" s="92"/>
      <c r="M339" s="92"/>
      <c r="N339" s="92"/>
      <c r="O339" s="90" t="n">
        <v>1</v>
      </c>
      <c r="P339" s="184" t="n">
        <f aca="false">IFERROR((IF(OR(ISNUMBER(J339),UPPER(TRIM(J339))="N/A"),1,0)*IF($W339="N",0,INDEX('Rules of Credit'!$B$5:$F$8,MATCH($F339,'Rules of Credit'!$A$5:$A$8,0),1))+IF(OR(ISNUMBER(K339),UPPER(TRIM(K339))="N/A"),1,0)*INDEX('Rules of Credit'!$B$5:$F$8,MATCH($F339,'Rules of Credit'!$A$5:$A$8,0),2)+IF(OR(ISNUMBER(L339),UPPER(TRIM(L339))="N/A"),1,0)*INDEX('Rules of Credit'!$B$5:$F$8,MATCH($F339,'Rules of Credit'!$A$5:$A$8,0),3)+IF(OR(ISNUMBER(M339),UPPER(TRIM(M339))="N/A"),1,0)*IF($X339="N",0,INDEX('Rules of Credit'!$B$5:$F$8,MATCH($F339,'Rules of Credit'!$A$5:$A$8,0),4))+IF(OR(ISNUMBER(N339),UPPER(TRIM(N339))="N/A"),1,0)*INDEX('Rules of Credit'!$B$5:$F$8,MATCH($F339,'Rules of Credit'!$A$5:$A$8,0),5))/(IF($W339="N",0,INDEX('Rules of Credit'!$B$5:$F$8,MATCH($F339,'Rules of Credit'!$A$5:$A$8,0),1))+INDEX('Rules of Credit'!$B$5:$F$8,MATCH($F339,'Rules of Credit'!$A$5:$A$8,0),2)+INDEX('Rules of Credit'!$B$5:$F$8,MATCH($F339,'Rules of Credit'!$A$5:$A$8,0),3)+IF($X339="N",0,INDEX('Rules of Credit'!$B$5:$F$8,MATCH($F339,'Rules of Credit'!$A$5:$A$8,0),4))+INDEX('Rules of Credit'!$B$5:$F$8,MATCH($F339,'Rules of Credit'!$A$5:$A$8,0),5)),0)</f>
        <v>0</v>
      </c>
      <c r="Q339" s="184" t="n">
        <f aca="false">IF(OR($H339="",$I339=""),0,IF('Tracker Summary'!$C$3&lt;$H339,0,IF('Tracker Summary'!$C$3&gt;=$I339,1,('Tracker Summary'!$C$3-$H339)/($I339-$H339+1))))</f>
        <v>0</v>
      </c>
      <c r="R339" s="184" t="n">
        <f aca="false">P339-Q339</f>
        <v>0</v>
      </c>
      <c r="S339" s="181" t="str">
        <f aca="false">IF($I339="","Not scheduled",IF(P339&gt;=1,"Complete",IF('Tracker Summary'!$C$3&gt;$I339,"Overdue",IF(P339-Q339&lt;-0.1,"Behind",IF(AND(P339=0,'Tracker Summary'!$C$3&lt;$H339),"Not started","On track")))))</f>
        <v>Not started</v>
      </c>
      <c r="T339" s="90"/>
      <c r="U339" s="181" t="str">
        <f aca="false">IFERROR(INDEX(Schedule!$D$2:$D$147,MATCH($G339,Schedule!$A$2:$A$147,0)),"")</f>
        <v>Yard Piping &amp; Utilities — Yard piping, vaults and site utilities</v>
      </c>
      <c r="V339" s="183" t="n">
        <f aca="false">IFERROR(INDEX(Schedule!$F$2:$F$147,MATCH("33-P01",Schedule!$A$2:$A$147,0)),"")</f>
        <v>45016</v>
      </c>
      <c r="W339" s="181" t="s">
        <v>99</v>
      </c>
      <c r="X339" s="181" t="s">
        <v>91</v>
      </c>
      <c r="Y339" s="181" t="n">
        <v>1</v>
      </c>
      <c r="Z339" s="181" t="n">
        <v>0</v>
      </c>
      <c r="AA339" s="181"/>
      <c r="AB339" s="181"/>
      <c r="AC339" s="181" t="s">
        <v>120</v>
      </c>
      <c r="AD339" s="181" t="s">
        <v>93</v>
      </c>
      <c r="AE339" s="181" t="s">
        <v>1493</v>
      </c>
      <c r="AF339" s="181" t="s">
        <v>1483</v>
      </c>
      <c r="AG339" s="181" t="s">
        <v>1494</v>
      </c>
      <c r="AH339" s="181" t="s">
        <v>95</v>
      </c>
    </row>
    <row r="340" customFormat="false" ht="15" hidden="false" customHeight="false" outlineLevel="0" collapsed="false">
      <c r="A340" s="181" t="s">
        <v>60</v>
      </c>
      <c r="B340" s="182" t="s">
        <v>43</v>
      </c>
      <c r="C340" s="181" t="s">
        <v>1505</v>
      </c>
      <c r="D340" s="181" t="s">
        <v>1506</v>
      </c>
      <c r="E340" s="181" t="s">
        <v>98</v>
      </c>
      <c r="F340" s="90" t="s">
        <v>216</v>
      </c>
      <c r="G340" s="181" t="s">
        <v>1337</v>
      </c>
      <c r="H340" s="183" t="n">
        <f aca="false">IFERROR(INDEX(Schedule!$E$2:$E$147,MATCH($G340,Schedule!$A$2:$A$147,0)),"")</f>
        <v>45017</v>
      </c>
      <c r="I340" s="183" t="n">
        <f aca="false">IFERROR(INDEX(Schedule!$F$2:$F$147,MATCH($G340,Schedule!$A$2:$A$147,0)),"")</f>
        <v>45231</v>
      </c>
      <c r="J340" s="92"/>
      <c r="K340" s="92"/>
      <c r="L340" s="92"/>
      <c r="M340" s="92"/>
      <c r="N340" s="92"/>
      <c r="O340" s="90" t="n">
        <v>1</v>
      </c>
      <c r="P340" s="184" t="n">
        <f aca="false">IFERROR((IF(OR(ISNUMBER(J340),UPPER(TRIM(J340))="N/A"),1,0)*IF($W340="N",0,INDEX('Rules of Credit'!$B$5:$F$8,MATCH($F340,'Rules of Credit'!$A$5:$A$8,0),1))+IF(OR(ISNUMBER(K340),UPPER(TRIM(K340))="N/A"),1,0)*INDEX('Rules of Credit'!$B$5:$F$8,MATCH($F340,'Rules of Credit'!$A$5:$A$8,0),2)+IF(OR(ISNUMBER(L340),UPPER(TRIM(L340))="N/A"),1,0)*INDEX('Rules of Credit'!$B$5:$F$8,MATCH($F340,'Rules of Credit'!$A$5:$A$8,0),3)+IF(OR(ISNUMBER(M340),UPPER(TRIM(M340))="N/A"),1,0)*IF($X340="N",0,INDEX('Rules of Credit'!$B$5:$F$8,MATCH($F340,'Rules of Credit'!$A$5:$A$8,0),4))+IF(OR(ISNUMBER(N340),UPPER(TRIM(N340))="N/A"),1,0)*INDEX('Rules of Credit'!$B$5:$F$8,MATCH($F340,'Rules of Credit'!$A$5:$A$8,0),5))/(IF($W340="N",0,INDEX('Rules of Credit'!$B$5:$F$8,MATCH($F340,'Rules of Credit'!$A$5:$A$8,0),1))+INDEX('Rules of Credit'!$B$5:$F$8,MATCH($F340,'Rules of Credit'!$A$5:$A$8,0),2)+INDEX('Rules of Credit'!$B$5:$F$8,MATCH($F340,'Rules of Credit'!$A$5:$A$8,0),3)+IF($X340="N",0,INDEX('Rules of Credit'!$B$5:$F$8,MATCH($F340,'Rules of Credit'!$A$5:$A$8,0),4))+INDEX('Rules of Credit'!$B$5:$F$8,MATCH($F340,'Rules of Credit'!$A$5:$A$8,0),5)),0)</f>
        <v>0</v>
      </c>
      <c r="Q340" s="184" t="n">
        <f aca="false">IF(OR($H340="",$I340=""),0,IF('Tracker Summary'!$C$3&lt;$H340,0,IF('Tracker Summary'!$C$3&gt;=$I340,1,('Tracker Summary'!$C$3-$H340)/($I340-$H340+1))))</f>
        <v>0</v>
      </c>
      <c r="R340" s="184" t="n">
        <f aca="false">P340-Q340</f>
        <v>0</v>
      </c>
      <c r="S340" s="181" t="str">
        <f aca="false">IF($I340="","Not scheduled",IF(P340&gt;=1,"Complete",IF('Tracker Summary'!$C$3&gt;$I340,"Overdue",IF(P340-Q340&lt;-0.1,"Behind",IF(AND(P340=0,'Tracker Summary'!$C$3&lt;$H340),"Not started","On track")))))</f>
        <v>Not started</v>
      </c>
      <c r="T340" s="90"/>
      <c r="U340" s="181" t="str">
        <f aca="false">IFERROR(INDEX(Schedule!$D$2:$D$147,MATCH($G340,Schedule!$A$2:$A$147,0)),"")</f>
        <v>Yard Piping &amp; Utilities — Yard piping, vaults and site utilities</v>
      </c>
      <c r="V340" s="183" t="n">
        <f aca="false">IFERROR(INDEX(Schedule!$F$2:$F$147,MATCH("33-P01",Schedule!$A$2:$A$147,0)),"")</f>
        <v>45016</v>
      </c>
      <c r="W340" s="181" t="s">
        <v>91</v>
      </c>
      <c r="X340" s="181" t="s">
        <v>91</v>
      </c>
      <c r="Y340" s="181" t="n">
        <v>0</v>
      </c>
      <c r="Z340" s="181" t="n">
        <v>0</v>
      </c>
      <c r="AA340" s="181"/>
      <c r="AB340" s="181"/>
      <c r="AC340" s="181" t="s">
        <v>92</v>
      </c>
      <c r="AD340" s="181" t="s">
        <v>93</v>
      </c>
      <c r="AE340" s="181" t="s">
        <v>1507</v>
      </c>
      <c r="AF340" s="181" t="s">
        <v>1483</v>
      </c>
      <c r="AG340" s="181" t="s">
        <v>1508</v>
      </c>
      <c r="AH340" s="181" t="s">
        <v>95</v>
      </c>
    </row>
    <row r="341" customFormat="false" ht="15" hidden="false" customHeight="false" outlineLevel="0" collapsed="false">
      <c r="A341" s="181" t="s">
        <v>60</v>
      </c>
      <c r="B341" s="182" t="s">
        <v>43</v>
      </c>
      <c r="C341" s="181" t="s">
        <v>1509</v>
      </c>
      <c r="D341" s="181" t="s">
        <v>1510</v>
      </c>
      <c r="E341" s="181" t="s">
        <v>98</v>
      </c>
      <c r="F341" s="90" t="s">
        <v>234</v>
      </c>
      <c r="G341" s="181" t="s">
        <v>1337</v>
      </c>
      <c r="H341" s="183" t="n">
        <f aca="false">IFERROR(INDEX(Schedule!$E$2:$E$147,MATCH($G341,Schedule!$A$2:$A$147,0)),"")</f>
        <v>45017</v>
      </c>
      <c r="I341" s="183" t="n">
        <f aca="false">IFERROR(INDEX(Schedule!$F$2:$F$147,MATCH($G341,Schedule!$A$2:$A$147,0)),"")</f>
        <v>45231</v>
      </c>
      <c r="J341" s="92"/>
      <c r="K341" s="92"/>
      <c r="L341" s="92"/>
      <c r="M341" s="92"/>
      <c r="N341" s="92"/>
      <c r="O341" s="90" t="n">
        <v>1</v>
      </c>
      <c r="P341" s="184" t="n">
        <f aca="false">IFERROR((IF(OR(ISNUMBER(J341),UPPER(TRIM(J341))="N/A"),1,0)*IF($W341="N",0,INDEX('Rules of Credit'!$B$5:$F$8,MATCH($F341,'Rules of Credit'!$A$5:$A$8,0),1))+IF(OR(ISNUMBER(K341),UPPER(TRIM(K341))="N/A"),1,0)*INDEX('Rules of Credit'!$B$5:$F$8,MATCH($F341,'Rules of Credit'!$A$5:$A$8,0),2)+IF(OR(ISNUMBER(L341),UPPER(TRIM(L341))="N/A"),1,0)*INDEX('Rules of Credit'!$B$5:$F$8,MATCH($F341,'Rules of Credit'!$A$5:$A$8,0),3)+IF(OR(ISNUMBER(M341),UPPER(TRIM(M341))="N/A"),1,0)*IF($X341="N",0,INDEX('Rules of Credit'!$B$5:$F$8,MATCH($F341,'Rules of Credit'!$A$5:$A$8,0),4))+IF(OR(ISNUMBER(N341),UPPER(TRIM(N341))="N/A"),1,0)*INDEX('Rules of Credit'!$B$5:$F$8,MATCH($F341,'Rules of Credit'!$A$5:$A$8,0),5))/(IF($W341="N",0,INDEX('Rules of Credit'!$B$5:$F$8,MATCH($F341,'Rules of Credit'!$A$5:$A$8,0),1))+INDEX('Rules of Credit'!$B$5:$F$8,MATCH($F341,'Rules of Credit'!$A$5:$A$8,0),2)+INDEX('Rules of Credit'!$B$5:$F$8,MATCH($F341,'Rules of Credit'!$A$5:$A$8,0),3)+IF($X341="N",0,INDEX('Rules of Credit'!$B$5:$F$8,MATCH($F341,'Rules of Credit'!$A$5:$A$8,0),4))+INDEX('Rules of Credit'!$B$5:$F$8,MATCH($F341,'Rules of Credit'!$A$5:$A$8,0),5)),0)</f>
        <v>0</v>
      </c>
      <c r="Q341" s="184" t="n">
        <f aca="false">IF(OR($H341="",$I341=""),0,IF('Tracker Summary'!$C$3&lt;$H341,0,IF('Tracker Summary'!$C$3&gt;=$I341,1,('Tracker Summary'!$C$3-$H341)/($I341-$H341+1))))</f>
        <v>0</v>
      </c>
      <c r="R341" s="184" t="n">
        <f aca="false">P341-Q341</f>
        <v>0</v>
      </c>
      <c r="S341" s="181" t="str">
        <f aca="false">IF($I341="","Not scheduled",IF(P341&gt;=1,"Complete",IF('Tracker Summary'!$C$3&gt;$I341,"Overdue",IF(P341-Q341&lt;-0.1,"Behind",IF(AND(P341=0,'Tracker Summary'!$C$3&lt;$H341),"Not started","On track")))))</f>
        <v>Not started</v>
      </c>
      <c r="T341" s="90"/>
      <c r="U341" s="181" t="str">
        <f aca="false">IFERROR(INDEX(Schedule!$D$2:$D$147,MATCH($G341,Schedule!$A$2:$A$147,0)),"")</f>
        <v>Yard Piping &amp; Utilities — Yard piping, vaults and site utilities</v>
      </c>
      <c r="V341" s="183" t="n">
        <f aca="false">IFERROR(INDEX(Schedule!$F$2:$F$147,MATCH("33-P01",Schedule!$A$2:$A$147,0)),"")</f>
        <v>45016</v>
      </c>
      <c r="W341" s="181" t="s">
        <v>91</v>
      </c>
      <c r="X341" s="181" t="s">
        <v>91</v>
      </c>
      <c r="Y341" s="181" t="n">
        <v>0</v>
      </c>
      <c r="Z341" s="181" t="n">
        <v>0</v>
      </c>
      <c r="AA341" s="181"/>
      <c r="AB341" s="181"/>
      <c r="AC341" s="181" t="s">
        <v>92</v>
      </c>
      <c r="AD341" s="181" t="s">
        <v>93</v>
      </c>
      <c r="AE341" s="181" t="s">
        <v>1511</v>
      </c>
      <c r="AF341" s="181" t="s">
        <v>1483</v>
      </c>
      <c r="AG341" s="181" t="s">
        <v>1512</v>
      </c>
      <c r="AH341" s="181" t="s">
        <v>95</v>
      </c>
    </row>
    <row r="342" customFormat="false" ht="15" hidden="false" customHeight="false" outlineLevel="0" collapsed="false">
      <c r="A342" s="181" t="s">
        <v>60</v>
      </c>
      <c r="B342" s="182" t="s">
        <v>43</v>
      </c>
      <c r="C342" s="181" t="s">
        <v>1513</v>
      </c>
      <c r="D342" s="181" t="s">
        <v>1514</v>
      </c>
      <c r="E342" s="181" t="s">
        <v>98</v>
      </c>
      <c r="F342" s="90" t="s">
        <v>234</v>
      </c>
      <c r="G342" s="181" t="s">
        <v>1337</v>
      </c>
      <c r="H342" s="183" t="n">
        <f aca="false">IFERROR(INDEX(Schedule!$E$2:$E$147,MATCH($G342,Schedule!$A$2:$A$147,0)),"")</f>
        <v>45017</v>
      </c>
      <c r="I342" s="183" t="n">
        <f aca="false">IFERROR(INDEX(Schedule!$F$2:$F$147,MATCH($G342,Schedule!$A$2:$A$147,0)),"")</f>
        <v>45231</v>
      </c>
      <c r="J342" s="92"/>
      <c r="K342" s="92"/>
      <c r="L342" s="92"/>
      <c r="M342" s="92"/>
      <c r="N342" s="92"/>
      <c r="O342" s="90" t="n">
        <v>1</v>
      </c>
      <c r="P342" s="184" t="n">
        <f aca="false">IFERROR((IF(OR(ISNUMBER(J342),UPPER(TRIM(J342))="N/A"),1,0)*IF($W342="N",0,INDEX('Rules of Credit'!$B$5:$F$8,MATCH($F342,'Rules of Credit'!$A$5:$A$8,0),1))+IF(OR(ISNUMBER(K342),UPPER(TRIM(K342))="N/A"),1,0)*INDEX('Rules of Credit'!$B$5:$F$8,MATCH($F342,'Rules of Credit'!$A$5:$A$8,0),2)+IF(OR(ISNUMBER(L342),UPPER(TRIM(L342))="N/A"),1,0)*INDEX('Rules of Credit'!$B$5:$F$8,MATCH($F342,'Rules of Credit'!$A$5:$A$8,0),3)+IF(OR(ISNUMBER(M342),UPPER(TRIM(M342))="N/A"),1,0)*IF($X342="N",0,INDEX('Rules of Credit'!$B$5:$F$8,MATCH($F342,'Rules of Credit'!$A$5:$A$8,0),4))+IF(OR(ISNUMBER(N342),UPPER(TRIM(N342))="N/A"),1,0)*INDEX('Rules of Credit'!$B$5:$F$8,MATCH($F342,'Rules of Credit'!$A$5:$A$8,0),5))/(IF($W342="N",0,INDEX('Rules of Credit'!$B$5:$F$8,MATCH($F342,'Rules of Credit'!$A$5:$A$8,0),1))+INDEX('Rules of Credit'!$B$5:$F$8,MATCH($F342,'Rules of Credit'!$A$5:$A$8,0),2)+INDEX('Rules of Credit'!$B$5:$F$8,MATCH($F342,'Rules of Credit'!$A$5:$A$8,0),3)+IF($X342="N",0,INDEX('Rules of Credit'!$B$5:$F$8,MATCH($F342,'Rules of Credit'!$A$5:$A$8,0),4))+INDEX('Rules of Credit'!$B$5:$F$8,MATCH($F342,'Rules of Credit'!$A$5:$A$8,0),5)),0)</f>
        <v>0</v>
      </c>
      <c r="Q342" s="184" t="n">
        <f aca="false">IF(OR($H342="",$I342=""),0,IF('Tracker Summary'!$C$3&lt;$H342,0,IF('Tracker Summary'!$C$3&gt;=$I342,1,('Tracker Summary'!$C$3-$H342)/($I342-$H342+1))))</f>
        <v>0</v>
      </c>
      <c r="R342" s="184" t="n">
        <f aca="false">P342-Q342</f>
        <v>0</v>
      </c>
      <c r="S342" s="181" t="str">
        <f aca="false">IF($I342="","Not scheduled",IF(P342&gt;=1,"Complete",IF('Tracker Summary'!$C$3&gt;$I342,"Overdue",IF(P342-Q342&lt;-0.1,"Behind",IF(AND(P342=0,'Tracker Summary'!$C$3&lt;$H342),"Not started","On track")))))</f>
        <v>Not started</v>
      </c>
      <c r="T342" s="90"/>
      <c r="U342" s="181" t="str">
        <f aca="false">IFERROR(INDEX(Schedule!$D$2:$D$147,MATCH($G342,Schedule!$A$2:$A$147,0)),"")</f>
        <v>Yard Piping &amp; Utilities — Yard piping, vaults and site utilities</v>
      </c>
      <c r="V342" s="183" t="n">
        <f aca="false">IFERROR(INDEX(Schedule!$F$2:$F$147,MATCH("33-P01",Schedule!$A$2:$A$147,0)),"")</f>
        <v>45016</v>
      </c>
      <c r="W342" s="181" t="s">
        <v>91</v>
      </c>
      <c r="X342" s="181" t="s">
        <v>91</v>
      </c>
      <c r="Y342" s="181" t="n">
        <v>0</v>
      </c>
      <c r="Z342" s="181" t="n">
        <v>0</v>
      </c>
      <c r="AA342" s="181"/>
      <c r="AB342" s="181"/>
      <c r="AC342" s="181" t="s">
        <v>92</v>
      </c>
      <c r="AD342" s="181" t="s">
        <v>93</v>
      </c>
      <c r="AE342" s="181" t="s">
        <v>1511</v>
      </c>
      <c r="AF342" s="181" t="s">
        <v>1483</v>
      </c>
      <c r="AG342" s="181" t="s">
        <v>1512</v>
      </c>
      <c r="AH342" s="181" t="s">
        <v>95</v>
      </c>
    </row>
    <row r="343" customFormat="false" ht="15" hidden="false" customHeight="false" outlineLevel="0" collapsed="false">
      <c r="A343" s="181" t="s">
        <v>60</v>
      </c>
      <c r="B343" s="182" t="s">
        <v>43</v>
      </c>
      <c r="C343" s="181" t="s">
        <v>1515</v>
      </c>
      <c r="D343" s="181" t="s">
        <v>1516</v>
      </c>
      <c r="E343" s="181" t="s">
        <v>98</v>
      </c>
      <c r="F343" s="90" t="s">
        <v>234</v>
      </c>
      <c r="G343" s="181" t="s">
        <v>1337</v>
      </c>
      <c r="H343" s="183" t="n">
        <f aca="false">IFERROR(INDEX(Schedule!$E$2:$E$147,MATCH($G343,Schedule!$A$2:$A$147,0)),"")</f>
        <v>45017</v>
      </c>
      <c r="I343" s="183" t="n">
        <f aca="false">IFERROR(INDEX(Schedule!$F$2:$F$147,MATCH($G343,Schedule!$A$2:$A$147,0)),"")</f>
        <v>45231</v>
      </c>
      <c r="J343" s="92"/>
      <c r="K343" s="92"/>
      <c r="L343" s="92"/>
      <c r="M343" s="92"/>
      <c r="N343" s="92"/>
      <c r="O343" s="90" t="n">
        <v>1</v>
      </c>
      <c r="P343" s="184" t="n">
        <f aca="false">IFERROR((IF(OR(ISNUMBER(J343),UPPER(TRIM(J343))="N/A"),1,0)*IF($W343="N",0,INDEX('Rules of Credit'!$B$5:$F$8,MATCH($F343,'Rules of Credit'!$A$5:$A$8,0),1))+IF(OR(ISNUMBER(K343),UPPER(TRIM(K343))="N/A"),1,0)*INDEX('Rules of Credit'!$B$5:$F$8,MATCH($F343,'Rules of Credit'!$A$5:$A$8,0),2)+IF(OR(ISNUMBER(L343),UPPER(TRIM(L343))="N/A"),1,0)*INDEX('Rules of Credit'!$B$5:$F$8,MATCH($F343,'Rules of Credit'!$A$5:$A$8,0),3)+IF(OR(ISNUMBER(M343),UPPER(TRIM(M343))="N/A"),1,0)*IF($X343="N",0,INDEX('Rules of Credit'!$B$5:$F$8,MATCH($F343,'Rules of Credit'!$A$5:$A$8,0),4))+IF(OR(ISNUMBER(N343),UPPER(TRIM(N343))="N/A"),1,0)*INDEX('Rules of Credit'!$B$5:$F$8,MATCH($F343,'Rules of Credit'!$A$5:$A$8,0),5))/(IF($W343="N",0,INDEX('Rules of Credit'!$B$5:$F$8,MATCH($F343,'Rules of Credit'!$A$5:$A$8,0),1))+INDEX('Rules of Credit'!$B$5:$F$8,MATCH($F343,'Rules of Credit'!$A$5:$A$8,0),2)+INDEX('Rules of Credit'!$B$5:$F$8,MATCH($F343,'Rules of Credit'!$A$5:$A$8,0),3)+IF($X343="N",0,INDEX('Rules of Credit'!$B$5:$F$8,MATCH($F343,'Rules of Credit'!$A$5:$A$8,0),4))+INDEX('Rules of Credit'!$B$5:$F$8,MATCH($F343,'Rules of Credit'!$A$5:$A$8,0),5)),0)</f>
        <v>0</v>
      </c>
      <c r="Q343" s="184" t="n">
        <f aca="false">IF(OR($H343="",$I343=""),0,IF('Tracker Summary'!$C$3&lt;$H343,0,IF('Tracker Summary'!$C$3&gt;=$I343,1,('Tracker Summary'!$C$3-$H343)/($I343-$H343+1))))</f>
        <v>0</v>
      </c>
      <c r="R343" s="184" t="n">
        <f aca="false">P343-Q343</f>
        <v>0</v>
      </c>
      <c r="S343" s="181" t="str">
        <f aca="false">IF($I343="","Not scheduled",IF(P343&gt;=1,"Complete",IF('Tracker Summary'!$C$3&gt;$I343,"Overdue",IF(P343-Q343&lt;-0.1,"Behind",IF(AND(P343=0,'Tracker Summary'!$C$3&lt;$H343),"Not started","On track")))))</f>
        <v>Not started</v>
      </c>
      <c r="T343" s="90"/>
      <c r="U343" s="181" t="str">
        <f aca="false">IFERROR(INDEX(Schedule!$D$2:$D$147,MATCH($G343,Schedule!$A$2:$A$147,0)),"")</f>
        <v>Yard Piping &amp; Utilities — Yard piping, vaults and site utilities</v>
      </c>
      <c r="V343" s="183" t="n">
        <f aca="false">IFERROR(INDEX(Schedule!$F$2:$F$147,MATCH("33-P01",Schedule!$A$2:$A$147,0)),"")</f>
        <v>45016</v>
      </c>
      <c r="W343" s="181" t="s">
        <v>91</v>
      </c>
      <c r="X343" s="181" t="s">
        <v>91</v>
      </c>
      <c r="Y343" s="181" t="n">
        <v>0</v>
      </c>
      <c r="Z343" s="181" t="n">
        <v>0</v>
      </c>
      <c r="AA343" s="181"/>
      <c r="AB343" s="181"/>
      <c r="AC343" s="181" t="s">
        <v>92</v>
      </c>
      <c r="AD343" s="181" t="s">
        <v>93</v>
      </c>
      <c r="AE343" s="181" t="s">
        <v>1517</v>
      </c>
      <c r="AF343" s="181" t="s">
        <v>1518</v>
      </c>
      <c r="AG343" s="181" t="s">
        <v>1519</v>
      </c>
      <c r="AH343" s="181" t="s">
        <v>95</v>
      </c>
    </row>
    <row r="344" customFormat="false" ht="15" hidden="false" customHeight="false" outlineLevel="0" collapsed="false">
      <c r="A344" s="181" t="s">
        <v>60</v>
      </c>
      <c r="B344" s="182" t="s">
        <v>43</v>
      </c>
      <c r="C344" s="181" t="s">
        <v>1520</v>
      </c>
      <c r="D344" s="181" t="s">
        <v>1521</v>
      </c>
      <c r="E344" s="181" t="s">
        <v>98</v>
      </c>
      <c r="F344" s="90" t="s">
        <v>234</v>
      </c>
      <c r="G344" s="181" t="s">
        <v>1337</v>
      </c>
      <c r="H344" s="183" t="n">
        <f aca="false">IFERROR(INDEX(Schedule!$E$2:$E$147,MATCH($G344,Schedule!$A$2:$A$147,0)),"")</f>
        <v>45017</v>
      </c>
      <c r="I344" s="183" t="n">
        <f aca="false">IFERROR(INDEX(Schedule!$F$2:$F$147,MATCH($G344,Schedule!$A$2:$A$147,0)),"")</f>
        <v>45231</v>
      </c>
      <c r="J344" s="92"/>
      <c r="K344" s="92"/>
      <c r="L344" s="92"/>
      <c r="M344" s="92"/>
      <c r="N344" s="92"/>
      <c r="O344" s="90" t="n">
        <v>1</v>
      </c>
      <c r="P344" s="184" t="n">
        <f aca="false">IFERROR((IF(OR(ISNUMBER(J344),UPPER(TRIM(J344))="N/A"),1,0)*IF($W344="N",0,INDEX('Rules of Credit'!$B$5:$F$8,MATCH($F344,'Rules of Credit'!$A$5:$A$8,0),1))+IF(OR(ISNUMBER(K344),UPPER(TRIM(K344))="N/A"),1,0)*INDEX('Rules of Credit'!$B$5:$F$8,MATCH($F344,'Rules of Credit'!$A$5:$A$8,0),2)+IF(OR(ISNUMBER(L344),UPPER(TRIM(L344))="N/A"),1,0)*INDEX('Rules of Credit'!$B$5:$F$8,MATCH($F344,'Rules of Credit'!$A$5:$A$8,0),3)+IF(OR(ISNUMBER(M344),UPPER(TRIM(M344))="N/A"),1,0)*IF($X344="N",0,INDEX('Rules of Credit'!$B$5:$F$8,MATCH($F344,'Rules of Credit'!$A$5:$A$8,0),4))+IF(OR(ISNUMBER(N344),UPPER(TRIM(N344))="N/A"),1,0)*INDEX('Rules of Credit'!$B$5:$F$8,MATCH($F344,'Rules of Credit'!$A$5:$A$8,0),5))/(IF($W344="N",0,INDEX('Rules of Credit'!$B$5:$F$8,MATCH($F344,'Rules of Credit'!$A$5:$A$8,0),1))+INDEX('Rules of Credit'!$B$5:$F$8,MATCH($F344,'Rules of Credit'!$A$5:$A$8,0),2)+INDEX('Rules of Credit'!$B$5:$F$8,MATCH($F344,'Rules of Credit'!$A$5:$A$8,0),3)+IF($X344="N",0,INDEX('Rules of Credit'!$B$5:$F$8,MATCH($F344,'Rules of Credit'!$A$5:$A$8,0),4))+INDEX('Rules of Credit'!$B$5:$F$8,MATCH($F344,'Rules of Credit'!$A$5:$A$8,0),5)),0)</f>
        <v>0</v>
      </c>
      <c r="Q344" s="184" t="n">
        <f aca="false">IF(OR($H344="",$I344=""),0,IF('Tracker Summary'!$C$3&lt;$H344,0,IF('Tracker Summary'!$C$3&gt;=$I344,1,('Tracker Summary'!$C$3-$H344)/($I344-$H344+1))))</f>
        <v>0</v>
      </c>
      <c r="R344" s="184" t="n">
        <f aca="false">P344-Q344</f>
        <v>0</v>
      </c>
      <c r="S344" s="181" t="str">
        <f aca="false">IF($I344="","Not scheduled",IF(P344&gt;=1,"Complete",IF('Tracker Summary'!$C$3&gt;$I344,"Overdue",IF(P344-Q344&lt;-0.1,"Behind",IF(AND(P344=0,'Tracker Summary'!$C$3&lt;$H344),"Not started","On track")))))</f>
        <v>Not started</v>
      </c>
      <c r="T344" s="90"/>
      <c r="U344" s="181" t="str">
        <f aca="false">IFERROR(INDEX(Schedule!$D$2:$D$147,MATCH($G344,Schedule!$A$2:$A$147,0)),"")</f>
        <v>Yard Piping &amp; Utilities — Yard piping, vaults and site utilities</v>
      </c>
      <c r="V344" s="183" t="n">
        <f aca="false">IFERROR(INDEX(Schedule!$F$2:$F$147,MATCH("33-P01",Schedule!$A$2:$A$147,0)),"")</f>
        <v>45016</v>
      </c>
      <c r="W344" s="181" t="s">
        <v>99</v>
      </c>
      <c r="X344" s="181" t="s">
        <v>99</v>
      </c>
      <c r="Y344" s="181" t="n">
        <v>4</v>
      </c>
      <c r="Z344" s="181" t="n">
        <v>4</v>
      </c>
      <c r="AA344" s="181"/>
      <c r="AB344" s="181"/>
      <c r="AC344" s="181" t="s">
        <v>92</v>
      </c>
      <c r="AD344" s="181" t="s">
        <v>93</v>
      </c>
      <c r="AE344" s="181" t="s">
        <v>1522</v>
      </c>
      <c r="AF344" s="181" t="s">
        <v>1523</v>
      </c>
      <c r="AG344" s="181" t="s">
        <v>1524</v>
      </c>
      <c r="AH344" s="181" t="s">
        <v>95</v>
      </c>
    </row>
    <row r="345" customFormat="false" ht="15" hidden="false" customHeight="false" outlineLevel="0" collapsed="false">
      <c r="A345" s="181" t="s">
        <v>60</v>
      </c>
      <c r="B345" s="182" t="s">
        <v>43</v>
      </c>
      <c r="C345" s="181" t="s">
        <v>1525</v>
      </c>
      <c r="D345" s="181" t="s">
        <v>1526</v>
      </c>
      <c r="E345" s="181" t="s">
        <v>98</v>
      </c>
      <c r="F345" s="90" t="s">
        <v>234</v>
      </c>
      <c r="G345" s="181" t="s">
        <v>1337</v>
      </c>
      <c r="H345" s="183" t="n">
        <f aca="false">IFERROR(INDEX(Schedule!$E$2:$E$147,MATCH($G345,Schedule!$A$2:$A$147,0)),"")</f>
        <v>45017</v>
      </c>
      <c r="I345" s="183" t="n">
        <f aca="false">IFERROR(INDEX(Schedule!$F$2:$F$147,MATCH($G345,Schedule!$A$2:$A$147,0)),"")</f>
        <v>45231</v>
      </c>
      <c r="J345" s="92"/>
      <c r="K345" s="92"/>
      <c r="L345" s="92"/>
      <c r="M345" s="92"/>
      <c r="N345" s="92"/>
      <c r="O345" s="90" t="n">
        <v>1</v>
      </c>
      <c r="P345" s="184" t="n">
        <f aca="false">IFERROR((IF(OR(ISNUMBER(J345),UPPER(TRIM(J345))="N/A"),1,0)*IF($W345="N",0,INDEX('Rules of Credit'!$B$5:$F$8,MATCH($F345,'Rules of Credit'!$A$5:$A$8,0),1))+IF(OR(ISNUMBER(K345),UPPER(TRIM(K345))="N/A"),1,0)*INDEX('Rules of Credit'!$B$5:$F$8,MATCH($F345,'Rules of Credit'!$A$5:$A$8,0),2)+IF(OR(ISNUMBER(L345),UPPER(TRIM(L345))="N/A"),1,0)*INDEX('Rules of Credit'!$B$5:$F$8,MATCH($F345,'Rules of Credit'!$A$5:$A$8,0),3)+IF(OR(ISNUMBER(M345),UPPER(TRIM(M345))="N/A"),1,0)*IF($X345="N",0,INDEX('Rules of Credit'!$B$5:$F$8,MATCH($F345,'Rules of Credit'!$A$5:$A$8,0),4))+IF(OR(ISNUMBER(N345),UPPER(TRIM(N345))="N/A"),1,0)*INDEX('Rules of Credit'!$B$5:$F$8,MATCH($F345,'Rules of Credit'!$A$5:$A$8,0),5))/(IF($W345="N",0,INDEX('Rules of Credit'!$B$5:$F$8,MATCH($F345,'Rules of Credit'!$A$5:$A$8,0),1))+INDEX('Rules of Credit'!$B$5:$F$8,MATCH($F345,'Rules of Credit'!$A$5:$A$8,0),2)+INDEX('Rules of Credit'!$B$5:$F$8,MATCH($F345,'Rules of Credit'!$A$5:$A$8,0),3)+IF($X345="N",0,INDEX('Rules of Credit'!$B$5:$F$8,MATCH($F345,'Rules of Credit'!$A$5:$A$8,0),4))+INDEX('Rules of Credit'!$B$5:$F$8,MATCH($F345,'Rules of Credit'!$A$5:$A$8,0),5)),0)</f>
        <v>0</v>
      </c>
      <c r="Q345" s="184" t="n">
        <f aca="false">IF(OR($H345="",$I345=""),0,IF('Tracker Summary'!$C$3&lt;$H345,0,IF('Tracker Summary'!$C$3&gt;=$I345,1,('Tracker Summary'!$C$3-$H345)/($I345-$H345+1))))</f>
        <v>0</v>
      </c>
      <c r="R345" s="184" t="n">
        <f aca="false">P345-Q345</f>
        <v>0</v>
      </c>
      <c r="S345" s="181" t="str">
        <f aca="false">IF($I345="","Not scheduled",IF(P345&gt;=1,"Complete",IF('Tracker Summary'!$C$3&gt;$I345,"Overdue",IF(P345-Q345&lt;-0.1,"Behind",IF(AND(P345=0,'Tracker Summary'!$C$3&lt;$H345),"Not started","On track")))))</f>
        <v>Not started</v>
      </c>
      <c r="T345" s="90"/>
      <c r="U345" s="181" t="str">
        <f aca="false">IFERROR(INDEX(Schedule!$D$2:$D$147,MATCH($G345,Schedule!$A$2:$A$147,0)),"")</f>
        <v>Yard Piping &amp; Utilities — Yard piping, vaults and site utilities</v>
      </c>
      <c r="V345" s="183" t="n">
        <f aca="false">IFERROR(INDEX(Schedule!$F$2:$F$147,MATCH("33-P01",Schedule!$A$2:$A$147,0)),"")</f>
        <v>45016</v>
      </c>
      <c r="W345" s="181" t="s">
        <v>91</v>
      </c>
      <c r="X345" s="181" t="s">
        <v>91</v>
      </c>
      <c r="Y345" s="181" t="n">
        <v>0</v>
      </c>
      <c r="Z345" s="181" t="n">
        <v>0</v>
      </c>
      <c r="AA345" s="181"/>
      <c r="AB345" s="181" t="s">
        <v>1527</v>
      </c>
      <c r="AC345" s="181" t="s">
        <v>120</v>
      </c>
      <c r="AD345" s="181" t="s">
        <v>93</v>
      </c>
      <c r="AE345" s="181" t="s">
        <v>1528</v>
      </c>
      <c r="AF345" s="181"/>
      <c r="AG345" s="181" t="s">
        <v>1529</v>
      </c>
      <c r="AH345" s="181" t="s">
        <v>95</v>
      </c>
    </row>
    <row r="346" customFormat="false" ht="15" hidden="false" customHeight="false" outlineLevel="0" collapsed="false">
      <c r="A346" s="181" t="s">
        <v>60</v>
      </c>
      <c r="B346" s="182" t="s">
        <v>43</v>
      </c>
      <c r="C346" s="181" t="s">
        <v>1530</v>
      </c>
      <c r="D346" s="181" t="s">
        <v>1531</v>
      </c>
      <c r="E346" s="181" t="s">
        <v>98</v>
      </c>
      <c r="F346" s="90" t="s">
        <v>234</v>
      </c>
      <c r="G346" s="181" t="s">
        <v>1337</v>
      </c>
      <c r="H346" s="183" t="n">
        <f aca="false">IFERROR(INDEX(Schedule!$E$2:$E$147,MATCH($G346,Schedule!$A$2:$A$147,0)),"")</f>
        <v>45017</v>
      </c>
      <c r="I346" s="183" t="n">
        <f aca="false">IFERROR(INDEX(Schedule!$F$2:$F$147,MATCH($G346,Schedule!$A$2:$A$147,0)),"")</f>
        <v>45231</v>
      </c>
      <c r="J346" s="92"/>
      <c r="K346" s="92"/>
      <c r="L346" s="92"/>
      <c r="M346" s="92"/>
      <c r="N346" s="92"/>
      <c r="O346" s="90" t="n">
        <v>1</v>
      </c>
      <c r="P346" s="184" t="n">
        <f aca="false">IFERROR((IF(OR(ISNUMBER(J346),UPPER(TRIM(J346))="N/A"),1,0)*IF($W346="N",0,INDEX('Rules of Credit'!$B$5:$F$8,MATCH($F346,'Rules of Credit'!$A$5:$A$8,0),1))+IF(OR(ISNUMBER(K346),UPPER(TRIM(K346))="N/A"),1,0)*INDEX('Rules of Credit'!$B$5:$F$8,MATCH($F346,'Rules of Credit'!$A$5:$A$8,0),2)+IF(OR(ISNUMBER(L346),UPPER(TRIM(L346))="N/A"),1,0)*INDEX('Rules of Credit'!$B$5:$F$8,MATCH($F346,'Rules of Credit'!$A$5:$A$8,0),3)+IF(OR(ISNUMBER(M346),UPPER(TRIM(M346))="N/A"),1,0)*IF($X346="N",0,INDEX('Rules of Credit'!$B$5:$F$8,MATCH($F346,'Rules of Credit'!$A$5:$A$8,0),4))+IF(OR(ISNUMBER(N346),UPPER(TRIM(N346))="N/A"),1,0)*INDEX('Rules of Credit'!$B$5:$F$8,MATCH($F346,'Rules of Credit'!$A$5:$A$8,0),5))/(IF($W346="N",0,INDEX('Rules of Credit'!$B$5:$F$8,MATCH($F346,'Rules of Credit'!$A$5:$A$8,0),1))+INDEX('Rules of Credit'!$B$5:$F$8,MATCH($F346,'Rules of Credit'!$A$5:$A$8,0),2)+INDEX('Rules of Credit'!$B$5:$F$8,MATCH($F346,'Rules of Credit'!$A$5:$A$8,0),3)+IF($X346="N",0,INDEX('Rules of Credit'!$B$5:$F$8,MATCH($F346,'Rules of Credit'!$A$5:$A$8,0),4))+INDEX('Rules of Credit'!$B$5:$F$8,MATCH($F346,'Rules of Credit'!$A$5:$A$8,0),5)),0)</f>
        <v>0</v>
      </c>
      <c r="Q346" s="184" t="n">
        <f aca="false">IF(OR($H346="",$I346=""),0,IF('Tracker Summary'!$C$3&lt;$H346,0,IF('Tracker Summary'!$C$3&gt;=$I346,1,('Tracker Summary'!$C$3-$H346)/($I346-$H346+1))))</f>
        <v>0</v>
      </c>
      <c r="R346" s="184" t="n">
        <f aca="false">P346-Q346</f>
        <v>0</v>
      </c>
      <c r="S346" s="181" t="str">
        <f aca="false">IF($I346="","Not scheduled",IF(P346&gt;=1,"Complete",IF('Tracker Summary'!$C$3&gt;$I346,"Overdue",IF(P346-Q346&lt;-0.1,"Behind",IF(AND(P346=0,'Tracker Summary'!$C$3&lt;$H346),"Not started","On track")))))</f>
        <v>Not started</v>
      </c>
      <c r="T346" s="90"/>
      <c r="U346" s="181" t="str">
        <f aca="false">IFERROR(INDEX(Schedule!$D$2:$D$147,MATCH($G346,Schedule!$A$2:$A$147,0)),"")</f>
        <v>Yard Piping &amp; Utilities — Yard piping, vaults and site utilities</v>
      </c>
      <c r="V346" s="183" t="n">
        <f aca="false">IFERROR(INDEX(Schedule!$F$2:$F$147,MATCH("33-P01",Schedule!$A$2:$A$147,0)),"")</f>
        <v>45016</v>
      </c>
      <c r="W346" s="181" t="s">
        <v>99</v>
      </c>
      <c r="X346" s="181" t="s">
        <v>99</v>
      </c>
      <c r="Y346" s="181" t="n">
        <v>4</v>
      </c>
      <c r="Z346" s="181" t="n">
        <v>2</v>
      </c>
      <c r="AA346" s="181" t="s">
        <v>1532</v>
      </c>
      <c r="AB346" s="181" t="s">
        <v>561</v>
      </c>
      <c r="AC346" s="181" t="s">
        <v>120</v>
      </c>
      <c r="AD346" s="181" t="s">
        <v>93</v>
      </c>
      <c r="AE346" s="181" t="s">
        <v>1533</v>
      </c>
      <c r="AF346" s="181" t="s">
        <v>1344</v>
      </c>
      <c r="AG346" s="181" t="s">
        <v>1534</v>
      </c>
      <c r="AH346" s="181" t="s">
        <v>95</v>
      </c>
    </row>
    <row r="347" customFormat="false" ht="15" hidden="false" customHeight="false" outlineLevel="0" collapsed="false">
      <c r="A347" s="181" t="s">
        <v>60</v>
      </c>
      <c r="B347" s="182" t="s">
        <v>43</v>
      </c>
      <c r="C347" s="181" t="s">
        <v>1535</v>
      </c>
      <c r="D347" s="181" t="s">
        <v>1536</v>
      </c>
      <c r="E347" s="181" t="s">
        <v>115</v>
      </c>
      <c r="F347" s="90" t="s">
        <v>234</v>
      </c>
      <c r="G347" s="181" t="s">
        <v>1337</v>
      </c>
      <c r="H347" s="183" t="n">
        <f aca="false">IFERROR(INDEX(Schedule!$E$2:$E$147,MATCH($G347,Schedule!$A$2:$A$147,0)),"")</f>
        <v>45017</v>
      </c>
      <c r="I347" s="183" t="n">
        <f aca="false">IFERROR(INDEX(Schedule!$F$2:$F$147,MATCH($G347,Schedule!$A$2:$A$147,0)),"")</f>
        <v>45231</v>
      </c>
      <c r="J347" s="92"/>
      <c r="K347" s="92"/>
      <c r="L347" s="92"/>
      <c r="M347" s="92"/>
      <c r="N347" s="92"/>
      <c r="O347" s="90" t="n">
        <v>1</v>
      </c>
      <c r="P347" s="184" t="n">
        <f aca="false">IFERROR((IF(OR(ISNUMBER(J347),UPPER(TRIM(J347))="N/A"),1,0)*IF($W347="N",0,INDEX('Rules of Credit'!$B$5:$F$8,MATCH($F347,'Rules of Credit'!$A$5:$A$8,0),1))+IF(OR(ISNUMBER(K347),UPPER(TRIM(K347))="N/A"),1,0)*INDEX('Rules of Credit'!$B$5:$F$8,MATCH($F347,'Rules of Credit'!$A$5:$A$8,0),2)+IF(OR(ISNUMBER(L347),UPPER(TRIM(L347))="N/A"),1,0)*INDEX('Rules of Credit'!$B$5:$F$8,MATCH($F347,'Rules of Credit'!$A$5:$A$8,0),3)+IF(OR(ISNUMBER(M347),UPPER(TRIM(M347))="N/A"),1,0)*IF($X347="N",0,INDEX('Rules of Credit'!$B$5:$F$8,MATCH($F347,'Rules of Credit'!$A$5:$A$8,0),4))+IF(OR(ISNUMBER(N347),UPPER(TRIM(N347))="N/A"),1,0)*INDEX('Rules of Credit'!$B$5:$F$8,MATCH($F347,'Rules of Credit'!$A$5:$A$8,0),5))/(IF($W347="N",0,INDEX('Rules of Credit'!$B$5:$F$8,MATCH($F347,'Rules of Credit'!$A$5:$A$8,0),1))+INDEX('Rules of Credit'!$B$5:$F$8,MATCH($F347,'Rules of Credit'!$A$5:$A$8,0),2)+INDEX('Rules of Credit'!$B$5:$F$8,MATCH($F347,'Rules of Credit'!$A$5:$A$8,0),3)+IF($X347="N",0,INDEX('Rules of Credit'!$B$5:$F$8,MATCH($F347,'Rules of Credit'!$A$5:$A$8,0),4))+INDEX('Rules of Credit'!$B$5:$F$8,MATCH($F347,'Rules of Credit'!$A$5:$A$8,0),5)),0)</f>
        <v>0</v>
      </c>
      <c r="Q347" s="184" t="n">
        <f aca="false">IF(OR($H347="",$I347=""),0,IF('Tracker Summary'!$C$3&lt;$H347,0,IF('Tracker Summary'!$C$3&gt;=$I347,1,('Tracker Summary'!$C$3-$H347)/($I347-$H347+1))))</f>
        <v>0</v>
      </c>
      <c r="R347" s="184" t="n">
        <f aca="false">P347-Q347</f>
        <v>0</v>
      </c>
      <c r="S347" s="181" t="str">
        <f aca="false">IF($I347="","Not scheduled",IF(P347&gt;=1,"Complete",IF('Tracker Summary'!$C$3&gt;$I347,"Overdue",IF(P347-Q347&lt;-0.1,"Behind",IF(AND(P347=0,'Tracker Summary'!$C$3&lt;$H347),"Not started","On track")))))</f>
        <v>Not started</v>
      </c>
      <c r="T347" s="90"/>
      <c r="U347" s="181" t="str">
        <f aca="false">IFERROR(INDEX(Schedule!$D$2:$D$147,MATCH($G347,Schedule!$A$2:$A$147,0)),"")</f>
        <v>Yard Piping &amp; Utilities — Yard piping, vaults and site utilities</v>
      </c>
      <c r="V347" s="183" t="n">
        <f aca="false">IFERROR(INDEX(Schedule!$F$2:$F$147,MATCH("33-P01",Schedule!$A$2:$A$147,0)),"")</f>
        <v>45016</v>
      </c>
      <c r="W347" s="181" t="s">
        <v>91</v>
      </c>
      <c r="X347" s="181" t="s">
        <v>91</v>
      </c>
      <c r="Y347" s="181" t="n">
        <v>0</v>
      </c>
      <c r="Z347" s="181" t="n">
        <v>0</v>
      </c>
      <c r="AA347" s="181"/>
      <c r="AB347" s="181"/>
      <c r="AC347" s="181" t="s">
        <v>120</v>
      </c>
      <c r="AD347" s="181" t="s">
        <v>93</v>
      </c>
      <c r="AE347" s="181" t="s">
        <v>1537</v>
      </c>
      <c r="AF347" s="181" t="s">
        <v>1344</v>
      </c>
      <c r="AG347" s="181" t="s">
        <v>1534</v>
      </c>
      <c r="AH347" s="181" t="s">
        <v>95</v>
      </c>
    </row>
    <row r="348" customFormat="false" ht="15" hidden="false" customHeight="false" outlineLevel="0" collapsed="false">
      <c r="A348" s="181" t="s">
        <v>60</v>
      </c>
      <c r="B348" s="182" t="s">
        <v>43</v>
      </c>
      <c r="C348" s="181" t="s">
        <v>1538</v>
      </c>
      <c r="D348" s="181" t="s">
        <v>1539</v>
      </c>
      <c r="E348" s="181" t="s">
        <v>98</v>
      </c>
      <c r="F348" s="90" t="s">
        <v>234</v>
      </c>
      <c r="G348" s="181" t="s">
        <v>1337</v>
      </c>
      <c r="H348" s="183" t="n">
        <f aca="false">IFERROR(INDEX(Schedule!$E$2:$E$147,MATCH($G348,Schedule!$A$2:$A$147,0)),"")</f>
        <v>45017</v>
      </c>
      <c r="I348" s="183" t="n">
        <f aca="false">IFERROR(INDEX(Schedule!$F$2:$F$147,MATCH($G348,Schedule!$A$2:$A$147,0)),"")</f>
        <v>45231</v>
      </c>
      <c r="J348" s="92"/>
      <c r="K348" s="92"/>
      <c r="L348" s="92"/>
      <c r="M348" s="92"/>
      <c r="N348" s="92"/>
      <c r="O348" s="90" t="n">
        <v>1</v>
      </c>
      <c r="P348" s="184" t="n">
        <f aca="false">IFERROR((IF(OR(ISNUMBER(J348),UPPER(TRIM(J348))="N/A"),1,0)*IF($W348="N",0,INDEX('Rules of Credit'!$B$5:$F$8,MATCH($F348,'Rules of Credit'!$A$5:$A$8,0),1))+IF(OR(ISNUMBER(K348),UPPER(TRIM(K348))="N/A"),1,0)*INDEX('Rules of Credit'!$B$5:$F$8,MATCH($F348,'Rules of Credit'!$A$5:$A$8,0),2)+IF(OR(ISNUMBER(L348),UPPER(TRIM(L348))="N/A"),1,0)*INDEX('Rules of Credit'!$B$5:$F$8,MATCH($F348,'Rules of Credit'!$A$5:$A$8,0),3)+IF(OR(ISNUMBER(M348),UPPER(TRIM(M348))="N/A"),1,0)*IF($X348="N",0,INDEX('Rules of Credit'!$B$5:$F$8,MATCH($F348,'Rules of Credit'!$A$5:$A$8,0),4))+IF(OR(ISNUMBER(N348),UPPER(TRIM(N348))="N/A"),1,0)*INDEX('Rules of Credit'!$B$5:$F$8,MATCH($F348,'Rules of Credit'!$A$5:$A$8,0),5))/(IF($W348="N",0,INDEX('Rules of Credit'!$B$5:$F$8,MATCH($F348,'Rules of Credit'!$A$5:$A$8,0),1))+INDEX('Rules of Credit'!$B$5:$F$8,MATCH($F348,'Rules of Credit'!$A$5:$A$8,0),2)+INDEX('Rules of Credit'!$B$5:$F$8,MATCH($F348,'Rules of Credit'!$A$5:$A$8,0),3)+IF($X348="N",0,INDEX('Rules of Credit'!$B$5:$F$8,MATCH($F348,'Rules of Credit'!$A$5:$A$8,0),4))+INDEX('Rules of Credit'!$B$5:$F$8,MATCH($F348,'Rules of Credit'!$A$5:$A$8,0),5)),0)</f>
        <v>0</v>
      </c>
      <c r="Q348" s="184" t="n">
        <f aca="false">IF(OR($H348="",$I348=""),0,IF('Tracker Summary'!$C$3&lt;$H348,0,IF('Tracker Summary'!$C$3&gt;=$I348,1,('Tracker Summary'!$C$3-$H348)/($I348-$H348+1))))</f>
        <v>0</v>
      </c>
      <c r="R348" s="184" t="n">
        <f aca="false">P348-Q348</f>
        <v>0</v>
      </c>
      <c r="S348" s="181" t="str">
        <f aca="false">IF($I348="","Not scheduled",IF(P348&gt;=1,"Complete",IF('Tracker Summary'!$C$3&gt;$I348,"Overdue",IF(P348-Q348&lt;-0.1,"Behind",IF(AND(P348=0,'Tracker Summary'!$C$3&lt;$H348),"Not started","On track")))))</f>
        <v>Not started</v>
      </c>
      <c r="T348" s="90"/>
      <c r="U348" s="181" t="str">
        <f aca="false">IFERROR(INDEX(Schedule!$D$2:$D$147,MATCH($G348,Schedule!$A$2:$A$147,0)),"")</f>
        <v>Yard Piping &amp; Utilities — Yard piping, vaults and site utilities</v>
      </c>
      <c r="V348" s="183" t="n">
        <f aca="false">IFERROR(INDEX(Schedule!$F$2:$F$147,MATCH("33-P01",Schedule!$A$2:$A$147,0)),"")</f>
        <v>45016</v>
      </c>
      <c r="W348" s="181" t="s">
        <v>99</v>
      </c>
      <c r="X348" s="181" t="s">
        <v>91</v>
      </c>
      <c r="Y348" s="181" t="n">
        <v>1</v>
      </c>
      <c r="Z348" s="181" t="n">
        <v>0</v>
      </c>
      <c r="AA348" s="181"/>
      <c r="AB348" s="181"/>
      <c r="AC348" s="181" t="s">
        <v>120</v>
      </c>
      <c r="AD348" s="181" t="s">
        <v>93</v>
      </c>
      <c r="AE348" s="181" t="s">
        <v>1540</v>
      </c>
      <c r="AF348" s="181" t="s">
        <v>1483</v>
      </c>
      <c r="AG348" s="181" t="s">
        <v>1541</v>
      </c>
      <c r="AH348" s="181" t="s">
        <v>95</v>
      </c>
    </row>
    <row r="349" customFormat="false" ht="15" hidden="false" customHeight="false" outlineLevel="0" collapsed="false">
      <c r="A349" s="181" t="s">
        <v>60</v>
      </c>
      <c r="B349" s="182" t="s">
        <v>43</v>
      </c>
      <c r="C349" s="181" t="s">
        <v>1542</v>
      </c>
      <c r="D349" s="181" t="s">
        <v>1543</v>
      </c>
      <c r="E349" s="181" t="s">
        <v>98</v>
      </c>
      <c r="F349" s="90" t="s">
        <v>234</v>
      </c>
      <c r="G349" s="181" t="s">
        <v>1337</v>
      </c>
      <c r="H349" s="183" t="n">
        <f aca="false">IFERROR(INDEX(Schedule!$E$2:$E$147,MATCH($G349,Schedule!$A$2:$A$147,0)),"")</f>
        <v>45017</v>
      </c>
      <c r="I349" s="183" t="n">
        <f aca="false">IFERROR(INDEX(Schedule!$F$2:$F$147,MATCH($G349,Schedule!$A$2:$A$147,0)),"")</f>
        <v>45231</v>
      </c>
      <c r="J349" s="92"/>
      <c r="K349" s="92"/>
      <c r="L349" s="92"/>
      <c r="M349" s="92"/>
      <c r="N349" s="92"/>
      <c r="O349" s="90" t="n">
        <v>1</v>
      </c>
      <c r="P349" s="184" t="n">
        <f aca="false">IFERROR((IF(OR(ISNUMBER(J349),UPPER(TRIM(J349))="N/A"),1,0)*IF($W349="N",0,INDEX('Rules of Credit'!$B$5:$F$8,MATCH($F349,'Rules of Credit'!$A$5:$A$8,0),1))+IF(OR(ISNUMBER(K349),UPPER(TRIM(K349))="N/A"),1,0)*INDEX('Rules of Credit'!$B$5:$F$8,MATCH($F349,'Rules of Credit'!$A$5:$A$8,0),2)+IF(OR(ISNUMBER(L349),UPPER(TRIM(L349))="N/A"),1,0)*INDEX('Rules of Credit'!$B$5:$F$8,MATCH($F349,'Rules of Credit'!$A$5:$A$8,0),3)+IF(OR(ISNUMBER(M349),UPPER(TRIM(M349))="N/A"),1,0)*IF($X349="N",0,INDEX('Rules of Credit'!$B$5:$F$8,MATCH($F349,'Rules of Credit'!$A$5:$A$8,0),4))+IF(OR(ISNUMBER(N349),UPPER(TRIM(N349))="N/A"),1,0)*INDEX('Rules of Credit'!$B$5:$F$8,MATCH($F349,'Rules of Credit'!$A$5:$A$8,0),5))/(IF($W349="N",0,INDEX('Rules of Credit'!$B$5:$F$8,MATCH($F349,'Rules of Credit'!$A$5:$A$8,0),1))+INDEX('Rules of Credit'!$B$5:$F$8,MATCH($F349,'Rules of Credit'!$A$5:$A$8,0),2)+INDEX('Rules of Credit'!$B$5:$F$8,MATCH($F349,'Rules of Credit'!$A$5:$A$8,0),3)+IF($X349="N",0,INDEX('Rules of Credit'!$B$5:$F$8,MATCH($F349,'Rules of Credit'!$A$5:$A$8,0),4))+INDEX('Rules of Credit'!$B$5:$F$8,MATCH($F349,'Rules of Credit'!$A$5:$A$8,0),5)),0)</f>
        <v>0</v>
      </c>
      <c r="Q349" s="184" t="n">
        <f aca="false">IF(OR($H349="",$I349=""),0,IF('Tracker Summary'!$C$3&lt;$H349,0,IF('Tracker Summary'!$C$3&gt;=$I349,1,('Tracker Summary'!$C$3-$H349)/($I349-$H349+1))))</f>
        <v>0</v>
      </c>
      <c r="R349" s="184" t="n">
        <f aca="false">P349-Q349</f>
        <v>0</v>
      </c>
      <c r="S349" s="181" t="str">
        <f aca="false">IF($I349="","Not scheduled",IF(P349&gt;=1,"Complete",IF('Tracker Summary'!$C$3&gt;$I349,"Overdue",IF(P349-Q349&lt;-0.1,"Behind",IF(AND(P349=0,'Tracker Summary'!$C$3&lt;$H349),"Not started","On track")))))</f>
        <v>Not started</v>
      </c>
      <c r="T349" s="90"/>
      <c r="U349" s="181" t="str">
        <f aca="false">IFERROR(INDEX(Schedule!$D$2:$D$147,MATCH($G349,Schedule!$A$2:$A$147,0)),"")</f>
        <v>Yard Piping &amp; Utilities — Yard piping, vaults and site utilities</v>
      </c>
      <c r="V349" s="183" t="n">
        <f aca="false">IFERROR(INDEX(Schedule!$F$2:$F$147,MATCH("33-P01",Schedule!$A$2:$A$147,0)),"")</f>
        <v>45016</v>
      </c>
      <c r="W349" s="181" t="s">
        <v>99</v>
      </c>
      <c r="X349" s="181" t="s">
        <v>99</v>
      </c>
      <c r="Y349" s="181" t="n">
        <v>3</v>
      </c>
      <c r="Z349" s="181" t="n">
        <v>3</v>
      </c>
      <c r="AA349" s="181"/>
      <c r="AB349" s="181"/>
      <c r="AC349" s="181" t="s">
        <v>92</v>
      </c>
      <c r="AD349" s="181" t="s">
        <v>93</v>
      </c>
      <c r="AE349" s="181" t="s">
        <v>1544</v>
      </c>
      <c r="AF349" s="181" t="s">
        <v>1475</v>
      </c>
      <c r="AG349" s="181" t="s">
        <v>1545</v>
      </c>
      <c r="AH349" s="181" t="s">
        <v>95</v>
      </c>
    </row>
    <row r="350" customFormat="false" ht="15" hidden="false" customHeight="false" outlineLevel="0" collapsed="false">
      <c r="A350" s="181" t="s">
        <v>60</v>
      </c>
      <c r="B350" s="182" t="s">
        <v>43</v>
      </c>
      <c r="C350" s="181" t="s">
        <v>1546</v>
      </c>
      <c r="D350" s="181" t="s">
        <v>1547</v>
      </c>
      <c r="E350" s="181" t="s">
        <v>98</v>
      </c>
      <c r="F350" s="90" t="s">
        <v>234</v>
      </c>
      <c r="G350" s="181" t="s">
        <v>1337</v>
      </c>
      <c r="H350" s="183" t="n">
        <f aca="false">IFERROR(INDEX(Schedule!$E$2:$E$147,MATCH($G350,Schedule!$A$2:$A$147,0)),"")</f>
        <v>45017</v>
      </c>
      <c r="I350" s="183" t="n">
        <f aca="false">IFERROR(INDEX(Schedule!$F$2:$F$147,MATCH($G350,Schedule!$A$2:$A$147,0)),"")</f>
        <v>45231</v>
      </c>
      <c r="J350" s="92"/>
      <c r="K350" s="92"/>
      <c r="L350" s="92"/>
      <c r="M350" s="92"/>
      <c r="N350" s="92"/>
      <c r="O350" s="90" t="n">
        <v>1</v>
      </c>
      <c r="P350" s="184" t="n">
        <f aca="false">IFERROR((IF(OR(ISNUMBER(J350),UPPER(TRIM(J350))="N/A"),1,0)*IF($W350="N",0,INDEX('Rules of Credit'!$B$5:$F$8,MATCH($F350,'Rules of Credit'!$A$5:$A$8,0),1))+IF(OR(ISNUMBER(K350),UPPER(TRIM(K350))="N/A"),1,0)*INDEX('Rules of Credit'!$B$5:$F$8,MATCH($F350,'Rules of Credit'!$A$5:$A$8,0),2)+IF(OR(ISNUMBER(L350),UPPER(TRIM(L350))="N/A"),1,0)*INDEX('Rules of Credit'!$B$5:$F$8,MATCH($F350,'Rules of Credit'!$A$5:$A$8,0),3)+IF(OR(ISNUMBER(M350),UPPER(TRIM(M350))="N/A"),1,0)*IF($X350="N",0,INDEX('Rules of Credit'!$B$5:$F$8,MATCH($F350,'Rules of Credit'!$A$5:$A$8,0),4))+IF(OR(ISNUMBER(N350),UPPER(TRIM(N350))="N/A"),1,0)*INDEX('Rules of Credit'!$B$5:$F$8,MATCH($F350,'Rules of Credit'!$A$5:$A$8,0),5))/(IF($W350="N",0,INDEX('Rules of Credit'!$B$5:$F$8,MATCH($F350,'Rules of Credit'!$A$5:$A$8,0),1))+INDEX('Rules of Credit'!$B$5:$F$8,MATCH($F350,'Rules of Credit'!$A$5:$A$8,0),2)+INDEX('Rules of Credit'!$B$5:$F$8,MATCH($F350,'Rules of Credit'!$A$5:$A$8,0),3)+IF($X350="N",0,INDEX('Rules of Credit'!$B$5:$F$8,MATCH($F350,'Rules of Credit'!$A$5:$A$8,0),4))+INDEX('Rules of Credit'!$B$5:$F$8,MATCH($F350,'Rules of Credit'!$A$5:$A$8,0),5)),0)</f>
        <v>0</v>
      </c>
      <c r="Q350" s="184" t="n">
        <f aca="false">IF(OR($H350="",$I350=""),0,IF('Tracker Summary'!$C$3&lt;$H350,0,IF('Tracker Summary'!$C$3&gt;=$I350,1,('Tracker Summary'!$C$3-$H350)/($I350-$H350+1))))</f>
        <v>0</v>
      </c>
      <c r="R350" s="184" t="n">
        <f aca="false">P350-Q350</f>
        <v>0</v>
      </c>
      <c r="S350" s="181" t="str">
        <f aca="false">IF($I350="","Not scheduled",IF(P350&gt;=1,"Complete",IF('Tracker Summary'!$C$3&gt;$I350,"Overdue",IF(P350-Q350&lt;-0.1,"Behind",IF(AND(P350=0,'Tracker Summary'!$C$3&lt;$H350),"Not started","On track")))))</f>
        <v>Not started</v>
      </c>
      <c r="T350" s="90"/>
      <c r="U350" s="181" t="str">
        <f aca="false">IFERROR(INDEX(Schedule!$D$2:$D$147,MATCH($G350,Schedule!$A$2:$A$147,0)),"")</f>
        <v>Yard Piping &amp; Utilities — Yard piping, vaults and site utilities</v>
      </c>
      <c r="V350" s="183" t="n">
        <f aca="false">IFERROR(INDEX(Schedule!$F$2:$F$147,MATCH("33-P01",Schedule!$A$2:$A$147,0)),"")</f>
        <v>45016</v>
      </c>
      <c r="W350" s="181" t="s">
        <v>99</v>
      </c>
      <c r="X350" s="181" t="s">
        <v>99</v>
      </c>
      <c r="Y350" s="181" t="n">
        <v>3</v>
      </c>
      <c r="Z350" s="181" t="n">
        <v>3</v>
      </c>
      <c r="AA350" s="181"/>
      <c r="AB350" s="181"/>
      <c r="AC350" s="181" t="s">
        <v>120</v>
      </c>
      <c r="AD350" s="181" t="s">
        <v>93</v>
      </c>
      <c r="AE350" s="181" t="s">
        <v>1544</v>
      </c>
      <c r="AF350" s="181" t="s">
        <v>1475</v>
      </c>
      <c r="AG350" s="181" t="s">
        <v>1545</v>
      </c>
      <c r="AH350" s="181" t="s">
        <v>95</v>
      </c>
    </row>
    <row r="351" customFormat="false" ht="15" hidden="false" customHeight="false" outlineLevel="0" collapsed="false">
      <c r="A351" s="181" t="s">
        <v>60</v>
      </c>
      <c r="B351" s="182" t="s">
        <v>43</v>
      </c>
      <c r="C351" s="181" t="s">
        <v>1548</v>
      </c>
      <c r="D351" s="181" t="s">
        <v>1549</v>
      </c>
      <c r="E351" s="181" t="s">
        <v>98</v>
      </c>
      <c r="F351" s="90" t="s">
        <v>234</v>
      </c>
      <c r="G351" s="181" t="s">
        <v>1337</v>
      </c>
      <c r="H351" s="183" t="n">
        <f aca="false">IFERROR(INDEX(Schedule!$E$2:$E$147,MATCH($G351,Schedule!$A$2:$A$147,0)),"")</f>
        <v>45017</v>
      </c>
      <c r="I351" s="183" t="n">
        <f aca="false">IFERROR(INDEX(Schedule!$F$2:$F$147,MATCH($G351,Schedule!$A$2:$A$147,0)),"")</f>
        <v>45231</v>
      </c>
      <c r="J351" s="92"/>
      <c r="K351" s="92"/>
      <c r="L351" s="92"/>
      <c r="M351" s="92"/>
      <c r="N351" s="92"/>
      <c r="O351" s="90" t="n">
        <v>1</v>
      </c>
      <c r="P351" s="184" t="n">
        <f aca="false">IFERROR((IF(OR(ISNUMBER(J351),UPPER(TRIM(J351))="N/A"),1,0)*IF($W351="N",0,INDEX('Rules of Credit'!$B$5:$F$8,MATCH($F351,'Rules of Credit'!$A$5:$A$8,0),1))+IF(OR(ISNUMBER(K351),UPPER(TRIM(K351))="N/A"),1,0)*INDEX('Rules of Credit'!$B$5:$F$8,MATCH($F351,'Rules of Credit'!$A$5:$A$8,0),2)+IF(OR(ISNUMBER(L351),UPPER(TRIM(L351))="N/A"),1,0)*INDEX('Rules of Credit'!$B$5:$F$8,MATCH($F351,'Rules of Credit'!$A$5:$A$8,0),3)+IF(OR(ISNUMBER(M351),UPPER(TRIM(M351))="N/A"),1,0)*IF($X351="N",0,INDEX('Rules of Credit'!$B$5:$F$8,MATCH($F351,'Rules of Credit'!$A$5:$A$8,0),4))+IF(OR(ISNUMBER(N351),UPPER(TRIM(N351))="N/A"),1,0)*INDEX('Rules of Credit'!$B$5:$F$8,MATCH($F351,'Rules of Credit'!$A$5:$A$8,0),5))/(IF($W351="N",0,INDEX('Rules of Credit'!$B$5:$F$8,MATCH($F351,'Rules of Credit'!$A$5:$A$8,0),1))+INDEX('Rules of Credit'!$B$5:$F$8,MATCH($F351,'Rules of Credit'!$A$5:$A$8,0),2)+INDEX('Rules of Credit'!$B$5:$F$8,MATCH($F351,'Rules of Credit'!$A$5:$A$8,0),3)+IF($X351="N",0,INDEX('Rules of Credit'!$B$5:$F$8,MATCH($F351,'Rules of Credit'!$A$5:$A$8,0),4))+INDEX('Rules of Credit'!$B$5:$F$8,MATCH($F351,'Rules of Credit'!$A$5:$A$8,0),5)),0)</f>
        <v>0</v>
      </c>
      <c r="Q351" s="184" t="n">
        <f aca="false">IF(OR($H351="",$I351=""),0,IF('Tracker Summary'!$C$3&lt;$H351,0,IF('Tracker Summary'!$C$3&gt;=$I351,1,('Tracker Summary'!$C$3-$H351)/($I351-$H351+1))))</f>
        <v>0</v>
      </c>
      <c r="R351" s="184" t="n">
        <f aca="false">P351-Q351</f>
        <v>0</v>
      </c>
      <c r="S351" s="181" t="str">
        <f aca="false">IF($I351="","Not scheduled",IF(P351&gt;=1,"Complete",IF('Tracker Summary'!$C$3&gt;$I351,"Overdue",IF(P351-Q351&lt;-0.1,"Behind",IF(AND(P351=0,'Tracker Summary'!$C$3&lt;$H351),"Not started","On track")))))</f>
        <v>Not started</v>
      </c>
      <c r="T351" s="90"/>
      <c r="U351" s="181" t="str">
        <f aca="false">IFERROR(INDEX(Schedule!$D$2:$D$147,MATCH($G351,Schedule!$A$2:$A$147,0)),"")</f>
        <v>Yard Piping &amp; Utilities — Yard piping, vaults and site utilities</v>
      </c>
      <c r="V351" s="183" t="n">
        <f aca="false">IFERROR(INDEX(Schedule!$F$2:$F$147,MATCH("33-P01",Schedule!$A$2:$A$147,0)),"")</f>
        <v>45016</v>
      </c>
      <c r="W351" s="181" t="s">
        <v>99</v>
      </c>
      <c r="X351" s="181" t="s">
        <v>99</v>
      </c>
      <c r="Y351" s="181" t="n">
        <v>3</v>
      </c>
      <c r="Z351" s="181" t="n">
        <v>3</v>
      </c>
      <c r="AA351" s="181"/>
      <c r="AB351" s="181"/>
      <c r="AC351" s="181" t="s">
        <v>92</v>
      </c>
      <c r="AD351" s="181" t="s">
        <v>93</v>
      </c>
      <c r="AE351" s="181" t="s">
        <v>1550</v>
      </c>
      <c r="AF351" s="181" t="s">
        <v>1475</v>
      </c>
      <c r="AG351" s="181" t="s">
        <v>1551</v>
      </c>
      <c r="AH351" s="181" t="s">
        <v>95</v>
      </c>
    </row>
    <row r="352" customFormat="false" ht="15" hidden="false" customHeight="false" outlineLevel="0" collapsed="false">
      <c r="A352" s="181" t="s">
        <v>60</v>
      </c>
      <c r="B352" s="182" t="s">
        <v>43</v>
      </c>
      <c r="C352" s="181" t="s">
        <v>1552</v>
      </c>
      <c r="D352" s="181" t="s">
        <v>1553</v>
      </c>
      <c r="E352" s="181" t="s">
        <v>98</v>
      </c>
      <c r="F352" s="90" t="s">
        <v>234</v>
      </c>
      <c r="G352" s="181" t="s">
        <v>1337</v>
      </c>
      <c r="H352" s="183" t="n">
        <f aca="false">IFERROR(INDEX(Schedule!$E$2:$E$147,MATCH($G352,Schedule!$A$2:$A$147,0)),"")</f>
        <v>45017</v>
      </c>
      <c r="I352" s="183" t="n">
        <f aca="false">IFERROR(INDEX(Schedule!$F$2:$F$147,MATCH($G352,Schedule!$A$2:$A$147,0)),"")</f>
        <v>45231</v>
      </c>
      <c r="J352" s="92"/>
      <c r="K352" s="92"/>
      <c r="L352" s="92"/>
      <c r="M352" s="92"/>
      <c r="N352" s="92"/>
      <c r="O352" s="90" t="n">
        <v>1</v>
      </c>
      <c r="P352" s="184" t="n">
        <f aca="false">IFERROR((IF(OR(ISNUMBER(J352),UPPER(TRIM(J352))="N/A"),1,0)*IF($W352="N",0,INDEX('Rules of Credit'!$B$5:$F$8,MATCH($F352,'Rules of Credit'!$A$5:$A$8,0),1))+IF(OR(ISNUMBER(K352),UPPER(TRIM(K352))="N/A"),1,0)*INDEX('Rules of Credit'!$B$5:$F$8,MATCH($F352,'Rules of Credit'!$A$5:$A$8,0),2)+IF(OR(ISNUMBER(L352),UPPER(TRIM(L352))="N/A"),1,0)*INDEX('Rules of Credit'!$B$5:$F$8,MATCH($F352,'Rules of Credit'!$A$5:$A$8,0),3)+IF(OR(ISNUMBER(M352),UPPER(TRIM(M352))="N/A"),1,0)*IF($X352="N",0,INDEX('Rules of Credit'!$B$5:$F$8,MATCH($F352,'Rules of Credit'!$A$5:$A$8,0),4))+IF(OR(ISNUMBER(N352),UPPER(TRIM(N352))="N/A"),1,0)*INDEX('Rules of Credit'!$B$5:$F$8,MATCH($F352,'Rules of Credit'!$A$5:$A$8,0),5))/(IF($W352="N",0,INDEX('Rules of Credit'!$B$5:$F$8,MATCH($F352,'Rules of Credit'!$A$5:$A$8,0),1))+INDEX('Rules of Credit'!$B$5:$F$8,MATCH($F352,'Rules of Credit'!$A$5:$A$8,0),2)+INDEX('Rules of Credit'!$B$5:$F$8,MATCH($F352,'Rules of Credit'!$A$5:$A$8,0),3)+IF($X352="N",0,INDEX('Rules of Credit'!$B$5:$F$8,MATCH($F352,'Rules of Credit'!$A$5:$A$8,0),4))+INDEX('Rules of Credit'!$B$5:$F$8,MATCH($F352,'Rules of Credit'!$A$5:$A$8,0),5)),0)</f>
        <v>0</v>
      </c>
      <c r="Q352" s="184" t="n">
        <f aca="false">IF(OR($H352="",$I352=""),0,IF('Tracker Summary'!$C$3&lt;$H352,0,IF('Tracker Summary'!$C$3&gt;=$I352,1,('Tracker Summary'!$C$3-$H352)/($I352-$H352+1))))</f>
        <v>0</v>
      </c>
      <c r="R352" s="184" t="n">
        <f aca="false">P352-Q352</f>
        <v>0</v>
      </c>
      <c r="S352" s="181" t="str">
        <f aca="false">IF($I352="","Not scheduled",IF(P352&gt;=1,"Complete",IF('Tracker Summary'!$C$3&gt;$I352,"Overdue",IF(P352-Q352&lt;-0.1,"Behind",IF(AND(P352=0,'Tracker Summary'!$C$3&lt;$H352),"Not started","On track")))))</f>
        <v>Not started</v>
      </c>
      <c r="T352" s="90"/>
      <c r="U352" s="181" t="str">
        <f aca="false">IFERROR(INDEX(Schedule!$D$2:$D$147,MATCH($G352,Schedule!$A$2:$A$147,0)),"")</f>
        <v>Yard Piping &amp; Utilities — Yard piping, vaults and site utilities</v>
      </c>
      <c r="V352" s="183" t="n">
        <f aca="false">IFERROR(INDEX(Schedule!$F$2:$F$147,MATCH("33-P01",Schedule!$A$2:$A$147,0)),"")</f>
        <v>45016</v>
      </c>
      <c r="W352" s="181" t="s">
        <v>91</v>
      </c>
      <c r="X352" s="181" t="s">
        <v>91</v>
      </c>
      <c r="Y352" s="181" t="n">
        <v>0</v>
      </c>
      <c r="Z352" s="181" t="n">
        <v>0</v>
      </c>
      <c r="AA352" s="181" t="s">
        <v>1554</v>
      </c>
      <c r="AB352" s="181" t="s">
        <v>1438</v>
      </c>
      <c r="AC352" s="181" t="s">
        <v>92</v>
      </c>
      <c r="AD352" s="181" t="s">
        <v>93</v>
      </c>
      <c r="AE352" s="181" t="s">
        <v>1555</v>
      </c>
      <c r="AF352" s="181"/>
      <c r="AG352" s="181" t="s">
        <v>1555</v>
      </c>
      <c r="AH352" s="181" t="s">
        <v>213</v>
      </c>
    </row>
    <row r="353" customFormat="false" ht="15" hidden="false" customHeight="false" outlineLevel="0" collapsed="false">
      <c r="A353" s="181" t="s">
        <v>60</v>
      </c>
      <c r="B353" s="182" t="s">
        <v>43</v>
      </c>
      <c r="C353" s="181" t="s">
        <v>1556</v>
      </c>
      <c r="D353" s="181" t="s">
        <v>1557</v>
      </c>
      <c r="E353" s="181" t="s">
        <v>98</v>
      </c>
      <c r="F353" s="90" t="s">
        <v>234</v>
      </c>
      <c r="G353" s="181" t="s">
        <v>1337</v>
      </c>
      <c r="H353" s="183" t="n">
        <f aca="false">IFERROR(INDEX(Schedule!$E$2:$E$147,MATCH($G353,Schedule!$A$2:$A$147,0)),"")</f>
        <v>45017</v>
      </c>
      <c r="I353" s="183" t="n">
        <f aca="false">IFERROR(INDEX(Schedule!$F$2:$F$147,MATCH($G353,Schedule!$A$2:$A$147,0)),"")</f>
        <v>45231</v>
      </c>
      <c r="J353" s="92"/>
      <c r="K353" s="92"/>
      <c r="L353" s="92"/>
      <c r="M353" s="92"/>
      <c r="N353" s="92"/>
      <c r="O353" s="90" t="n">
        <v>1</v>
      </c>
      <c r="P353" s="184" t="n">
        <f aca="false">IFERROR((IF(OR(ISNUMBER(J353),UPPER(TRIM(J353))="N/A"),1,0)*IF($W353="N",0,INDEX('Rules of Credit'!$B$5:$F$8,MATCH($F353,'Rules of Credit'!$A$5:$A$8,0),1))+IF(OR(ISNUMBER(K353),UPPER(TRIM(K353))="N/A"),1,0)*INDEX('Rules of Credit'!$B$5:$F$8,MATCH($F353,'Rules of Credit'!$A$5:$A$8,0),2)+IF(OR(ISNUMBER(L353),UPPER(TRIM(L353))="N/A"),1,0)*INDEX('Rules of Credit'!$B$5:$F$8,MATCH($F353,'Rules of Credit'!$A$5:$A$8,0),3)+IF(OR(ISNUMBER(M353),UPPER(TRIM(M353))="N/A"),1,0)*IF($X353="N",0,INDEX('Rules of Credit'!$B$5:$F$8,MATCH($F353,'Rules of Credit'!$A$5:$A$8,0),4))+IF(OR(ISNUMBER(N353),UPPER(TRIM(N353))="N/A"),1,0)*INDEX('Rules of Credit'!$B$5:$F$8,MATCH($F353,'Rules of Credit'!$A$5:$A$8,0),5))/(IF($W353="N",0,INDEX('Rules of Credit'!$B$5:$F$8,MATCH($F353,'Rules of Credit'!$A$5:$A$8,0),1))+INDEX('Rules of Credit'!$B$5:$F$8,MATCH($F353,'Rules of Credit'!$A$5:$A$8,0),2)+INDEX('Rules of Credit'!$B$5:$F$8,MATCH($F353,'Rules of Credit'!$A$5:$A$8,0),3)+IF($X353="N",0,INDEX('Rules of Credit'!$B$5:$F$8,MATCH($F353,'Rules of Credit'!$A$5:$A$8,0),4))+INDEX('Rules of Credit'!$B$5:$F$8,MATCH($F353,'Rules of Credit'!$A$5:$A$8,0),5)),0)</f>
        <v>0</v>
      </c>
      <c r="Q353" s="184" t="n">
        <f aca="false">IF(OR($H353="",$I353=""),0,IF('Tracker Summary'!$C$3&lt;$H353,0,IF('Tracker Summary'!$C$3&gt;=$I353,1,('Tracker Summary'!$C$3-$H353)/($I353-$H353+1))))</f>
        <v>0</v>
      </c>
      <c r="R353" s="184" t="n">
        <f aca="false">P353-Q353</f>
        <v>0</v>
      </c>
      <c r="S353" s="181" t="str">
        <f aca="false">IF($I353="","Not scheduled",IF(P353&gt;=1,"Complete",IF('Tracker Summary'!$C$3&gt;$I353,"Overdue",IF(P353-Q353&lt;-0.1,"Behind",IF(AND(P353=0,'Tracker Summary'!$C$3&lt;$H353),"Not started","On track")))))</f>
        <v>Not started</v>
      </c>
      <c r="T353" s="90"/>
      <c r="U353" s="181" t="str">
        <f aca="false">IFERROR(INDEX(Schedule!$D$2:$D$147,MATCH($G353,Schedule!$A$2:$A$147,0)),"")</f>
        <v>Yard Piping &amp; Utilities — Yard piping, vaults and site utilities</v>
      </c>
      <c r="V353" s="183" t="n">
        <f aca="false">IFERROR(INDEX(Schedule!$F$2:$F$147,MATCH("33-P01",Schedule!$A$2:$A$147,0)),"")</f>
        <v>45016</v>
      </c>
      <c r="W353" s="181" t="s">
        <v>91</v>
      </c>
      <c r="X353" s="181" t="s">
        <v>91</v>
      </c>
      <c r="Y353" s="181" t="n">
        <v>0</v>
      </c>
      <c r="Z353" s="181" t="n">
        <v>0</v>
      </c>
      <c r="AA353" s="181" t="s">
        <v>1558</v>
      </c>
      <c r="AB353" s="181" t="s">
        <v>1407</v>
      </c>
      <c r="AC353" s="181" t="s">
        <v>92</v>
      </c>
      <c r="AD353" s="181" t="s">
        <v>93</v>
      </c>
      <c r="AE353" s="181" t="s">
        <v>1555</v>
      </c>
      <c r="AF353" s="181"/>
      <c r="AG353" s="181" t="s">
        <v>1555</v>
      </c>
      <c r="AH353" s="181" t="s">
        <v>213</v>
      </c>
    </row>
    <row r="354" customFormat="false" ht="15" hidden="false" customHeight="false" outlineLevel="0" collapsed="false">
      <c r="A354" s="181" t="s">
        <v>60</v>
      </c>
      <c r="B354" s="182" t="s">
        <v>43</v>
      </c>
      <c r="C354" s="181" t="s">
        <v>1559</v>
      </c>
      <c r="D354" s="181" t="s">
        <v>1560</v>
      </c>
      <c r="E354" s="181" t="s">
        <v>98</v>
      </c>
      <c r="F354" s="90" t="s">
        <v>234</v>
      </c>
      <c r="G354" s="181" t="s">
        <v>1337</v>
      </c>
      <c r="H354" s="183" t="n">
        <f aca="false">IFERROR(INDEX(Schedule!$E$2:$E$147,MATCH($G354,Schedule!$A$2:$A$147,0)),"")</f>
        <v>45017</v>
      </c>
      <c r="I354" s="183" t="n">
        <f aca="false">IFERROR(INDEX(Schedule!$F$2:$F$147,MATCH($G354,Schedule!$A$2:$A$147,0)),"")</f>
        <v>45231</v>
      </c>
      <c r="J354" s="92"/>
      <c r="K354" s="92"/>
      <c r="L354" s="92"/>
      <c r="M354" s="92"/>
      <c r="N354" s="92"/>
      <c r="O354" s="90" t="n">
        <v>1</v>
      </c>
      <c r="P354" s="184" t="n">
        <f aca="false">IFERROR((IF(OR(ISNUMBER(J354),UPPER(TRIM(J354))="N/A"),1,0)*IF($W354="N",0,INDEX('Rules of Credit'!$B$5:$F$8,MATCH($F354,'Rules of Credit'!$A$5:$A$8,0),1))+IF(OR(ISNUMBER(K354),UPPER(TRIM(K354))="N/A"),1,0)*INDEX('Rules of Credit'!$B$5:$F$8,MATCH($F354,'Rules of Credit'!$A$5:$A$8,0),2)+IF(OR(ISNUMBER(L354),UPPER(TRIM(L354))="N/A"),1,0)*INDEX('Rules of Credit'!$B$5:$F$8,MATCH($F354,'Rules of Credit'!$A$5:$A$8,0),3)+IF(OR(ISNUMBER(M354),UPPER(TRIM(M354))="N/A"),1,0)*IF($X354="N",0,INDEX('Rules of Credit'!$B$5:$F$8,MATCH($F354,'Rules of Credit'!$A$5:$A$8,0),4))+IF(OR(ISNUMBER(N354),UPPER(TRIM(N354))="N/A"),1,0)*INDEX('Rules of Credit'!$B$5:$F$8,MATCH($F354,'Rules of Credit'!$A$5:$A$8,0),5))/(IF($W354="N",0,INDEX('Rules of Credit'!$B$5:$F$8,MATCH($F354,'Rules of Credit'!$A$5:$A$8,0),1))+INDEX('Rules of Credit'!$B$5:$F$8,MATCH($F354,'Rules of Credit'!$A$5:$A$8,0),2)+INDEX('Rules of Credit'!$B$5:$F$8,MATCH($F354,'Rules of Credit'!$A$5:$A$8,0),3)+IF($X354="N",0,INDEX('Rules of Credit'!$B$5:$F$8,MATCH($F354,'Rules of Credit'!$A$5:$A$8,0),4))+INDEX('Rules of Credit'!$B$5:$F$8,MATCH($F354,'Rules of Credit'!$A$5:$A$8,0),5)),0)</f>
        <v>0</v>
      </c>
      <c r="Q354" s="184" t="n">
        <f aca="false">IF(OR($H354="",$I354=""),0,IF('Tracker Summary'!$C$3&lt;$H354,0,IF('Tracker Summary'!$C$3&gt;=$I354,1,('Tracker Summary'!$C$3-$H354)/($I354-$H354+1))))</f>
        <v>0</v>
      </c>
      <c r="R354" s="184" t="n">
        <f aca="false">P354-Q354</f>
        <v>0</v>
      </c>
      <c r="S354" s="181" t="str">
        <f aca="false">IF($I354="","Not scheduled",IF(P354&gt;=1,"Complete",IF('Tracker Summary'!$C$3&gt;$I354,"Overdue",IF(P354-Q354&lt;-0.1,"Behind",IF(AND(P354=0,'Tracker Summary'!$C$3&lt;$H354),"Not started","On track")))))</f>
        <v>Not started</v>
      </c>
      <c r="T354" s="90"/>
      <c r="U354" s="181" t="str">
        <f aca="false">IFERROR(INDEX(Schedule!$D$2:$D$147,MATCH($G354,Schedule!$A$2:$A$147,0)),"")</f>
        <v>Yard Piping &amp; Utilities — Yard piping, vaults and site utilities</v>
      </c>
      <c r="V354" s="183" t="n">
        <f aca="false">IFERROR(INDEX(Schedule!$F$2:$F$147,MATCH("33-P01",Schedule!$A$2:$A$147,0)),"")</f>
        <v>45016</v>
      </c>
      <c r="W354" s="181" t="s">
        <v>91</v>
      </c>
      <c r="X354" s="181" t="s">
        <v>91</v>
      </c>
      <c r="Y354" s="181" t="n">
        <v>0</v>
      </c>
      <c r="Z354" s="181" t="n">
        <v>0</v>
      </c>
      <c r="AA354" s="181"/>
      <c r="AB354" s="181" t="s">
        <v>1561</v>
      </c>
      <c r="AC354" s="181" t="s">
        <v>92</v>
      </c>
      <c r="AD354" s="181" t="s">
        <v>93</v>
      </c>
      <c r="AE354" s="181" t="s">
        <v>1562</v>
      </c>
      <c r="AF354" s="181"/>
      <c r="AG354" s="181" t="s">
        <v>1562</v>
      </c>
      <c r="AH354" s="181" t="s">
        <v>213</v>
      </c>
    </row>
    <row r="355" customFormat="false" ht="15" hidden="false" customHeight="false" outlineLevel="0" collapsed="false">
      <c r="A355" s="181" t="s">
        <v>60</v>
      </c>
      <c r="B355" s="182" t="s">
        <v>43</v>
      </c>
      <c r="C355" s="181" t="s">
        <v>1563</v>
      </c>
      <c r="D355" s="181" t="s">
        <v>1564</v>
      </c>
      <c r="E355" s="181" t="s">
        <v>98</v>
      </c>
      <c r="F355" s="90" t="s">
        <v>234</v>
      </c>
      <c r="G355" s="181" t="s">
        <v>1337</v>
      </c>
      <c r="H355" s="183" t="n">
        <f aca="false">IFERROR(INDEX(Schedule!$E$2:$E$147,MATCH($G355,Schedule!$A$2:$A$147,0)),"")</f>
        <v>45017</v>
      </c>
      <c r="I355" s="183" t="n">
        <f aca="false">IFERROR(INDEX(Schedule!$F$2:$F$147,MATCH($G355,Schedule!$A$2:$A$147,0)),"")</f>
        <v>45231</v>
      </c>
      <c r="J355" s="92"/>
      <c r="K355" s="92"/>
      <c r="L355" s="92"/>
      <c r="M355" s="92"/>
      <c r="N355" s="92"/>
      <c r="O355" s="90" t="n">
        <v>1</v>
      </c>
      <c r="P355" s="184" t="n">
        <f aca="false">IFERROR((IF(OR(ISNUMBER(J355),UPPER(TRIM(J355))="N/A"),1,0)*IF($W355="N",0,INDEX('Rules of Credit'!$B$5:$F$8,MATCH($F355,'Rules of Credit'!$A$5:$A$8,0),1))+IF(OR(ISNUMBER(K355),UPPER(TRIM(K355))="N/A"),1,0)*INDEX('Rules of Credit'!$B$5:$F$8,MATCH($F355,'Rules of Credit'!$A$5:$A$8,0),2)+IF(OR(ISNUMBER(L355),UPPER(TRIM(L355))="N/A"),1,0)*INDEX('Rules of Credit'!$B$5:$F$8,MATCH($F355,'Rules of Credit'!$A$5:$A$8,0),3)+IF(OR(ISNUMBER(M355),UPPER(TRIM(M355))="N/A"),1,0)*IF($X355="N",0,INDEX('Rules of Credit'!$B$5:$F$8,MATCH($F355,'Rules of Credit'!$A$5:$A$8,0),4))+IF(OR(ISNUMBER(N355),UPPER(TRIM(N355))="N/A"),1,0)*INDEX('Rules of Credit'!$B$5:$F$8,MATCH($F355,'Rules of Credit'!$A$5:$A$8,0),5))/(IF($W355="N",0,INDEX('Rules of Credit'!$B$5:$F$8,MATCH($F355,'Rules of Credit'!$A$5:$A$8,0),1))+INDEX('Rules of Credit'!$B$5:$F$8,MATCH($F355,'Rules of Credit'!$A$5:$A$8,0),2)+INDEX('Rules of Credit'!$B$5:$F$8,MATCH($F355,'Rules of Credit'!$A$5:$A$8,0),3)+IF($X355="N",0,INDEX('Rules of Credit'!$B$5:$F$8,MATCH($F355,'Rules of Credit'!$A$5:$A$8,0),4))+INDEX('Rules of Credit'!$B$5:$F$8,MATCH($F355,'Rules of Credit'!$A$5:$A$8,0),5)),0)</f>
        <v>0</v>
      </c>
      <c r="Q355" s="184" t="n">
        <f aca="false">IF(OR($H355="",$I355=""),0,IF('Tracker Summary'!$C$3&lt;$H355,0,IF('Tracker Summary'!$C$3&gt;=$I355,1,('Tracker Summary'!$C$3-$H355)/($I355-$H355+1))))</f>
        <v>0</v>
      </c>
      <c r="R355" s="184" t="n">
        <f aca="false">P355-Q355</f>
        <v>0</v>
      </c>
      <c r="S355" s="181" t="str">
        <f aca="false">IF($I355="","Not scheduled",IF(P355&gt;=1,"Complete",IF('Tracker Summary'!$C$3&gt;$I355,"Overdue",IF(P355-Q355&lt;-0.1,"Behind",IF(AND(P355=0,'Tracker Summary'!$C$3&lt;$H355),"Not started","On track")))))</f>
        <v>Not started</v>
      </c>
      <c r="T355" s="90"/>
      <c r="U355" s="181" t="str">
        <f aca="false">IFERROR(INDEX(Schedule!$D$2:$D$147,MATCH($G355,Schedule!$A$2:$A$147,0)),"")</f>
        <v>Yard Piping &amp; Utilities — Yard piping, vaults and site utilities</v>
      </c>
      <c r="V355" s="183" t="n">
        <f aca="false">IFERROR(INDEX(Schedule!$F$2:$F$147,MATCH("33-P01",Schedule!$A$2:$A$147,0)),"")</f>
        <v>45016</v>
      </c>
      <c r="W355" s="181" t="s">
        <v>91</v>
      </c>
      <c r="X355" s="181" t="s">
        <v>91</v>
      </c>
      <c r="Y355" s="181" t="n">
        <v>0</v>
      </c>
      <c r="Z355" s="181" t="n">
        <v>0</v>
      </c>
      <c r="AA355" s="181"/>
      <c r="AB355" s="181" t="s">
        <v>1565</v>
      </c>
      <c r="AC355" s="181" t="s">
        <v>92</v>
      </c>
      <c r="AD355" s="181" t="s">
        <v>93</v>
      </c>
      <c r="AE355" s="181" t="s">
        <v>1562</v>
      </c>
      <c r="AF355" s="181"/>
      <c r="AG355" s="181" t="s">
        <v>1562</v>
      </c>
      <c r="AH355" s="181" t="s">
        <v>213</v>
      </c>
    </row>
    <row r="356" customFormat="false" ht="15" hidden="false" customHeight="false" outlineLevel="0" collapsed="false">
      <c r="A356" s="181" t="s">
        <v>60</v>
      </c>
      <c r="B356" s="182" t="s">
        <v>43</v>
      </c>
      <c r="C356" s="181" t="s">
        <v>1566</v>
      </c>
      <c r="D356" s="181" t="s">
        <v>1567</v>
      </c>
      <c r="E356" s="181" t="s">
        <v>98</v>
      </c>
      <c r="F356" s="90" t="s">
        <v>234</v>
      </c>
      <c r="G356" s="181" t="s">
        <v>1337</v>
      </c>
      <c r="H356" s="183" t="n">
        <f aca="false">IFERROR(INDEX(Schedule!$E$2:$E$147,MATCH($G356,Schedule!$A$2:$A$147,0)),"")</f>
        <v>45017</v>
      </c>
      <c r="I356" s="183" t="n">
        <f aca="false">IFERROR(INDEX(Schedule!$F$2:$F$147,MATCH($G356,Schedule!$A$2:$A$147,0)),"")</f>
        <v>45231</v>
      </c>
      <c r="J356" s="92"/>
      <c r="K356" s="92"/>
      <c r="L356" s="92"/>
      <c r="M356" s="92"/>
      <c r="N356" s="92"/>
      <c r="O356" s="90" t="n">
        <v>1</v>
      </c>
      <c r="P356" s="184" t="n">
        <f aca="false">IFERROR((IF(OR(ISNUMBER(J356),UPPER(TRIM(J356))="N/A"),1,0)*IF($W356="N",0,INDEX('Rules of Credit'!$B$5:$F$8,MATCH($F356,'Rules of Credit'!$A$5:$A$8,0),1))+IF(OR(ISNUMBER(K356),UPPER(TRIM(K356))="N/A"),1,0)*INDEX('Rules of Credit'!$B$5:$F$8,MATCH($F356,'Rules of Credit'!$A$5:$A$8,0),2)+IF(OR(ISNUMBER(L356),UPPER(TRIM(L356))="N/A"),1,0)*INDEX('Rules of Credit'!$B$5:$F$8,MATCH($F356,'Rules of Credit'!$A$5:$A$8,0),3)+IF(OR(ISNUMBER(M356),UPPER(TRIM(M356))="N/A"),1,0)*IF($X356="N",0,INDEX('Rules of Credit'!$B$5:$F$8,MATCH($F356,'Rules of Credit'!$A$5:$A$8,0),4))+IF(OR(ISNUMBER(N356),UPPER(TRIM(N356))="N/A"),1,0)*INDEX('Rules of Credit'!$B$5:$F$8,MATCH($F356,'Rules of Credit'!$A$5:$A$8,0),5))/(IF($W356="N",0,INDEX('Rules of Credit'!$B$5:$F$8,MATCH($F356,'Rules of Credit'!$A$5:$A$8,0),1))+INDEX('Rules of Credit'!$B$5:$F$8,MATCH($F356,'Rules of Credit'!$A$5:$A$8,0),2)+INDEX('Rules of Credit'!$B$5:$F$8,MATCH($F356,'Rules of Credit'!$A$5:$A$8,0),3)+IF($X356="N",0,INDEX('Rules of Credit'!$B$5:$F$8,MATCH($F356,'Rules of Credit'!$A$5:$A$8,0),4))+INDEX('Rules of Credit'!$B$5:$F$8,MATCH($F356,'Rules of Credit'!$A$5:$A$8,0),5)),0)</f>
        <v>0</v>
      </c>
      <c r="Q356" s="184" t="n">
        <f aca="false">IF(OR($H356="",$I356=""),0,IF('Tracker Summary'!$C$3&lt;$H356,0,IF('Tracker Summary'!$C$3&gt;=$I356,1,('Tracker Summary'!$C$3-$H356)/($I356-$H356+1))))</f>
        <v>0</v>
      </c>
      <c r="R356" s="184" t="n">
        <f aca="false">P356-Q356</f>
        <v>0</v>
      </c>
      <c r="S356" s="181" t="str">
        <f aca="false">IF($I356="","Not scheduled",IF(P356&gt;=1,"Complete",IF('Tracker Summary'!$C$3&gt;$I356,"Overdue",IF(P356-Q356&lt;-0.1,"Behind",IF(AND(P356=0,'Tracker Summary'!$C$3&lt;$H356),"Not started","On track")))))</f>
        <v>Not started</v>
      </c>
      <c r="T356" s="90"/>
      <c r="U356" s="181" t="str">
        <f aca="false">IFERROR(INDEX(Schedule!$D$2:$D$147,MATCH($G356,Schedule!$A$2:$A$147,0)),"")</f>
        <v>Yard Piping &amp; Utilities — Yard piping, vaults and site utilities</v>
      </c>
      <c r="V356" s="183" t="n">
        <f aca="false">IFERROR(INDEX(Schedule!$F$2:$F$147,MATCH("33-P01",Schedule!$A$2:$A$147,0)),"")</f>
        <v>45016</v>
      </c>
      <c r="W356" s="181" t="s">
        <v>91</v>
      </c>
      <c r="X356" s="181" t="s">
        <v>91</v>
      </c>
      <c r="Y356" s="181" t="n">
        <v>0</v>
      </c>
      <c r="Z356" s="181" t="n">
        <v>0</v>
      </c>
      <c r="AA356" s="181" t="s">
        <v>1568</v>
      </c>
      <c r="AB356" s="181" t="s">
        <v>1362</v>
      </c>
      <c r="AC356" s="181" t="s">
        <v>120</v>
      </c>
      <c r="AD356" s="181" t="s">
        <v>93</v>
      </c>
      <c r="AE356" s="181" t="s">
        <v>1569</v>
      </c>
      <c r="AF356" s="181"/>
      <c r="AG356" s="181" t="s">
        <v>1569</v>
      </c>
      <c r="AH356" s="181" t="s">
        <v>213</v>
      </c>
    </row>
    <row r="357" customFormat="false" ht="15" hidden="false" customHeight="false" outlineLevel="0" collapsed="false">
      <c r="A357" s="181" t="s">
        <v>60</v>
      </c>
      <c r="B357" s="182" t="s">
        <v>43</v>
      </c>
      <c r="C357" s="181" t="s">
        <v>1570</v>
      </c>
      <c r="D357" s="181" t="s">
        <v>1571</v>
      </c>
      <c r="E357" s="181" t="s">
        <v>98</v>
      </c>
      <c r="F357" s="90" t="s">
        <v>234</v>
      </c>
      <c r="G357" s="181" t="s">
        <v>1337</v>
      </c>
      <c r="H357" s="183" t="n">
        <f aca="false">IFERROR(INDEX(Schedule!$E$2:$E$147,MATCH($G357,Schedule!$A$2:$A$147,0)),"")</f>
        <v>45017</v>
      </c>
      <c r="I357" s="183" t="n">
        <f aca="false">IFERROR(INDEX(Schedule!$F$2:$F$147,MATCH($G357,Schedule!$A$2:$A$147,0)),"")</f>
        <v>45231</v>
      </c>
      <c r="J357" s="92"/>
      <c r="K357" s="92"/>
      <c r="L357" s="92"/>
      <c r="M357" s="92"/>
      <c r="N357" s="92"/>
      <c r="O357" s="90" t="n">
        <v>1</v>
      </c>
      <c r="P357" s="184" t="n">
        <f aca="false">IFERROR((IF(OR(ISNUMBER(J357),UPPER(TRIM(J357))="N/A"),1,0)*IF($W357="N",0,INDEX('Rules of Credit'!$B$5:$F$8,MATCH($F357,'Rules of Credit'!$A$5:$A$8,0),1))+IF(OR(ISNUMBER(K357),UPPER(TRIM(K357))="N/A"),1,0)*INDEX('Rules of Credit'!$B$5:$F$8,MATCH($F357,'Rules of Credit'!$A$5:$A$8,0),2)+IF(OR(ISNUMBER(L357),UPPER(TRIM(L357))="N/A"),1,0)*INDEX('Rules of Credit'!$B$5:$F$8,MATCH($F357,'Rules of Credit'!$A$5:$A$8,0),3)+IF(OR(ISNUMBER(M357),UPPER(TRIM(M357))="N/A"),1,0)*IF($X357="N",0,INDEX('Rules of Credit'!$B$5:$F$8,MATCH($F357,'Rules of Credit'!$A$5:$A$8,0),4))+IF(OR(ISNUMBER(N357),UPPER(TRIM(N357))="N/A"),1,0)*INDEX('Rules of Credit'!$B$5:$F$8,MATCH($F357,'Rules of Credit'!$A$5:$A$8,0),5))/(IF($W357="N",0,INDEX('Rules of Credit'!$B$5:$F$8,MATCH($F357,'Rules of Credit'!$A$5:$A$8,0),1))+INDEX('Rules of Credit'!$B$5:$F$8,MATCH($F357,'Rules of Credit'!$A$5:$A$8,0),2)+INDEX('Rules of Credit'!$B$5:$F$8,MATCH($F357,'Rules of Credit'!$A$5:$A$8,0),3)+IF($X357="N",0,INDEX('Rules of Credit'!$B$5:$F$8,MATCH($F357,'Rules of Credit'!$A$5:$A$8,0),4))+INDEX('Rules of Credit'!$B$5:$F$8,MATCH($F357,'Rules of Credit'!$A$5:$A$8,0),5)),0)</f>
        <v>0</v>
      </c>
      <c r="Q357" s="184" t="n">
        <f aca="false">IF(OR($H357="",$I357=""),0,IF('Tracker Summary'!$C$3&lt;$H357,0,IF('Tracker Summary'!$C$3&gt;=$I357,1,('Tracker Summary'!$C$3-$H357)/($I357-$H357+1))))</f>
        <v>0</v>
      </c>
      <c r="R357" s="184" t="n">
        <f aca="false">P357-Q357</f>
        <v>0</v>
      </c>
      <c r="S357" s="181" t="str">
        <f aca="false">IF($I357="","Not scheduled",IF(P357&gt;=1,"Complete",IF('Tracker Summary'!$C$3&gt;$I357,"Overdue",IF(P357-Q357&lt;-0.1,"Behind",IF(AND(P357=0,'Tracker Summary'!$C$3&lt;$H357),"Not started","On track")))))</f>
        <v>Not started</v>
      </c>
      <c r="T357" s="90"/>
      <c r="U357" s="181" t="str">
        <f aca="false">IFERROR(INDEX(Schedule!$D$2:$D$147,MATCH($G357,Schedule!$A$2:$A$147,0)),"")</f>
        <v>Yard Piping &amp; Utilities — Yard piping, vaults and site utilities</v>
      </c>
      <c r="V357" s="183" t="n">
        <f aca="false">IFERROR(INDEX(Schedule!$F$2:$F$147,MATCH("33-P01",Schedule!$A$2:$A$147,0)),"")</f>
        <v>45016</v>
      </c>
      <c r="W357" s="181" t="s">
        <v>91</v>
      </c>
      <c r="X357" s="181" t="s">
        <v>99</v>
      </c>
      <c r="Y357" s="181" t="n">
        <v>0</v>
      </c>
      <c r="Z357" s="181" t="n">
        <v>3</v>
      </c>
      <c r="AA357" s="181"/>
      <c r="AB357" s="181" t="s">
        <v>1572</v>
      </c>
      <c r="AC357" s="181" t="s">
        <v>92</v>
      </c>
      <c r="AD357" s="181" t="s">
        <v>93</v>
      </c>
      <c r="AE357" s="181"/>
      <c r="AF357" s="181" t="s">
        <v>1573</v>
      </c>
      <c r="AG357" s="181" t="s">
        <v>1573</v>
      </c>
      <c r="AH357" s="181" t="s">
        <v>109</v>
      </c>
    </row>
    <row r="358" customFormat="false" ht="15" hidden="false" customHeight="false" outlineLevel="0" collapsed="false">
      <c r="A358" s="181" t="s">
        <v>60</v>
      </c>
      <c r="B358" s="182" t="s">
        <v>43</v>
      </c>
      <c r="C358" s="181" t="s">
        <v>1574</v>
      </c>
      <c r="D358" s="181" t="s">
        <v>1575</v>
      </c>
      <c r="E358" s="181" t="s">
        <v>98</v>
      </c>
      <c r="F358" s="90" t="s">
        <v>234</v>
      </c>
      <c r="G358" s="181" t="s">
        <v>1337</v>
      </c>
      <c r="H358" s="183" t="n">
        <f aca="false">IFERROR(INDEX(Schedule!$E$2:$E$147,MATCH($G358,Schedule!$A$2:$A$147,0)),"")</f>
        <v>45017</v>
      </c>
      <c r="I358" s="183" t="n">
        <f aca="false">IFERROR(INDEX(Schedule!$F$2:$F$147,MATCH($G358,Schedule!$A$2:$A$147,0)),"")</f>
        <v>45231</v>
      </c>
      <c r="J358" s="92"/>
      <c r="K358" s="92"/>
      <c r="L358" s="92"/>
      <c r="M358" s="92"/>
      <c r="N358" s="92"/>
      <c r="O358" s="90" t="n">
        <v>1</v>
      </c>
      <c r="P358" s="184" t="n">
        <f aca="false">IFERROR((IF(OR(ISNUMBER(J358),UPPER(TRIM(J358))="N/A"),1,0)*IF($W358="N",0,INDEX('Rules of Credit'!$B$5:$F$8,MATCH($F358,'Rules of Credit'!$A$5:$A$8,0),1))+IF(OR(ISNUMBER(K358),UPPER(TRIM(K358))="N/A"),1,0)*INDEX('Rules of Credit'!$B$5:$F$8,MATCH($F358,'Rules of Credit'!$A$5:$A$8,0),2)+IF(OR(ISNUMBER(L358),UPPER(TRIM(L358))="N/A"),1,0)*INDEX('Rules of Credit'!$B$5:$F$8,MATCH($F358,'Rules of Credit'!$A$5:$A$8,0),3)+IF(OR(ISNUMBER(M358),UPPER(TRIM(M358))="N/A"),1,0)*IF($X358="N",0,INDEX('Rules of Credit'!$B$5:$F$8,MATCH($F358,'Rules of Credit'!$A$5:$A$8,0),4))+IF(OR(ISNUMBER(N358),UPPER(TRIM(N358))="N/A"),1,0)*INDEX('Rules of Credit'!$B$5:$F$8,MATCH($F358,'Rules of Credit'!$A$5:$A$8,0),5))/(IF($W358="N",0,INDEX('Rules of Credit'!$B$5:$F$8,MATCH($F358,'Rules of Credit'!$A$5:$A$8,0),1))+INDEX('Rules of Credit'!$B$5:$F$8,MATCH($F358,'Rules of Credit'!$A$5:$A$8,0),2)+INDEX('Rules of Credit'!$B$5:$F$8,MATCH($F358,'Rules of Credit'!$A$5:$A$8,0),3)+IF($X358="N",0,INDEX('Rules of Credit'!$B$5:$F$8,MATCH($F358,'Rules of Credit'!$A$5:$A$8,0),4))+INDEX('Rules of Credit'!$B$5:$F$8,MATCH($F358,'Rules of Credit'!$A$5:$A$8,0),5)),0)</f>
        <v>0</v>
      </c>
      <c r="Q358" s="184" t="n">
        <f aca="false">IF(OR($H358="",$I358=""),0,IF('Tracker Summary'!$C$3&lt;$H358,0,IF('Tracker Summary'!$C$3&gt;=$I358,1,('Tracker Summary'!$C$3-$H358)/($I358-$H358+1))))</f>
        <v>0</v>
      </c>
      <c r="R358" s="184" t="n">
        <f aca="false">P358-Q358</f>
        <v>0</v>
      </c>
      <c r="S358" s="181" t="str">
        <f aca="false">IF($I358="","Not scheduled",IF(P358&gt;=1,"Complete",IF('Tracker Summary'!$C$3&gt;$I358,"Overdue",IF(P358-Q358&lt;-0.1,"Behind",IF(AND(P358=0,'Tracker Summary'!$C$3&lt;$H358),"Not started","On track")))))</f>
        <v>Not started</v>
      </c>
      <c r="T358" s="90"/>
      <c r="U358" s="181" t="str">
        <f aca="false">IFERROR(INDEX(Schedule!$D$2:$D$147,MATCH($G358,Schedule!$A$2:$A$147,0)),"")</f>
        <v>Yard Piping &amp; Utilities — Yard piping, vaults and site utilities</v>
      </c>
      <c r="V358" s="183" t="n">
        <f aca="false">IFERROR(INDEX(Schedule!$F$2:$F$147,MATCH("33-P01",Schedule!$A$2:$A$147,0)),"")</f>
        <v>45016</v>
      </c>
      <c r="W358" s="181" t="s">
        <v>91</v>
      </c>
      <c r="X358" s="181" t="s">
        <v>99</v>
      </c>
      <c r="Y358" s="181" t="n">
        <v>0</v>
      </c>
      <c r="Z358" s="181" t="n">
        <v>5</v>
      </c>
      <c r="AA358" s="181"/>
      <c r="AB358" s="181" t="s">
        <v>307</v>
      </c>
      <c r="AC358" s="181" t="s">
        <v>92</v>
      </c>
      <c r="AD358" s="181" t="s">
        <v>93</v>
      </c>
      <c r="AE358" s="181"/>
      <c r="AF358" s="181" t="s">
        <v>1576</v>
      </c>
      <c r="AG358" s="181" t="s">
        <v>1576</v>
      </c>
      <c r="AH358" s="181" t="s">
        <v>109</v>
      </c>
    </row>
    <row r="359" customFormat="false" ht="15" hidden="false" customHeight="false" outlineLevel="0" collapsed="false">
      <c r="A359" s="181" t="s">
        <v>60</v>
      </c>
      <c r="B359" s="182" t="s">
        <v>43</v>
      </c>
      <c r="C359" s="181" t="s">
        <v>1577</v>
      </c>
      <c r="D359" s="181" t="s">
        <v>1578</v>
      </c>
      <c r="E359" s="181" t="s">
        <v>209</v>
      </c>
      <c r="F359" s="90" t="s">
        <v>234</v>
      </c>
      <c r="G359" s="181" t="s">
        <v>1579</v>
      </c>
      <c r="H359" s="183" t="n">
        <f aca="false">IFERROR(INDEX(Schedule!$E$2:$E$147,MATCH($G359,Schedule!$A$2:$A$147,0)),"")</f>
        <v>45078</v>
      </c>
      <c r="I359" s="183" t="n">
        <f aca="false">IFERROR(INDEX(Schedule!$F$2:$F$147,MATCH($G359,Schedule!$A$2:$A$147,0)),"")</f>
        <v>45224</v>
      </c>
      <c r="J359" s="92"/>
      <c r="K359" s="92"/>
      <c r="L359" s="92"/>
      <c r="M359" s="92"/>
      <c r="N359" s="92"/>
      <c r="O359" s="90" t="n">
        <v>1</v>
      </c>
      <c r="P359" s="184" t="n">
        <f aca="false">IFERROR((IF(OR(ISNUMBER(J359),UPPER(TRIM(J359))="N/A"),1,0)*IF($W359="N",0,INDEX('Rules of Credit'!$B$5:$F$8,MATCH($F359,'Rules of Credit'!$A$5:$A$8,0),1))+IF(OR(ISNUMBER(K359),UPPER(TRIM(K359))="N/A"),1,0)*INDEX('Rules of Credit'!$B$5:$F$8,MATCH($F359,'Rules of Credit'!$A$5:$A$8,0),2)+IF(OR(ISNUMBER(L359),UPPER(TRIM(L359))="N/A"),1,0)*INDEX('Rules of Credit'!$B$5:$F$8,MATCH($F359,'Rules of Credit'!$A$5:$A$8,0),3)+IF(OR(ISNUMBER(M359),UPPER(TRIM(M359))="N/A"),1,0)*IF($X359="N",0,INDEX('Rules of Credit'!$B$5:$F$8,MATCH($F359,'Rules of Credit'!$A$5:$A$8,0),4))+IF(OR(ISNUMBER(N359),UPPER(TRIM(N359))="N/A"),1,0)*INDEX('Rules of Credit'!$B$5:$F$8,MATCH($F359,'Rules of Credit'!$A$5:$A$8,0),5))/(IF($W359="N",0,INDEX('Rules of Credit'!$B$5:$F$8,MATCH($F359,'Rules of Credit'!$A$5:$A$8,0),1))+INDEX('Rules of Credit'!$B$5:$F$8,MATCH($F359,'Rules of Credit'!$A$5:$A$8,0),2)+INDEX('Rules of Credit'!$B$5:$F$8,MATCH($F359,'Rules of Credit'!$A$5:$A$8,0),3)+IF($X359="N",0,INDEX('Rules of Credit'!$B$5:$F$8,MATCH($F359,'Rules of Credit'!$A$5:$A$8,0),4))+INDEX('Rules of Credit'!$B$5:$F$8,MATCH($F359,'Rules of Credit'!$A$5:$A$8,0),5)),0)</f>
        <v>0</v>
      </c>
      <c r="Q359" s="184" t="n">
        <f aca="false">IF(OR($H359="",$I359=""),0,IF('Tracker Summary'!$C$3&lt;$H359,0,IF('Tracker Summary'!$C$3&gt;=$I359,1,('Tracker Summary'!$C$3-$H359)/($I359-$H359+1))))</f>
        <v>0</v>
      </c>
      <c r="R359" s="184" t="n">
        <f aca="false">P359-Q359</f>
        <v>0</v>
      </c>
      <c r="S359" s="181" t="str">
        <f aca="false">IF($I359="","Not scheduled",IF(P359&gt;=1,"Complete",IF('Tracker Summary'!$C$3&gt;$I359,"Overdue",IF(P359-Q359&lt;-0.1,"Behind",IF(AND(P359=0,'Tracker Summary'!$C$3&lt;$H359),"Not started","On track")))))</f>
        <v>Not started</v>
      </c>
      <c r="T359" s="90"/>
      <c r="U359" s="181" t="str">
        <f aca="false">IFERROR(INDEX(Schedule!$D$2:$D$147,MATCH($G359,Schedule!$A$2:$A$147,0)),"")</f>
        <v>Yard Piping &amp; Utilities — Influent pump station and flow splitter</v>
      </c>
      <c r="V359" s="183" t="n">
        <f aca="false">IFERROR(INDEX(Schedule!$F$2:$F$147,MATCH("33-P01",Schedule!$A$2:$A$147,0)),"")</f>
        <v>45016</v>
      </c>
      <c r="W359" s="181" t="s">
        <v>91</v>
      </c>
      <c r="X359" s="181" t="s">
        <v>91</v>
      </c>
      <c r="Y359" s="181" t="n">
        <v>0</v>
      </c>
      <c r="Z359" s="181" t="n">
        <v>0</v>
      </c>
      <c r="AA359" s="181" t="s">
        <v>1580</v>
      </c>
      <c r="AB359" s="181" t="s">
        <v>1581</v>
      </c>
      <c r="AC359" s="181" t="s">
        <v>92</v>
      </c>
      <c r="AD359" s="181" t="s">
        <v>93</v>
      </c>
      <c r="AE359" s="181" t="s">
        <v>1582</v>
      </c>
      <c r="AF359" s="181"/>
      <c r="AG359" s="181" t="s">
        <v>1582</v>
      </c>
      <c r="AH359" s="181" t="s">
        <v>213</v>
      </c>
    </row>
    <row r="360" customFormat="false" ht="15" hidden="false" customHeight="false" outlineLevel="0" collapsed="false">
      <c r="A360" s="181" t="s">
        <v>60</v>
      </c>
      <c r="B360" s="182" t="s">
        <v>43</v>
      </c>
      <c r="C360" s="181" t="s">
        <v>1583</v>
      </c>
      <c r="D360" s="181" t="s">
        <v>1584</v>
      </c>
      <c r="E360" s="181" t="s">
        <v>209</v>
      </c>
      <c r="F360" s="90" t="s">
        <v>234</v>
      </c>
      <c r="G360" s="181" t="s">
        <v>1579</v>
      </c>
      <c r="H360" s="183" t="n">
        <f aca="false">IFERROR(INDEX(Schedule!$E$2:$E$147,MATCH($G360,Schedule!$A$2:$A$147,0)),"")</f>
        <v>45078</v>
      </c>
      <c r="I360" s="183" t="n">
        <f aca="false">IFERROR(INDEX(Schedule!$F$2:$F$147,MATCH($G360,Schedule!$A$2:$A$147,0)),"")</f>
        <v>45224</v>
      </c>
      <c r="J360" s="92"/>
      <c r="K360" s="92"/>
      <c r="L360" s="92"/>
      <c r="M360" s="92"/>
      <c r="N360" s="92"/>
      <c r="O360" s="90" t="n">
        <v>1</v>
      </c>
      <c r="P360" s="184" t="n">
        <f aca="false">IFERROR((IF(OR(ISNUMBER(J360),UPPER(TRIM(J360))="N/A"),1,0)*IF($W360="N",0,INDEX('Rules of Credit'!$B$5:$F$8,MATCH($F360,'Rules of Credit'!$A$5:$A$8,0),1))+IF(OR(ISNUMBER(K360),UPPER(TRIM(K360))="N/A"),1,0)*INDEX('Rules of Credit'!$B$5:$F$8,MATCH($F360,'Rules of Credit'!$A$5:$A$8,0),2)+IF(OR(ISNUMBER(L360),UPPER(TRIM(L360))="N/A"),1,0)*INDEX('Rules of Credit'!$B$5:$F$8,MATCH($F360,'Rules of Credit'!$A$5:$A$8,0),3)+IF(OR(ISNUMBER(M360),UPPER(TRIM(M360))="N/A"),1,0)*IF($X360="N",0,INDEX('Rules of Credit'!$B$5:$F$8,MATCH($F360,'Rules of Credit'!$A$5:$A$8,0),4))+IF(OR(ISNUMBER(N360),UPPER(TRIM(N360))="N/A"),1,0)*INDEX('Rules of Credit'!$B$5:$F$8,MATCH($F360,'Rules of Credit'!$A$5:$A$8,0),5))/(IF($W360="N",0,INDEX('Rules of Credit'!$B$5:$F$8,MATCH($F360,'Rules of Credit'!$A$5:$A$8,0),1))+INDEX('Rules of Credit'!$B$5:$F$8,MATCH($F360,'Rules of Credit'!$A$5:$A$8,0),2)+INDEX('Rules of Credit'!$B$5:$F$8,MATCH($F360,'Rules of Credit'!$A$5:$A$8,0),3)+IF($X360="N",0,INDEX('Rules of Credit'!$B$5:$F$8,MATCH($F360,'Rules of Credit'!$A$5:$A$8,0),4))+INDEX('Rules of Credit'!$B$5:$F$8,MATCH($F360,'Rules of Credit'!$A$5:$A$8,0),5)),0)</f>
        <v>0</v>
      </c>
      <c r="Q360" s="184" t="n">
        <f aca="false">IF(OR($H360="",$I360=""),0,IF('Tracker Summary'!$C$3&lt;$H360,0,IF('Tracker Summary'!$C$3&gt;=$I360,1,('Tracker Summary'!$C$3-$H360)/($I360-$H360+1))))</f>
        <v>0</v>
      </c>
      <c r="R360" s="184" t="n">
        <f aca="false">P360-Q360</f>
        <v>0</v>
      </c>
      <c r="S360" s="181" t="str">
        <f aca="false">IF($I360="","Not scheduled",IF(P360&gt;=1,"Complete",IF('Tracker Summary'!$C$3&gt;$I360,"Overdue",IF(P360-Q360&lt;-0.1,"Behind",IF(AND(P360=0,'Tracker Summary'!$C$3&lt;$H360),"Not started","On track")))))</f>
        <v>Not started</v>
      </c>
      <c r="T360" s="90"/>
      <c r="U360" s="181" t="str">
        <f aca="false">IFERROR(INDEX(Schedule!$D$2:$D$147,MATCH($G360,Schedule!$A$2:$A$147,0)),"")</f>
        <v>Yard Piping &amp; Utilities — Influent pump station and flow splitter</v>
      </c>
      <c r="V360" s="183" t="n">
        <f aca="false">IFERROR(INDEX(Schedule!$F$2:$F$147,MATCH("33-P01",Schedule!$A$2:$A$147,0)),"")</f>
        <v>45016</v>
      </c>
      <c r="W360" s="181" t="s">
        <v>91</v>
      </c>
      <c r="X360" s="181" t="s">
        <v>91</v>
      </c>
      <c r="Y360" s="181" t="n">
        <v>0</v>
      </c>
      <c r="Z360" s="181" t="n">
        <v>0</v>
      </c>
      <c r="AA360" s="181" t="s">
        <v>1585</v>
      </c>
      <c r="AB360" s="181" t="s">
        <v>1586</v>
      </c>
      <c r="AC360" s="181" t="s">
        <v>92</v>
      </c>
      <c r="AD360" s="181" t="s">
        <v>93</v>
      </c>
      <c r="AE360" s="181" t="s">
        <v>1582</v>
      </c>
      <c r="AF360" s="181"/>
      <c r="AG360" s="181" t="s">
        <v>1582</v>
      </c>
      <c r="AH360" s="181" t="s">
        <v>213</v>
      </c>
    </row>
    <row r="361" customFormat="false" ht="15" hidden="false" customHeight="false" outlineLevel="0" collapsed="false">
      <c r="A361" s="181" t="s">
        <v>60</v>
      </c>
      <c r="B361" s="182" t="s">
        <v>43</v>
      </c>
      <c r="C361" s="181" t="s">
        <v>1587</v>
      </c>
      <c r="D361" s="181" t="s">
        <v>1588</v>
      </c>
      <c r="E361" s="181" t="s">
        <v>1589</v>
      </c>
      <c r="F361" s="90" t="s">
        <v>234</v>
      </c>
      <c r="G361" s="181" t="s">
        <v>1579</v>
      </c>
      <c r="H361" s="183" t="n">
        <f aca="false">IFERROR(INDEX(Schedule!$E$2:$E$147,MATCH($G361,Schedule!$A$2:$A$147,0)),"")</f>
        <v>45078</v>
      </c>
      <c r="I361" s="183" t="n">
        <f aca="false">IFERROR(INDEX(Schedule!$F$2:$F$147,MATCH($G361,Schedule!$A$2:$A$147,0)),"")</f>
        <v>45224</v>
      </c>
      <c r="J361" s="92"/>
      <c r="K361" s="92"/>
      <c r="L361" s="92"/>
      <c r="M361" s="92"/>
      <c r="N361" s="92"/>
      <c r="O361" s="90" t="n">
        <v>1</v>
      </c>
      <c r="P361" s="184" t="n">
        <f aca="false">IFERROR((IF(OR(ISNUMBER(J361),UPPER(TRIM(J361))="N/A"),1,0)*IF($W361="N",0,INDEX('Rules of Credit'!$B$5:$F$8,MATCH($F361,'Rules of Credit'!$A$5:$A$8,0),1))+IF(OR(ISNUMBER(K361),UPPER(TRIM(K361))="N/A"),1,0)*INDEX('Rules of Credit'!$B$5:$F$8,MATCH($F361,'Rules of Credit'!$A$5:$A$8,0),2)+IF(OR(ISNUMBER(L361),UPPER(TRIM(L361))="N/A"),1,0)*INDEX('Rules of Credit'!$B$5:$F$8,MATCH($F361,'Rules of Credit'!$A$5:$A$8,0),3)+IF(OR(ISNUMBER(M361),UPPER(TRIM(M361))="N/A"),1,0)*IF($X361="N",0,INDEX('Rules of Credit'!$B$5:$F$8,MATCH($F361,'Rules of Credit'!$A$5:$A$8,0),4))+IF(OR(ISNUMBER(N361),UPPER(TRIM(N361))="N/A"),1,0)*INDEX('Rules of Credit'!$B$5:$F$8,MATCH($F361,'Rules of Credit'!$A$5:$A$8,0),5))/(IF($W361="N",0,INDEX('Rules of Credit'!$B$5:$F$8,MATCH($F361,'Rules of Credit'!$A$5:$A$8,0),1))+INDEX('Rules of Credit'!$B$5:$F$8,MATCH($F361,'Rules of Credit'!$A$5:$A$8,0),2)+INDEX('Rules of Credit'!$B$5:$F$8,MATCH($F361,'Rules of Credit'!$A$5:$A$8,0),3)+IF($X361="N",0,INDEX('Rules of Credit'!$B$5:$F$8,MATCH($F361,'Rules of Credit'!$A$5:$A$8,0),4))+INDEX('Rules of Credit'!$B$5:$F$8,MATCH($F361,'Rules of Credit'!$A$5:$A$8,0),5)),0)</f>
        <v>0</v>
      </c>
      <c r="Q361" s="184" t="n">
        <f aca="false">IF(OR($H361="",$I361=""),0,IF('Tracker Summary'!$C$3&lt;$H361,0,IF('Tracker Summary'!$C$3&gt;=$I361,1,('Tracker Summary'!$C$3-$H361)/($I361-$H361+1))))</f>
        <v>0</v>
      </c>
      <c r="R361" s="184" t="n">
        <f aca="false">P361-Q361</f>
        <v>0</v>
      </c>
      <c r="S361" s="181" t="str">
        <f aca="false">IF($I361="","Not scheduled",IF(P361&gt;=1,"Complete",IF('Tracker Summary'!$C$3&gt;$I361,"Overdue",IF(P361-Q361&lt;-0.1,"Behind",IF(AND(P361=0,'Tracker Summary'!$C$3&lt;$H361),"Not started","On track")))))</f>
        <v>Not started</v>
      </c>
      <c r="T361" s="90"/>
      <c r="U361" s="181" t="str">
        <f aca="false">IFERROR(INDEX(Schedule!$D$2:$D$147,MATCH($G361,Schedule!$A$2:$A$147,0)),"")</f>
        <v>Yard Piping &amp; Utilities — Influent pump station and flow splitter</v>
      </c>
      <c r="V361" s="183" t="n">
        <f aca="false">IFERROR(INDEX(Schedule!$F$2:$F$147,MATCH("33-P01",Schedule!$A$2:$A$147,0)),"")</f>
        <v>45016</v>
      </c>
      <c r="W361" s="181" t="s">
        <v>91</v>
      </c>
      <c r="X361" s="181" t="s">
        <v>91</v>
      </c>
      <c r="Y361" s="181" t="n">
        <v>0</v>
      </c>
      <c r="Z361" s="181" t="n">
        <v>0</v>
      </c>
      <c r="AA361" s="181" t="s">
        <v>1590</v>
      </c>
      <c r="AB361" s="181" t="s">
        <v>1591</v>
      </c>
      <c r="AC361" s="181" t="s">
        <v>92</v>
      </c>
      <c r="AD361" s="181" t="s">
        <v>93</v>
      </c>
      <c r="AE361" s="181" t="s">
        <v>1592</v>
      </c>
      <c r="AF361" s="181"/>
      <c r="AG361" s="181" t="s">
        <v>1592</v>
      </c>
      <c r="AH361" s="181" t="s">
        <v>213</v>
      </c>
    </row>
    <row r="362" customFormat="false" ht="15" hidden="false" customHeight="false" outlineLevel="0" collapsed="false">
      <c r="A362" s="181" t="s">
        <v>60</v>
      </c>
      <c r="B362" s="182" t="s">
        <v>43</v>
      </c>
      <c r="C362" s="181" t="s">
        <v>1593</v>
      </c>
      <c r="D362" s="181" t="s">
        <v>1594</v>
      </c>
      <c r="E362" s="181" t="s">
        <v>334</v>
      </c>
      <c r="F362" s="90" t="s">
        <v>234</v>
      </c>
      <c r="G362" s="181" t="s">
        <v>1579</v>
      </c>
      <c r="H362" s="183" t="n">
        <f aca="false">IFERROR(INDEX(Schedule!$E$2:$E$147,MATCH($G362,Schedule!$A$2:$A$147,0)),"")</f>
        <v>45078</v>
      </c>
      <c r="I362" s="183" t="n">
        <f aca="false">IFERROR(INDEX(Schedule!$F$2:$F$147,MATCH($G362,Schedule!$A$2:$A$147,0)),"")</f>
        <v>45224</v>
      </c>
      <c r="J362" s="92"/>
      <c r="K362" s="92"/>
      <c r="L362" s="92"/>
      <c r="M362" s="92"/>
      <c r="N362" s="92"/>
      <c r="O362" s="90" t="n">
        <v>1</v>
      </c>
      <c r="P362" s="184" t="n">
        <f aca="false">IFERROR((IF(OR(ISNUMBER(J362),UPPER(TRIM(J362))="N/A"),1,0)*IF($W362="N",0,INDEX('Rules of Credit'!$B$5:$F$8,MATCH($F362,'Rules of Credit'!$A$5:$A$8,0),1))+IF(OR(ISNUMBER(K362),UPPER(TRIM(K362))="N/A"),1,0)*INDEX('Rules of Credit'!$B$5:$F$8,MATCH($F362,'Rules of Credit'!$A$5:$A$8,0),2)+IF(OR(ISNUMBER(L362),UPPER(TRIM(L362))="N/A"),1,0)*INDEX('Rules of Credit'!$B$5:$F$8,MATCH($F362,'Rules of Credit'!$A$5:$A$8,0),3)+IF(OR(ISNUMBER(M362),UPPER(TRIM(M362))="N/A"),1,0)*IF($X362="N",0,INDEX('Rules of Credit'!$B$5:$F$8,MATCH($F362,'Rules of Credit'!$A$5:$A$8,0),4))+IF(OR(ISNUMBER(N362),UPPER(TRIM(N362))="N/A"),1,0)*INDEX('Rules of Credit'!$B$5:$F$8,MATCH($F362,'Rules of Credit'!$A$5:$A$8,0),5))/(IF($W362="N",0,INDEX('Rules of Credit'!$B$5:$F$8,MATCH($F362,'Rules of Credit'!$A$5:$A$8,0),1))+INDEX('Rules of Credit'!$B$5:$F$8,MATCH($F362,'Rules of Credit'!$A$5:$A$8,0),2)+INDEX('Rules of Credit'!$B$5:$F$8,MATCH($F362,'Rules of Credit'!$A$5:$A$8,0),3)+IF($X362="N",0,INDEX('Rules of Credit'!$B$5:$F$8,MATCH($F362,'Rules of Credit'!$A$5:$A$8,0),4))+INDEX('Rules of Credit'!$B$5:$F$8,MATCH($F362,'Rules of Credit'!$A$5:$A$8,0),5)),0)</f>
        <v>0</v>
      </c>
      <c r="Q362" s="184" t="n">
        <f aca="false">IF(OR($H362="",$I362=""),0,IF('Tracker Summary'!$C$3&lt;$H362,0,IF('Tracker Summary'!$C$3&gt;=$I362,1,('Tracker Summary'!$C$3-$H362)/($I362-$H362+1))))</f>
        <v>0</v>
      </c>
      <c r="R362" s="184" t="n">
        <f aca="false">P362-Q362</f>
        <v>0</v>
      </c>
      <c r="S362" s="181" t="str">
        <f aca="false">IF($I362="","Not scheduled",IF(P362&gt;=1,"Complete",IF('Tracker Summary'!$C$3&gt;$I362,"Overdue",IF(P362-Q362&lt;-0.1,"Behind",IF(AND(P362=0,'Tracker Summary'!$C$3&lt;$H362),"Not started","On track")))))</f>
        <v>Not started</v>
      </c>
      <c r="T362" s="90"/>
      <c r="U362" s="181" t="str">
        <f aca="false">IFERROR(INDEX(Schedule!$D$2:$D$147,MATCH($G362,Schedule!$A$2:$A$147,0)),"")</f>
        <v>Yard Piping &amp; Utilities — Influent pump station and flow splitter</v>
      </c>
      <c r="V362" s="183" t="n">
        <f aca="false">IFERROR(INDEX(Schedule!$F$2:$F$147,MATCH("33-P01",Schedule!$A$2:$A$147,0)),"")</f>
        <v>45016</v>
      </c>
      <c r="W362" s="181" t="s">
        <v>91</v>
      </c>
      <c r="X362" s="181" t="s">
        <v>91</v>
      </c>
      <c r="Y362" s="181" t="n">
        <v>0</v>
      </c>
      <c r="Z362" s="181" t="n">
        <v>0</v>
      </c>
      <c r="AA362" s="181" t="s">
        <v>1595</v>
      </c>
      <c r="AB362" s="181" t="s">
        <v>1354</v>
      </c>
      <c r="AC362" s="181" t="s">
        <v>92</v>
      </c>
      <c r="AD362" s="181" t="s">
        <v>93</v>
      </c>
      <c r="AE362" s="181" t="s">
        <v>1596</v>
      </c>
      <c r="AF362" s="181"/>
      <c r="AG362" s="181" t="s">
        <v>1596</v>
      </c>
      <c r="AH362" s="181" t="s">
        <v>213</v>
      </c>
    </row>
    <row r="363" customFormat="false" ht="15" hidden="false" customHeight="false" outlineLevel="0" collapsed="false">
      <c r="A363" s="181" t="s">
        <v>60</v>
      </c>
      <c r="B363" s="182" t="s">
        <v>43</v>
      </c>
      <c r="C363" s="181" t="s">
        <v>1597</v>
      </c>
      <c r="D363" s="181" t="s">
        <v>1598</v>
      </c>
      <c r="E363" s="181" t="s">
        <v>1599</v>
      </c>
      <c r="F363" s="90" t="s">
        <v>234</v>
      </c>
      <c r="G363" s="181" t="s">
        <v>1600</v>
      </c>
      <c r="H363" s="183" t="n">
        <f aca="false">IFERROR(INDEX(Schedule!$E$2:$E$147,MATCH($G363,Schedule!$A$2:$A$147,0)),"")</f>
        <v>45139</v>
      </c>
      <c r="I363" s="183" t="n">
        <f aca="false">IFERROR(INDEX(Schedule!$F$2:$F$147,MATCH($G363,Schedule!$A$2:$A$147,0)),"")</f>
        <v>45481</v>
      </c>
      <c r="J363" s="92"/>
      <c r="K363" s="92"/>
      <c r="L363" s="92"/>
      <c r="M363" s="92"/>
      <c r="N363" s="92"/>
      <c r="O363" s="90" t="n">
        <v>1</v>
      </c>
      <c r="P363" s="184" t="n">
        <f aca="false">IFERROR((IF(OR(ISNUMBER(J363),UPPER(TRIM(J363))="N/A"),1,0)*IF($W363="N",0,INDEX('Rules of Credit'!$B$5:$F$8,MATCH($F363,'Rules of Credit'!$A$5:$A$8,0),1))+IF(OR(ISNUMBER(K363),UPPER(TRIM(K363))="N/A"),1,0)*INDEX('Rules of Credit'!$B$5:$F$8,MATCH($F363,'Rules of Credit'!$A$5:$A$8,0),2)+IF(OR(ISNUMBER(L363),UPPER(TRIM(L363))="N/A"),1,0)*INDEX('Rules of Credit'!$B$5:$F$8,MATCH($F363,'Rules of Credit'!$A$5:$A$8,0),3)+IF(OR(ISNUMBER(M363),UPPER(TRIM(M363))="N/A"),1,0)*IF($X363="N",0,INDEX('Rules of Credit'!$B$5:$F$8,MATCH($F363,'Rules of Credit'!$A$5:$A$8,0),4))+IF(OR(ISNUMBER(N363),UPPER(TRIM(N363))="N/A"),1,0)*INDEX('Rules of Credit'!$B$5:$F$8,MATCH($F363,'Rules of Credit'!$A$5:$A$8,0),5))/(IF($W363="N",0,INDEX('Rules of Credit'!$B$5:$F$8,MATCH($F363,'Rules of Credit'!$A$5:$A$8,0),1))+INDEX('Rules of Credit'!$B$5:$F$8,MATCH($F363,'Rules of Credit'!$A$5:$A$8,0),2)+INDEX('Rules of Credit'!$B$5:$F$8,MATCH($F363,'Rules of Credit'!$A$5:$A$8,0),3)+IF($X363="N",0,INDEX('Rules of Credit'!$B$5:$F$8,MATCH($F363,'Rules of Credit'!$A$5:$A$8,0),4))+INDEX('Rules of Credit'!$B$5:$F$8,MATCH($F363,'Rules of Credit'!$A$5:$A$8,0),5)),0)</f>
        <v>0</v>
      </c>
      <c r="Q363" s="184" t="n">
        <f aca="false">IF(OR($H363="",$I363=""),0,IF('Tracker Summary'!$C$3&lt;$H363,0,IF('Tracker Summary'!$C$3&gt;=$I363,1,('Tracker Summary'!$C$3-$H363)/($I363-$H363+1))))</f>
        <v>0</v>
      </c>
      <c r="R363" s="184" t="n">
        <f aca="false">P363-Q363</f>
        <v>0</v>
      </c>
      <c r="S363" s="181" t="str">
        <f aca="false">IF($I363="","Not scheduled",IF(P363&gt;=1,"Complete",IF('Tracker Summary'!$C$3&gt;$I363,"Overdue",IF(P363-Q363&lt;-0.1,"Behind",IF(AND(P363=0,'Tracker Summary'!$C$3&lt;$H363),"Not started","On track")))))</f>
        <v>Not started</v>
      </c>
      <c r="T363" s="90"/>
      <c r="U363" s="181" t="str">
        <f aca="false">IFERROR(INDEX(Schedule!$D$2:$D$147,MATCH($G363,Schedule!$A$2:$A$147,0)),"")</f>
        <v>Yard Piping &amp; Utilities — Train 3</v>
      </c>
      <c r="V363" s="183" t="n">
        <f aca="false">IFERROR(INDEX(Schedule!$F$2:$F$147,MATCH("33-P01",Schedule!$A$2:$A$147,0)),"")</f>
        <v>45016</v>
      </c>
      <c r="W363" s="181" t="s">
        <v>91</v>
      </c>
      <c r="X363" s="181" t="s">
        <v>91</v>
      </c>
      <c r="Y363" s="181" t="n">
        <v>0</v>
      </c>
      <c r="Z363" s="181" t="n">
        <v>0</v>
      </c>
      <c r="AA363" s="181"/>
      <c r="AB363" s="181"/>
      <c r="AC363" s="181" t="s">
        <v>92</v>
      </c>
      <c r="AD363" s="181" t="s">
        <v>93</v>
      </c>
      <c r="AE363" s="181" t="s">
        <v>1601</v>
      </c>
      <c r="AF363" s="181" t="s">
        <v>1602</v>
      </c>
      <c r="AG363" s="181" t="s">
        <v>1603</v>
      </c>
      <c r="AH363" s="181" t="s">
        <v>95</v>
      </c>
    </row>
    <row r="364" customFormat="false" ht="15" hidden="false" customHeight="false" outlineLevel="0" collapsed="false">
      <c r="A364" s="181" t="s">
        <v>60</v>
      </c>
      <c r="B364" s="182" t="s">
        <v>43</v>
      </c>
      <c r="C364" s="181" t="s">
        <v>1604</v>
      </c>
      <c r="D364" s="181" t="s">
        <v>1605</v>
      </c>
      <c r="E364" s="181" t="s">
        <v>376</v>
      </c>
      <c r="F364" s="90" t="s">
        <v>234</v>
      </c>
      <c r="G364" s="181" t="s">
        <v>1600</v>
      </c>
      <c r="H364" s="183" t="n">
        <f aca="false">IFERROR(INDEX(Schedule!$E$2:$E$147,MATCH($G364,Schedule!$A$2:$A$147,0)),"")</f>
        <v>45139</v>
      </c>
      <c r="I364" s="183" t="n">
        <f aca="false">IFERROR(INDEX(Schedule!$F$2:$F$147,MATCH($G364,Schedule!$A$2:$A$147,0)),"")</f>
        <v>45481</v>
      </c>
      <c r="J364" s="92"/>
      <c r="K364" s="92"/>
      <c r="L364" s="92"/>
      <c r="M364" s="92"/>
      <c r="N364" s="92"/>
      <c r="O364" s="90" t="n">
        <v>1</v>
      </c>
      <c r="P364" s="184" t="n">
        <f aca="false">IFERROR((IF(OR(ISNUMBER(J364),UPPER(TRIM(J364))="N/A"),1,0)*IF($W364="N",0,INDEX('Rules of Credit'!$B$5:$F$8,MATCH($F364,'Rules of Credit'!$A$5:$A$8,0),1))+IF(OR(ISNUMBER(K364),UPPER(TRIM(K364))="N/A"),1,0)*INDEX('Rules of Credit'!$B$5:$F$8,MATCH($F364,'Rules of Credit'!$A$5:$A$8,0),2)+IF(OR(ISNUMBER(L364),UPPER(TRIM(L364))="N/A"),1,0)*INDEX('Rules of Credit'!$B$5:$F$8,MATCH($F364,'Rules of Credit'!$A$5:$A$8,0),3)+IF(OR(ISNUMBER(M364),UPPER(TRIM(M364))="N/A"),1,0)*IF($X364="N",0,INDEX('Rules of Credit'!$B$5:$F$8,MATCH($F364,'Rules of Credit'!$A$5:$A$8,0),4))+IF(OR(ISNUMBER(N364),UPPER(TRIM(N364))="N/A"),1,0)*INDEX('Rules of Credit'!$B$5:$F$8,MATCH($F364,'Rules of Credit'!$A$5:$A$8,0),5))/(IF($W364="N",0,INDEX('Rules of Credit'!$B$5:$F$8,MATCH($F364,'Rules of Credit'!$A$5:$A$8,0),1))+INDEX('Rules of Credit'!$B$5:$F$8,MATCH($F364,'Rules of Credit'!$A$5:$A$8,0),2)+INDEX('Rules of Credit'!$B$5:$F$8,MATCH($F364,'Rules of Credit'!$A$5:$A$8,0),3)+IF($X364="N",0,INDEX('Rules of Credit'!$B$5:$F$8,MATCH($F364,'Rules of Credit'!$A$5:$A$8,0),4))+INDEX('Rules of Credit'!$B$5:$F$8,MATCH($F364,'Rules of Credit'!$A$5:$A$8,0),5)),0)</f>
        <v>0</v>
      </c>
      <c r="Q364" s="184" t="n">
        <f aca="false">IF(OR($H364="",$I364=""),0,IF('Tracker Summary'!$C$3&lt;$H364,0,IF('Tracker Summary'!$C$3&gt;=$I364,1,('Tracker Summary'!$C$3-$H364)/($I364-$H364+1))))</f>
        <v>0</v>
      </c>
      <c r="R364" s="184" t="n">
        <f aca="false">P364-Q364</f>
        <v>0</v>
      </c>
      <c r="S364" s="181" t="str">
        <f aca="false">IF($I364="","Not scheduled",IF(P364&gt;=1,"Complete",IF('Tracker Summary'!$C$3&gt;$I364,"Overdue",IF(P364-Q364&lt;-0.1,"Behind",IF(AND(P364=0,'Tracker Summary'!$C$3&lt;$H364),"Not started","On track")))))</f>
        <v>Not started</v>
      </c>
      <c r="T364" s="90"/>
      <c r="U364" s="181" t="str">
        <f aca="false">IFERROR(INDEX(Schedule!$D$2:$D$147,MATCH($G364,Schedule!$A$2:$A$147,0)),"")</f>
        <v>Yard Piping &amp; Utilities — Train 3</v>
      </c>
      <c r="V364" s="183" t="n">
        <f aca="false">IFERROR(INDEX(Schedule!$F$2:$F$147,MATCH("33-P01",Schedule!$A$2:$A$147,0)),"")</f>
        <v>45016</v>
      </c>
      <c r="W364" s="181" t="s">
        <v>91</v>
      </c>
      <c r="X364" s="181" t="s">
        <v>91</v>
      </c>
      <c r="Y364" s="181" t="n">
        <v>0</v>
      </c>
      <c r="Z364" s="181" t="n">
        <v>0</v>
      </c>
      <c r="AA364" s="181" t="s">
        <v>1606</v>
      </c>
      <c r="AB364" s="181" t="s">
        <v>1411</v>
      </c>
      <c r="AC364" s="181" t="s">
        <v>92</v>
      </c>
      <c r="AD364" s="181" t="s">
        <v>93</v>
      </c>
      <c r="AE364" s="181" t="s">
        <v>1607</v>
      </c>
      <c r="AF364" s="181"/>
      <c r="AG364" s="181" t="s">
        <v>1607</v>
      </c>
      <c r="AH364" s="181" t="s">
        <v>213</v>
      </c>
    </row>
    <row r="365" customFormat="false" ht="15" hidden="false" customHeight="false" outlineLevel="0" collapsed="false">
      <c r="A365" s="185" t="s">
        <v>85</v>
      </c>
      <c r="B365" s="185" t="s">
        <v>45</v>
      </c>
      <c r="C365" s="185" t="s">
        <v>46</v>
      </c>
      <c r="D365" s="185" t="str">
        <f aca="false">COUNTIF(A366:A366,"Item")&amp;" items · "&amp;COUNTIF(S366:S366,"Overdue")&amp;" overdue · "&amp;COUNTIF(S366:S366,"Complete")&amp;" complete"</f>
        <v>1 items · 0 overdue · 0 complete</v>
      </c>
      <c r="E365" s="185"/>
      <c r="F365" s="185"/>
      <c r="G365" s="185"/>
      <c r="H365" s="186" t="n">
        <f aca="false">MIN(H366:H366)</f>
        <v>45017</v>
      </c>
      <c r="I365" s="186" t="n">
        <f aca="false">MAX(I366:I366)</f>
        <v>45231</v>
      </c>
      <c r="J365" s="186"/>
      <c r="K365" s="186"/>
      <c r="L365" s="186"/>
      <c r="M365" s="186"/>
      <c r="N365" s="186"/>
      <c r="O365" s="185" t="n">
        <f aca="false">SUM(O366:O366)</f>
        <v>1</v>
      </c>
      <c r="P365" s="187" t="n">
        <f aca="false">IFERROR(SUMPRODUCT(O366:O366,P366:P366)/SUM(O366:O366),0)</f>
        <v>0</v>
      </c>
      <c r="Q365" s="187" t="n">
        <f aca="false">IFERROR(SUMPRODUCT(O366:O366,Q366:Q366)/SUM(O366:O366),0)</f>
        <v>0</v>
      </c>
      <c r="R365" s="187" t="n">
        <f aca="false">P365-Q365</f>
        <v>0</v>
      </c>
      <c r="S365" s="185"/>
      <c r="T365" s="185"/>
      <c r="U365" s="185"/>
      <c r="V365" s="186"/>
      <c r="W365" s="185"/>
      <c r="X365" s="185"/>
      <c r="Y365" s="185"/>
      <c r="Z365" s="185"/>
      <c r="AA365" s="185"/>
      <c r="AB365" s="185"/>
      <c r="AC365" s="185"/>
      <c r="AD365" s="185"/>
      <c r="AE365" s="185"/>
      <c r="AF365" s="185"/>
      <c r="AG365" s="185"/>
      <c r="AH365" s="185"/>
    </row>
    <row r="366" customFormat="false" ht="15" hidden="false" customHeight="false" outlineLevel="0" collapsed="false">
      <c r="A366" s="188" t="s">
        <v>60</v>
      </c>
      <c r="B366" s="189" t="s">
        <v>45</v>
      </c>
      <c r="C366" s="188" t="s">
        <v>1608</v>
      </c>
      <c r="D366" s="188" t="s">
        <v>1609</v>
      </c>
      <c r="E366" s="188" t="s">
        <v>256</v>
      </c>
      <c r="F366" s="90" t="s">
        <v>234</v>
      </c>
      <c r="G366" s="188" t="s">
        <v>1610</v>
      </c>
      <c r="H366" s="190" t="n">
        <f aca="false">IFERROR(INDEX(Schedule!$E$2:$E$147,MATCH($G366,Schedule!$A$2:$A$147,0)),"")</f>
        <v>45017</v>
      </c>
      <c r="I366" s="190" t="n">
        <f aca="false">IFERROR(INDEX(Schedule!$F$2:$F$147,MATCH($G366,Schedule!$A$2:$A$147,0)),"")</f>
        <v>45231</v>
      </c>
      <c r="J366" s="92"/>
      <c r="K366" s="92"/>
      <c r="L366" s="92"/>
      <c r="M366" s="92"/>
      <c r="N366" s="92"/>
      <c r="O366" s="90" t="n">
        <v>1</v>
      </c>
      <c r="P366" s="191" t="n">
        <f aca="false">IFERROR((IF(OR(ISNUMBER(J366),UPPER(TRIM(J366))="N/A"),1,0)*IF($W366="N",0,INDEX('Rules of Credit'!$B$5:$F$8,MATCH($F366,'Rules of Credit'!$A$5:$A$8,0),1))+IF(OR(ISNUMBER(K366),UPPER(TRIM(K366))="N/A"),1,0)*INDEX('Rules of Credit'!$B$5:$F$8,MATCH($F366,'Rules of Credit'!$A$5:$A$8,0),2)+IF(OR(ISNUMBER(L366),UPPER(TRIM(L366))="N/A"),1,0)*INDEX('Rules of Credit'!$B$5:$F$8,MATCH($F366,'Rules of Credit'!$A$5:$A$8,0),3)+IF(OR(ISNUMBER(M366),UPPER(TRIM(M366))="N/A"),1,0)*IF($X366="N",0,INDEX('Rules of Credit'!$B$5:$F$8,MATCH($F366,'Rules of Credit'!$A$5:$A$8,0),4))+IF(OR(ISNUMBER(N366),UPPER(TRIM(N366))="N/A"),1,0)*INDEX('Rules of Credit'!$B$5:$F$8,MATCH($F366,'Rules of Credit'!$A$5:$A$8,0),5))/(IF($W366="N",0,INDEX('Rules of Credit'!$B$5:$F$8,MATCH($F366,'Rules of Credit'!$A$5:$A$8,0),1))+INDEX('Rules of Credit'!$B$5:$F$8,MATCH($F366,'Rules of Credit'!$A$5:$A$8,0),2)+INDEX('Rules of Credit'!$B$5:$F$8,MATCH($F366,'Rules of Credit'!$A$5:$A$8,0),3)+IF($X366="N",0,INDEX('Rules of Credit'!$B$5:$F$8,MATCH($F366,'Rules of Credit'!$A$5:$A$8,0),4))+INDEX('Rules of Credit'!$B$5:$F$8,MATCH($F366,'Rules of Credit'!$A$5:$A$8,0),5)),0)</f>
        <v>0</v>
      </c>
      <c r="Q366" s="191" t="n">
        <f aca="false">IF(OR($H366="",$I366=""),0,IF('Tracker Summary'!$C$3&lt;$H366,0,IF('Tracker Summary'!$C$3&gt;=$I366,1,('Tracker Summary'!$C$3-$H366)/($I366-$H366+1))))</f>
        <v>0</v>
      </c>
      <c r="R366" s="191" t="n">
        <f aca="false">P366-Q366</f>
        <v>0</v>
      </c>
      <c r="S366" s="188" t="str">
        <f aca="false">IF($I366="","Not scheduled",IF(P366&gt;=1,"Complete",IF('Tracker Summary'!$C$3&gt;$I366,"Overdue",IF(P366-Q366&lt;-0.1,"Behind",IF(AND(P366=0,'Tracker Summary'!$C$3&lt;$H366),"Not started","On track")))))</f>
        <v>Not started</v>
      </c>
      <c r="T366" s="90"/>
      <c r="U366" s="188" t="str">
        <f aca="false">IFERROR(INDEX(Schedule!$D$2:$D$147,MATCH($G366,Schedule!$A$2:$A$147,0)),"")</f>
        <v>Process Interconnections — UV chamber and digester</v>
      </c>
      <c r="V366" s="190" t="n">
        <f aca="false">IFERROR(INDEX(Schedule!$F$2:$F$147,MATCH("40-P01",Schedule!$A$2:$A$147,0)),"")</f>
        <v>45016</v>
      </c>
      <c r="W366" s="188" t="s">
        <v>99</v>
      </c>
      <c r="X366" s="188" t="s">
        <v>91</v>
      </c>
      <c r="Y366" s="188" t="n">
        <v>4</v>
      </c>
      <c r="Z366" s="188" t="n">
        <v>0</v>
      </c>
      <c r="AA366" s="188"/>
      <c r="AB366" s="188"/>
      <c r="AC366" s="188" t="s">
        <v>92</v>
      </c>
      <c r="AD366" s="188" t="s">
        <v>93</v>
      </c>
      <c r="AE366" s="188" t="s">
        <v>1611</v>
      </c>
      <c r="AF366" s="188" t="s">
        <v>1612</v>
      </c>
      <c r="AG366" s="188" t="s">
        <v>1613</v>
      </c>
      <c r="AH366" s="188" t="s">
        <v>213</v>
      </c>
    </row>
    <row r="367" customFormat="false" ht="15" hidden="false" customHeight="false" outlineLevel="0" collapsed="false">
      <c r="A367" s="192" t="s">
        <v>85</v>
      </c>
      <c r="B367" s="192" t="s">
        <v>47</v>
      </c>
      <c r="C367" s="192" t="s">
        <v>48</v>
      </c>
      <c r="D367" s="192" t="str">
        <f aca="false">COUNTIF(A368:A369,"Item")&amp;" items · "&amp;COUNTIF(S368:S369,"Overdue")&amp;" overdue · "&amp;COUNTIF(S368:S369,"Complete")&amp;" complete"</f>
        <v>2 items · 0 overdue · 0 complete</v>
      </c>
      <c r="E367" s="192"/>
      <c r="F367" s="192"/>
      <c r="G367" s="192"/>
      <c r="H367" s="193" t="n">
        <f aca="false">MIN(H368:H369)</f>
        <v>45231</v>
      </c>
      <c r="I367" s="193" t="n">
        <f aca="false">MAX(I368:I369)</f>
        <v>45331</v>
      </c>
      <c r="J367" s="193"/>
      <c r="K367" s="193"/>
      <c r="L367" s="193"/>
      <c r="M367" s="193"/>
      <c r="N367" s="193"/>
      <c r="O367" s="192" t="n">
        <f aca="false">SUM(O368:O369)</f>
        <v>2</v>
      </c>
      <c r="P367" s="194" t="n">
        <f aca="false">IFERROR(SUMPRODUCT(O368:O369,P368:P369)/SUM(O368:O369),0)</f>
        <v>0</v>
      </c>
      <c r="Q367" s="194" t="n">
        <f aca="false">IFERROR(SUMPRODUCT(O368:O369,Q368:Q369)/SUM(O368:O369),0)</f>
        <v>0</v>
      </c>
      <c r="R367" s="194" t="n">
        <f aca="false">P367-Q367</f>
        <v>0</v>
      </c>
      <c r="S367" s="192"/>
      <c r="T367" s="192"/>
      <c r="U367" s="192"/>
      <c r="V367" s="193"/>
      <c r="W367" s="192"/>
      <c r="X367" s="192"/>
      <c r="Y367" s="192"/>
      <c r="Z367" s="192"/>
      <c r="AA367" s="192"/>
      <c r="AB367" s="192"/>
      <c r="AC367" s="192"/>
      <c r="AD367" s="192"/>
      <c r="AE367" s="192"/>
      <c r="AF367" s="192"/>
      <c r="AG367" s="192"/>
      <c r="AH367" s="192"/>
    </row>
    <row r="368" customFormat="false" ht="15" hidden="false" customHeight="false" outlineLevel="0" collapsed="false">
      <c r="A368" s="195" t="s">
        <v>60</v>
      </c>
      <c r="B368" s="196" t="s">
        <v>47</v>
      </c>
      <c r="C368" s="195" t="s">
        <v>1614</v>
      </c>
      <c r="D368" s="195" t="s">
        <v>1615</v>
      </c>
      <c r="E368" s="195" t="s">
        <v>1616</v>
      </c>
      <c r="F368" s="90" t="s">
        <v>234</v>
      </c>
      <c r="G368" s="195" t="s">
        <v>1617</v>
      </c>
      <c r="H368" s="197" t="n">
        <f aca="false">IFERROR(INDEX(Schedule!$E$2:$E$147,MATCH($G368,Schedule!$A$2:$A$147,0)),"")</f>
        <v>45231</v>
      </c>
      <c r="I368" s="197" t="n">
        <f aca="false">IFERROR(INDEX(Schedule!$F$2:$F$147,MATCH($G368,Schedule!$A$2:$A$147,0)),"")</f>
        <v>45331</v>
      </c>
      <c r="J368" s="92"/>
      <c r="K368" s="92"/>
      <c r="L368" s="92"/>
      <c r="M368" s="92"/>
      <c r="N368" s="92"/>
      <c r="O368" s="90" t="n">
        <v>1</v>
      </c>
      <c r="P368" s="198" t="n">
        <f aca="false">IFERROR((IF(OR(ISNUMBER(J368),UPPER(TRIM(J368))="N/A"),1,0)*IF($W368="N",0,INDEX('Rules of Credit'!$B$5:$F$8,MATCH($F368,'Rules of Credit'!$A$5:$A$8,0),1))+IF(OR(ISNUMBER(K368),UPPER(TRIM(K368))="N/A"),1,0)*INDEX('Rules of Credit'!$B$5:$F$8,MATCH($F368,'Rules of Credit'!$A$5:$A$8,0),2)+IF(OR(ISNUMBER(L368),UPPER(TRIM(L368))="N/A"),1,0)*INDEX('Rules of Credit'!$B$5:$F$8,MATCH($F368,'Rules of Credit'!$A$5:$A$8,0),3)+IF(OR(ISNUMBER(M368),UPPER(TRIM(M368))="N/A"),1,0)*IF($X368="N",0,INDEX('Rules of Credit'!$B$5:$F$8,MATCH($F368,'Rules of Credit'!$A$5:$A$8,0),4))+IF(OR(ISNUMBER(N368),UPPER(TRIM(N368))="N/A"),1,0)*INDEX('Rules of Credit'!$B$5:$F$8,MATCH($F368,'Rules of Credit'!$A$5:$A$8,0),5))/(IF($W368="N",0,INDEX('Rules of Credit'!$B$5:$F$8,MATCH($F368,'Rules of Credit'!$A$5:$A$8,0),1))+INDEX('Rules of Credit'!$B$5:$F$8,MATCH($F368,'Rules of Credit'!$A$5:$A$8,0),2)+INDEX('Rules of Credit'!$B$5:$F$8,MATCH($F368,'Rules of Credit'!$A$5:$A$8,0),3)+IF($X368="N",0,INDEX('Rules of Credit'!$B$5:$F$8,MATCH($F368,'Rules of Credit'!$A$5:$A$8,0),4))+INDEX('Rules of Credit'!$B$5:$F$8,MATCH($F368,'Rules of Credit'!$A$5:$A$8,0),5)),0)</f>
        <v>0</v>
      </c>
      <c r="Q368" s="198" t="n">
        <f aca="false">IF(OR($H368="",$I368=""),0,IF('Tracker Summary'!$C$3&lt;$H368,0,IF('Tracker Summary'!$C$3&gt;=$I368,1,('Tracker Summary'!$C$3-$H368)/($I368-$H368+1))))</f>
        <v>0</v>
      </c>
      <c r="R368" s="198" t="n">
        <f aca="false">P368-Q368</f>
        <v>0</v>
      </c>
      <c r="S368" s="195" t="str">
        <f aca="false">IF($I368="","Not scheduled",IF(P368&gt;=1,"Complete",IF('Tracker Summary'!$C$3&gt;$I368,"Overdue",IF(P368-Q368&lt;-0.1,"Behind",IF(AND(P368=0,'Tracker Summary'!$C$3&lt;$H368),"Not started","On track")))))</f>
        <v>Not started</v>
      </c>
      <c r="T368" s="90"/>
      <c r="U368" s="195" t="str">
        <f aca="false">IFERROR(INDEX(Schedule!$D$2:$D$147,MATCH($G368,Schedule!$A$2:$A$147,0)),"")</f>
        <v>Material Handling (Screw Conveyors) — Sludge dewatering (rotary fan press)</v>
      </c>
      <c r="V368" s="197" t="n">
        <f aca="false">IFERROR(INDEX(Schedule!$F$2:$F$147,MATCH("41-P01",Schedule!$A$2:$A$147,0)),"")</f>
        <v>45230</v>
      </c>
      <c r="W368" s="195" t="s">
        <v>99</v>
      </c>
      <c r="X368" s="195" t="s">
        <v>99</v>
      </c>
      <c r="Y368" s="195" t="n">
        <v>2</v>
      </c>
      <c r="Z368" s="195" t="n">
        <v>4</v>
      </c>
      <c r="AA368" s="195"/>
      <c r="AB368" s="195" t="s">
        <v>1618</v>
      </c>
      <c r="AC368" s="195" t="s">
        <v>120</v>
      </c>
      <c r="AD368" s="195" t="s">
        <v>1619</v>
      </c>
      <c r="AE368" s="195"/>
      <c r="AF368" s="195" t="s">
        <v>1620</v>
      </c>
      <c r="AG368" s="195" t="s">
        <v>1621</v>
      </c>
      <c r="AH368" s="195" t="s">
        <v>213</v>
      </c>
    </row>
    <row r="369" customFormat="false" ht="15" hidden="false" customHeight="false" outlineLevel="0" collapsed="false">
      <c r="A369" s="195" t="s">
        <v>60</v>
      </c>
      <c r="B369" s="196" t="s">
        <v>47</v>
      </c>
      <c r="C369" s="195" t="s">
        <v>1622</v>
      </c>
      <c r="D369" s="195" t="s">
        <v>1623</v>
      </c>
      <c r="E369" s="195" t="s">
        <v>1616</v>
      </c>
      <c r="F369" s="90" t="s">
        <v>234</v>
      </c>
      <c r="G369" s="195" t="s">
        <v>1617</v>
      </c>
      <c r="H369" s="197" t="n">
        <f aca="false">IFERROR(INDEX(Schedule!$E$2:$E$147,MATCH($G369,Schedule!$A$2:$A$147,0)),"")</f>
        <v>45231</v>
      </c>
      <c r="I369" s="197" t="n">
        <f aca="false">IFERROR(INDEX(Schedule!$F$2:$F$147,MATCH($G369,Schedule!$A$2:$A$147,0)),"")</f>
        <v>45331</v>
      </c>
      <c r="J369" s="92"/>
      <c r="K369" s="92"/>
      <c r="L369" s="92"/>
      <c r="M369" s="92"/>
      <c r="N369" s="92"/>
      <c r="O369" s="90" t="n">
        <v>1</v>
      </c>
      <c r="P369" s="198" t="n">
        <f aca="false">IFERROR((IF(OR(ISNUMBER(J369),UPPER(TRIM(J369))="N/A"),1,0)*IF($W369="N",0,INDEX('Rules of Credit'!$B$5:$F$8,MATCH($F369,'Rules of Credit'!$A$5:$A$8,0),1))+IF(OR(ISNUMBER(K369),UPPER(TRIM(K369))="N/A"),1,0)*INDEX('Rules of Credit'!$B$5:$F$8,MATCH($F369,'Rules of Credit'!$A$5:$A$8,0),2)+IF(OR(ISNUMBER(L369),UPPER(TRIM(L369))="N/A"),1,0)*INDEX('Rules of Credit'!$B$5:$F$8,MATCH($F369,'Rules of Credit'!$A$5:$A$8,0),3)+IF(OR(ISNUMBER(M369),UPPER(TRIM(M369))="N/A"),1,0)*IF($X369="N",0,INDEX('Rules of Credit'!$B$5:$F$8,MATCH($F369,'Rules of Credit'!$A$5:$A$8,0),4))+IF(OR(ISNUMBER(N369),UPPER(TRIM(N369))="N/A"),1,0)*INDEX('Rules of Credit'!$B$5:$F$8,MATCH($F369,'Rules of Credit'!$A$5:$A$8,0),5))/(IF($W369="N",0,INDEX('Rules of Credit'!$B$5:$F$8,MATCH($F369,'Rules of Credit'!$A$5:$A$8,0),1))+INDEX('Rules of Credit'!$B$5:$F$8,MATCH($F369,'Rules of Credit'!$A$5:$A$8,0),2)+INDEX('Rules of Credit'!$B$5:$F$8,MATCH($F369,'Rules of Credit'!$A$5:$A$8,0),3)+IF($X369="N",0,INDEX('Rules of Credit'!$B$5:$F$8,MATCH($F369,'Rules of Credit'!$A$5:$A$8,0),4))+INDEX('Rules of Credit'!$B$5:$F$8,MATCH($F369,'Rules of Credit'!$A$5:$A$8,0),5)),0)</f>
        <v>0</v>
      </c>
      <c r="Q369" s="198" t="n">
        <f aca="false">IF(OR($H369="",$I369=""),0,IF('Tracker Summary'!$C$3&lt;$H369,0,IF('Tracker Summary'!$C$3&gt;=$I369,1,('Tracker Summary'!$C$3-$H369)/($I369-$H369+1))))</f>
        <v>0</v>
      </c>
      <c r="R369" s="198" t="n">
        <f aca="false">P369-Q369</f>
        <v>0</v>
      </c>
      <c r="S369" s="195" t="str">
        <f aca="false">IF($I369="","Not scheduled",IF(P369&gt;=1,"Complete",IF('Tracker Summary'!$C$3&gt;$I369,"Overdue",IF(P369-Q369&lt;-0.1,"Behind",IF(AND(P369=0,'Tracker Summary'!$C$3&lt;$H369),"Not started","On track")))))</f>
        <v>Not started</v>
      </c>
      <c r="T369" s="90"/>
      <c r="U369" s="195" t="str">
        <f aca="false">IFERROR(INDEX(Schedule!$D$2:$D$147,MATCH($G369,Schedule!$A$2:$A$147,0)),"")</f>
        <v>Material Handling (Screw Conveyors) — Sludge dewatering (rotary fan press)</v>
      </c>
      <c r="V369" s="197" t="n">
        <f aca="false">IFERROR(INDEX(Schedule!$F$2:$F$147,MATCH("41-P01",Schedule!$A$2:$A$147,0)),"")</f>
        <v>45230</v>
      </c>
      <c r="W369" s="195" t="s">
        <v>99</v>
      </c>
      <c r="X369" s="195" t="s">
        <v>99</v>
      </c>
      <c r="Y369" s="195" t="n">
        <v>2</v>
      </c>
      <c r="Z369" s="195" t="n">
        <v>4</v>
      </c>
      <c r="AA369" s="195"/>
      <c r="AB369" s="195" t="s">
        <v>1624</v>
      </c>
      <c r="AC369" s="195" t="s">
        <v>120</v>
      </c>
      <c r="AD369" s="195" t="s">
        <v>1619</v>
      </c>
      <c r="AE369" s="195"/>
      <c r="AF369" s="195" t="s">
        <v>1620</v>
      </c>
      <c r="AG369" s="195" t="s">
        <v>1621</v>
      </c>
      <c r="AH369" s="195" t="s">
        <v>213</v>
      </c>
    </row>
    <row r="370" customFormat="false" ht="15" hidden="false" customHeight="false" outlineLevel="0" collapsed="false">
      <c r="A370" s="199" t="s">
        <v>85</v>
      </c>
      <c r="B370" s="199" t="s">
        <v>49</v>
      </c>
      <c r="C370" s="199" t="s">
        <v>50</v>
      </c>
      <c r="D370" s="199" t="str">
        <f aca="false">COUNTIF(A371:A401,"Item")&amp;" items · "&amp;COUNTIF(S371:S401,"Overdue")&amp;" overdue · "&amp;COUNTIF(S371:S401,"Complete")&amp;" complete"</f>
        <v>31 items · 0 overdue · 0 complete</v>
      </c>
      <c r="E370" s="199"/>
      <c r="F370" s="199"/>
      <c r="G370" s="199"/>
      <c r="H370" s="200" t="n">
        <f aca="false">MIN(H371:H401)</f>
        <v>45017</v>
      </c>
      <c r="I370" s="200" t="n">
        <f aca="false">MAX(I371:I401)</f>
        <v>45331</v>
      </c>
      <c r="J370" s="200"/>
      <c r="K370" s="200"/>
      <c r="L370" s="200"/>
      <c r="M370" s="200"/>
      <c r="N370" s="200"/>
      <c r="O370" s="199" t="n">
        <f aca="false">SUM(O371:O401)</f>
        <v>31</v>
      </c>
      <c r="P370" s="201" t="n">
        <f aca="false">IFERROR(SUMPRODUCT(O371:O401,P371:P401)/SUM(O371:O401),0)</f>
        <v>0</v>
      </c>
      <c r="Q370" s="201" t="n">
        <f aca="false">IFERROR(SUMPRODUCT(O371:O401,Q371:Q401)/SUM(O371:O401),0)</f>
        <v>0</v>
      </c>
      <c r="R370" s="201" t="n">
        <f aca="false">P370-Q370</f>
        <v>0</v>
      </c>
      <c r="S370" s="199"/>
      <c r="T370" s="199"/>
      <c r="U370" s="199"/>
      <c r="V370" s="200"/>
      <c r="W370" s="199"/>
      <c r="X370" s="199"/>
      <c r="Y370" s="199"/>
      <c r="Z370" s="199"/>
      <c r="AA370" s="199"/>
      <c r="AB370" s="199"/>
      <c r="AC370" s="199"/>
      <c r="AD370" s="199"/>
      <c r="AE370" s="199"/>
      <c r="AF370" s="199"/>
      <c r="AG370" s="199"/>
      <c r="AH370" s="199"/>
    </row>
    <row r="371" customFormat="false" ht="15" hidden="false" customHeight="false" outlineLevel="0" collapsed="false">
      <c r="A371" s="202" t="s">
        <v>60</v>
      </c>
      <c r="B371" s="203" t="s">
        <v>49</v>
      </c>
      <c r="C371" s="202" t="s">
        <v>1625</v>
      </c>
      <c r="D371" s="202" t="s">
        <v>1626</v>
      </c>
      <c r="E371" s="202" t="s">
        <v>233</v>
      </c>
      <c r="F371" s="90" t="s">
        <v>234</v>
      </c>
      <c r="G371" s="202" t="s">
        <v>1627</v>
      </c>
      <c r="H371" s="204" t="n">
        <f aca="false">IFERROR(INDEX(Schedule!$E$2:$E$147,MATCH($G371,Schedule!$A$2:$A$147,0)),"")</f>
        <v>45017</v>
      </c>
      <c r="I371" s="204" t="n">
        <f aca="false">IFERROR(INDEX(Schedule!$F$2:$F$147,MATCH($G371,Schedule!$A$2:$A$147,0)),"")</f>
        <v>45138</v>
      </c>
      <c r="J371" s="92"/>
      <c r="K371" s="92"/>
      <c r="L371" s="92"/>
      <c r="M371" s="92"/>
      <c r="N371" s="92"/>
      <c r="O371" s="90" t="n">
        <v>1</v>
      </c>
      <c r="P371" s="205" t="n">
        <f aca="false">IFERROR((IF(OR(ISNUMBER(J371),UPPER(TRIM(J371))="N/A"),1,0)*IF($W371="N",0,INDEX('Rules of Credit'!$B$5:$F$8,MATCH($F371,'Rules of Credit'!$A$5:$A$8,0),1))+IF(OR(ISNUMBER(K371),UPPER(TRIM(K371))="N/A"),1,0)*INDEX('Rules of Credit'!$B$5:$F$8,MATCH($F371,'Rules of Credit'!$A$5:$A$8,0),2)+IF(OR(ISNUMBER(L371),UPPER(TRIM(L371))="N/A"),1,0)*INDEX('Rules of Credit'!$B$5:$F$8,MATCH($F371,'Rules of Credit'!$A$5:$A$8,0),3)+IF(OR(ISNUMBER(M371),UPPER(TRIM(M371))="N/A"),1,0)*IF($X371="N",0,INDEX('Rules of Credit'!$B$5:$F$8,MATCH($F371,'Rules of Credit'!$A$5:$A$8,0),4))+IF(OR(ISNUMBER(N371),UPPER(TRIM(N371))="N/A"),1,0)*INDEX('Rules of Credit'!$B$5:$F$8,MATCH($F371,'Rules of Credit'!$A$5:$A$8,0),5))/(IF($W371="N",0,INDEX('Rules of Credit'!$B$5:$F$8,MATCH($F371,'Rules of Credit'!$A$5:$A$8,0),1))+INDEX('Rules of Credit'!$B$5:$F$8,MATCH($F371,'Rules of Credit'!$A$5:$A$8,0),2)+INDEX('Rules of Credit'!$B$5:$F$8,MATCH($F371,'Rules of Credit'!$A$5:$A$8,0),3)+IF($X371="N",0,INDEX('Rules of Credit'!$B$5:$F$8,MATCH($F371,'Rules of Credit'!$A$5:$A$8,0),4))+INDEX('Rules of Credit'!$B$5:$F$8,MATCH($F371,'Rules of Credit'!$A$5:$A$8,0),5)),0)</f>
        <v>0</v>
      </c>
      <c r="Q371" s="205" t="n">
        <f aca="false">IF(OR($H371="",$I371=""),0,IF('Tracker Summary'!$C$3&lt;$H371,0,IF('Tracker Summary'!$C$3&gt;=$I371,1,('Tracker Summary'!$C$3-$H371)/($I371-$H371+1))))</f>
        <v>0</v>
      </c>
      <c r="R371" s="205" t="n">
        <f aca="false">P371-Q371</f>
        <v>0</v>
      </c>
      <c r="S371" s="202" t="str">
        <f aca="false">IF($I371="","Not scheduled",IF(P371&gt;=1,"Complete",IF('Tracker Summary'!$C$3&gt;$I371,"Overdue",IF(P371-Q371&lt;-0.1,"Behind",IF(AND(P371=0,'Tracker Summary'!$C$3&lt;$H371),"Not started","On track")))))</f>
        <v>Not started</v>
      </c>
      <c r="T371" s="90"/>
      <c r="U371" s="202" t="str">
        <f aca="false">IFERROR(INDEX(Schedule!$D$2:$D$147,MATCH($G371,Schedule!$A$2:$A$147,0)),"")</f>
        <v>Blowers &amp; 2W Plant Water System — Blower Building</v>
      </c>
      <c r="V371" s="204" t="n">
        <f aca="false">IFERROR(INDEX(Schedule!$F$2:$F$147,MATCH("43-P01",Schedule!$A$2:$A$147,0)),"")</f>
        <v>45016</v>
      </c>
      <c r="W371" s="202" t="s">
        <v>99</v>
      </c>
      <c r="X371" s="202" t="s">
        <v>99</v>
      </c>
      <c r="Y371" s="202" t="n">
        <v>1</v>
      </c>
      <c r="Z371" s="202" t="n">
        <v>1</v>
      </c>
      <c r="AA371" s="202" t="s">
        <v>1628</v>
      </c>
      <c r="AB371" s="202" t="s">
        <v>1629</v>
      </c>
      <c r="AC371" s="202" t="s">
        <v>92</v>
      </c>
      <c r="AD371" s="202" t="s">
        <v>511</v>
      </c>
      <c r="AE371" s="202" t="s">
        <v>1279</v>
      </c>
      <c r="AF371" s="202" t="s">
        <v>1630</v>
      </c>
      <c r="AG371" s="202" t="s">
        <v>1631</v>
      </c>
      <c r="AH371" s="202" t="s">
        <v>213</v>
      </c>
    </row>
    <row r="372" customFormat="false" ht="15" hidden="false" customHeight="false" outlineLevel="0" collapsed="false">
      <c r="A372" s="202" t="s">
        <v>60</v>
      </c>
      <c r="B372" s="203" t="s">
        <v>49</v>
      </c>
      <c r="C372" s="202" t="s">
        <v>1632</v>
      </c>
      <c r="D372" s="202" t="s">
        <v>1633</v>
      </c>
      <c r="E372" s="202" t="s">
        <v>115</v>
      </c>
      <c r="F372" s="90" t="s">
        <v>234</v>
      </c>
      <c r="G372" s="202" t="s">
        <v>1627</v>
      </c>
      <c r="H372" s="204" t="n">
        <f aca="false">IFERROR(INDEX(Schedule!$E$2:$E$147,MATCH($G372,Schedule!$A$2:$A$147,0)),"")</f>
        <v>45017</v>
      </c>
      <c r="I372" s="204" t="n">
        <f aca="false">IFERROR(INDEX(Schedule!$F$2:$F$147,MATCH($G372,Schedule!$A$2:$A$147,0)),"")</f>
        <v>45138</v>
      </c>
      <c r="J372" s="92"/>
      <c r="K372" s="92"/>
      <c r="L372" s="92"/>
      <c r="M372" s="92"/>
      <c r="N372" s="92"/>
      <c r="O372" s="90" t="n">
        <v>1</v>
      </c>
      <c r="P372" s="205" t="n">
        <f aca="false">IFERROR((IF(OR(ISNUMBER(J372),UPPER(TRIM(J372))="N/A"),1,0)*IF($W372="N",0,INDEX('Rules of Credit'!$B$5:$F$8,MATCH($F372,'Rules of Credit'!$A$5:$A$8,0),1))+IF(OR(ISNUMBER(K372),UPPER(TRIM(K372))="N/A"),1,0)*INDEX('Rules of Credit'!$B$5:$F$8,MATCH($F372,'Rules of Credit'!$A$5:$A$8,0),2)+IF(OR(ISNUMBER(L372),UPPER(TRIM(L372))="N/A"),1,0)*INDEX('Rules of Credit'!$B$5:$F$8,MATCH($F372,'Rules of Credit'!$A$5:$A$8,0),3)+IF(OR(ISNUMBER(M372),UPPER(TRIM(M372))="N/A"),1,0)*IF($X372="N",0,INDEX('Rules of Credit'!$B$5:$F$8,MATCH($F372,'Rules of Credit'!$A$5:$A$8,0),4))+IF(OR(ISNUMBER(N372),UPPER(TRIM(N372))="N/A"),1,0)*INDEX('Rules of Credit'!$B$5:$F$8,MATCH($F372,'Rules of Credit'!$A$5:$A$8,0),5))/(IF($W372="N",0,INDEX('Rules of Credit'!$B$5:$F$8,MATCH($F372,'Rules of Credit'!$A$5:$A$8,0),1))+INDEX('Rules of Credit'!$B$5:$F$8,MATCH($F372,'Rules of Credit'!$A$5:$A$8,0),2)+INDEX('Rules of Credit'!$B$5:$F$8,MATCH($F372,'Rules of Credit'!$A$5:$A$8,0),3)+IF($X372="N",0,INDEX('Rules of Credit'!$B$5:$F$8,MATCH($F372,'Rules of Credit'!$A$5:$A$8,0),4))+INDEX('Rules of Credit'!$B$5:$F$8,MATCH($F372,'Rules of Credit'!$A$5:$A$8,0),5)),0)</f>
        <v>0</v>
      </c>
      <c r="Q372" s="205" t="n">
        <f aca="false">IF(OR($H372="",$I372=""),0,IF('Tracker Summary'!$C$3&lt;$H372,0,IF('Tracker Summary'!$C$3&gt;=$I372,1,('Tracker Summary'!$C$3-$H372)/($I372-$H372+1))))</f>
        <v>0</v>
      </c>
      <c r="R372" s="205" t="n">
        <f aca="false">P372-Q372</f>
        <v>0</v>
      </c>
      <c r="S372" s="202" t="str">
        <f aca="false">IF($I372="","Not scheduled",IF(P372&gt;=1,"Complete",IF('Tracker Summary'!$C$3&gt;$I372,"Overdue",IF(P372-Q372&lt;-0.1,"Behind",IF(AND(P372=0,'Tracker Summary'!$C$3&lt;$H372),"Not started","On track")))))</f>
        <v>Not started</v>
      </c>
      <c r="T372" s="90"/>
      <c r="U372" s="202" t="str">
        <f aca="false">IFERROR(INDEX(Schedule!$D$2:$D$147,MATCH($G372,Schedule!$A$2:$A$147,0)),"")</f>
        <v>Blowers &amp; 2W Plant Water System — Blower Building</v>
      </c>
      <c r="V372" s="204" t="n">
        <f aca="false">IFERROR(INDEX(Schedule!$F$2:$F$147,MATCH("43-P01",Schedule!$A$2:$A$147,0)),"")</f>
        <v>45016</v>
      </c>
      <c r="W372" s="202" t="s">
        <v>99</v>
      </c>
      <c r="X372" s="202" t="s">
        <v>91</v>
      </c>
      <c r="Y372" s="202" t="n">
        <v>1</v>
      </c>
      <c r="Z372" s="202" t="n">
        <v>0</v>
      </c>
      <c r="AA372" s="202"/>
      <c r="AB372" s="202" t="s">
        <v>1634</v>
      </c>
      <c r="AC372" s="202" t="s">
        <v>92</v>
      </c>
      <c r="AD372" s="202" t="s">
        <v>93</v>
      </c>
      <c r="AE372" s="202"/>
      <c r="AF372" s="202" t="s">
        <v>1635</v>
      </c>
      <c r="AG372" s="202" t="s">
        <v>1635</v>
      </c>
      <c r="AH372" s="202" t="s">
        <v>213</v>
      </c>
    </row>
    <row r="373" customFormat="false" ht="15" hidden="false" customHeight="false" outlineLevel="0" collapsed="false">
      <c r="A373" s="202" t="s">
        <v>60</v>
      </c>
      <c r="B373" s="203" t="s">
        <v>49</v>
      </c>
      <c r="C373" s="202" t="s">
        <v>1636</v>
      </c>
      <c r="D373" s="202" t="s">
        <v>1637</v>
      </c>
      <c r="E373" s="202" t="s">
        <v>233</v>
      </c>
      <c r="F373" s="90" t="s">
        <v>234</v>
      </c>
      <c r="G373" s="202" t="s">
        <v>1627</v>
      </c>
      <c r="H373" s="204" t="n">
        <f aca="false">IFERROR(INDEX(Schedule!$E$2:$E$147,MATCH($G373,Schedule!$A$2:$A$147,0)),"")</f>
        <v>45017</v>
      </c>
      <c r="I373" s="204" t="n">
        <f aca="false">IFERROR(INDEX(Schedule!$F$2:$F$147,MATCH($G373,Schedule!$A$2:$A$147,0)),"")</f>
        <v>45138</v>
      </c>
      <c r="J373" s="92"/>
      <c r="K373" s="92"/>
      <c r="L373" s="92"/>
      <c r="M373" s="92"/>
      <c r="N373" s="92"/>
      <c r="O373" s="90" t="n">
        <v>1</v>
      </c>
      <c r="P373" s="205" t="n">
        <f aca="false">IFERROR((IF(OR(ISNUMBER(J373),UPPER(TRIM(J373))="N/A"),1,0)*IF($W373="N",0,INDEX('Rules of Credit'!$B$5:$F$8,MATCH($F373,'Rules of Credit'!$A$5:$A$8,0),1))+IF(OR(ISNUMBER(K373),UPPER(TRIM(K373))="N/A"),1,0)*INDEX('Rules of Credit'!$B$5:$F$8,MATCH($F373,'Rules of Credit'!$A$5:$A$8,0),2)+IF(OR(ISNUMBER(L373),UPPER(TRIM(L373))="N/A"),1,0)*INDEX('Rules of Credit'!$B$5:$F$8,MATCH($F373,'Rules of Credit'!$A$5:$A$8,0),3)+IF(OR(ISNUMBER(M373),UPPER(TRIM(M373))="N/A"),1,0)*IF($X373="N",0,INDEX('Rules of Credit'!$B$5:$F$8,MATCH($F373,'Rules of Credit'!$A$5:$A$8,0),4))+IF(OR(ISNUMBER(N373),UPPER(TRIM(N373))="N/A"),1,0)*INDEX('Rules of Credit'!$B$5:$F$8,MATCH($F373,'Rules of Credit'!$A$5:$A$8,0),5))/(IF($W373="N",0,INDEX('Rules of Credit'!$B$5:$F$8,MATCH($F373,'Rules of Credit'!$A$5:$A$8,0),1))+INDEX('Rules of Credit'!$B$5:$F$8,MATCH($F373,'Rules of Credit'!$A$5:$A$8,0),2)+INDEX('Rules of Credit'!$B$5:$F$8,MATCH($F373,'Rules of Credit'!$A$5:$A$8,0),3)+IF($X373="N",0,INDEX('Rules of Credit'!$B$5:$F$8,MATCH($F373,'Rules of Credit'!$A$5:$A$8,0),4))+INDEX('Rules of Credit'!$B$5:$F$8,MATCH($F373,'Rules of Credit'!$A$5:$A$8,0),5)),0)</f>
        <v>0</v>
      </c>
      <c r="Q373" s="205" t="n">
        <f aca="false">IF(OR($H373="",$I373=""),0,IF('Tracker Summary'!$C$3&lt;$H373,0,IF('Tracker Summary'!$C$3&gt;=$I373,1,('Tracker Summary'!$C$3-$H373)/($I373-$H373+1))))</f>
        <v>0</v>
      </c>
      <c r="R373" s="205" t="n">
        <f aca="false">P373-Q373</f>
        <v>0</v>
      </c>
      <c r="S373" s="202" t="str">
        <f aca="false">IF($I373="","Not scheduled",IF(P373&gt;=1,"Complete",IF('Tracker Summary'!$C$3&gt;$I373,"Overdue",IF(P373-Q373&lt;-0.1,"Behind",IF(AND(P373=0,'Tracker Summary'!$C$3&lt;$H373),"Not started","On track")))))</f>
        <v>Not started</v>
      </c>
      <c r="T373" s="90"/>
      <c r="U373" s="202" t="str">
        <f aca="false">IFERROR(INDEX(Schedule!$D$2:$D$147,MATCH($G373,Schedule!$A$2:$A$147,0)),"")</f>
        <v>Blowers &amp; 2W Plant Water System — Blower Building</v>
      </c>
      <c r="V373" s="204" t="n">
        <f aca="false">IFERROR(INDEX(Schedule!$F$2:$F$147,MATCH("43-P01",Schedule!$A$2:$A$147,0)),"")</f>
        <v>45016</v>
      </c>
      <c r="W373" s="202" t="s">
        <v>115</v>
      </c>
      <c r="X373" s="202" t="s">
        <v>115</v>
      </c>
      <c r="Y373" s="202" t="n">
        <v>0</v>
      </c>
      <c r="Z373" s="202" t="n">
        <v>0</v>
      </c>
      <c r="AA373" s="202" t="s">
        <v>1638</v>
      </c>
      <c r="AB373" s="202" t="s">
        <v>1639</v>
      </c>
      <c r="AC373" s="202" t="s">
        <v>92</v>
      </c>
      <c r="AD373" s="202" t="s">
        <v>542</v>
      </c>
      <c r="AE373" s="202" t="s">
        <v>1640</v>
      </c>
      <c r="AF373" s="202"/>
      <c r="AG373" s="202" t="s">
        <v>1640</v>
      </c>
      <c r="AH373" s="202" t="s">
        <v>501</v>
      </c>
    </row>
    <row r="374" customFormat="false" ht="15" hidden="false" customHeight="false" outlineLevel="0" collapsed="false">
      <c r="A374" s="202" t="s">
        <v>60</v>
      </c>
      <c r="B374" s="203" t="s">
        <v>49</v>
      </c>
      <c r="C374" s="202" t="s">
        <v>1641</v>
      </c>
      <c r="D374" s="202" t="s">
        <v>1642</v>
      </c>
      <c r="E374" s="202" t="s">
        <v>233</v>
      </c>
      <c r="F374" s="90" t="s">
        <v>234</v>
      </c>
      <c r="G374" s="202" t="s">
        <v>1627</v>
      </c>
      <c r="H374" s="204" t="n">
        <f aca="false">IFERROR(INDEX(Schedule!$E$2:$E$147,MATCH($G374,Schedule!$A$2:$A$147,0)),"")</f>
        <v>45017</v>
      </c>
      <c r="I374" s="204" t="n">
        <f aca="false">IFERROR(INDEX(Schedule!$F$2:$F$147,MATCH($G374,Schedule!$A$2:$A$147,0)),"")</f>
        <v>45138</v>
      </c>
      <c r="J374" s="92"/>
      <c r="K374" s="92"/>
      <c r="L374" s="92"/>
      <c r="M374" s="92"/>
      <c r="N374" s="92"/>
      <c r="O374" s="90" t="n">
        <v>1</v>
      </c>
      <c r="P374" s="205" t="n">
        <f aca="false">IFERROR((IF(OR(ISNUMBER(J374),UPPER(TRIM(J374))="N/A"),1,0)*IF($W374="N",0,INDEX('Rules of Credit'!$B$5:$F$8,MATCH($F374,'Rules of Credit'!$A$5:$A$8,0),1))+IF(OR(ISNUMBER(K374),UPPER(TRIM(K374))="N/A"),1,0)*INDEX('Rules of Credit'!$B$5:$F$8,MATCH($F374,'Rules of Credit'!$A$5:$A$8,0),2)+IF(OR(ISNUMBER(L374),UPPER(TRIM(L374))="N/A"),1,0)*INDEX('Rules of Credit'!$B$5:$F$8,MATCH($F374,'Rules of Credit'!$A$5:$A$8,0),3)+IF(OR(ISNUMBER(M374),UPPER(TRIM(M374))="N/A"),1,0)*IF($X374="N",0,INDEX('Rules of Credit'!$B$5:$F$8,MATCH($F374,'Rules of Credit'!$A$5:$A$8,0),4))+IF(OR(ISNUMBER(N374),UPPER(TRIM(N374))="N/A"),1,0)*INDEX('Rules of Credit'!$B$5:$F$8,MATCH($F374,'Rules of Credit'!$A$5:$A$8,0),5))/(IF($W374="N",0,INDEX('Rules of Credit'!$B$5:$F$8,MATCH($F374,'Rules of Credit'!$A$5:$A$8,0),1))+INDEX('Rules of Credit'!$B$5:$F$8,MATCH($F374,'Rules of Credit'!$A$5:$A$8,0),2)+INDEX('Rules of Credit'!$B$5:$F$8,MATCH($F374,'Rules of Credit'!$A$5:$A$8,0),3)+IF($X374="N",0,INDEX('Rules of Credit'!$B$5:$F$8,MATCH($F374,'Rules of Credit'!$A$5:$A$8,0),4))+INDEX('Rules of Credit'!$B$5:$F$8,MATCH($F374,'Rules of Credit'!$A$5:$A$8,0),5)),0)</f>
        <v>0</v>
      </c>
      <c r="Q374" s="205" t="n">
        <f aca="false">IF(OR($H374="",$I374=""),0,IF('Tracker Summary'!$C$3&lt;$H374,0,IF('Tracker Summary'!$C$3&gt;=$I374,1,('Tracker Summary'!$C$3-$H374)/($I374-$H374+1))))</f>
        <v>0</v>
      </c>
      <c r="R374" s="205" t="n">
        <f aca="false">P374-Q374</f>
        <v>0</v>
      </c>
      <c r="S374" s="202" t="str">
        <f aca="false">IF($I374="","Not scheduled",IF(P374&gt;=1,"Complete",IF('Tracker Summary'!$C$3&gt;$I374,"Overdue",IF(P374-Q374&lt;-0.1,"Behind",IF(AND(P374=0,'Tracker Summary'!$C$3&lt;$H374),"Not started","On track")))))</f>
        <v>Not started</v>
      </c>
      <c r="T374" s="90"/>
      <c r="U374" s="202" t="str">
        <f aca="false">IFERROR(INDEX(Schedule!$D$2:$D$147,MATCH($G374,Schedule!$A$2:$A$147,0)),"")</f>
        <v>Blowers &amp; 2W Plant Water System — Blower Building</v>
      </c>
      <c r="V374" s="204" t="n">
        <f aca="false">IFERROR(INDEX(Schedule!$F$2:$F$147,MATCH("43-P01",Schedule!$A$2:$A$147,0)),"")</f>
        <v>45016</v>
      </c>
      <c r="W374" s="202" t="s">
        <v>115</v>
      </c>
      <c r="X374" s="202" t="s">
        <v>115</v>
      </c>
      <c r="Y374" s="202" t="n">
        <v>0</v>
      </c>
      <c r="Z374" s="202" t="n">
        <v>0</v>
      </c>
      <c r="AA374" s="202" t="s">
        <v>1638</v>
      </c>
      <c r="AB374" s="202" t="s">
        <v>1629</v>
      </c>
      <c r="AC374" s="202" t="s">
        <v>92</v>
      </c>
      <c r="AD374" s="202" t="s">
        <v>542</v>
      </c>
      <c r="AE374" s="202" t="s">
        <v>1640</v>
      </c>
      <c r="AF374" s="202"/>
      <c r="AG374" s="202" t="s">
        <v>1640</v>
      </c>
      <c r="AH374" s="202" t="s">
        <v>501</v>
      </c>
    </row>
    <row r="375" customFormat="false" ht="15" hidden="false" customHeight="false" outlineLevel="0" collapsed="false">
      <c r="A375" s="202" t="s">
        <v>60</v>
      </c>
      <c r="B375" s="203" t="s">
        <v>49</v>
      </c>
      <c r="C375" s="202" t="s">
        <v>1643</v>
      </c>
      <c r="D375" s="202" t="s">
        <v>1644</v>
      </c>
      <c r="E375" s="202" t="s">
        <v>233</v>
      </c>
      <c r="F375" s="90" t="s">
        <v>234</v>
      </c>
      <c r="G375" s="202" t="s">
        <v>1627</v>
      </c>
      <c r="H375" s="204" t="n">
        <f aca="false">IFERROR(INDEX(Schedule!$E$2:$E$147,MATCH($G375,Schedule!$A$2:$A$147,0)),"")</f>
        <v>45017</v>
      </c>
      <c r="I375" s="204" t="n">
        <f aca="false">IFERROR(INDEX(Schedule!$F$2:$F$147,MATCH($G375,Schedule!$A$2:$A$147,0)),"")</f>
        <v>45138</v>
      </c>
      <c r="J375" s="92"/>
      <c r="K375" s="92"/>
      <c r="L375" s="92"/>
      <c r="M375" s="92"/>
      <c r="N375" s="92"/>
      <c r="O375" s="90" t="n">
        <v>1</v>
      </c>
      <c r="P375" s="205" t="n">
        <f aca="false">IFERROR((IF(OR(ISNUMBER(J375),UPPER(TRIM(J375))="N/A"),1,0)*IF($W375="N",0,INDEX('Rules of Credit'!$B$5:$F$8,MATCH($F375,'Rules of Credit'!$A$5:$A$8,0),1))+IF(OR(ISNUMBER(K375),UPPER(TRIM(K375))="N/A"),1,0)*INDEX('Rules of Credit'!$B$5:$F$8,MATCH($F375,'Rules of Credit'!$A$5:$A$8,0),2)+IF(OR(ISNUMBER(L375),UPPER(TRIM(L375))="N/A"),1,0)*INDEX('Rules of Credit'!$B$5:$F$8,MATCH($F375,'Rules of Credit'!$A$5:$A$8,0),3)+IF(OR(ISNUMBER(M375),UPPER(TRIM(M375))="N/A"),1,0)*IF($X375="N",0,INDEX('Rules of Credit'!$B$5:$F$8,MATCH($F375,'Rules of Credit'!$A$5:$A$8,0),4))+IF(OR(ISNUMBER(N375),UPPER(TRIM(N375))="N/A"),1,0)*INDEX('Rules of Credit'!$B$5:$F$8,MATCH($F375,'Rules of Credit'!$A$5:$A$8,0),5))/(IF($W375="N",0,INDEX('Rules of Credit'!$B$5:$F$8,MATCH($F375,'Rules of Credit'!$A$5:$A$8,0),1))+INDEX('Rules of Credit'!$B$5:$F$8,MATCH($F375,'Rules of Credit'!$A$5:$A$8,0),2)+INDEX('Rules of Credit'!$B$5:$F$8,MATCH($F375,'Rules of Credit'!$A$5:$A$8,0),3)+IF($X375="N",0,INDEX('Rules of Credit'!$B$5:$F$8,MATCH($F375,'Rules of Credit'!$A$5:$A$8,0),4))+INDEX('Rules of Credit'!$B$5:$F$8,MATCH($F375,'Rules of Credit'!$A$5:$A$8,0),5)),0)</f>
        <v>0</v>
      </c>
      <c r="Q375" s="205" t="n">
        <f aca="false">IF(OR($H375="",$I375=""),0,IF('Tracker Summary'!$C$3&lt;$H375,0,IF('Tracker Summary'!$C$3&gt;=$I375,1,('Tracker Summary'!$C$3-$H375)/($I375-$H375+1))))</f>
        <v>0</v>
      </c>
      <c r="R375" s="205" t="n">
        <f aca="false">P375-Q375</f>
        <v>0</v>
      </c>
      <c r="S375" s="202" t="str">
        <f aca="false">IF($I375="","Not scheduled",IF(P375&gt;=1,"Complete",IF('Tracker Summary'!$C$3&gt;$I375,"Overdue",IF(P375-Q375&lt;-0.1,"Behind",IF(AND(P375=0,'Tracker Summary'!$C$3&lt;$H375),"Not started","On track")))))</f>
        <v>Not started</v>
      </c>
      <c r="T375" s="90"/>
      <c r="U375" s="202" t="str">
        <f aca="false">IFERROR(INDEX(Schedule!$D$2:$D$147,MATCH($G375,Schedule!$A$2:$A$147,0)),"")</f>
        <v>Blowers &amp; 2W Plant Water System — Blower Building</v>
      </c>
      <c r="V375" s="204" t="n">
        <f aca="false">IFERROR(INDEX(Schedule!$F$2:$F$147,MATCH("43-P01",Schedule!$A$2:$A$147,0)),"")</f>
        <v>45016</v>
      </c>
      <c r="W375" s="202" t="s">
        <v>115</v>
      </c>
      <c r="X375" s="202" t="s">
        <v>115</v>
      </c>
      <c r="Y375" s="202" t="n">
        <v>0</v>
      </c>
      <c r="Z375" s="202" t="n">
        <v>0</v>
      </c>
      <c r="AA375" s="202" t="s">
        <v>1638</v>
      </c>
      <c r="AB375" s="202" t="s">
        <v>1629</v>
      </c>
      <c r="AC375" s="202" t="s">
        <v>92</v>
      </c>
      <c r="AD375" s="202" t="s">
        <v>542</v>
      </c>
      <c r="AE375" s="202" t="s">
        <v>1640</v>
      </c>
      <c r="AF375" s="202"/>
      <c r="AG375" s="202" t="s">
        <v>1640</v>
      </c>
      <c r="AH375" s="202" t="s">
        <v>501</v>
      </c>
    </row>
    <row r="376" customFormat="false" ht="15" hidden="false" customHeight="false" outlineLevel="0" collapsed="false">
      <c r="A376" s="202" t="s">
        <v>60</v>
      </c>
      <c r="B376" s="203" t="s">
        <v>49</v>
      </c>
      <c r="C376" s="202" t="s">
        <v>1645</v>
      </c>
      <c r="D376" s="202" t="s">
        <v>1646</v>
      </c>
      <c r="E376" s="202" t="s">
        <v>233</v>
      </c>
      <c r="F376" s="90" t="s">
        <v>234</v>
      </c>
      <c r="G376" s="202" t="s">
        <v>1627</v>
      </c>
      <c r="H376" s="204" t="n">
        <f aca="false">IFERROR(INDEX(Schedule!$E$2:$E$147,MATCH($G376,Schedule!$A$2:$A$147,0)),"")</f>
        <v>45017</v>
      </c>
      <c r="I376" s="204" t="n">
        <f aca="false">IFERROR(INDEX(Schedule!$F$2:$F$147,MATCH($G376,Schedule!$A$2:$A$147,0)),"")</f>
        <v>45138</v>
      </c>
      <c r="J376" s="92"/>
      <c r="K376" s="92"/>
      <c r="L376" s="92"/>
      <c r="M376" s="92"/>
      <c r="N376" s="92"/>
      <c r="O376" s="90" t="n">
        <v>1</v>
      </c>
      <c r="P376" s="205" t="n">
        <f aca="false">IFERROR((IF(OR(ISNUMBER(J376),UPPER(TRIM(J376))="N/A"),1,0)*IF($W376="N",0,INDEX('Rules of Credit'!$B$5:$F$8,MATCH($F376,'Rules of Credit'!$A$5:$A$8,0),1))+IF(OR(ISNUMBER(K376),UPPER(TRIM(K376))="N/A"),1,0)*INDEX('Rules of Credit'!$B$5:$F$8,MATCH($F376,'Rules of Credit'!$A$5:$A$8,0),2)+IF(OR(ISNUMBER(L376),UPPER(TRIM(L376))="N/A"),1,0)*INDEX('Rules of Credit'!$B$5:$F$8,MATCH($F376,'Rules of Credit'!$A$5:$A$8,0),3)+IF(OR(ISNUMBER(M376),UPPER(TRIM(M376))="N/A"),1,0)*IF($X376="N",0,INDEX('Rules of Credit'!$B$5:$F$8,MATCH($F376,'Rules of Credit'!$A$5:$A$8,0),4))+IF(OR(ISNUMBER(N376),UPPER(TRIM(N376))="N/A"),1,0)*INDEX('Rules of Credit'!$B$5:$F$8,MATCH($F376,'Rules of Credit'!$A$5:$A$8,0),5))/(IF($W376="N",0,INDEX('Rules of Credit'!$B$5:$F$8,MATCH($F376,'Rules of Credit'!$A$5:$A$8,0),1))+INDEX('Rules of Credit'!$B$5:$F$8,MATCH($F376,'Rules of Credit'!$A$5:$A$8,0),2)+INDEX('Rules of Credit'!$B$5:$F$8,MATCH($F376,'Rules of Credit'!$A$5:$A$8,0),3)+IF($X376="N",0,INDEX('Rules of Credit'!$B$5:$F$8,MATCH($F376,'Rules of Credit'!$A$5:$A$8,0),4))+INDEX('Rules of Credit'!$B$5:$F$8,MATCH($F376,'Rules of Credit'!$A$5:$A$8,0),5)),0)</f>
        <v>0</v>
      </c>
      <c r="Q376" s="205" t="n">
        <f aca="false">IF(OR($H376="",$I376=""),0,IF('Tracker Summary'!$C$3&lt;$H376,0,IF('Tracker Summary'!$C$3&gt;=$I376,1,('Tracker Summary'!$C$3-$H376)/($I376-$H376+1))))</f>
        <v>0</v>
      </c>
      <c r="R376" s="205" t="n">
        <f aca="false">P376-Q376</f>
        <v>0</v>
      </c>
      <c r="S376" s="202" t="str">
        <f aca="false">IF($I376="","Not scheduled",IF(P376&gt;=1,"Complete",IF('Tracker Summary'!$C$3&gt;$I376,"Overdue",IF(P376-Q376&lt;-0.1,"Behind",IF(AND(P376=0,'Tracker Summary'!$C$3&lt;$H376),"Not started","On track")))))</f>
        <v>Not started</v>
      </c>
      <c r="T376" s="90"/>
      <c r="U376" s="202" t="str">
        <f aca="false">IFERROR(INDEX(Schedule!$D$2:$D$147,MATCH($G376,Schedule!$A$2:$A$147,0)),"")</f>
        <v>Blowers &amp; 2W Plant Water System — Blower Building</v>
      </c>
      <c r="V376" s="204" t="n">
        <f aca="false">IFERROR(INDEX(Schedule!$F$2:$F$147,MATCH("43-P01",Schedule!$A$2:$A$147,0)),"")</f>
        <v>45016</v>
      </c>
      <c r="W376" s="202" t="s">
        <v>115</v>
      </c>
      <c r="X376" s="202" t="s">
        <v>115</v>
      </c>
      <c r="Y376" s="202" t="n">
        <v>0</v>
      </c>
      <c r="Z376" s="202" t="n">
        <v>0</v>
      </c>
      <c r="AA376" s="202" t="s">
        <v>1638</v>
      </c>
      <c r="AB376" s="202" t="s">
        <v>1639</v>
      </c>
      <c r="AC376" s="202" t="s">
        <v>92</v>
      </c>
      <c r="AD376" s="202" t="s">
        <v>542</v>
      </c>
      <c r="AE376" s="202" t="s">
        <v>1640</v>
      </c>
      <c r="AF376" s="202"/>
      <c r="AG376" s="202" t="s">
        <v>1640</v>
      </c>
      <c r="AH376" s="202" t="s">
        <v>501</v>
      </c>
    </row>
    <row r="377" customFormat="false" ht="15" hidden="false" customHeight="false" outlineLevel="0" collapsed="false">
      <c r="A377" s="202" t="s">
        <v>60</v>
      </c>
      <c r="B377" s="203" t="s">
        <v>49</v>
      </c>
      <c r="C377" s="202" t="s">
        <v>1647</v>
      </c>
      <c r="D377" s="202" t="s">
        <v>1648</v>
      </c>
      <c r="E377" s="202" t="s">
        <v>1649</v>
      </c>
      <c r="F377" s="90" t="s">
        <v>234</v>
      </c>
      <c r="G377" s="202" t="s">
        <v>1627</v>
      </c>
      <c r="H377" s="204" t="n">
        <f aca="false">IFERROR(INDEX(Schedule!$E$2:$E$147,MATCH($G377,Schedule!$A$2:$A$147,0)),"")</f>
        <v>45017</v>
      </c>
      <c r="I377" s="204" t="n">
        <f aca="false">IFERROR(INDEX(Schedule!$F$2:$F$147,MATCH($G377,Schedule!$A$2:$A$147,0)),"")</f>
        <v>45138</v>
      </c>
      <c r="J377" s="92"/>
      <c r="K377" s="92"/>
      <c r="L377" s="92"/>
      <c r="M377" s="92"/>
      <c r="N377" s="92"/>
      <c r="O377" s="90" t="n">
        <v>1</v>
      </c>
      <c r="P377" s="205" t="n">
        <f aca="false">IFERROR((IF(OR(ISNUMBER(J377),UPPER(TRIM(J377))="N/A"),1,0)*IF($W377="N",0,INDEX('Rules of Credit'!$B$5:$F$8,MATCH($F377,'Rules of Credit'!$A$5:$A$8,0),1))+IF(OR(ISNUMBER(K377),UPPER(TRIM(K377))="N/A"),1,0)*INDEX('Rules of Credit'!$B$5:$F$8,MATCH($F377,'Rules of Credit'!$A$5:$A$8,0),2)+IF(OR(ISNUMBER(L377),UPPER(TRIM(L377))="N/A"),1,0)*INDEX('Rules of Credit'!$B$5:$F$8,MATCH($F377,'Rules of Credit'!$A$5:$A$8,0),3)+IF(OR(ISNUMBER(M377),UPPER(TRIM(M377))="N/A"),1,0)*IF($X377="N",0,INDEX('Rules of Credit'!$B$5:$F$8,MATCH($F377,'Rules of Credit'!$A$5:$A$8,0),4))+IF(OR(ISNUMBER(N377),UPPER(TRIM(N377))="N/A"),1,0)*INDEX('Rules of Credit'!$B$5:$F$8,MATCH($F377,'Rules of Credit'!$A$5:$A$8,0),5))/(IF($W377="N",0,INDEX('Rules of Credit'!$B$5:$F$8,MATCH($F377,'Rules of Credit'!$A$5:$A$8,0),1))+INDEX('Rules of Credit'!$B$5:$F$8,MATCH($F377,'Rules of Credit'!$A$5:$A$8,0),2)+INDEX('Rules of Credit'!$B$5:$F$8,MATCH($F377,'Rules of Credit'!$A$5:$A$8,0),3)+IF($X377="N",0,INDEX('Rules of Credit'!$B$5:$F$8,MATCH($F377,'Rules of Credit'!$A$5:$A$8,0),4))+INDEX('Rules of Credit'!$B$5:$F$8,MATCH($F377,'Rules of Credit'!$A$5:$A$8,0),5)),0)</f>
        <v>0</v>
      </c>
      <c r="Q377" s="205" t="n">
        <f aca="false">IF(OR($H377="",$I377=""),0,IF('Tracker Summary'!$C$3&lt;$H377,0,IF('Tracker Summary'!$C$3&gt;=$I377,1,('Tracker Summary'!$C$3-$H377)/($I377-$H377+1))))</f>
        <v>0</v>
      </c>
      <c r="R377" s="205" t="n">
        <f aca="false">P377-Q377</f>
        <v>0</v>
      </c>
      <c r="S377" s="202" t="str">
        <f aca="false">IF($I377="","Not scheduled",IF(P377&gt;=1,"Complete",IF('Tracker Summary'!$C$3&gt;$I377,"Overdue",IF(P377-Q377&lt;-0.1,"Behind",IF(AND(P377=0,'Tracker Summary'!$C$3&lt;$H377),"Not started","On track")))))</f>
        <v>Not started</v>
      </c>
      <c r="T377" s="90"/>
      <c r="U377" s="202" t="str">
        <f aca="false">IFERROR(INDEX(Schedule!$D$2:$D$147,MATCH($G377,Schedule!$A$2:$A$147,0)),"")</f>
        <v>Blowers &amp; 2W Plant Water System — Blower Building</v>
      </c>
      <c r="V377" s="204" t="n">
        <f aca="false">IFERROR(INDEX(Schedule!$F$2:$F$147,MATCH("43-P01",Schedule!$A$2:$A$147,0)),"")</f>
        <v>45016</v>
      </c>
      <c r="W377" s="202" t="s">
        <v>115</v>
      </c>
      <c r="X377" s="202" t="s">
        <v>115</v>
      </c>
      <c r="Y377" s="202" t="n">
        <v>0</v>
      </c>
      <c r="Z377" s="202" t="n">
        <v>0</v>
      </c>
      <c r="AA377" s="202" t="s">
        <v>1650</v>
      </c>
      <c r="AB377" s="202" t="s">
        <v>1651</v>
      </c>
      <c r="AC377" s="202" t="s">
        <v>92</v>
      </c>
      <c r="AD377" s="202" t="s">
        <v>542</v>
      </c>
      <c r="AE377" s="202" t="s">
        <v>1640</v>
      </c>
      <c r="AF377" s="202"/>
      <c r="AG377" s="202" t="s">
        <v>1640</v>
      </c>
      <c r="AH377" s="202" t="s">
        <v>501</v>
      </c>
    </row>
    <row r="378" customFormat="false" ht="15" hidden="false" customHeight="false" outlineLevel="0" collapsed="false">
      <c r="A378" s="202" t="s">
        <v>60</v>
      </c>
      <c r="B378" s="203" t="s">
        <v>49</v>
      </c>
      <c r="C378" s="202" t="s">
        <v>1652</v>
      </c>
      <c r="D378" s="202" t="s">
        <v>1653</v>
      </c>
      <c r="E378" s="202" t="s">
        <v>233</v>
      </c>
      <c r="F378" s="90" t="s">
        <v>234</v>
      </c>
      <c r="G378" s="202" t="s">
        <v>1627</v>
      </c>
      <c r="H378" s="204" t="n">
        <f aca="false">IFERROR(INDEX(Schedule!$E$2:$E$147,MATCH($G378,Schedule!$A$2:$A$147,0)),"")</f>
        <v>45017</v>
      </c>
      <c r="I378" s="204" t="n">
        <f aca="false">IFERROR(INDEX(Schedule!$F$2:$F$147,MATCH($G378,Schedule!$A$2:$A$147,0)),"")</f>
        <v>45138</v>
      </c>
      <c r="J378" s="92"/>
      <c r="K378" s="92"/>
      <c r="L378" s="92"/>
      <c r="M378" s="92"/>
      <c r="N378" s="92"/>
      <c r="O378" s="90" t="n">
        <v>1</v>
      </c>
      <c r="P378" s="205" t="n">
        <f aca="false">IFERROR((IF(OR(ISNUMBER(J378),UPPER(TRIM(J378))="N/A"),1,0)*IF($W378="N",0,INDEX('Rules of Credit'!$B$5:$F$8,MATCH($F378,'Rules of Credit'!$A$5:$A$8,0),1))+IF(OR(ISNUMBER(K378),UPPER(TRIM(K378))="N/A"),1,0)*INDEX('Rules of Credit'!$B$5:$F$8,MATCH($F378,'Rules of Credit'!$A$5:$A$8,0),2)+IF(OR(ISNUMBER(L378),UPPER(TRIM(L378))="N/A"),1,0)*INDEX('Rules of Credit'!$B$5:$F$8,MATCH($F378,'Rules of Credit'!$A$5:$A$8,0),3)+IF(OR(ISNUMBER(M378),UPPER(TRIM(M378))="N/A"),1,0)*IF($X378="N",0,INDEX('Rules of Credit'!$B$5:$F$8,MATCH($F378,'Rules of Credit'!$A$5:$A$8,0),4))+IF(OR(ISNUMBER(N378),UPPER(TRIM(N378))="N/A"),1,0)*INDEX('Rules of Credit'!$B$5:$F$8,MATCH($F378,'Rules of Credit'!$A$5:$A$8,0),5))/(IF($W378="N",0,INDEX('Rules of Credit'!$B$5:$F$8,MATCH($F378,'Rules of Credit'!$A$5:$A$8,0),1))+INDEX('Rules of Credit'!$B$5:$F$8,MATCH($F378,'Rules of Credit'!$A$5:$A$8,0),2)+INDEX('Rules of Credit'!$B$5:$F$8,MATCH($F378,'Rules of Credit'!$A$5:$A$8,0),3)+IF($X378="N",0,INDEX('Rules of Credit'!$B$5:$F$8,MATCH($F378,'Rules of Credit'!$A$5:$A$8,0),4))+INDEX('Rules of Credit'!$B$5:$F$8,MATCH($F378,'Rules of Credit'!$A$5:$A$8,0),5)),0)</f>
        <v>0</v>
      </c>
      <c r="Q378" s="205" t="n">
        <f aca="false">IF(OR($H378="",$I378=""),0,IF('Tracker Summary'!$C$3&lt;$H378,0,IF('Tracker Summary'!$C$3&gt;=$I378,1,('Tracker Summary'!$C$3-$H378)/($I378-$H378+1))))</f>
        <v>0</v>
      </c>
      <c r="R378" s="205" t="n">
        <f aca="false">P378-Q378</f>
        <v>0</v>
      </c>
      <c r="S378" s="202" t="str">
        <f aca="false">IF($I378="","Not scheduled",IF(P378&gt;=1,"Complete",IF('Tracker Summary'!$C$3&gt;$I378,"Overdue",IF(P378-Q378&lt;-0.1,"Behind",IF(AND(P378=0,'Tracker Summary'!$C$3&lt;$H378),"Not started","On track")))))</f>
        <v>Not started</v>
      </c>
      <c r="T378" s="90"/>
      <c r="U378" s="202" t="str">
        <f aca="false">IFERROR(INDEX(Schedule!$D$2:$D$147,MATCH($G378,Schedule!$A$2:$A$147,0)),"")</f>
        <v>Blowers &amp; 2W Plant Water System — Blower Building</v>
      </c>
      <c r="V378" s="204" t="n">
        <f aca="false">IFERROR(INDEX(Schedule!$F$2:$F$147,MATCH("43-P01",Schedule!$A$2:$A$147,0)),"")</f>
        <v>45016</v>
      </c>
      <c r="W378" s="202" t="s">
        <v>115</v>
      </c>
      <c r="X378" s="202" t="s">
        <v>115</v>
      </c>
      <c r="Y378" s="202" t="n">
        <v>0</v>
      </c>
      <c r="Z378" s="202" t="n">
        <v>0</v>
      </c>
      <c r="AA378" s="202" t="s">
        <v>1654</v>
      </c>
      <c r="AB378" s="202" t="s">
        <v>1655</v>
      </c>
      <c r="AC378" s="202" t="s">
        <v>92</v>
      </c>
      <c r="AD378" s="202" t="s">
        <v>236</v>
      </c>
      <c r="AE378" s="202" t="s">
        <v>1656</v>
      </c>
      <c r="AF378" s="202"/>
      <c r="AG378" s="202" t="s">
        <v>1656</v>
      </c>
      <c r="AH378" s="202" t="s">
        <v>240</v>
      </c>
    </row>
    <row r="379" customFormat="false" ht="15" hidden="false" customHeight="false" outlineLevel="0" collapsed="false">
      <c r="A379" s="202" t="s">
        <v>60</v>
      </c>
      <c r="B379" s="203" t="s">
        <v>49</v>
      </c>
      <c r="C379" s="202" t="s">
        <v>1657</v>
      </c>
      <c r="D379" s="202" t="s">
        <v>1658</v>
      </c>
      <c r="E379" s="202" t="s">
        <v>233</v>
      </c>
      <c r="F379" s="90" t="s">
        <v>234</v>
      </c>
      <c r="G379" s="202" t="s">
        <v>1627</v>
      </c>
      <c r="H379" s="204" t="n">
        <f aca="false">IFERROR(INDEX(Schedule!$E$2:$E$147,MATCH($G379,Schedule!$A$2:$A$147,0)),"")</f>
        <v>45017</v>
      </c>
      <c r="I379" s="204" t="n">
        <f aca="false">IFERROR(INDEX(Schedule!$F$2:$F$147,MATCH($G379,Schedule!$A$2:$A$147,0)),"")</f>
        <v>45138</v>
      </c>
      <c r="J379" s="92"/>
      <c r="K379" s="92"/>
      <c r="L379" s="92"/>
      <c r="M379" s="92"/>
      <c r="N379" s="92"/>
      <c r="O379" s="90" t="n">
        <v>1</v>
      </c>
      <c r="P379" s="205" t="n">
        <f aca="false">IFERROR((IF(OR(ISNUMBER(J379),UPPER(TRIM(J379))="N/A"),1,0)*IF($W379="N",0,INDEX('Rules of Credit'!$B$5:$F$8,MATCH($F379,'Rules of Credit'!$A$5:$A$8,0),1))+IF(OR(ISNUMBER(K379),UPPER(TRIM(K379))="N/A"),1,0)*INDEX('Rules of Credit'!$B$5:$F$8,MATCH($F379,'Rules of Credit'!$A$5:$A$8,0),2)+IF(OR(ISNUMBER(L379),UPPER(TRIM(L379))="N/A"),1,0)*INDEX('Rules of Credit'!$B$5:$F$8,MATCH($F379,'Rules of Credit'!$A$5:$A$8,0),3)+IF(OR(ISNUMBER(M379),UPPER(TRIM(M379))="N/A"),1,0)*IF($X379="N",0,INDEX('Rules of Credit'!$B$5:$F$8,MATCH($F379,'Rules of Credit'!$A$5:$A$8,0),4))+IF(OR(ISNUMBER(N379),UPPER(TRIM(N379))="N/A"),1,0)*INDEX('Rules of Credit'!$B$5:$F$8,MATCH($F379,'Rules of Credit'!$A$5:$A$8,0),5))/(IF($W379="N",0,INDEX('Rules of Credit'!$B$5:$F$8,MATCH($F379,'Rules of Credit'!$A$5:$A$8,0),1))+INDEX('Rules of Credit'!$B$5:$F$8,MATCH($F379,'Rules of Credit'!$A$5:$A$8,0),2)+INDEX('Rules of Credit'!$B$5:$F$8,MATCH($F379,'Rules of Credit'!$A$5:$A$8,0),3)+IF($X379="N",0,INDEX('Rules of Credit'!$B$5:$F$8,MATCH($F379,'Rules of Credit'!$A$5:$A$8,0),4))+INDEX('Rules of Credit'!$B$5:$F$8,MATCH($F379,'Rules of Credit'!$A$5:$A$8,0),5)),0)</f>
        <v>0</v>
      </c>
      <c r="Q379" s="205" t="n">
        <f aca="false">IF(OR($H379="",$I379=""),0,IF('Tracker Summary'!$C$3&lt;$H379,0,IF('Tracker Summary'!$C$3&gt;=$I379,1,('Tracker Summary'!$C$3-$H379)/($I379-$H379+1))))</f>
        <v>0</v>
      </c>
      <c r="R379" s="205" t="n">
        <f aca="false">P379-Q379</f>
        <v>0</v>
      </c>
      <c r="S379" s="202" t="str">
        <f aca="false">IF($I379="","Not scheduled",IF(P379&gt;=1,"Complete",IF('Tracker Summary'!$C$3&gt;$I379,"Overdue",IF(P379-Q379&lt;-0.1,"Behind",IF(AND(P379=0,'Tracker Summary'!$C$3&lt;$H379),"Not started","On track")))))</f>
        <v>Not started</v>
      </c>
      <c r="T379" s="90"/>
      <c r="U379" s="202" t="str">
        <f aca="false">IFERROR(INDEX(Schedule!$D$2:$D$147,MATCH($G379,Schedule!$A$2:$A$147,0)),"")</f>
        <v>Blowers &amp; 2W Plant Water System — Blower Building</v>
      </c>
      <c r="V379" s="204" t="n">
        <f aca="false">IFERROR(INDEX(Schedule!$F$2:$F$147,MATCH("43-P01",Schedule!$A$2:$A$147,0)),"")</f>
        <v>45016</v>
      </c>
      <c r="W379" s="202" t="s">
        <v>115</v>
      </c>
      <c r="X379" s="202" t="s">
        <v>115</v>
      </c>
      <c r="Y379" s="202" t="n">
        <v>0</v>
      </c>
      <c r="Z379" s="202" t="n">
        <v>0</v>
      </c>
      <c r="AA379" s="202" t="s">
        <v>1659</v>
      </c>
      <c r="AB379" s="202" t="s">
        <v>1660</v>
      </c>
      <c r="AC379" s="202" t="s">
        <v>92</v>
      </c>
      <c r="AD379" s="202" t="s">
        <v>236</v>
      </c>
      <c r="AE379" s="202" t="s">
        <v>447</v>
      </c>
      <c r="AF379" s="202"/>
      <c r="AG379" s="202" t="s">
        <v>447</v>
      </c>
      <c r="AH379" s="202" t="s">
        <v>240</v>
      </c>
    </row>
    <row r="380" customFormat="false" ht="15" hidden="false" customHeight="false" outlineLevel="0" collapsed="false">
      <c r="A380" s="202" t="s">
        <v>60</v>
      </c>
      <c r="B380" s="203" t="s">
        <v>49</v>
      </c>
      <c r="C380" s="202" t="s">
        <v>1661</v>
      </c>
      <c r="D380" s="202" t="s">
        <v>1662</v>
      </c>
      <c r="E380" s="202" t="s">
        <v>233</v>
      </c>
      <c r="F380" s="90" t="s">
        <v>234</v>
      </c>
      <c r="G380" s="202" t="s">
        <v>1627</v>
      </c>
      <c r="H380" s="204" t="n">
        <f aca="false">IFERROR(INDEX(Schedule!$E$2:$E$147,MATCH($G380,Schedule!$A$2:$A$147,0)),"")</f>
        <v>45017</v>
      </c>
      <c r="I380" s="204" t="n">
        <f aca="false">IFERROR(INDEX(Schedule!$F$2:$F$147,MATCH($G380,Schedule!$A$2:$A$147,0)),"")</f>
        <v>45138</v>
      </c>
      <c r="J380" s="92"/>
      <c r="K380" s="92"/>
      <c r="L380" s="92"/>
      <c r="M380" s="92"/>
      <c r="N380" s="92"/>
      <c r="O380" s="90" t="n">
        <v>1</v>
      </c>
      <c r="P380" s="205" t="n">
        <f aca="false">IFERROR((IF(OR(ISNUMBER(J380),UPPER(TRIM(J380))="N/A"),1,0)*IF($W380="N",0,INDEX('Rules of Credit'!$B$5:$F$8,MATCH($F380,'Rules of Credit'!$A$5:$A$8,0),1))+IF(OR(ISNUMBER(K380),UPPER(TRIM(K380))="N/A"),1,0)*INDEX('Rules of Credit'!$B$5:$F$8,MATCH($F380,'Rules of Credit'!$A$5:$A$8,0),2)+IF(OR(ISNUMBER(L380),UPPER(TRIM(L380))="N/A"),1,0)*INDEX('Rules of Credit'!$B$5:$F$8,MATCH($F380,'Rules of Credit'!$A$5:$A$8,0),3)+IF(OR(ISNUMBER(M380),UPPER(TRIM(M380))="N/A"),1,0)*IF($X380="N",0,INDEX('Rules of Credit'!$B$5:$F$8,MATCH($F380,'Rules of Credit'!$A$5:$A$8,0),4))+IF(OR(ISNUMBER(N380),UPPER(TRIM(N380))="N/A"),1,0)*INDEX('Rules of Credit'!$B$5:$F$8,MATCH($F380,'Rules of Credit'!$A$5:$A$8,0),5))/(IF($W380="N",0,INDEX('Rules of Credit'!$B$5:$F$8,MATCH($F380,'Rules of Credit'!$A$5:$A$8,0),1))+INDEX('Rules of Credit'!$B$5:$F$8,MATCH($F380,'Rules of Credit'!$A$5:$A$8,0),2)+INDEX('Rules of Credit'!$B$5:$F$8,MATCH($F380,'Rules of Credit'!$A$5:$A$8,0),3)+IF($X380="N",0,INDEX('Rules of Credit'!$B$5:$F$8,MATCH($F380,'Rules of Credit'!$A$5:$A$8,0),4))+INDEX('Rules of Credit'!$B$5:$F$8,MATCH($F380,'Rules of Credit'!$A$5:$A$8,0),5)),0)</f>
        <v>0</v>
      </c>
      <c r="Q380" s="205" t="n">
        <f aca="false">IF(OR($H380="",$I380=""),0,IF('Tracker Summary'!$C$3&lt;$H380,0,IF('Tracker Summary'!$C$3&gt;=$I380,1,('Tracker Summary'!$C$3-$H380)/($I380-$H380+1))))</f>
        <v>0</v>
      </c>
      <c r="R380" s="205" t="n">
        <f aca="false">P380-Q380</f>
        <v>0</v>
      </c>
      <c r="S380" s="202" t="str">
        <f aca="false">IF($I380="","Not scheduled",IF(P380&gt;=1,"Complete",IF('Tracker Summary'!$C$3&gt;$I380,"Overdue",IF(P380-Q380&lt;-0.1,"Behind",IF(AND(P380=0,'Tracker Summary'!$C$3&lt;$H380),"Not started","On track")))))</f>
        <v>Not started</v>
      </c>
      <c r="T380" s="90"/>
      <c r="U380" s="202" t="str">
        <f aca="false">IFERROR(INDEX(Schedule!$D$2:$D$147,MATCH($G380,Schedule!$A$2:$A$147,0)),"")</f>
        <v>Blowers &amp; 2W Plant Water System — Blower Building</v>
      </c>
      <c r="V380" s="204" t="n">
        <f aca="false">IFERROR(INDEX(Schedule!$F$2:$F$147,MATCH("43-P01",Schedule!$A$2:$A$147,0)),"")</f>
        <v>45016</v>
      </c>
      <c r="W380" s="202" t="s">
        <v>99</v>
      </c>
      <c r="X380" s="202" t="s">
        <v>99</v>
      </c>
      <c r="Y380" s="202" t="n">
        <v>11</v>
      </c>
      <c r="Z380" s="202" t="n">
        <v>4</v>
      </c>
      <c r="AA380" s="202" t="s">
        <v>1663</v>
      </c>
      <c r="AB380" s="202" t="s">
        <v>1664</v>
      </c>
      <c r="AC380" s="202" t="s">
        <v>92</v>
      </c>
      <c r="AD380" s="202" t="s">
        <v>93</v>
      </c>
      <c r="AE380" s="202"/>
      <c r="AF380" s="202" t="s">
        <v>869</v>
      </c>
      <c r="AG380" s="202" t="s">
        <v>1665</v>
      </c>
      <c r="AH380" s="202" t="s">
        <v>109</v>
      </c>
    </row>
    <row r="381" customFormat="false" ht="15" hidden="false" customHeight="false" outlineLevel="0" collapsed="false">
      <c r="A381" s="202" t="s">
        <v>60</v>
      </c>
      <c r="B381" s="203" t="s">
        <v>49</v>
      </c>
      <c r="C381" s="202" t="s">
        <v>1666</v>
      </c>
      <c r="D381" s="202" t="s">
        <v>1667</v>
      </c>
      <c r="E381" s="202" t="s">
        <v>1668</v>
      </c>
      <c r="F381" s="90" t="s">
        <v>234</v>
      </c>
      <c r="G381" s="202" t="s">
        <v>1669</v>
      </c>
      <c r="H381" s="204" t="n">
        <f aca="false">IFERROR(INDEX(Schedule!$E$2:$E$147,MATCH($G381,Schedule!$A$2:$A$147,0)),"")</f>
        <v>45017</v>
      </c>
      <c r="I381" s="204" t="n">
        <f aca="false">IFERROR(INDEX(Schedule!$F$2:$F$147,MATCH($G381,Schedule!$A$2:$A$147,0)),"")</f>
        <v>45231</v>
      </c>
      <c r="J381" s="92"/>
      <c r="K381" s="92"/>
      <c r="L381" s="92"/>
      <c r="M381" s="92"/>
      <c r="N381" s="92"/>
      <c r="O381" s="90" t="n">
        <v>1</v>
      </c>
      <c r="P381" s="205" t="n">
        <f aca="false">IFERROR((IF(OR(ISNUMBER(J381),UPPER(TRIM(J381))="N/A"),1,0)*IF($W381="N",0,INDEX('Rules of Credit'!$B$5:$F$8,MATCH($F381,'Rules of Credit'!$A$5:$A$8,0),1))+IF(OR(ISNUMBER(K381),UPPER(TRIM(K381))="N/A"),1,0)*INDEX('Rules of Credit'!$B$5:$F$8,MATCH($F381,'Rules of Credit'!$A$5:$A$8,0),2)+IF(OR(ISNUMBER(L381),UPPER(TRIM(L381))="N/A"),1,0)*INDEX('Rules of Credit'!$B$5:$F$8,MATCH($F381,'Rules of Credit'!$A$5:$A$8,0),3)+IF(OR(ISNUMBER(M381),UPPER(TRIM(M381))="N/A"),1,0)*IF($X381="N",0,INDEX('Rules of Credit'!$B$5:$F$8,MATCH($F381,'Rules of Credit'!$A$5:$A$8,0),4))+IF(OR(ISNUMBER(N381),UPPER(TRIM(N381))="N/A"),1,0)*INDEX('Rules of Credit'!$B$5:$F$8,MATCH($F381,'Rules of Credit'!$A$5:$A$8,0),5))/(IF($W381="N",0,INDEX('Rules of Credit'!$B$5:$F$8,MATCH($F381,'Rules of Credit'!$A$5:$A$8,0),1))+INDEX('Rules of Credit'!$B$5:$F$8,MATCH($F381,'Rules of Credit'!$A$5:$A$8,0),2)+INDEX('Rules of Credit'!$B$5:$F$8,MATCH($F381,'Rules of Credit'!$A$5:$A$8,0),3)+IF($X381="N",0,INDEX('Rules of Credit'!$B$5:$F$8,MATCH($F381,'Rules of Credit'!$A$5:$A$8,0),4))+INDEX('Rules of Credit'!$B$5:$F$8,MATCH($F381,'Rules of Credit'!$A$5:$A$8,0),5)),0)</f>
        <v>0</v>
      </c>
      <c r="Q381" s="205" t="n">
        <f aca="false">IF(OR($H381="",$I381=""),0,IF('Tracker Summary'!$C$3&lt;$H381,0,IF('Tracker Summary'!$C$3&gt;=$I381,1,('Tracker Summary'!$C$3-$H381)/($I381-$H381+1))))</f>
        <v>0</v>
      </c>
      <c r="R381" s="205" t="n">
        <f aca="false">P381-Q381</f>
        <v>0</v>
      </c>
      <c r="S381" s="202" t="str">
        <f aca="false">IF($I381="","Not scheduled",IF(P381&gt;=1,"Complete",IF('Tracker Summary'!$C$3&gt;$I381,"Overdue",IF(P381-Q381&lt;-0.1,"Behind",IF(AND(P381=0,'Tracker Summary'!$C$3&lt;$H381),"Not started","On track")))))</f>
        <v>Not started</v>
      </c>
      <c r="T381" s="90"/>
      <c r="U381" s="202" t="str">
        <f aca="false">IFERROR(INDEX(Schedule!$D$2:$D$147,MATCH($G381,Schedule!$A$2:$A$147,0)),"")</f>
        <v>Blowers &amp; 2W Plant Water System — Aerobic digester</v>
      </c>
      <c r="V381" s="204" t="n">
        <f aca="false">IFERROR(INDEX(Schedule!$F$2:$F$147,MATCH("43-P01",Schedule!$A$2:$A$147,0)),"")</f>
        <v>45016</v>
      </c>
      <c r="W381" s="202" t="s">
        <v>99</v>
      </c>
      <c r="X381" s="202" t="s">
        <v>99</v>
      </c>
      <c r="Y381" s="202" t="n">
        <v>1</v>
      </c>
      <c r="Z381" s="202" t="n">
        <v>1</v>
      </c>
      <c r="AA381" s="202" t="s">
        <v>1670</v>
      </c>
      <c r="AB381" s="202" t="s">
        <v>1671</v>
      </c>
      <c r="AC381" s="202" t="s">
        <v>92</v>
      </c>
      <c r="AD381" s="202" t="s">
        <v>511</v>
      </c>
      <c r="AE381" s="202" t="s">
        <v>1672</v>
      </c>
      <c r="AF381" s="202" t="s">
        <v>1630</v>
      </c>
      <c r="AG381" s="202" t="s">
        <v>1673</v>
      </c>
      <c r="AH381" s="202" t="s">
        <v>213</v>
      </c>
    </row>
    <row r="382" customFormat="false" ht="15" hidden="false" customHeight="false" outlineLevel="0" collapsed="false">
      <c r="A382" s="202" t="s">
        <v>60</v>
      </c>
      <c r="B382" s="203" t="s">
        <v>49</v>
      </c>
      <c r="C382" s="202" t="s">
        <v>1674</v>
      </c>
      <c r="D382" s="202" t="s">
        <v>1675</v>
      </c>
      <c r="E382" s="202" t="s">
        <v>98</v>
      </c>
      <c r="F382" s="90" t="s">
        <v>234</v>
      </c>
      <c r="G382" s="202" t="s">
        <v>1676</v>
      </c>
      <c r="H382" s="204" t="n">
        <f aca="false">IFERROR(INDEX(Schedule!$E$2:$E$147,MATCH($G382,Schedule!$A$2:$A$147,0)),"")</f>
        <v>45017</v>
      </c>
      <c r="I382" s="204" t="n">
        <f aca="false">IFERROR(INDEX(Schedule!$F$2:$F$147,MATCH($G382,Schedule!$A$2:$A$147,0)),"")</f>
        <v>45231</v>
      </c>
      <c r="J382" s="92"/>
      <c r="K382" s="92"/>
      <c r="L382" s="92"/>
      <c r="M382" s="92"/>
      <c r="N382" s="92"/>
      <c r="O382" s="90" t="n">
        <v>1</v>
      </c>
      <c r="P382" s="205" t="n">
        <f aca="false">IFERROR((IF(OR(ISNUMBER(J382),UPPER(TRIM(J382))="N/A"),1,0)*IF($W382="N",0,INDEX('Rules of Credit'!$B$5:$F$8,MATCH($F382,'Rules of Credit'!$A$5:$A$8,0),1))+IF(OR(ISNUMBER(K382),UPPER(TRIM(K382))="N/A"),1,0)*INDEX('Rules of Credit'!$B$5:$F$8,MATCH($F382,'Rules of Credit'!$A$5:$A$8,0),2)+IF(OR(ISNUMBER(L382),UPPER(TRIM(L382))="N/A"),1,0)*INDEX('Rules of Credit'!$B$5:$F$8,MATCH($F382,'Rules of Credit'!$A$5:$A$8,0),3)+IF(OR(ISNUMBER(M382),UPPER(TRIM(M382))="N/A"),1,0)*IF($X382="N",0,INDEX('Rules of Credit'!$B$5:$F$8,MATCH($F382,'Rules of Credit'!$A$5:$A$8,0),4))+IF(OR(ISNUMBER(N382),UPPER(TRIM(N382))="N/A"),1,0)*INDEX('Rules of Credit'!$B$5:$F$8,MATCH($F382,'Rules of Credit'!$A$5:$A$8,0),5))/(IF($W382="N",0,INDEX('Rules of Credit'!$B$5:$F$8,MATCH($F382,'Rules of Credit'!$A$5:$A$8,0),1))+INDEX('Rules of Credit'!$B$5:$F$8,MATCH($F382,'Rules of Credit'!$A$5:$A$8,0),2)+INDEX('Rules of Credit'!$B$5:$F$8,MATCH($F382,'Rules of Credit'!$A$5:$A$8,0),3)+IF($X382="N",0,INDEX('Rules of Credit'!$B$5:$F$8,MATCH($F382,'Rules of Credit'!$A$5:$A$8,0),4))+INDEX('Rules of Credit'!$B$5:$F$8,MATCH($F382,'Rules of Credit'!$A$5:$A$8,0),5)),0)</f>
        <v>0</v>
      </c>
      <c r="Q382" s="205" t="n">
        <f aca="false">IF(OR($H382="",$I382=""),0,IF('Tracker Summary'!$C$3&lt;$H382,0,IF('Tracker Summary'!$C$3&gt;=$I382,1,('Tracker Summary'!$C$3-$H382)/($I382-$H382+1))))</f>
        <v>0</v>
      </c>
      <c r="R382" s="205" t="n">
        <f aca="false">P382-Q382</f>
        <v>0</v>
      </c>
      <c r="S382" s="202" t="str">
        <f aca="false">IF($I382="","Not scheduled",IF(P382&gt;=1,"Complete",IF('Tracker Summary'!$C$3&gt;$I382,"Overdue",IF(P382-Q382&lt;-0.1,"Behind",IF(AND(P382=0,'Tracker Summary'!$C$3&lt;$H382),"Not started","On track")))))</f>
        <v>Not started</v>
      </c>
      <c r="T382" s="90"/>
      <c r="U382" s="202" t="str">
        <f aca="false">IFERROR(INDEX(Schedule!$D$2:$D$147,MATCH($G382,Schedule!$A$2:$A$147,0)),"")</f>
        <v>Blowers &amp; 2W Plant Water System — Yard piping, vaults and site utilities</v>
      </c>
      <c r="V382" s="204" t="n">
        <f aca="false">IFERROR(INDEX(Schedule!$F$2:$F$147,MATCH("43-P01",Schedule!$A$2:$A$147,0)),"")</f>
        <v>45016</v>
      </c>
      <c r="W382" s="202" t="s">
        <v>91</v>
      </c>
      <c r="X382" s="202" t="s">
        <v>91</v>
      </c>
      <c r="Y382" s="202" t="n">
        <v>0</v>
      </c>
      <c r="Z382" s="202" t="n">
        <v>0</v>
      </c>
      <c r="AA382" s="202" t="s">
        <v>1677</v>
      </c>
      <c r="AB382" s="202" t="s">
        <v>1678</v>
      </c>
      <c r="AC382" s="202" t="s">
        <v>92</v>
      </c>
      <c r="AD382" s="202" t="s">
        <v>93</v>
      </c>
      <c r="AE382" s="202" t="s">
        <v>1679</v>
      </c>
      <c r="AF382" s="202"/>
      <c r="AG382" s="202" t="s">
        <v>1680</v>
      </c>
      <c r="AH382" s="202" t="s">
        <v>95</v>
      </c>
    </row>
    <row r="383" customFormat="false" ht="15" hidden="false" customHeight="false" outlineLevel="0" collapsed="false">
      <c r="A383" s="202" t="s">
        <v>60</v>
      </c>
      <c r="B383" s="203" t="s">
        <v>49</v>
      </c>
      <c r="C383" s="202" t="s">
        <v>1681</v>
      </c>
      <c r="D383" s="202" t="s">
        <v>1682</v>
      </c>
      <c r="E383" s="202" t="s">
        <v>98</v>
      </c>
      <c r="F383" s="90" t="s">
        <v>234</v>
      </c>
      <c r="G383" s="202" t="s">
        <v>1676</v>
      </c>
      <c r="H383" s="204" t="n">
        <f aca="false">IFERROR(INDEX(Schedule!$E$2:$E$147,MATCH($G383,Schedule!$A$2:$A$147,0)),"")</f>
        <v>45017</v>
      </c>
      <c r="I383" s="204" t="n">
        <f aca="false">IFERROR(INDEX(Schedule!$F$2:$F$147,MATCH($G383,Schedule!$A$2:$A$147,0)),"")</f>
        <v>45231</v>
      </c>
      <c r="J383" s="92"/>
      <c r="K383" s="92"/>
      <c r="L383" s="92"/>
      <c r="M383" s="92"/>
      <c r="N383" s="92"/>
      <c r="O383" s="90" t="n">
        <v>1</v>
      </c>
      <c r="P383" s="205" t="n">
        <f aca="false">IFERROR((IF(OR(ISNUMBER(J383),UPPER(TRIM(J383))="N/A"),1,0)*IF($W383="N",0,INDEX('Rules of Credit'!$B$5:$F$8,MATCH($F383,'Rules of Credit'!$A$5:$A$8,0),1))+IF(OR(ISNUMBER(K383),UPPER(TRIM(K383))="N/A"),1,0)*INDEX('Rules of Credit'!$B$5:$F$8,MATCH($F383,'Rules of Credit'!$A$5:$A$8,0),2)+IF(OR(ISNUMBER(L383),UPPER(TRIM(L383))="N/A"),1,0)*INDEX('Rules of Credit'!$B$5:$F$8,MATCH($F383,'Rules of Credit'!$A$5:$A$8,0),3)+IF(OR(ISNUMBER(M383),UPPER(TRIM(M383))="N/A"),1,0)*IF($X383="N",0,INDEX('Rules of Credit'!$B$5:$F$8,MATCH($F383,'Rules of Credit'!$A$5:$A$8,0),4))+IF(OR(ISNUMBER(N383),UPPER(TRIM(N383))="N/A"),1,0)*INDEX('Rules of Credit'!$B$5:$F$8,MATCH($F383,'Rules of Credit'!$A$5:$A$8,0),5))/(IF($W383="N",0,INDEX('Rules of Credit'!$B$5:$F$8,MATCH($F383,'Rules of Credit'!$A$5:$A$8,0),1))+INDEX('Rules of Credit'!$B$5:$F$8,MATCH($F383,'Rules of Credit'!$A$5:$A$8,0),2)+INDEX('Rules of Credit'!$B$5:$F$8,MATCH($F383,'Rules of Credit'!$A$5:$A$8,0),3)+IF($X383="N",0,INDEX('Rules of Credit'!$B$5:$F$8,MATCH($F383,'Rules of Credit'!$A$5:$A$8,0),4))+INDEX('Rules of Credit'!$B$5:$F$8,MATCH($F383,'Rules of Credit'!$A$5:$A$8,0),5)),0)</f>
        <v>0</v>
      </c>
      <c r="Q383" s="205" t="n">
        <f aca="false">IF(OR($H383="",$I383=""),0,IF('Tracker Summary'!$C$3&lt;$H383,0,IF('Tracker Summary'!$C$3&gt;=$I383,1,('Tracker Summary'!$C$3-$H383)/($I383-$H383+1))))</f>
        <v>0</v>
      </c>
      <c r="R383" s="205" t="n">
        <f aca="false">P383-Q383</f>
        <v>0</v>
      </c>
      <c r="S383" s="202" t="str">
        <f aca="false">IF($I383="","Not scheduled",IF(P383&gt;=1,"Complete",IF('Tracker Summary'!$C$3&gt;$I383,"Overdue",IF(P383-Q383&lt;-0.1,"Behind",IF(AND(P383=0,'Tracker Summary'!$C$3&lt;$H383),"Not started","On track")))))</f>
        <v>Not started</v>
      </c>
      <c r="T383" s="90"/>
      <c r="U383" s="202" t="str">
        <f aca="false">IFERROR(INDEX(Schedule!$D$2:$D$147,MATCH($G383,Schedule!$A$2:$A$147,0)),"")</f>
        <v>Blowers &amp; 2W Plant Water System — Yard piping, vaults and site utilities</v>
      </c>
      <c r="V383" s="204" t="n">
        <f aca="false">IFERROR(INDEX(Schedule!$F$2:$F$147,MATCH("43-P01",Schedule!$A$2:$A$147,0)),"")</f>
        <v>45016</v>
      </c>
      <c r="W383" s="202" t="s">
        <v>91</v>
      </c>
      <c r="X383" s="202" t="s">
        <v>91</v>
      </c>
      <c r="Y383" s="202" t="n">
        <v>0</v>
      </c>
      <c r="Z383" s="202" t="n">
        <v>0</v>
      </c>
      <c r="AA383" s="202" t="s">
        <v>1683</v>
      </c>
      <c r="AB383" s="202" t="s">
        <v>1684</v>
      </c>
      <c r="AC383" s="202" t="s">
        <v>92</v>
      </c>
      <c r="AD383" s="202" t="s">
        <v>93</v>
      </c>
      <c r="AE383" s="202" t="s">
        <v>1685</v>
      </c>
      <c r="AF383" s="202"/>
      <c r="AG383" s="202" t="s">
        <v>1680</v>
      </c>
      <c r="AH383" s="202" t="s">
        <v>95</v>
      </c>
    </row>
    <row r="384" customFormat="false" ht="15" hidden="false" customHeight="false" outlineLevel="0" collapsed="false">
      <c r="A384" s="202" t="s">
        <v>60</v>
      </c>
      <c r="B384" s="203" t="s">
        <v>49</v>
      </c>
      <c r="C384" s="202" t="s">
        <v>1686</v>
      </c>
      <c r="D384" s="202" t="s">
        <v>1687</v>
      </c>
      <c r="E384" s="202" t="s">
        <v>98</v>
      </c>
      <c r="F384" s="90" t="s">
        <v>234</v>
      </c>
      <c r="G384" s="202" t="s">
        <v>1676</v>
      </c>
      <c r="H384" s="204" t="n">
        <f aca="false">IFERROR(INDEX(Schedule!$E$2:$E$147,MATCH($G384,Schedule!$A$2:$A$147,0)),"")</f>
        <v>45017</v>
      </c>
      <c r="I384" s="204" t="n">
        <f aca="false">IFERROR(INDEX(Schedule!$F$2:$F$147,MATCH($G384,Schedule!$A$2:$A$147,0)),"")</f>
        <v>45231</v>
      </c>
      <c r="J384" s="92"/>
      <c r="K384" s="92"/>
      <c r="L384" s="92"/>
      <c r="M384" s="92"/>
      <c r="N384" s="92"/>
      <c r="O384" s="90" t="n">
        <v>1</v>
      </c>
      <c r="P384" s="205" t="n">
        <f aca="false">IFERROR((IF(OR(ISNUMBER(J384),UPPER(TRIM(J384))="N/A"),1,0)*IF($W384="N",0,INDEX('Rules of Credit'!$B$5:$F$8,MATCH($F384,'Rules of Credit'!$A$5:$A$8,0),1))+IF(OR(ISNUMBER(K384),UPPER(TRIM(K384))="N/A"),1,0)*INDEX('Rules of Credit'!$B$5:$F$8,MATCH($F384,'Rules of Credit'!$A$5:$A$8,0),2)+IF(OR(ISNUMBER(L384),UPPER(TRIM(L384))="N/A"),1,0)*INDEX('Rules of Credit'!$B$5:$F$8,MATCH($F384,'Rules of Credit'!$A$5:$A$8,0),3)+IF(OR(ISNUMBER(M384),UPPER(TRIM(M384))="N/A"),1,0)*IF($X384="N",0,INDEX('Rules of Credit'!$B$5:$F$8,MATCH($F384,'Rules of Credit'!$A$5:$A$8,0),4))+IF(OR(ISNUMBER(N384),UPPER(TRIM(N384))="N/A"),1,0)*INDEX('Rules of Credit'!$B$5:$F$8,MATCH($F384,'Rules of Credit'!$A$5:$A$8,0),5))/(IF($W384="N",0,INDEX('Rules of Credit'!$B$5:$F$8,MATCH($F384,'Rules of Credit'!$A$5:$A$8,0),1))+INDEX('Rules of Credit'!$B$5:$F$8,MATCH($F384,'Rules of Credit'!$A$5:$A$8,0),2)+INDEX('Rules of Credit'!$B$5:$F$8,MATCH($F384,'Rules of Credit'!$A$5:$A$8,0),3)+IF($X384="N",0,INDEX('Rules of Credit'!$B$5:$F$8,MATCH($F384,'Rules of Credit'!$A$5:$A$8,0),4))+INDEX('Rules of Credit'!$B$5:$F$8,MATCH($F384,'Rules of Credit'!$A$5:$A$8,0),5)),0)</f>
        <v>0</v>
      </c>
      <c r="Q384" s="205" t="n">
        <f aca="false">IF(OR($H384="",$I384=""),0,IF('Tracker Summary'!$C$3&lt;$H384,0,IF('Tracker Summary'!$C$3&gt;=$I384,1,('Tracker Summary'!$C$3-$H384)/($I384-$H384+1))))</f>
        <v>0</v>
      </c>
      <c r="R384" s="205" t="n">
        <f aca="false">P384-Q384</f>
        <v>0</v>
      </c>
      <c r="S384" s="202" t="str">
        <f aca="false">IF($I384="","Not scheduled",IF(P384&gt;=1,"Complete",IF('Tracker Summary'!$C$3&gt;$I384,"Overdue",IF(P384-Q384&lt;-0.1,"Behind",IF(AND(P384=0,'Tracker Summary'!$C$3&lt;$H384),"Not started","On track")))))</f>
        <v>Not started</v>
      </c>
      <c r="T384" s="90"/>
      <c r="U384" s="202" t="str">
        <f aca="false">IFERROR(INDEX(Schedule!$D$2:$D$147,MATCH($G384,Schedule!$A$2:$A$147,0)),"")</f>
        <v>Blowers &amp; 2W Plant Water System — Yard piping, vaults and site utilities</v>
      </c>
      <c r="V384" s="204" t="n">
        <f aca="false">IFERROR(INDEX(Schedule!$F$2:$F$147,MATCH("43-P01",Schedule!$A$2:$A$147,0)),"")</f>
        <v>45016</v>
      </c>
      <c r="W384" s="202" t="s">
        <v>91</v>
      </c>
      <c r="X384" s="202" t="s">
        <v>91</v>
      </c>
      <c r="Y384" s="202" t="n">
        <v>0</v>
      </c>
      <c r="Z384" s="202" t="n">
        <v>0</v>
      </c>
      <c r="AA384" s="202" t="s">
        <v>1688</v>
      </c>
      <c r="AB384" s="202" t="s">
        <v>1689</v>
      </c>
      <c r="AC384" s="202" t="s">
        <v>92</v>
      </c>
      <c r="AD384" s="202" t="s">
        <v>93</v>
      </c>
      <c r="AE384" s="202" t="s">
        <v>804</v>
      </c>
      <c r="AF384" s="202"/>
      <c r="AG384" s="202" t="s">
        <v>805</v>
      </c>
      <c r="AH384" s="202" t="s">
        <v>95</v>
      </c>
    </row>
    <row r="385" customFormat="false" ht="15" hidden="false" customHeight="false" outlineLevel="0" collapsed="false">
      <c r="A385" s="202" t="s">
        <v>60</v>
      </c>
      <c r="B385" s="203" t="s">
        <v>49</v>
      </c>
      <c r="C385" s="202" t="s">
        <v>1690</v>
      </c>
      <c r="D385" s="202" t="s">
        <v>1691</v>
      </c>
      <c r="E385" s="202" t="s">
        <v>1692</v>
      </c>
      <c r="F385" s="90" t="s">
        <v>234</v>
      </c>
      <c r="G385" s="202" t="s">
        <v>1676</v>
      </c>
      <c r="H385" s="204" t="n">
        <f aca="false">IFERROR(INDEX(Schedule!$E$2:$E$147,MATCH($G385,Schedule!$A$2:$A$147,0)),"")</f>
        <v>45017</v>
      </c>
      <c r="I385" s="204" t="n">
        <f aca="false">IFERROR(INDEX(Schedule!$F$2:$F$147,MATCH($G385,Schedule!$A$2:$A$147,0)),"")</f>
        <v>45231</v>
      </c>
      <c r="J385" s="92"/>
      <c r="K385" s="92"/>
      <c r="L385" s="92"/>
      <c r="M385" s="92"/>
      <c r="N385" s="92"/>
      <c r="O385" s="90" t="n">
        <v>1</v>
      </c>
      <c r="P385" s="205" t="n">
        <f aca="false">IFERROR((IF(OR(ISNUMBER(J385),UPPER(TRIM(J385))="N/A"),1,0)*IF($W385="N",0,INDEX('Rules of Credit'!$B$5:$F$8,MATCH($F385,'Rules of Credit'!$A$5:$A$8,0),1))+IF(OR(ISNUMBER(K385),UPPER(TRIM(K385))="N/A"),1,0)*INDEX('Rules of Credit'!$B$5:$F$8,MATCH($F385,'Rules of Credit'!$A$5:$A$8,0),2)+IF(OR(ISNUMBER(L385),UPPER(TRIM(L385))="N/A"),1,0)*INDEX('Rules of Credit'!$B$5:$F$8,MATCH($F385,'Rules of Credit'!$A$5:$A$8,0),3)+IF(OR(ISNUMBER(M385),UPPER(TRIM(M385))="N/A"),1,0)*IF($X385="N",0,INDEX('Rules of Credit'!$B$5:$F$8,MATCH($F385,'Rules of Credit'!$A$5:$A$8,0),4))+IF(OR(ISNUMBER(N385),UPPER(TRIM(N385))="N/A"),1,0)*INDEX('Rules of Credit'!$B$5:$F$8,MATCH($F385,'Rules of Credit'!$A$5:$A$8,0),5))/(IF($W385="N",0,INDEX('Rules of Credit'!$B$5:$F$8,MATCH($F385,'Rules of Credit'!$A$5:$A$8,0),1))+INDEX('Rules of Credit'!$B$5:$F$8,MATCH($F385,'Rules of Credit'!$A$5:$A$8,0),2)+INDEX('Rules of Credit'!$B$5:$F$8,MATCH($F385,'Rules of Credit'!$A$5:$A$8,0),3)+IF($X385="N",0,INDEX('Rules of Credit'!$B$5:$F$8,MATCH($F385,'Rules of Credit'!$A$5:$A$8,0),4))+INDEX('Rules of Credit'!$B$5:$F$8,MATCH($F385,'Rules of Credit'!$A$5:$A$8,0),5)),0)</f>
        <v>0</v>
      </c>
      <c r="Q385" s="205" t="n">
        <f aca="false">IF(OR($H385="",$I385=""),0,IF('Tracker Summary'!$C$3&lt;$H385,0,IF('Tracker Summary'!$C$3&gt;=$I385,1,('Tracker Summary'!$C$3-$H385)/($I385-$H385+1))))</f>
        <v>0</v>
      </c>
      <c r="R385" s="205" t="n">
        <f aca="false">P385-Q385</f>
        <v>0</v>
      </c>
      <c r="S385" s="202" t="str">
        <f aca="false">IF($I385="","Not scheduled",IF(P385&gt;=1,"Complete",IF('Tracker Summary'!$C$3&gt;$I385,"Overdue",IF(P385-Q385&lt;-0.1,"Behind",IF(AND(P385=0,'Tracker Summary'!$C$3&lt;$H385),"Not started","On track")))))</f>
        <v>Not started</v>
      </c>
      <c r="T385" s="90"/>
      <c r="U385" s="202" t="str">
        <f aca="false">IFERROR(INDEX(Schedule!$D$2:$D$147,MATCH($G385,Schedule!$A$2:$A$147,0)),"")</f>
        <v>Blowers &amp; 2W Plant Water System — Yard piping, vaults and site utilities</v>
      </c>
      <c r="V385" s="204" t="n">
        <f aca="false">IFERROR(INDEX(Schedule!$F$2:$F$147,MATCH("43-P01",Schedule!$A$2:$A$147,0)),"")</f>
        <v>45016</v>
      </c>
      <c r="W385" s="202" t="s">
        <v>99</v>
      </c>
      <c r="X385" s="202" t="s">
        <v>91</v>
      </c>
      <c r="Y385" s="202" t="n">
        <v>2</v>
      </c>
      <c r="Z385" s="202" t="n">
        <v>0</v>
      </c>
      <c r="AA385" s="202" t="s">
        <v>1693</v>
      </c>
      <c r="AB385" s="202" t="s">
        <v>1694</v>
      </c>
      <c r="AC385" s="202" t="s">
        <v>92</v>
      </c>
      <c r="AD385" s="202" t="s">
        <v>93</v>
      </c>
      <c r="AE385" s="202"/>
      <c r="AF385" s="202" t="s">
        <v>1635</v>
      </c>
      <c r="AG385" s="202" t="s">
        <v>1695</v>
      </c>
      <c r="AH385" s="202" t="s">
        <v>213</v>
      </c>
    </row>
    <row r="386" customFormat="false" ht="15" hidden="false" customHeight="false" outlineLevel="0" collapsed="false">
      <c r="A386" s="202" t="s">
        <v>60</v>
      </c>
      <c r="B386" s="203" t="s">
        <v>49</v>
      </c>
      <c r="C386" s="202" t="s">
        <v>1696</v>
      </c>
      <c r="D386" s="202" t="s">
        <v>1697</v>
      </c>
      <c r="E386" s="202" t="s">
        <v>1698</v>
      </c>
      <c r="F386" s="90" t="s">
        <v>234</v>
      </c>
      <c r="G386" s="202" t="s">
        <v>1699</v>
      </c>
      <c r="H386" s="204" t="n">
        <f aca="false">IFERROR(INDEX(Schedule!$E$2:$E$147,MATCH($G386,Schedule!$A$2:$A$147,0)),"")</f>
        <v>45047</v>
      </c>
      <c r="I386" s="204" t="n">
        <f aca="false">IFERROR(INDEX(Schedule!$F$2:$F$147,MATCH($G386,Schedule!$A$2:$A$147,0)),"")</f>
        <v>45217</v>
      </c>
      <c r="J386" s="92"/>
      <c r="K386" s="92"/>
      <c r="L386" s="92"/>
      <c r="M386" s="92"/>
      <c r="N386" s="92"/>
      <c r="O386" s="90" t="n">
        <v>1</v>
      </c>
      <c r="P386" s="205" t="n">
        <f aca="false">IFERROR((IF(OR(ISNUMBER(J386),UPPER(TRIM(J386))="N/A"),1,0)*IF($W386="N",0,INDEX('Rules of Credit'!$B$5:$F$8,MATCH($F386,'Rules of Credit'!$A$5:$A$8,0),1))+IF(OR(ISNUMBER(K386),UPPER(TRIM(K386))="N/A"),1,0)*INDEX('Rules of Credit'!$B$5:$F$8,MATCH($F386,'Rules of Credit'!$A$5:$A$8,0),2)+IF(OR(ISNUMBER(L386),UPPER(TRIM(L386))="N/A"),1,0)*INDEX('Rules of Credit'!$B$5:$F$8,MATCH($F386,'Rules of Credit'!$A$5:$A$8,0),3)+IF(OR(ISNUMBER(M386),UPPER(TRIM(M386))="N/A"),1,0)*IF($X386="N",0,INDEX('Rules of Credit'!$B$5:$F$8,MATCH($F386,'Rules of Credit'!$A$5:$A$8,0),4))+IF(OR(ISNUMBER(N386),UPPER(TRIM(N386))="N/A"),1,0)*INDEX('Rules of Credit'!$B$5:$F$8,MATCH($F386,'Rules of Credit'!$A$5:$A$8,0),5))/(IF($W386="N",0,INDEX('Rules of Credit'!$B$5:$F$8,MATCH($F386,'Rules of Credit'!$A$5:$A$8,0),1))+INDEX('Rules of Credit'!$B$5:$F$8,MATCH($F386,'Rules of Credit'!$A$5:$A$8,0),2)+INDEX('Rules of Credit'!$B$5:$F$8,MATCH($F386,'Rules of Credit'!$A$5:$A$8,0),3)+IF($X386="N",0,INDEX('Rules of Credit'!$B$5:$F$8,MATCH($F386,'Rules of Credit'!$A$5:$A$8,0),4))+INDEX('Rules of Credit'!$B$5:$F$8,MATCH($F386,'Rules of Credit'!$A$5:$A$8,0),5)),0)</f>
        <v>0</v>
      </c>
      <c r="Q386" s="205" t="n">
        <f aca="false">IF(OR($H386="",$I386=""),0,IF('Tracker Summary'!$C$3&lt;$H386,0,IF('Tracker Summary'!$C$3&gt;=$I386,1,('Tracker Summary'!$C$3-$H386)/($I386-$H386+1))))</f>
        <v>0</v>
      </c>
      <c r="R386" s="205" t="n">
        <f aca="false">P386-Q386</f>
        <v>0</v>
      </c>
      <c r="S386" s="202" t="str">
        <f aca="false">IF($I386="","Not scheduled",IF(P386&gt;=1,"Complete",IF('Tracker Summary'!$C$3&gt;$I386,"Overdue",IF(P386-Q386&lt;-0.1,"Behind",IF(AND(P386=0,'Tracker Summary'!$C$3&lt;$H386),"Not started","On track")))))</f>
        <v>Not started</v>
      </c>
      <c r="T386" s="90"/>
      <c r="U386" s="202" t="str">
        <f aca="false">IFERROR(INDEX(Schedule!$D$2:$D$147,MATCH($G386,Schedule!$A$2:$A$147,0)),"")</f>
        <v>Blowers &amp; 2W Plant Water System — 2W air gap water system</v>
      </c>
      <c r="V386" s="204" t="n">
        <f aca="false">IFERROR(INDEX(Schedule!$F$2:$F$147,MATCH("43-P01",Schedule!$A$2:$A$147,0)),"")</f>
        <v>45016</v>
      </c>
      <c r="W386" s="202" t="s">
        <v>99</v>
      </c>
      <c r="X386" s="202" t="s">
        <v>91</v>
      </c>
      <c r="Y386" s="202" t="n">
        <v>1</v>
      </c>
      <c r="Z386" s="202" t="n">
        <v>0</v>
      </c>
      <c r="AA386" s="202" t="s">
        <v>1700</v>
      </c>
      <c r="AB386" s="202" t="s">
        <v>803</v>
      </c>
      <c r="AC386" s="202" t="s">
        <v>92</v>
      </c>
      <c r="AD386" s="202" t="s">
        <v>93</v>
      </c>
      <c r="AE386" s="202" t="s">
        <v>1701</v>
      </c>
      <c r="AF386" s="202" t="s">
        <v>1635</v>
      </c>
      <c r="AG386" s="202" t="s">
        <v>1702</v>
      </c>
      <c r="AH386" s="202" t="s">
        <v>213</v>
      </c>
    </row>
    <row r="387" customFormat="false" ht="15" hidden="false" customHeight="false" outlineLevel="0" collapsed="false">
      <c r="A387" s="202" t="s">
        <v>60</v>
      </c>
      <c r="B387" s="203" t="s">
        <v>49</v>
      </c>
      <c r="C387" s="202" t="s">
        <v>1703</v>
      </c>
      <c r="D387" s="202" t="s">
        <v>1704</v>
      </c>
      <c r="E387" s="202" t="s">
        <v>310</v>
      </c>
      <c r="F387" s="90" t="s">
        <v>234</v>
      </c>
      <c r="G387" s="202" t="s">
        <v>1699</v>
      </c>
      <c r="H387" s="204" t="n">
        <f aca="false">IFERROR(INDEX(Schedule!$E$2:$E$147,MATCH($G387,Schedule!$A$2:$A$147,0)),"")</f>
        <v>45047</v>
      </c>
      <c r="I387" s="204" t="n">
        <f aca="false">IFERROR(INDEX(Schedule!$F$2:$F$147,MATCH($G387,Schedule!$A$2:$A$147,0)),"")</f>
        <v>45217</v>
      </c>
      <c r="J387" s="92"/>
      <c r="K387" s="92"/>
      <c r="L387" s="92"/>
      <c r="M387" s="92"/>
      <c r="N387" s="92"/>
      <c r="O387" s="90" t="n">
        <v>1</v>
      </c>
      <c r="P387" s="205" t="n">
        <f aca="false">IFERROR((IF(OR(ISNUMBER(J387),UPPER(TRIM(J387))="N/A"),1,0)*IF($W387="N",0,INDEX('Rules of Credit'!$B$5:$F$8,MATCH($F387,'Rules of Credit'!$A$5:$A$8,0),1))+IF(OR(ISNUMBER(K387),UPPER(TRIM(K387))="N/A"),1,0)*INDEX('Rules of Credit'!$B$5:$F$8,MATCH($F387,'Rules of Credit'!$A$5:$A$8,0),2)+IF(OR(ISNUMBER(L387),UPPER(TRIM(L387))="N/A"),1,0)*INDEX('Rules of Credit'!$B$5:$F$8,MATCH($F387,'Rules of Credit'!$A$5:$A$8,0),3)+IF(OR(ISNUMBER(M387),UPPER(TRIM(M387))="N/A"),1,0)*IF($X387="N",0,INDEX('Rules of Credit'!$B$5:$F$8,MATCH($F387,'Rules of Credit'!$A$5:$A$8,0),4))+IF(OR(ISNUMBER(N387),UPPER(TRIM(N387))="N/A"),1,0)*INDEX('Rules of Credit'!$B$5:$F$8,MATCH($F387,'Rules of Credit'!$A$5:$A$8,0),5))/(IF($W387="N",0,INDEX('Rules of Credit'!$B$5:$F$8,MATCH($F387,'Rules of Credit'!$A$5:$A$8,0),1))+INDEX('Rules of Credit'!$B$5:$F$8,MATCH($F387,'Rules of Credit'!$A$5:$A$8,0),2)+INDEX('Rules of Credit'!$B$5:$F$8,MATCH($F387,'Rules of Credit'!$A$5:$A$8,0),3)+IF($X387="N",0,INDEX('Rules of Credit'!$B$5:$F$8,MATCH($F387,'Rules of Credit'!$A$5:$A$8,0),4))+INDEX('Rules of Credit'!$B$5:$F$8,MATCH($F387,'Rules of Credit'!$A$5:$A$8,0),5)),0)</f>
        <v>0</v>
      </c>
      <c r="Q387" s="205" t="n">
        <f aca="false">IF(OR($H387="",$I387=""),0,IF('Tracker Summary'!$C$3&lt;$H387,0,IF('Tracker Summary'!$C$3&gt;=$I387,1,('Tracker Summary'!$C$3-$H387)/($I387-$H387+1))))</f>
        <v>0</v>
      </c>
      <c r="R387" s="205" t="n">
        <f aca="false">P387-Q387</f>
        <v>0</v>
      </c>
      <c r="S387" s="202" t="str">
        <f aca="false">IF($I387="","Not scheduled",IF(P387&gt;=1,"Complete",IF('Tracker Summary'!$C$3&gt;$I387,"Overdue",IF(P387-Q387&lt;-0.1,"Behind",IF(AND(P387=0,'Tracker Summary'!$C$3&lt;$H387),"Not started","On track")))))</f>
        <v>Not started</v>
      </c>
      <c r="T387" s="90"/>
      <c r="U387" s="202" t="str">
        <f aca="false">IFERROR(INDEX(Schedule!$D$2:$D$147,MATCH($G387,Schedule!$A$2:$A$147,0)),"")</f>
        <v>Blowers &amp; 2W Plant Water System — 2W air gap water system</v>
      </c>
      <c r="V387" s="204" t="n">
        <f aca="false">IFERROR(INDEX(Schedule!$F$2:$F$147,MATCH("43-P01",Schedule!$A$2:$A$147,0)),"")</f>
        <v>45016</v>
      </c>
      <c r="W387" s="202" t="s">
        <v>99</v>
      </c>
      <c r="X387" s="202" t="s">
        <v>99</v>
      </c>
      <c r="Y387" s="202" t="n">
        <v>4</v>
      </c>
      <c r="Z387" s="202" t="n">
        <v>5</v>
      </c>
      <c r="AA387" s="202" t="s">
        <v>1705</v>
      </c>
      <c r="AB387" s="202" t="s">
        <v>1706</v>
      </c>
      <c r="AC387" s="202" t="s">
        <v>92</v>
      </c>
      <c r="AD387" s="202" t="s">
        <v>93</v>
      </c>
      <c r="AE387" s="202" t="s">
        <v>1707</v>
      </c>
      <c r="AF387" s="202" t="s">
        <v>1708</v>
      </c>
      <c r="AG387" s="202" t="s">
        <v>1709</v>
      </c>
      <c r="AH387" s="202" t="s">
        <v>1710</v>
      </c>
    </row>
    <row r="388" customFormat="false" ht="15" hidden="false" customHeight="false" outlineLevel="0" collapsed="false">
      <c r="A388" s="202" t="s">
        <v>60</v>
      </c>
      <c r="B388" s="203" t="s">
        <v>49</v>
      </c>
      <c r="C388" s="202" t="s">
        <v>1711</v>
      </c>
      <c r="D388" s="202" t="s">
        <v>1712</v>
      </c>
      <c r="E388" s="202" t="s">
        <v>310</v>
      </c>
      <c r="F388" s="90" t="s">
        <v>234</v>
      </c>
      <c r="G388" s="202" t="s">
        <v>1699</v>
      </c>
      <c r="H388" s="204" t="n">
        <f aca="false">IFERROR(INDEX(Schedule!$E$2:$E$147,MATCH($G388,Schedule!$A$2:$A$147,0)),"")</f>
        <v>45047</v>
      </c>
      <c r="I388" s="204" t="n">
        <f aca="false">IFERROR(INDEX(Schedule!$F$2:$F$147,MATCH($G388,Schedule!$A$2:$A$147,0)),"")</f>
        <v>45217</v>
      </c>
      <c r="J388" s="92"/>
      <c r="K388" s="92"/>
      <c r="L388" s="92"/>
      <c r="M388" s="92"/>
      <c r="N388" s="92"/>
      <c r="O388" s="90" t="n">
        <v>1</v>
      </c>
      <c r="P388" s="205" t="n">
        <f aca="false">IFERROR((IF(OR(ISNUMBER(J388),UPPER(TRIM(J388))="N/A"),1,0)*IF($W388="N",0,INDEX('Rules of Credit'!$B$5:$F$8,MATCH($F388,'Rules of Credit'!$A$5:$A$8,0),1))+IF(OR(ISNUMBER(K388),UPPER(TRIM(K388))="N/A"),1,0)*INDEX('Rules of Credit'!$B$5:$F$8,MATCH($F388,'Rules of Credit'!$A$5:$A$8,0),2)+IF(OR(ISNUMBER(L388),UPPER(TRIM(L388))="N/A"),1,0)*INDEX('Rules of Credit'!$B$5:$F$8,MATCH($F388,'Rules of Credit'!$A$5:$A$8,0),3)+IF(OR(ISNUMBER(M388),UPPER(TRIM(M388))="N/A"),1,0)*IF($X388="N",0,INDEX('Rules of Credit'!$B$5:$F$8,MATCH($F388,'Rules of Credit'!$A$5:$A$8,0),4))+IF(OR(ISNUMBER(N388),UPPER(TRIM(N388))="N/A"),1,0)*INDEX('Rules of Credit'!$B$5:$F$8,MATCH($F388,'Rules of Credit'!$A$5:$A$8,0),5))/(IF($W388="N",0,INDEX('Rules of Credit'!$B$5:$F$8,MATCH($F388,'Rules of Credit'!$A$5:$A$8,0),1))+INDEX('Rules of Credit'!$B$5:$F$8,MATCH($F388,'Rules of Credit'!$A$5:$A$8,0),2)+INDEX('Rules of Credit'!$B$5:$F$8,MATCH($F388,'Rules of Credit'!$A$5:$A$8,0),3)+IF($X388="N",0,INDEX('Rules of Credit'!$B$5:$F$8,MATCH($F388,'Rules of Credit'!$A$5:$A$8,0),4))+INDEX('Rules of Credit'!$B$5:$F$8,MATCH($F388,'Rules of Credit'!$A$5:$A$8,0),5)),0)</f>
        <v>0</v>
      </c>
      <c r="Q388" s="205" t="n">
        <f aca="false">IF(OR($H388="",$I388=""),0,IF('Tracker Summary'!$C$3&lt;$H388,0,IF('Tracker Summary'!$C$3&gt;=$I388,1,('Tracker Summary'!$C$3-$H388)/($I388-$H388+1))))</f>
        <v>0</v>
      </c>
      <c r="R388" s="205" t="n">
        <f aca="false">P388-Q388</f>
        <v>0</v>
      </c>
      <c r="S388" s="202" t="str">
        <f aca="false">IF($I388="","Not scheduled",IF(P388&gt;=1,"Complete",IF('Tracker Summary'!$C$3&gt;$I388,"Overdue",IF(P388-Q388&lt;-0.1,"Behind",IF(AND(P388=0,'Tracker Summary'!$C$3&lt;$H388),"Not started","On track")))))</f>
        <v>Not started</v>
      </c>
      <c r="T388" s="90"/>
      <c r="U388" s="202" t="str">
        <f aca="false">IFERROR(INDEX(Schedule!$D$2:$D$147,MATCH($G388,Schedule!$A$2:$A$147,0)),"")</f>
        <v>Blowers &amp; 2W Plant Water System — 2W air gap water system</v>
      </c>
      <c r="V388" s="204" t="n">
        <f aca="false">IFERROR(INDEX(Schedule!$F$2:$F$147,MATCH("43-P01",Schedule!$A$2:$A$147,0)),"")</f>
        <v>45016</v>
      </c>
      <c r="W388" s="202" t="s">
        <v>99</v>
      </c>
      <c r="X388" s="202" t="s">
        <v>99</v>
      </c>
      <c r="Y388" s="202" t="n">
        <v>2</v>
      </c>
      <c r="Z388" s="202" t="n">
        <v>2</v>
      </c>
      <c r="AA388" s="202" t="s">
        <v>1713</v>
      </c>
      <c r="AB388" s="202" t="s">
        <v>1714</v>
      </c>
      <c r="AC388" s="202" t="s">
        <v>92</v>
      </c>
      <c r="AD388" s="202" t="s">
        <v>511</v>
      </c>
      <c r="AE388" s="202" t="s">
        <v>1715</v>
      </c>
      <c r="AF388" s="202" t="s">
        <v>1635</v>
      </c>
      <c r="AG388" s="202" t="s">
        <v>1716</v>
      </c>
      <c r="AH388" s="202" t="s">
        <v>213</v>
      </c>
    </row>
    <row r="389" customFormat="false" ht="15" hidden="false" customHeight="false" outlineLevel="0" collapsed="false">
      <c r="A389" s="202" t="s">
        <v>60</v>
      </c>
      <c r="B389" s="203" t="s">
        <v>49</v>
      </c>
      <c r="C389" s="202" t="s">
        <v>1717</v>
      </c>
      <c r="D389" s="202" t="s">
        <v>1718</v>
      </c>
      <c r="E389" s="202" t="s">
        <v>310</v>
      </c>
      <c r="F389" s="90" t="s">
        <v>234</v>
      </c>
      <c r="G389" s="202" t="s">
        <v>1699</v>
      </c>
      <c r="H389" s="204" t="n">
        <f aca="false">IFERROR(INDEX(Schedule!$E$2:$E$147,MATCH($G389,Schedule!$A$2:$A$147,0)),"")</f>
        <v>45047</v>
      </c>
      <c r="I389" s="204" t="n">
        <f aca="false">IFERROR(INDEX(Schedule!$F$2:$F$147,MATCH($G389,Schedule!$A$2:$A$147,0)),"")</f>
        <v>45217</v>
      </c>
      <c r="J389" s="92"/>
      <c r="K389" s="92"/>
      <c r="L389" s="92"/>
      <c r="M389" s="92"/>
      <c r="N389" s="92"/>
      <c r="O389" s="90" t="n">
        <v>1</v>
      </c>
      <c r="P389" s="205" t="n">
        <f aca="false">IFERROR((IF(OR(ISNUMBER(J389),UPPER(TRIM(J389))="N/A"),1,0)*IF($W389="N",0,INDEX('Rules of Credit'!$B$5:$F$8,MATCH($F389,'Rules of Credit'!$A$5:$A$8,0),1))+IF(OR(ISNUMBER(K389),UPPER(TRIM(K389))="N/A"),1,0)*INDEX('Rules of Credit'!$B$5:$F$8,MATCH($F389,'Rules of Credit'!$A$5:$A$8,0),2)+IF(OR(ISNUMBER(L389),UPPER(TRIM(L389))="N/A"),1,0)*INDEX('Rules of Credit'!$B$5:$F$8,MATCH($F389,'Rules of Credit'!$A$5:$A$8,0),3)+IF(OR(ISNUMBER(M389),UPPER(TRIM(M389))="N/A"),1,0)*IF($X389="N",0,INDEX('Rules of Credit'!$B$5:$F$8,MATCH($F389,'Rules of Credit'!$A$5:$A$8,0),4))+IF(OR(ISNUMBER(N389),UPPER(TRIM(N389))="N/A"),1,0)*INDEX('Rules of Credit'!$B$5:$F$8,MATCH($F389,'Rules of Credit'!$A$5:$A$8,0),5))/(IF($W389="N",0,INDEX('Rules of Credit'!$B$5:$F$8,MATCH($F389,'Rules of Credit'!$A$5:$A$8,0),1))+INDEX('Rules of Credit'!$B$5:$F$8,MATCH($F389,'Rules of Credit'!$A$5:$A$8,0),2)+INDEX('Rules of Credit'!$B$5:$F$8,MATCH($F389,'Rules of Credit'!$A$5:$A$8,0),3)+IF($X389="N",0,INDEX('Rules of Credit'!$B$5:$F$8,MATCH($F389,'Rules of Credit'!$A$5:$A$8,0),4))+INDEX('Rules of Credit'!$B$5:$F$8,MATCH($F389,'Rules of Credit'!$A$5:$A$8,0),5)),0)</f>
        <v>0</v>
      </c>
      <c r="Q389" s="205" t="n">
        <f aca="false">IF(OR($H389="",$I389=""),0,IF('Tracker Summary'!$C$3&lt;$H389,0,IF('Tracker Summary'!$C$3&gt;=$I389,1,('Tracker Summary'!$C$3-$H389)/($I389-$H389+1))))</f>
        <v>0</v>
      </c>
      <c r="R389" s="205" t="n">
        <f aca="false">P389-Q389</f>
        <v>0</v>
      </c>
      <c r="S389" s="202" t="str">
        <f aca="false">IF($I389="","Not scheduled",IF(P389&gt;=1,"Complete",IF('Tracker Summary'!$C$3&gt;$I389,"Overdue",IF(P389-Q389&lt;-0.1,"Behind",IF(AND(P389=0,'Tracker Summary'!$C$3&lt;$H389),"Not started","On track")))))</f>
        <v>Not started</v>
      </c>
      <c r="T389" s="90"/>
      <c r="U389" s="202" t="str">
        <f aca="false">IFERROR(INDEX(Schedule!$D$2:$D$147,MATCH($G389,Schedule!$A$2:$A$147,0)),"")</f>
        <v>Blowers &amp; 2W Plant Water System — 2W air gap water system</v>
      </c>
      <c r="V389" s="204" t="n">
        <f aca="false">IFERROR(INDEX(Schedule!$F$2:$F$147,MATCH("43-P01",Schedule!$A$2:$A$147,0)),"")</f>
        <v>45016</v>
      </c>
      <c r="W389" s="202" t="s">
        <v>91</v>
      </c>
      <c r="X389" s="202" t="s">
        <v>91</v>
      </c>
      <c r="Y389" s="202" t="n">
        <v>0</v>
      </c>
      <c r="Z389" s="202" t="n">
        <v>0</v>
      </c>
      <c r="AA389" s="202" t="s">
        <v>1719</v>
      </c>
      <c r="AB389" s="202" t="s">
        <v>958</v>
      </c>
      <c r="AC389" s="202" t="s">
        <v>92</v>
      </c>
      <c r="AD389" s="202" t="s">
        <v>93</v>
      </c>
      <c r="AE389" s="202" t="s">
        <v>1707</v>
      </c>
      <c r="AF389" s="202" t="s">
        <v>1635</v>
      </c>
      <c r="AG389" s="202" t="s">
        <v>1720</v>
      </c>
      <c r="AH389" s="202" t="s">
        <v>213</v>
      </c>
    </row>
    <row r="390" customFormat="false" ht="15" hidden="false" customHeight="false" outlineLevel="0" collapsed="false">
      <c r="A390" s="202" t="s">
        <v>60</v>
      </c>
      <c r="B390" s="203" t="s">
        <v>49</v>
      </c>
      <c r="C390" s="202" t="s">
        <v>1721</v>
      </c>
      <c r="D390" s="202" t="s">
        <v>1722</v>
      </c>
      <c r="E390" s="202" t="s">
        <v>1723</v>
      </c>
      <c r="F390" s="90" t="s">
        <v>234</v>
      </c>
      <c r="G390" s="202" t="s">
        <v>1699</v>
      </c>
      <c r="H390" s="204" t="n">
        <f aca="false">IFERROR(INDEX(Schedule!$E$2:$E$147,MATCH($G390,Schedule!$A$2:$A$147,0)),"")</f>
        <v>45047</v>
      </c>
      <c r="I390" s="204" t="n">
        <f aca="false">IFERROR(INDEX(Schedule!$F$2:$F$147,MATCH($G390,Schedule!$A$2:$A$147,0)),"")</f>
        <v>45217</v>
      </c>
      <c r="J390" s="92"/>
      <c r="K390" s="92"/>
      <c r="L390" s="92"/>
      <c r="M390" s="92"/>
      <c r="N390" s="92"/>
      <c r="O390" s="90" t="n">
        <v>1</v>
      </c>
      <c r="P390" s="205" t="n">
        <f aca="false">IFERROR((IF(OR(ISNUMBER(J390),UPPER(TRIM(J390))="N/A"),1,0)*IF($W390="N",0,INDEX('Rules of Credit'!$B$5:$F$8,MATCH($F390,'Rules of Credit'!$A$5:$A$8,0),1))+IF(OR(ISNUMBER(K390),UPPER(TRIM(K390))="N/A"),1,0)*INDEX('Rules of Credit'!$B$5:$F$8,MATCH($F390,'Rules of Credit'!$A$5:$A$8,0),2)+IF(OR(ISNUMBER(L390),UPPER(TRIM(L390))="N/A"),1,0)*INDEX('Rules of Credit'!$B$5:$F$8,MATCH($F390,'Rules of Credit'!$A$5:$A$8,0),3)+IF(OR(ISNUMBER(M390),UPPER(TRIM(M390))="N/A"),1,0)*IF($X390="N",0,INDEX('Rules of Credit'!$B$5:$F$8,MATCH($F390,'Rules of Credit'!$A$5:$A$8,0),4))+IF(OR(ISNUMBER(N390),UPPER(TRIM(N390))="N/A"),1,0)*INDEX('Rules of Credit'!$B$5:$F$8,MATCH($F390,'Rules of Credit'!$A$5:$A$8,0),5))/(IF($W390="N",0,INDEX('Rules of Credit'!$B$5:$F$8,MATCH($F390,'Rules of Credit'!$A$5:$A$8,0),1))+INDEX('Rules of Credit'!$B$5:$F$8,MATCH($F390,'Rules of Credit'!$A$5:$A$8,0),2)+INDEX('Rules of Credit'!$B$5:$F$8,MATCH($F390,'Rules of Credit'!$A$5:$A$8,0),3)+IF($X390="N",0,INDEX('Rules of Credit'!$B$5:$F$8,MATCH($F390,'Rules of Credit'!$A$5:$A$8,0),4))+INDEX('Rules of Credit'!$B$5:$F$8,MATCH($F390,'Rules of Credit'!$A$5:$A$8,0),5)),0)</f>
        <v>0</v>
      </c>
      <c r="Q390" s="205" t="n">
        <f aca="false">IF(OR($H390="",$I390=""),0,IF('Tracker Summary'!$C$3&lt;$H390,0,IF('Tracker Summary'!$C$3&gt;=$I390,1,('Tracker Summary'!$C$3-$H390)/($I390-$H390+1))))</f>
        <v>0</v>
      </c>
      <c r="R390" s="205" t="n">
        <f aca="false">P390-Q390</f>
        <v>0</v>
      </c>
      <c r="S390" s="202" t="str">
        <f aca="false">IF($I390="","Not scheduled",IF(P390&gt;=1,"Complete",IF('Tracker Summary'!$C$3&gt;$I390,"Overdue",IF(P390-Q390&lt;-0.1,"Behind",IF(AND(P390=0,'Tracker Summary'!$C$3&lt;$H390),"Not started","On track")))))</f>
        <v>Not started</v>
      </c>
      <c r="T390" s="90"/>
      <c r="U390" s="202" t="str">
        <f aca="false">IFERROR(INDEX(Schedule!$D$2:$D$147,MATCH($G390,Schedule!$A$2:$A$147,0)),"")</f>
        <v>Blowers &amp; 2W Plant Water System — 2W air gap water system</v>
      </c>
      <c r="V390" s="204" t="n">
        <f aca="false">IFERROR(INDEX(Schedule!$F$2:$F$147,MATCH("43-P01",Schedule!$A$2:$A$147,0)),"")</f>
        <v>45016</v>
      </c>
      <c r="W390" s="202" t="s">
        <v>99</v>
      </c>
      <c r="X390" s="202" t="s">
        <v>99</v>
      </c>
      <c r="Y390" s="202" t="n">
        <v>1</v>
      </c>
      <c r="Z390" s="202" t="n">
        <v>2</v>
      </c>
      <c r="AA390" s="202" t="s">
        <v>1724</v>
      </c>
      <c r="AB390" s="202" t="s">
        <v>1725</v>
      </c>
      <c r="AC390" s="202" t="s">
        <v>120</v>
      </c>
      <c r="AD390" s="202" t="s">
        <v>93</v>
      </c>
      <c r="AE390" s="202" t="s">
        <v>1726</v>
      </c>
      <c r="AF390" s="202" t="s">
        <v>1635</v>
      </c>
      <c r="AG390" s="202" t="s">
        <v>1727</v>
      </c>
      <c r="AH390" s="202" t="s">
        <v>213</v>
      </c>
    </row>
    <row r="391" customFormat="false" ht="15" hidden="false" customHeight="false" outlineLevel="0" collapsed="false">
      <c r="A391" s="202" t="s">
        <v>60</v>
      </c>
      <c r="B391" s="203" t="s">
        <v>49</v>
      </c>
      <c r="C391" s="202" t="s">
        <v>1728</v>
      </c>
      <c r="D391" s="202" t="s">
        <v>1729</v>
      </c>
      <c r="E391" s="202" t="s">
        <v>1730</v>
      </c>
      <c r="F391" s="90" t="s">
        <v>234</v>
      </c>
      <c r="G391" s="202" t="s">
        <v>1699</v>
      </c>
      <c r="H391" s="204" t="n">
        <f aca="false">IFERROR(INDEX(Schedule!$E$2:$E$147,MATCH($G391,Schedule!$A$2:$A$147,0)),"")</f>
        <v>45047</v>
      </c>
      <c r="I391" s="204" t="n">
        <f aca="false">IFERROR(INDEX(Schedule!$F$2:$F$147,MATCH($G391,Schedule!$A$2:$A$147,0)),"")</f>
        <v>45217</v>
      </c>
      <c r="J391" s="92"/>
      <c r="K391" s="92"/>
      <c r="L391" s="92"/>
      <c r="M391" s="92"/>
      <c r="N391" s="92"/>
      <c r="O391" s="90" t="n">
        <v>1</v>
      </c>
      <c r="P391" s="205" t="n">
        <f aca="false">IFERROR((IF(OR(ISNUMBER(J391),UPPER(TRIM(J391))="N/A"),1,0)*IF($W391="N",0,INDEX('Rules of Credit'!$B$5:$F$8,MATCH($F391,'Rules of Credit'!$A$5:$A$8,0),1))+IF(OR(ISNUMBER(K391),UPPER(TRIM(K391))="N/A"),1,0)*INDEX('Rules of Credit'!$B$5:$F$8,MATCH($F391,'Rules of Credit'!$A$5:$A$8,0),2)+IF(OR(ISNUMBER(L391),UPPER(TRIM(L391))="N/A"),1,0)*INDEX('Rules of Credit'!$B$5:$F$8,MATCH($F391,'Rules of Credit'!$A$5:$A$8,0),3)+IF(OR(ISNUMBER(M391),UPPER(TRIM(M391))="N/A"),1,0)*IF($X391="N",0,INDEX('Rules of Credit'!$B$5:$F$8,MATCH($F391,'Rules of Credit'!$A$5:$A$8,0),4))+IF(OR(ISNUMBER(N391),UPPER(TRIM(N391))="N/A"),1,0)*INDEX('Rules of Credit'!$B$5:$F$8,MATCH($F391,'Rules of Credit'!$A$5:$A$8,0),5))/(IF($W391="N",0,INDEX('Rules of Credit'!$B$5:$F$8,MATCH($F391,'Rules of Credit'!$A$5:$A$8,0),1))+INDEX('Rules of Credit'!$B$5:$F$8,MATCH($F391,'Rules of Credit'!$A$5:$A$8,0),2)+INDEX('Rules of Credit'!$B$5:$F$8,MATCH($F391,'Rules of Credit'!$A$5:$A$8,0),3)+IF($X391="N",0,INDEX('Rules of Credit'!$B$5:$F$8,MATCH($F391,'Rules of Credit'!$A$5:$A$8,0),4))+INDEX('Rules of Credit'!$B$5:$F$8,MATCH($F391,'Rules of Credit'!$A$5:$A$8,0),5)),0)</f>
        <v>0</v>
      </c>
      <c r="Q391" s="205" t="n">
        <f aca="false">IF(OR($H391="",$I391=""),0,IF('Tracker Summary'!$C$3&lt;$H391,0,IF('Tracker Summary'!$C$3&gt;=$I391,1,('Tracker Summary'!$C$3-$H391)/($I391-$H391+1))))</f>
        <v>0</v>
      </c>
      <c r="R391" s="205" t="n">
        <f aca="false">P391-Q391</f>
        <v>0</v>
      </c>
      <c r="S391" s="202" t="str">
        <f aca="false">IF($I391="","Not scheduled",IF(P391&gt;=1,"Complete",IF('Tracker Summary'!$C$3&gt;$I391,"Overdue",IF(P391-Q391&lt;-0.1,"Behind",IF(AND(P391=0,'Tracker Summary'!$C$3&lt;$H391),"Not started","On track")))))</f>
        <v>Not started</v>
      </c>
      <c r="T391" s="90"/>
      <c r="U391" s="202" t="str">
        <f aca="false">IFERROR(INDEX(Schedule!$D$2:$D$147,MATCH($G391,Schedule!$A$2:$A$147,0)),"")</f>
        <v>Blowers &amp; 2W Plant Water System — 2W air gap water system</v>
      </c>
      <c r="V391" s="204" t="n">
        <f aca="false">IFERROR(INDEX(Schedule!$F$2:$F$147,MATCH("43-P01",Schedule!$A$2:$A$147,0)),"")</f>
        <v>45016</v>
      </c>
      <c r="W391" s="202" t="s">
        <v>91</v>
      </c>
      <c r="X391" s="202" t="s">
        <v>91</v>
      </c>
      <c r="Y391" s="202" t="n">
        <v>0</v>
      </c>
      <c r="Z391" s="202" t="n">
        <v>0</v>
      </c>
      <c r="AA391" s="202" t="s">
        <v>1731</v>
      </c>
      <c r="AB391" s="202" t="s">
        <v>738</v>
      </c>
      <c r="AC391" s="202" t="s">
        <v>92</v>
      </c>
      <c r="AD391" s="202" t="s">
        <v>93</v>
      </c>
      <c r="AE391" s="202" t="s">
        <v>1732</v>
      </c>
      <c r="AF391" s="202" t="s">
        <v>1635</v>
      </c>
      <c r="AG391" s="202" t="s">
        <v>1733</v>
      </c>
      <c r="AH391" s="202" t="s">
        <v>213</v>
      </c>
    </row>
    <row r="392" customFormat="false" ht="15" hidden="false" customHeight="false" outlineLevel="0" collapsed="false">
      <c r="A392" s="202" t="s">
        <v>60</v>
      </c>
      <c r="B392" s="203" t="s">
        <v>49</v>
      </c>
      <c r="C392" s="202" t="s">
        <v>1734</v>
      </c>
      <c r="D392" s="202" t="s">
        <v>1735</v>
      </c>
      <c r="E392" s="202" t="s">
        <v>310</v>
      </c>
      <c r="F392" s="90" t="s">
        <v>234</v>
      </c>
      <c r="G392" s="202" t="s">
        <v>1699</v>
      </c>
      <c r="H392" s="204" t="n">
        <f aca="false">IFERROR(INDEX(Schedule!$E$2:$E$147,MATCH($G392,Schedule!$A$2:$A$147,0)),"")</f>
        <v>45047</v>
      </c>
      <c r="I392" s="204" t="n">
        <f aca="false">IFERROR(INDEX(Schedule!$F$2:$F$147,MATCH($G392,Schedule!$A$2:$A$147,0)),"")</f>
        <v>45217</v>
      </c>
      <c r="J392" s="92"/>
      <c r="K392" s="92"/>
      <c r="L392" s="92"/>
      <c r="M392" s="92"/>
      <c r="N392" s="92"/>
      <c r="O392" s="90" t="n">
        <v>1</v>
      </c>
      <c r="P392" s="205" t="n">
        <f aca="false">IFERROR((IF(OR(ISNUMBER(J392),UPPER(TRIM(J392))="N/A"),1,0)*IF($W392="N",0,INDEX('Rules of Credit'!$B$5:$F$8,MATCH($F392,'Rules of Credit'!$A$5:$A$8,0),1))+IF(OR(ISNUMBER(K392),UPPER(TRIM(K392))="N/A"),1,0)*INDEX('Rules of Credit'!$B$5:$F$8,MATCH($F392,'Rules of Credit'!$A$5:$A$8,0),2)+IF(OR(ISNUMBER(L392),UPPER(TRIM(L392))="N/A"),1,0)*INDEX('Rules of Credit'!$B$5:$F$8,MATCH($F392,'Rules of Credit'!$A$5:$A$8,0),3)+IF(OR(ISNUMBER(M392),UPPER(TRIM(M392))="N/A"),1,0)*IF($X392="N",0,INDEX('Rules of Credit'!$B$5:$F$8,MATCH($F392,'Rules of Credit'!$A$5:$A$8,0),4))+IF(OR(ISNUMBER(N392),UPPER(TRIM(N392))="N/A"),1,0)*INDEX('Rules of Credit'!$B$5:$F$8,MATCH($F392,'Rules of Credit'!$A$5:$A$8,0),5))/(IF($W392="N",0,INDEX('Rules of Credit'!$B$5:$F$8,MATCH($F392,'Rules of Credit'!$A$5:$A$8,0),1))+INDEX('Rules of Credit'!$B$5:$F$8,MATCH($F392,'Rules of Credit'!$A$5:$A$8,0),2)+INDEX('Rules of Credit'!$B$5:$F$8,MATCH($F392,'Rules of Credit'!$A$5:$A$8,0),3)+IF($X392="N",0,INDEX('Rules of Credit'!$B$5:$F$8,MATCH($F392,'Rules of Credit'!$A$5:$A$8,0),4))+INDEX('Rules of Credit'!$B$5:$F$8,MATCH($F392,'Rules of Credit'!$A$5:$A$8,0),5)),0)</f>
        <v>0</v>
      </c>
      <c r="Q392" s="205" t="n">
        <f aca="false">IF(OR($H392="",$I392=""),0,IF('Tracker Summary'!$C$3&lt;$H392,0,IF('Tracker Summary'!$C$3&gt;=$I392,1,('Tracker Summary'!$C$3-$H392)/($I392-$H392+1))))</f>
        <v>0</v>
      </c>
      <c r="R392" s="205" t="n">
        <f aca="false">P392-Q392</f>
        <v>0</v>
      </c>
      <c r="S392" s="202" t="str">
        <f aca="false">IF($I392="","Not scheduled",IF(P392&gt;=1,"Complete",IF('Tracker Summary'!$C$3&gt;$I392,"Overdue",IF(P392-Q392&lt;-0.1,"Behind",IF(AND(P392=0,'Tracker Summary'!$C$3&lt;$H392),"Not started","On track")))))</f>
        <v>Not started</v>
      </c>
      <c r="T392" s="90"/>
      <c r="U392" s="202" t="str">
        <f aca="false">IFERROR(INDEX(Schedule!$D$2:$D$147,MATCH($G392,Schedule!$A$2:$A$147,0)),"")</f>
        <v>Blowers &amp; 2W Plant Water System — 2W air gap water system</v>
      </c>
      <c r="V392" s="204" t="n">
        <f aca="false">IFERROR(INDEX(Schedule!$F$2:$F$147,MATCH("43-P01",Schedule!$A$2:$A$147,0)),"")</f>
        <v>45016</v>
      </c>
      <c r="W392" s="202" t="s">
        <v>91</v>
      </c>
      <c r="X392" s="202" t="s">
        <v>91</v>
      </c>
      <c r="Y392" s="202" t="n">
        <v>0</v>
      </c>
      <c r="Z392" s="202" t="n">
        <v>0</v>
      </c>
      <c r="AA392" s="202" t="s">
        <v>1736</v>
      </c>
      <c r="AB392" s="202" t="s">
        <v>1380</v>
      </c>
      <c r="AC392" s="202" t="s">
        <v>92</v>
      </c>
      <c r="AD392" s="202" t="s">
        <v>93</v>
      </c>
      <c r="AE392" s="202" t="s">
        <v>1737</v>
      </c>
      <c r="AF392" s="202" t="s">
        <v>1635</v>
      </c>
      <c r="AG392" s="202" t="s">
        <v>1738</v>
      </c>
      <c r="AH392" s="202" t="s">
        <v>213</v>
      </c>
    </row>
    <row r="393" customFormat="false" ht="15" hidden="false" customHeight="false" outlineLevel="0" collapsed="false">
      <c r="A393" s="202" t="s">
        <v>60</v>
      </c>
      <c r="B393" s="203" t="s">
        <v>49</v>
      </c>
      <c r="C393" s="202" t="s">
        <v>1739</v>
      </c>
      <c r="D393" s="202" t="s">
        <v>1740</v>
      </c>
      <c r="E393" s="202" t="s">
        <v>310</v>
      </c>
      <c r="F393" s="90" t="s">
        <v>234</v>
      </c>
      <c r="G393" s="202" t="s">
        <v>1699</v>
      </c>
      <c r="H393" s="204" t="n">
        <f aca="false">IFERROR(INDEX(Schedule!$E$2:$E$147,MATCH($G393,Schedule!$A$2:$A$147,0)),"")</f>
        <v>45047</v>
      </c>
      <c r="I393" s="204" t="n">
        <f aca="false">IFERROR(INDEX(Schedule!$F$2:$F$147,MATCH($G393,Schedule!$A$2:$A$147,0)),"")</f>
        <v>45217</v>
      </c>
      <c r="J393" s="92"/>
      <c r="K393" s="92"/>
      <c r="L393" s="92"/>
      <c r="M393" s="92"/>
      <c r="N393" s="92"/>
      <c r="O393" s="90" t="n">
        <v>1</v>
      </c>
      <c r="P393" s="205" t="n">
        <f aca="false">IFERROR((IF(OR(ISNUMBER(J393),UPPER(TRIM(J393))="N/A"),1,0)*IF($W393="N",0,INDEX('Rules of Credit'!$B$5:$F$8,MATCH($F393,'Rules of Credit'!$A$5:$A$8,0),1))+IF(OR(ISNUMBER(K393),UPPER(TRIM(K393))="N/A"),1,0)*INDEX('Rules of Credit'!$B$5:$F$8,MATCH($F393,'Rules of Credit'!$A$5:$A$8,0),2)+IF(OR(ISNUMBER(L393),UPPER(TRIM(L393))="N/A"),1,0)*INDEX('Rules of Credit'!$B$5:$F$8,MATCH($F393,'Rules of Credit'!$A$5:$A$8,0),3)+IF(OR(ISNUMBER(M393),UPPER(TRIM(M393))="N/A"),1,0)*IF($X393="N",0,INDEX('Rules of Credit'!$B$5:$F$8,MATCH($F393,'Rules of Credit'!$A$5:$A$8,0),4))+IF(OR(ISNUMBER(N393),UPPER(TRIM(N393))="N/A"),1,0)*INDEX('Rules of Credit'!$B$5:$F$8,MATCH($F393,'Rules of Credit'!$A$5:$A$8,0),5))/(IF($W393="N",0,INDEX('Rules of Credit'!$B$5:$F$8,MATCH($F393,'Rules of Credit'!$A$5:$A$8,0),1))+INDEX('Rules of Credit'!$B$5:$F$8,MATCH($F393,'Rules of Credit'!$A$5:$A$8,0),2)+INDEX('Rules of Credit'!$B$5:$F$8,MATCH($F393,'Rules of Credit'!$A$5:$A$8,0),3)+IF($X393="N",0,INDEX('Rules of Credit'!$B$5:$F$8,MATCH($F393,'Rules of Credit'!$A$5:$A$8,0),4))+INDEX('Rules of Credit'!$B$5:$F$8,MATCH($F393,'Rules of Credit'!$A$5:$A$8,0),5)),0)</f>
        <v>0</v>
      </c>
      <c r="Q393" s="205" t="n">
        <f aca="false">IF(OR($H393="",$I393=""),0,IF('Tracker Summary'!$C$3&lt;$H393,0,IF('Tracker Summary'!$C$3&gt;=$I393,1,('Tracker Summary'!$C$3-$H393)/($I393-$H393+1))))</f>
        <v>0</v>
      </c>
      <c r="R393" s="205" t="n">
        <f aca="false">P393-Q393</f>
        <v>0</v>
      </c>
      <c r="S393" s="202" t="str">
        <f aca="false">IF($I393="","Not scheduled",IF(P393&gt;=1,"Complete",IF('Tracker Summary'!$C$3&gt;$I393,"Overdue",IF(P393-Q393&lt;-0.1,"Behind",IF(AND(P393=0,'Tracker Summary'!$C$3&lt;$H393),"Not started","On track")))))</f>
        <v>Not started</v>
      </c>
      <c r="T393" s="90"/>
      <c r="U393" s="202" t="str">
        <f aca="false">IFERROR(INDEX(Schedule!$D$2:$D$147,MATCH($G393,Schedule!$A$2:$A$147,0)),"")</f>
        <v>Blowers &amp; 2W Plant Water System — 2W air gap water system</v>
      </c>
      <c r="V393" s="204" t="n">
        <f aca="false">IFERROR(INDEX(Schedule!$F$2:$F$147,MATCH("43-P01",Schedule!$A$2:$A$147,0)),"")</f>
        <v>45016</v>
      </c>
      <c r="W393" s="202" t="s">
        <v>91</v>
      </c>
      <c r="X393" s="202" t="s">
        <v>91</v>
      </c>
      <c r="Y393" s="202" t="n">
        <v>0</v>
      </c>
      <c r="Z393" s="202" t="n">
        <v>0</v>
      </c>
      <c r="AA393" s="202"/>
      <c r="AB393" s="202" t="s">
        <v>1741</v>
      </c>
      <c r="AC393" s="202" t="s">
        <v>120</v>
      </c>
      <c r="AD393" s="202" t="s">
        <v>93</v>
      </c>
      <c r="AE393" s="202" t="s">
        <v>1707</v>
      </c>
      <c r="AF393" s="202" t="s">
        <v>1635</v>
      </c>
      <c r="AG393" s="202" t="s">
        <v>1720</v>
      </c>
      <c r="AH393" s="202" t="s">
        <v>213</v>
      </c>
    </row>
    <row r="394" customFormat="false" ht="15" hidden="false" customHeight="false" outlineLevel="0" collapsed="false">
      <c r="A394" s="202" t="s">
        <v>60</v>
      </c>
      <c r="B394" s="203" t="s">
        <v>49</v>
      </c>
      <c r="C394" s="202" t="s">
        <v>1742</v>
      </c>
      <c r="D394" s="202" t="s">
        <v>1743</v>
      </c>
      <c r="E394" s="202" t="s">
        <v>1723</v>
      </c>
      <c r="F394" s="90" t="s">
        <v>234</v>
      </c>
      <c r="G394" s="202" t="s">
        <v>1699</v>
      </c>
      <c r="H394" s="204" t="n">
        <f aca="false">IFERROR(INDEX(Schedule!$E$2:$E$147,MATCH($G394,Schedule!$A$2:$A$147,0)),"")</f>
        <v>45047</v>
      </c>
      <c r="I394" s="204" t="n">
        <f aca="false">IFERROR(INDEX(Schedule!$F$2:$F$147,MATCH($G394,Schedule!$A$2:$A$147,0)),"")</f>
        <v>45217</v>
      </c>
      <c r="J394" s="92"/>
      <c r="K394" s="92"/>
      <c r="L394" s="92"/>
      <c r="M394" s="92"/>
      <c r="N394" s="92"/>
      <c r="O394" s="90" t="n">
        <v>1</v>
      </c>
      <c r="P394" s="205" t="n">
        <f aca="false">IFERROR((IF(OR(ISNUMBER(J394),UPPER(TRIM(J394))="N/A"),1,0)*IF($W394="N",0,INDEX('Rules of Credit'!$B$5:$F$8,MATCH($F394,'Rules of Credit'!$A$5:$A$8,0),1))+IF(OR(ISNUMBER(K394),UPPER(TRIM(K394))="N/A"),1,0)*INDEX('Rules of Credit'!$B$5:$F$8,MATCH($F394,'Rules of Credit'!$A$5:$A$8,0),2)+IF(OR(ISNUMBER(L394),UPPER(TRIM(L394))="N/A"),1,0)*INDEX('Rules of Credit'!$B$5:$F$8,MATCH($F394,'Rules of Credit'!$A$5:$A$8,0),3)+IF(OR(ISNUMBER(M394),UPPER(TRIM(M394))="N/A"),1,0)*IF($X394="N",0,INDEX('Rules of Credit'!$B$5:$F$8,MATCH($F394,'Rules of Credit'!$A$5:$A$8,0),4))+IF(OR(ISNUMBER(N394),UPPER(TRIM(N394))="N/A"),1,0)*INDEX('Rules of Credit'!$B$5:$F$8,MATCH($F394,'Rules of Credit'!$A$5:$A$8,0),5))/(IF($W394="N",0,INDEX('Rules of Credit'!$B$5:$F$8,MATCH($F394,'Rules of Credit'!$A$5:$A$8,0),1))+INDEX('Rules of Credit'!$B$5:$F$8,MATCH($F394,'Rules of Credit'!$A$5:$A$8,0),2)+INDEX('Rules of Credit'!$B$5:$F$8,MATCH($F394,'Rules of Credit'!$A$5:$A$8,0),3)+IF($X394="N",0,INDEX('Rules of Credit'!$B$5:$F$8,MATCH($F394,'Rules of Credit'!$A$5:$A$8,0),4))+INDEX('Rules of Credit'!$B$5:$F$8,MATCH($F394,'Rules of Credit'!$A$5:$A$8,0),5)),0)</f>
        <v>0</v>
      </c>
      <c r="Q394" s="205" t="n">
        <f aca="false">IF(OR($H394="",$I394=""),0,IF('Tracker Summary'!$C$3&lt;$H394,0,IF('Tracker Summary'!$C$3&gt;=$I394,1,('Tracker Summary'!$C$3-$H394)/($I394-$H394+1))))</f>
        <v>0</v>
      </c>
      <c r="R394" s="205" t="n">
        <f aca="false">P394-Q394</f>
        <v>0</v>
      </c>
      <c r="S394" s="202" t="str">
        <f aca="false">IF($I394="","Not scheduled",IF(P394&gt;=1,"Complete",IF('Tracker Summary'!$C$3&gt;$I394,"Overdue",IF(P394-Q394&lt;-0.1,"Behind",IF(AND(P394=0,'Tracker Summary'!$C$3&lt;$H394),"Not started","On track")))))</f>
        <v>Not started</v>
      </c>
      <c r="T394" s="90"/>
      <c r="U394" s="202" t="str">
        <f aca="false">IFERROR(INDEX(Schedule!$D$2:$D$147,MATCH($G394,Schedule!$A$2:$A$147,0)),"")</f>
        <v>Blowers &amp; 2W Plant Water System — 2W air gap water system</v>
      </c>
      <c r="V394" s="204" t="n">
        <f aca="false">IFERROR(INDEX(Schedule!$F$2:$F$147,MATCH("43-P01",Schedule!$A$2:$A$147,0)),"")</f>
        <v>45016</v>
      </c>
      <c r="W394" s="202" t="s">
        <v>91</v>
      </c>
      <c r="X394" s="202" t="s">
        <v>91</v>
      </c>
      <c r="Y394" s="202" t="n">
        <v>0</v>
      </c>
      <c r="Z394" s="202" t="n">
        <v>0</v>
      </c>
      <c r="AA394" s="202" t="s">
        <v>1744</v>
      </c>
      <c r="AB394" s="202" t="s">
        <v>1745</v>
      </c>
      <c r="AC394" s="202" t="s">
        <v>92</v>
      </c>
      <c r="AD394" s="202" t="s">
        <v>93</v>
      </c>
      <c r="AE394" s="202" t="s">
        <v>1746</v>
      </c>
      <c r="AF394" s="202" t="s">
        <v>1635</v>
      </c>
      <c r="AG394" s="202" t="s">
        <v>1747</v>
      </c>
      <c r="AH394" s="202" t="s">
        <v>213</v>
      </c>
    </row>
    <row r="395" customFormat="false" ht="15" hidden="false" customHeight="false" outlineLevel="0" collapsed="false">
      <c r="A395" s="202" t="s">
        <v>60</v>
      </c>
      <c r="B395" s="203" t="s">
        <v>49</v>
      </c>
      <c r="C395" s="202" t="s">
        <v>1748</v>
      </c>
      <c r="D395" s="202" t="s">
        <v>1749</v>
      </c>
      <c r="E395" s="202" t="s">
        <v>310</v>
      </c>
      <c r="F395" s="90" t="s">
        <v>234</v>
      </c>
      <c r="G395" s="202" t="s">
        <v>1699</v>
      </c>
      <c r="H395" s="204" t="n">
        <f aca="false">IFERROR(INDEX(Schedule!$E$2:$E$147,MATCH($G395,Schedule!$A$2:$A$147,0)),"")</f>
        <v>45047</v>
      </c>
      <c r="I395" s="204" t="n">
        <f aca="false">IFERROR(INDEX(Schedule!$F$2:$F$147,MATCH($G395,Schedule!$A$2:$A$147,0)),"")</f>
        <v>45217</v>
      </c>
      <c r="J395" s="92"/>
      <c r="K395" s="92"/>
      <c r="L395" s="92"/>
      <c r="M395" s="92"/>
      <c r="N395" s="92"/>
      <c r="O395" s="90" t="n">
        <v>1</v>
      </c>
      <c r="P395" s="205" t="n">
        <f aca="false">IFERROR((IF(OR(ISNUMBER(J395),UPPER(TRIM(J395))="N/A"),1,0)*IF($W395="N",0,INDEX('Rules of Credit'!$B$5:$F$8,MATCH($F395,'Rules of Credit'!$A$5:$A$8,0),1))+IF(OR(ISNUMBER(K395),UPPER(TRIM(K395))="N/A"),1,0)*INDEX('Rules of Credit'!$B$5:$F$8,MATCH($F395,'Rules of Credit'!$A$5:$A$8,0),2)+IF(OR(ISNUMBER(L395),UPPER(TRIM(L395))="N/A"),1,0)*INDEX('Rules of Credit'!$B$5:$F$8,MATCH($F395,'Rules of Credit'!$A$5:$A$8,0),3)+IF(OR(ISNUMBER(M395),UPPER(TRIM(M395))="N/A"),1,0)*IF($X395="N",0,INDEX('Rules of Credit'!$B$5:$F$8,MATCH($F395,'Rules of Credit'!$A$5:$A$8,0),4))+IF(OR(ISNUMBER(N395),UPPER(TRIM(N395))="N/A"),1,0)*INDEX('Rules of Credit'!$B$5:$F$8,MATCH($F395,'Rules of Credit'!$A$5:$A$8,0),5))/(IF($W395="N",0,INDEX('Rules of Credit'!$B$5:$F$8,MATCH($F395,'Rules of Credit'!$A$5:$A$8,0),1))+INDEX('Rules of Credit'!$B$5:$F$8,MATCH($F395,'Rules of Credit'!$A$5:$A$8,0),2)+INDEX('Rules of Credit'!$B$5:$F$8,MATCH($F395,'Rules of Credit'!$A$5:$A$8,0),3)+IF($X395="N",0,INDEX('Rules of Credit'!$B$5:$F$8,MATCH($F395,'Rules of Credit'!$A$5:$A$8,0),4))+INDEX('Rules of Credit'!$B$5:$F$8,MATCH($F395,'Rules of Credit'!$A$5:$A$8,0),5)),0)</f>
        <v>0</v>
      </c>
      <c r="Q395" s="205" t="n">
        <f aca="false">IF(OR($H395="",$I395=""),0,IF('Tracker Summary'!$C$3&lt;$H395,0,IF('Tracker Summary'!$C$3&gt;=$I395,1,('Tracker Summary'!$C$3-$H395)/($I395-$H395+1))))</f>
        <v>0</v>
      </c>
      <c r="R395" s="205" t="n">
        <f aca="false">P395-Q395</f>
        <v>0</v>
      </c>
      <c r="S395" s="202" t="str">
        <f aca="false">IF($I395="","Not scheduled",IF(P395&gt;=1,"Complete",IF('Tracker Summary'!$C$3&gt;$I395,"Overdue",IF(P395-Q395&lt;-0.1,"Behind",IF(AND(P395=0,'Tracker Summary'!$C$3&lt;$H395),"Not started","On track")))))</f>
        <v>Not started</v>
      </c>
      <c r="T395" s="90"/>
      <c r="U395" s="202" t="str">
        <f aca="false">IFERROR(INDEX(Schedule!$D$2:$D$147,MATCH($G395,Schedule!$A$2:$A$147,0)),"")</f>
        <v>Blowers &amp; 2W Plant Water System — 2W air gap water system</v>
      </c>
      <c r="V395" s="204" t="n">
        <f aca="false">IFERROR(INDEX(Schedule!$F$2:$F$147,MATCH("43-P01",Schedule!$A$2:$A$147,0)),"")</f>
        <v>45016</v>
      </c>
      <c r="W395" s="202" t="s">
        <v>115</v>
      </c>
      <c r="X395" s="202" t="s">
        <v>115</v>
      </c>
      <c r="Y395" s="202" t="n">
        <v>0</v>
      </c>
      <c r="Z395" s="202" t="n">
        <v>0</v>
      </c>
      <c r="AA395" s="202" t="s">
        <v>1750</v>
      </c>
      <c r="AB395" s="202" t="s">
        <v>1714</v>
      </c>
      <c r="AC395" s="202" t="s">
        <v>120</v>
      </c>
      <c r="AD395" s="202" t="s">
        <v>542</v>
      </c>
      <c r="AE395" s="202" t="s">
        <v>1751</v>
      </c>
      <c r="AF395" s="202"/>
      <c r="AG395" s="202" t="s">
        <v>1751</v>
      </c>
      <c r="AH395" s="202" t="s">
        <v>501</v>
      </c>
    </row>
    <row r="396" customFormat="false" ht="15" hidden="false" customHeight="false" outlineLevel="0" collapsed="false">
      <c r="A396" s="202" t="s">
        <v>60</v>
      </c>
      <c r="B396" s="203" t="s">
        <v>49</v>
      </c>
      <c r="C396" s="202" t="s">
        <v>1752</v>
      </c>
      <c r="D396" s="202" t="s">
        <v>1753</v>
      </c>
      <c r="E396" s="202" t="s">
        <v>310</v>
      </c>
      <c r="F396" s="90" t="s">
        <v>234</v>
      </c>
      <c r="G396" s="202" t="s">
        <v>1699</v>
      </c>
      <c r="H396" s="204" t="n">
        <f aca="false">IFERROR(INDEX(Schedule!$E$2:$E$147,MATCH($G396,Schedule!$A$2:$A$147,0)),"")</f>
        <v>45047</v>
      </c>
      <c r="I396" s="204" t="n">
        <f aca="false">IFERROR(INDEX(Schedule!$F$2:$F$147,MATCH($G396,Schedule!$A$2:$A$147,0)),"")</f>
        <v>45217</v>
      </c>
      <c r="J396" s="92"/>
      <c r="K396" s="92"/>
      <c r="L396" s="92"/>
      <c r="M396" s="92"/>
      <c r="N396" s="92"/>
      <c r="O396" s="90" t="n">
        <v>1</v>
      </c>
      <c r="P396" s="205" t="n">
        <f aca="false">IFERROR((IF(OR(ISNUMBER(J396),UPPER(TRIM(J396))="N/A"),1,0)*IF($W396="N",0,INDEX('Rules of Credit'!$B$5:$F$8,MATCH($F396,'Rules of Credit'!$A$5:$A$8,0),1))+IF(OR(ISNUMBER(K396),UPPER(TRIM(K396))="N/A"),1,0)*INDEX('Rules of Credit'!$B$5:$F$8,MATCH($F396,'Rules of Credit'!$A$5:$A$8,0),2)+IF(OR(ISNUMBER(L396),UPPER(TRIM(L396))="N/A"),1,0)*INDEX('Rules of Credit'!$B$5:$F$8,MATCH($F396,'Rules of Credit'!$A$5:$A$8,0),3)+IF(OR(ISNUMBER(M396),UPPER(TRIM(M396))="N/A"),1,0)*IF($X396="N",0,INDEX('Rules of Credit'!$B$5:$F$8,MATCH($F396,'Rules of Credit'!$A$5:$A$8,0),4))+IF(OR(ISNUMBER(N396),UPPER(TRIM(N396))="N/A"),1,0)*INDEX('Rules of Credit'!$B$5:$F$8,MATCH($F396,'Rules of Credit'!$A$5:$A$8,0),5))/(IF($W396="N",0,INDEX('Rules of Credit'!$B$5:$F$8,MATCH($F396,'Rules of Credit'!$A$5:$A$8,0),1))+INDEX('Rules of Credit'!$B$5:$F$8,MATCH($F396,'Rules of Credit'!$A$5:$A$8,0),2)+INDEX('Rules of Credit'!$B$5:$F$8,MATCH($F396,'Rules of Credit'!$A$5:$A$8,0),3)+IF($X396="N",0,INDEX('Rules of Credit'!$B$5:$F$8,MATCH($F396,'Rules of Credit'!$A$5:$A$8,0),4))+INDEX('Rules of Credit'!$B$5:$F$8,MATCH($F396,'Rules of Credit'!$A$5:$A$8,0),5)),0)</f>
        <v>0</v>
      </c>
      <c r="Q396" s="205" t="n">
        <f aca="false">IF(OR($H396="",$I396=""),0,IF('Tracker Summary'!$C$3&lt;$H396,0,IF('Tracker Summary'!$C$3&gt;=$I396,1,('Tracker Summary'!$C$3-$H396)/($I396-$H396+1))))</f>
        <v>0</v>
      </c>
      <c r="R396" s="205" t="n">
        <f aca="false">P396-Q396</f>
        <v>0</v>
      </c>
      <c r="S396" s="202" t="str">
        <f aca="false">IF($I396="","Not scheduled",IF(P396&gt;=1,"Complete",IF('Tracker Summary'!$C$3&gt;$I396,"Overdue",IF(P396-Q396&lt;-0.1,"Behind",IF(AND(P396=0,'Tracker Summary'!$C$3&lt;$H396),"Not started","On track")))))</f>
        <v>Not started</v>
      </c>
      <c r="T396" s="90"/>
      <c r="U396" s="202" t="str">
        <f aca="false">IFERROR(INDEX(Schedule!$D$2:$D$147,MATCH($G396,Schedule!$A$2:$A$147,0)),"")</f>
        <v>Blowers &amp; 2W Plant Water System — 2W air gap water system</v>
      </c>
      <c r="V396" s="204" t="n">
        <f aca="false">IFERROR(INDEX(Schedule!$F$2:$F$147,MATCH("43-P01",Schedule!$A$2:$A$147,0)),"")</f>
        <v>45016</v>
      </c>
      <c r="W396" s="202" t="s">
        <v>115</v>
      </c>
      <c r="X396" s="202" t="s">
        <v>115</v>
      </c>
      <c r="Y396" s="202" t="n">
        <v>0</v>
      </c>
      <c r="Z396" s="202" t="n">
        <v>0</v>
      </c>
      <c r="AA396" s="202" t="s">
        <v>1750</v>
      </c>
      <c r="AB396" s="202" t="s">
        <v>1714</v>
      </c>
      <c r="AC396" s="202" t="s">
        <v>120</v>
      </c>
      <c r="AD396" s="202" t="s">
        <v>542</v>
      </c>
      <c r="AE396" s="202" t="s">
        <v>1751</v>
      </c>
      <c r="AF396" s="202"/>
      <c r="AG396" s="202" t="s">
        <v>1751</v>
      </c>
      <c r="AH396" s="202" t="s">
        <v>501</v>
      </c>
    </row>
    <row r="397" customFormat="false" ht="15" hidden="false" customHeight="false" outlineLevel="0" collapsed="false">
      <c r="A397" s="202" t="s">
        <v>60</v>
      </c>
      <c r="B397" s="203" t="s">
        <v>49</v>
      </c>
      <c r="C397" s="202" t="s">
        <v>1754</v>
      </c>
      <c r="D397" s="202" t="s">
        <v>1755</v>
      </c>
      <c r="E397" s="202" t="s">
        <v>310</v>
      </c>
      <c r="F397" s="90" t="s">
        <v>234</v>
      </c>
      <c r="G397" s="202" t="s">
        <v>1699</v>
      </c>
      <c r="H397" s="204" t="n">
        <f aca="false">IFERROR(INDEX(Schedule!$E$2:$E$147,MATCH($G397,Schedule!$A$2:$A$147,0)),"")</f>
        <v>45047</v>
      </c>
      <c r="I397" s="204" t="n">
        <f aca="false">IFERROR(INDEX(Schedule!$F$2:$F$147,MATCH($G397,Schedule!$A$2:$A$147,0)),"")</f>
        <v>45217</v>
      </c>
      <c r="J397" s="92"/>
      <c r="K397" s="92"/>
      <c r="L397" s="92"/>
      <c r="M397" s="92"/>
      <c r="N397" s="92"/>
      <c r="O397" s="90" t="n">
        <v>1</v>
      </c>
      <c r="P397" s="205" t="n">
        <f aca="false">IFERROR((IF(OR(ISNUMBER(J397),UPPER(TRIM(J397))="N/A"),1,0)*IF($W397="N",0,INDEX('Rules of Credit'!$B$5:$F$8,MATCH($F397,'Rules of Credit'!$A$5:$A$8,0),1))+IF(OR(ISNUMBER(K397),UPPER(TRIM(K397))="N/A"),1,0)*INDEX('Rules of Credit'!$B$5:$F$8,MATCH($F397,'Rules of Credit'!$A$5:$A$8,0),2)+IF(OR(ISNUMBER(L397),UPPER(TRIM(L397))="N/A"),1,0)*INDEX('Rules of Credit'!$B$5:$F$8,MATCH($F397,'Rules of Credit'!$A$5:$A$8,0),3)+IF(OR(ISNUMBER(M397),UPPER(TRIM(M397))="N/A"),1,0)*IF($X397="N",0,INDEX('Rules of Credit'!$B$5:$F$8,MATCH($F397,'Rules of Credit'!$A$5:$A$8,0),4))+IF(OR(ISNUMBER(N397),UPPER(TRIM(N397))="N/A"),1,0)*INDEX('Rules of Credit'!$B$5:$F$8,MATCH($F397,'Rules of Credit'!$A$5:$A$8,0),5))/(IF($W397="N",0,INDEX('Rules of Credit'!$B$5:$F$8,MATCH($F397,'Rules of Credit'!$A$5:$A$8,0),1))+INDEX('Rules of Credit'!$B$5:$F$8,MATCH($F397,'Rules of Credit'!$A$5:$A$8,0),2)+INDEX('Rules of Credit'!$B$5:$F$8,MATCH($F397,'Rules of Credit'!$A$5:$A$8,0),3)+IF($X397="N",0,INDEX('Rules of Credit'!$B$5:$F$8,MATCH($F397,'Rules of Credit'!$A$5:$A$8,0),4))+INDEX('Rules of Credit'!$B$5:$F$8,MATCH($F397,'Rules of Credit'!$A$5:$A$8,0),5)),0)</f>
        <v>0</v>
      </c>
      <c r="Q397" s="205" t="n">
        <f aca="false">IF(OR($H397="",$I397=""),0,IF('Tracker Summary'!$C$3&lt;$H397,0,IF('Tracker Summary'!$C$3&gt;=$I397,1,('Tracker Summary'!$C$3-$H397)/($I397-$H397+1))))</f>
        <v>0</v>
      </c>
      <c r="R397" s="205" t="n">
        <f aca="false">P397-Q397</f>
        <v>0</v>
      </c>
      <c r="S397" s="202" t="str">
        <f aca="false">IF($I397="","Not scheduled",IF(P397&gt;=1,"Complete",IF('Tracker Summary'!$C$3&gt;$I397,"Overdue",IF(P397-Q397&lt;-0.1,"Behind",IF(AND(P397=0,'Tracker Summary'!$C$3&lt;$H397),"Not started","On track")))))</f>
        <v>Not started</v>
      </c>
      <c r="T397" s="90"/>
      <c r="U397" s="202" t="str">
        <f aca="false">IFERROR(INDEX(Schedule!$D$2:$D$147,MATCH($G397,Schedule!$A$2:$A$147,0)),"")</f>
        <v>Blowers &amp; 2W Plant Water System — 2W air gap water system</v>
      </c>
      <c r="V397" s="204" t="n">
        <f aca="false">IFERROR(INDEX(Schedule!$F$2:$F$147,MATCH("43-P01",Schedule!$A$2:$A$147,0)),"")</f>
        <v>45016</v>
      </c>
      <c r="W397" s="202" t="s">
        <v>115</v>
      </c>
      <c r="X397" s="202" t="s">
        <v>115</v>
      </c>
      <c r="Y397" s="202" t="n">
        <v>0</v>
      </c>
      <c r="Z397" s="202" t="n">
        <v>0</v>
      </c>
      <c r="AA397" s="202" t="s">
        <v>1756</v>
      </c>
      <c r="AB397" s="202" t="s">
        <v>1757</v>
      </c>
      <c r="AC397" s="202" t="s">
        <v>120</v>
      </c>
      <c r="AD397" s="202" t="s">
        <v>1758</v>
      </c>
      <c r="AE397" s="202" t="s">
        <v>972</v>
      </c>
      <c r="AF397" s="202"/>
      <c r="AG397" s="202" t="s">
        <v>972</v>
      </c>
      <c r="AH397" s="202" t="s">
        <v>501</v>
      </c>
    </row>
    <row r="398" customFormat="false" ht="15" hidden="false" customHeight="false" outlineLevel="0" collapsed="false">
      <c r="A398" s="202" t="s">
        <v>60</v>
      </c>
      <c r="B398" s="203" t="s">
        <v>49</v>
      </c>
      <c r="C398" s="202" t="s">
        <v>1759</v>
      </c>
      <c r="D398" s="202" t="s">
        <v>1760</v>
      </c>
      <c r="E398" s="202" t="s">
        <v>310</v>
      </c>
      <c r="F398" s="90" t="s">
        <v>234</v>
      </c>
      <c r="G398" s="202" t="s">
        <v>1699</v>
      </c>
      <c r="H398" s="204" t="n">
        <f aca="false">IFERROR(INDEX(Schedule!$E$2:$E$147,MATCH($G398,Schedule!$A$2:$A$147,0)),"")</f>
        <v>45047</v>
      </c>
      <c r="I398" s="204" t="n">
        <f aca="false">IFERROR(INDEX(Schedule!$F$2:$F$147,MATCH($G398,Schedule!$A$2:$A$147,0)),"")</f>
        <v>45217</v>
      </c>
      <c r="J398" s="92"/>
      <c r="K398" s="92"/>
      <c r="L398" s="92"/>
      <c r="M398" s="92"/>
      <c r="N398" s="92"/>
      <c r="O398" s="90" t="n">
        <v>1</v>
      </c>
      <c r="P398" s="205" t="n">
        <f aca="false">IFERROR((IF(OR(ISNUMBER(J398),UPPER(TRIM(J398))="N/A"),1,0)*IF($W398="N",0,INDEX('Rules of Credit'!$B$5:$F$8,MATCH($F398,'Rules of Credit'!$A$5:$A$8,0),1))+IF(OR(ISNUMBER(K398),UPPER(TRIM(K398))="N/A"),1,0)*INDEX('Rules of Credit'!$B$5:$F$8,MATCH($F398,'Rules of Credit'!$A$5:$A$8,0),2)+IF(OR(ISNUMBER(L398),UPPER(TRIM(L398))="N/A"),1,0)*INDEX('Rules of Credit'!$B$5:$F$8,MATCH($F398,'Rules of Credit'!$A$5:$A$8,0),3)+IF(OR(ISNUMBER(M398),UPPER(TRIM(M398))="N/A"),1,0)*IF($X398="N",0,INDEX('Rules of Credit'!$B$5:$F$8,MATCH($F398,'Rules of Credit'!$A$5:$A$8,0),4))+IF(OR(ISNUMBER(N398),UPPER(TRIM(N398))="N/A"),1,0)*INDEX('Rules of Credit'!$B$5:$F$8,MATCH($F398,'Rules of Credit'!$A$5:$A$8,0),5))/(IF($W398="N",0,INDEX('Rules of Credit'!$B$5:$F$8,MATCH($F398,'Rules of Credit'!$A$5:$A$8,0),1))+INDEX('Rules of Credit'!$B$5:$F$8,MATCH($F398,'Rules of Credit'!$A$5:$A$8,0),2)+INDEX('Rules of Credit'!$B$5:$F$8,MATCH($F398,'Rules of Credit'!$A$5:$A$8,0),3)+IF($X398="N",0,INDEX('Rules of Credit'!$B$5:$F$8,MATCH($F398,'Rules of Credit'!$A$5:$A$8,0),4))+INDEX('Rules of Credit'!$B$5:$F$8,MATCH($F398,'Rules of Credit'!$A$5:$A$8,0),5)),0)</f>
        <v>0</v>
      </c>
      <c r="Q398" s="205" t="n">
        <f aca="false">IF(OR($H398="",$I398=""),0,IF('Tracker Summary'!$C$3&lt;$H398,0,IF('Tracker Summary'!$C$3&gt;=$I398,1,('Tracker Summary'!$C$3-$H398)/($I398-$H398+1))))</f>
        <v>0</v>
      </c>
      <c r="R398" s="205" t="n">
        <f aca="false">P398-Q398</f>
        <v>0</v>
      </c>
      <c r="S398" s="202" t="str">
        <f aca="false">IF($I398="","Not scheduled",IF(P398&gt;=1,"Complete",IF('Tracker Summary'!$C$3&gt;$I398,"Overdue",IF(P398-Q398&lt;-0.1,"Behind",IF(AND(P398=0,'Tracker Summary'!$C$3&lt;$H398),"Not started","On track")))))</f>
        <v>Not started</v>
      </c>
      <c r="T398" s="90"/>
      <c r="U398" s="202" t="str">
        <f aca="false">IFERROR(INDEX(Schedule!$D$2:$D$147,MATCH($G398,Schedule!$A$2:$A$147,0)),"")</f>
        <v>Blowers &amp; 2W Plant Water System — 2W air gap water system</v>
      </c>
      <c r="V398" s="204" t="n">
        <f aca="false">IFERROR(INDEX(Schedule!$F$2:$F$147,MATCH("43-P01",Schedule!$A$2:$A$147,0)),"")</f>
        <v>45016</v>
      </c>
      <c r="W398" s="202" t="s">
        <v>115</v>
      </c>
      <c r="X398" s="202" t="s">
        <v>115</v>
      </c>
      <c r="Y398" s="202" t="n">
        <v>0</v>
      </c>
      <c r="Z398" s="202" t="n">
        <v>0</v>
      </c>
      <c r="AA398" s="202" t="s">
        <v>1761</v>
      </c>
      <c r="AB398" s="202" t="s">
        <v>1694</v>
      </c>
      <c r="AC398" s="202" t="s">
        <v>120</v>
      </c>
      <c r="AD398" s="202" t="s">
        <v>1758</v>
      </c>
      <c r="AE398" s="202" t="s">
        <v>972</v>
      </c>
      <c r="AF398" s="202"/>
      <c r="AG398" s="202" t="s">
        <v>972</v>
      </c>
      <c r="AH398" s="202" t="s">
        <v>501</v>
      </c>
    </row>
    <row r="399" customFormat="false" ht="15" hidden="false" customHeight="false" outlineLevel="0" collapsed="false">
      <c r="A399" s="202" t="s">
        <v>60</v>
      </c>
      <c r="B399" s="203" t="s">
        <v>49</v>
      </c>
      <c r="C399" s="202" t="s">
        <v>1762</v>
      </c>
      <c r="D399" s="202" t="s">
        <v>1763</v>
      </c>
      <c r="E399" s="202" t="s">
        <v>310</v>
      </c>
      <c r="F399" s="90" t="s">
        <v>234</v>
      </c>
      <c r="G399" s="202" t="s">
        <v>1699</v>
      </c>
      <c r="H399" s="204" t="n">
        <f aca="false">IFERROR(INDEX(Schedule!$E$2:$E$147,MATCH($G399,Schedule!$A$2:$A$147,0)),"")</f>
        <v>45047</v>
      </c>
      <c r="I399" s="204" t="n">
        <f aca="false">IFERROR(INDEX(Schedule!$F$2:$F$147,MATCH($G399,Schedule!$A$2:$A$147,0)),"")</f>
        <v>45217</v>
      </c>
      <c r="J399" s="92"/>
      <c r="K399" s="92"/>
      <c r="L399" s="92"/>
      <c r="M399" s="92"/>
      <c r="N399" s="92"/>
      <c r="O399" s="90" t="n">
        <v>1</v>
      </c>
      <c r="P399" s="205" t="n">
        <f aca="false">IFERROR((IF(OR(ISNUMBER(J399),UPPER(TRIM(J399))="N/A"),1,0)*IF($W399="N",0,INDEX('Rules of Credit'!$B$5:$F$8,MATCH($F399,'Rules of Credit'!$A$5:$A$8,0),1))+IF(OR(ISNUMBER(K399),UPPER(TRIM(K399))="N/A"),1,0)*INDEX('Rules of Credit'!$B$5:$F$8,MATCH($F399,'Rules of Credit'!$A$5:$A$8,0),2)+IF(OR(ISNUMBER(L399),UPPER(TRIM(L399))="N/A"),1,0)*INDEX('Rules of Credit'!$B$5:$F$8,MATCH($F399,'Rules of Credit'!$A$5:$A$8,0),3)+IF(OR(ISNUMBER(M399),UPPER(TRIM(M399))="N/A"),1,0)*IF($X399="N",0,INDEX('Rules of Credit'!$B$5:$F$8,MATCH($F399,'Rules of Credit'!$A$5:$A$8,0),4))+IF(OR(ISNUMBER(N399),UPPER(TRIM(N399))="N/A"),1,0)*INDEX('Rules of Credit'!$B$5:$F$8,MATCH($F399,'Rules of Credit'!$A$5:$A$8,0),5))/(IF($W399="N",0,INDEX('Rules of Credit'!$B$5:$F$8,MATCH($F399,'Rules of Credit'!$A$5:$A$8,0),1))+INDEX('Rules of Credit'!$B$5:$F$8,MATCH($F399,'Rules of Credit'!$A$5:$A$8,0),2)+INDEX('Rules of Credit'!$B$5:$F$8,MATCH($F399,'Rules of Credit'!$A$5:$A$8,0),3)+IF($X399="N",0,INDEX('Rules of Credit'!$B$5:$F$8,MATCH($F399,'Rules of Credit'!$A$5:$A$8,0),4))+INDEX('Rules of Credit'!$B$5:$F$8,MATCH($F399,'Rules of Credit'!$A$5:$A$8,0),5)),0)</f>
        <v>0</v>
      </c>
      <c r="Q399" s="205" t="n">
        <f aca="false">IF(OR($H399="",$I399=""),0,IF('Tracker Summary'!$C$3&lt;$H399,0,IF('Tracker Summary'!$C$3&gt;=$I399,1,('Tracker Summary'!$C$3-$H399)/($I399-$H399+1))))</f>
        <v>0</v>
      </c>
      <c r="R399" s="205" t="n">
        <f aca="false">P399-Q399</f>
        <v>0</v>
      </c>
      <c r="S399" s="202" t="str">
        <f aca="false">IF($I399="","Not scheduled",IF(P399&gt;=1,"Complete",IF('Tracker Summary'!$C$3&gt;$I399,"Overdue",IF(P399-Q399&lt;-0.1,"Behind",IF(AND(P399=0,'Tracker Summary'!$C$3&lt;$H399),"Not started","On track")))))</f>
        <v>Not started</v>
      </c>
      <c r="T399" s="90"/>
      <c r="U399" s="202" t="str">
        <f aca="false">IFERROR(INDEX(Schedule!$D$2:$D$147,MATCH($G399,Schedule!$A$2:$A$147,0)),"")</f>
        <v>Blowers &amp; 2W Plant Water System — 2W air gap water system</v>
      </c>
      <c r="V399" s="204" t="n">
        <f aca="false">IFERROR(INDEX(Schedule!$F$2:$F$147,MATCH("43-P01",Schedule!$A$2:$A$147,0)),"")</f>
        <v>45016</v>
      </c>
      <c r="W399" s="202" t="s">
        <v>115</v>
      </c>
      <c r="X399" s="202" t="s">
        <v>115</v>
      </c>
      <c r="Y399" s="202" t="n">
        <v>0</v>
      </c>
      <c r="Z399" s="202" t="n">
        <v>0</v>
      </c>
      <c r="AA399" s="202" t="s">
        <v>1764</v>
      </c>
      <c r="AB399" s="202" t="s">
        <v>1689</v>
      </c>
      <c r="AC399" s="202" t="s">
        <v>541</v>
      </c>
      <c r="AD399" s="202" t="s">
        <v>542</v>
      </c>
      <c r="AE399" s="202" t="s">
        <v>1765</v>
      </c>
      <c r="AF399" s="202"/>
      <c r="AG399" s="202" t="s">
        <v>1765</v>
      </c>
      <c r="AH399" s="202" t="s">
        <v>501</v>
      </c>
    </row>
    <row r="400" customFormat="false" ht="15" hidden="false" customHeight="false" outlineLevel="0" collapsed="false">
      <c r="A400" s="202" t="s">
        <v>60</v>
      </c>
      <c r="B400" s="203" t="s">
        <v>49</v>
      </c>
      <c r="C400" s="202" t="s">
        <v>1766</v>
      </c>
      <c r="D400" s="202" t="s">
        <v>1767</v>
      </c>
      <c r="E400" s="202" t="s">
        <v>310</v>
      </c>
      <c r="F400" s="90" t="s">
        <v>234</v>
      </c>
      <c r="G400" s="202" t="s">
        <v>1699</v>
      </c>
      <c r="H400" s="204" t="n">
        <f aca="false">IFERROR(INDEX(Schedule!$E$2:$E$147,MATCH($G400,Schedule!$A$2:$A$147,0)),"")</f>
        <v>45047</v>
      </c>
      <c r="I400" s="204" t="n">
        <f aca="false">IFERROR(INDEX(Schedule!$F$2:$F$147,MATCH($G400,Schedule!$A$2:$A$147,0)),"")</f>
        <v>45217</v>
      </c>
      <c r="J400" s="92"/>
      <c r="K400" s="92"/>
      <c r="L400" s="92"/>
      <c r="M400" s="92"/>
      <c r="N400" s="92"/>
      <c r="O400" s="90" t="n">
        <v>1</v>
      </c>
      <c r="P400" s="205" t="n">
        <f aca="false">IFERROR((IF(OR(ISNUMBER(J400),UPPER(TRIM(J400))="N/A"),1,0)*IF($W400="N",0,INDEX('Rules of Credit'!$B$5:$F$8,MATCH($F400,'Rules of Credit'!$A$5:$A$8,0),1))+IF(OR(ISNUMBER(K400),UPPER(TRIM(K400))="N/A"),1,0)*INDEX('Rules of Credit'!$B$5:$F$8,MATCH($F400,'Rules of Credit'!$A$5:$A$8,0),2)+IF(OR(ISNUMBER(L400),UPPER(TRIM(L400))="N/A"),1,0)*INDEX('Rules of Credit'!$B$5:$F$8,MATCH($F400,'Rules of Credit'!$A$5:$A$8,0),3)+IF(OR(ISNUMBER(M400),UPPER(TRIM(M400))="N/A"),1,0)*IF($X400="N",0,INDEX('Rules of Credit'!$B$5:$F$8,MATCH($F400,'Rules of Credit'!$A$5:$A$8,0),4))+IF(OR(ISNUMBER(N400),UPPER(TRIM(N400))="N/A"),1,0)*INDEX('Rules of Credit'!$B$5:$F$8,MATCH($F400,'Rules of Credit'!$A$5:$A$8,0),5))/(IF($W400="N",0,INDEX('Rules of Credit'!$B$5:$F$8,MATCH($F400,'Rules of Credit'!$A$5:$A$8,0),1))+INDEX('Rules of Credit'!$B$5:$F$8,MATCH($F400,'Rules of Credit'!$A$5:$A$8,0),2)+INDEX('Rules of Credit'!$B$5:$F$8,MATCH($F400,'Rules of Credit'!$A$5:$A$8,0),3)+IF($X400="N",0,INDEX('Rules of Credit'!$B$5:$F$8,MATCH($F400,'Rules of Credit'!$A$5:$A$8,0),4))+INDEX('Rules of Credit'!$B$5:$F$8,MATCH($F400,'Rules of Credit'!$A$5:$A$8,0),5)),0)</f>
        <v>0</v>
      </c>
      <c r="Q400" s="205" t="n">
        <f aca="false">IF(OR($H400="",$I400=""),0,IF('Tracker Summary'!$C$3&lt;$H400,0,IF('Tracker Summary'!$C$3&gt;=$I400,1,('Tracker Summary'!$C$3-$H400)/($I400-$H400+1))))</f>
        <v>0</v>
      </c>
      <c r="R400" s="205" t="n">
        <f aca="false">P400-Q400</f>
        <v>0</v>
      </c>
      <c r="S400" s="202" t="str">
        <f aca="false">IF($I400="","Not scheduled",IF(P400&gt;=1,"Complete",IF('Tracker Summary'!$C$3&gt;$I400,"Overdue",IF(P400-Q400&lt;-0.1,"Behind",IF(AND(P400=0,'Tracker Summary'!$C$3&lt;$H400),"Not started","On track")))))</f>
        <v>Not started</v>
      </c>
      <c r="T400" s="90"/>
      <c r="U400" s="202" t="str">
        <f aca="false">IFERROR(INDEX(Schedule!$D$2:$D$147,MATCH($G400,Schedule!$A$2:$A$147,0)),"")</f>
        <v>Blowers &amp; 2W Plant Water System — 2W air gap water system</v>
      </c>
      <c r="V400" s="204" t="n">
        <f aca="false">IFERROR(INDEX(Schedule!$F$2:$F$147,MATCH("43-P01",Schedule!$A$2:$A$147,0)),"")</f>
        <v>45016</v>
      </c>
      <c r="W400" s="202" t="s">
        <v>99</v>
      </c>
      <c r="X400" s="202" t="s">
        <v>99</v>
      </c>
      <c r="Y400" s="202" t="n">
        <v>11</v>
      </c>
      <c r="Z400" s="202" t="n">
        <v>4</v>
      </c>
      <c r="AA400" s="202" t="s">
        <v>1768</v>
      </c>
      <c r="AB400" s="202" t="s">
        <v>1769</v>
      </c>
      <c r="AC400" s="202" t="s">
        <v>92</v>
      </c>
      <c r="AD400" s="202" t="s">
        <v>93</v>
      </c>
      <c r="AE400" s="202"/>
      <c r="AF400" s="202" t="s">
        <v>1770</v>
      </c>
      <c r="AG400" s="202" t="s">
        <v>1771</v>
      </c>
      <c r="AH400" s="202" t="s">
        <v>109</v>
      </c>
    </row>
    <row r="401" customFormat="false" ht="15" hidden="false" customHeight="false" outlineLevel="0" collapsed="false">
      <c r="A401" s="202" t="s">
        <v>60</v>
      </c>
      <c r="B401" s="203" t="s">
        <v>49</v>
      </c>
      <c r="C401" s="202" t="s">
        <v>1772</v>
      </c>
      <c r="D401" s="202" t="s">
        <v>1773</v>
      </c>
      <c r="E401" s="202" t="s">
        <v>1616</v>
      </c>
      <c r="F401" s="90" t="s">
        <v>234</v>
      </c>
      <c r="G401" s="202" t="s">
        <v>1774</v>
      </c>
      <c r="H401" s="204" t="n">
        <f aca="false">IFERROR(INDEX(Schedule!$E$2:$E$147,MATCH($G401,Schedule!$A$2:$A$147,0)),"")</f>
        <v>45231</v>
      </c>
      <c r="I401" s="204" t="n">
        <f aca="false">IFERROR(INDEX(Schedule!$F$2:$F$147,MATCH($G401,Schedule!$A$2:$A$147,0)),"")</f>
        <v>45331</v>
      </c>
      <c r="J401" s="92"/>
      <c r="K401" s="92"/>
      <c r="L401" s="92"/>
      <c r="M401" s="92"/>
      <c r="N401" s="92"/>
      <c r="O401" s="90" t="n">
        <v>1</v>
      </c>
      <c r="P401" s="205" t="n">
        <f aca="false">IFERROR((IF(OR(ISNUMBER(J401),UPPER(TRIM(J401))="N/A"),1,0)*IF($W401="N",0,INDEX('Rules of Credit'!$B$5:$F$8,MATCH($F401,'Rules of Credit'!$A$5:$A$8,0),1))+IF(OR(ISNUMBER(K401),UPPER(TRIM(K401))="N/A"),1,0)*INDEX('Rules of Credit'!$B$5:$F$8,MATCH($F401,'Rules of Credit'!$A$5:$A$8,0),2)+IF(OR(ISNUMBER(L401),UPPER(TRIM(L401))="N/A"),1,0)*INDEX('Rules of Credit'!$B$5:$F$8,MATCH($F401,'Rules of Credit'!$A$5:$A$8,0),3)+IF(OR(ISNUMBER(M401),UPPER(TRIM(M401))="N/A"),1,0)*IF($X401="N",0,INDEX('Rules of Credit'!$B$5:$F$8,MATCH($F401,'Rules of Credit'!$A$5:$A$8,0),4))+IF(OR(ISNUMBER(N401),UPPER(TRIM(N401))="N/A"),1,0)*INDEX('Rules of Credit'!$B$5:$F$8,MATCH($F401,'Rules of Credit'!$A$5:$A$8,0),5))/(IF($W401="N",0,INDEX('Rules of Credit'!$B$5:$F$8,MATCH($F401,'Rules of Credit'!$A$5:$A$8,0),1))+INDEX('Rules of Credit'!$B$5:$F$8,MATCH($F401,'Rules of Credit'!$A$5:$A$8,0),2)+INDEX('Rules of Credit'!$B$5:$F$8,MATCH($F401,'Rules of Credit'!$A$5:$A$8,0),3)+IF($X401="N",0,INDEX('Rules of Credit'!$B$5:$F$8,MATCH($F401,'Rules of Credit'!$A$5:$A$8,0),4))+INDEX('Rules of Credit'!$B$5:$F$8,MATCH($F401,'Rules of Credit'!$A$5:$A$8,0),5)),0)</f>
        <v>0</v>
      </c>
      <c r="Q401" s="205" t="n">
        <f aca="false">IF(OR($H401="",$I401=""),0,IF('Tracker Summary'!$C$3&lt;$H401,0,IF('Tracker Summary'!$C$3&gt;=$I401,1,('Tracker Summary'!$C$3-$H401)/($I401-$H401+1))))</f>
        <v>0</v>
      </c>
      <c r="R401" s="205" t="n">
        <f aca="false">P401-Q401</f>
        <v>0</v>
      </c>
      <c r="S401" s="202" t="str">
        <f aca="false">IF($I401="","Not scheduled",IF(P401&gt;=1,"Complete",IF('Tracker Summary'!$C$3&gt;$I401,"Overdue",IF(P401-Q401&lt;-0.1,"Behind",IF(AND(P401=0,'Tracker Summary'!$C$3&lt;$H401),"Not started","On track")))))</f>
        <v>Not started</v>
      </c>
      <c r="T401" s="90"/>
      <c r="U401" s="202" t="str">
        <f aca="false">IFERROR(INDEX(Schedule!$D$2:$D$147,MATCH($G401,Schedule!$A$2:$A$147,0)),"")</f>
        <v>Blowers &amp; 2W Plant Water System — Sludge dewatering (rotary fan press)</v>
      </c>
      <c r="V401" s="204" t="n">
        <f aca="false">IFERROR(INDEX(Schedule!$F$2:$F$147,MATCH("43-P01",Schedule!$A$2:$A$147,0)),"")</f>
        <v>45016</v>
      </c>
      <c r="W401" s="202" t="s">
        <v>91</v>
      </c>
      <c r="X401" s="202" t="s">
        <v>91</v>
      </c>
      <c r="Y401" s="202" t="n">
        <v>0</v>
      </c>
      <c r="Z401" s="202" t="n">
        <v>0</v>
      </c>
      <c r="AA401" s="202"/>
      <c r="AB401" s="202"/>
      <c r="AC401" s="202" t="s">
        <v>92</v>
      </c>
      <c r="AD401" s="202" t="s">
        <v>93</v>
      </c>
      <c r="AE401" s="202" t="s">
        <v>1775</v>
      </c>
      <c r="AF401" s="202" t="s">
        <v>1776</v>
      </c>
      <c r="AG401" s="202" t="s">
        <v>1777</v>
      </c>
      <c r="AH401" s="202" t="s">
        <v>213</v>
      </c>
    </row>
    <row r="402" customFormat="false" ht="15" hidden="false" customHeight="false" outlineLevel="0" collapsed="false">
      <c r="A402" s="206" t="s">
        <v>85</v>
      </c>
      <c r="B402" s="206" t="s">
        <v>51</v>
      </c>
      <c r="C402" s="206" t="s">
        <v>52</v>
      </c>
      <c r="D402" s="206" t="str">
        <f aca="false">COUNTIF(A403:A406,"Item")&amp;" items · "&amp;COUNTIF(S403:S406,"Overdue")&amp;" overdue · "&amp;COUNTIF(S403:S406,"Complete")&amp;" complete"</f>
        <v>4 items · 0 overdue · 0 complete</v>
      </c>
      <c r="E402" s="206"/>
      <c r="F402" s="206"/>
      <c r="G402" s="206"/>
      <c r="H402" s="207" t="n">
        <f aca="false">MIN(H403:H406)</f>
        <v>45017</v>
      </c>
      <c r="I402" s="207" t="n">
        <f aca="false">MAX(I403:I406)</f>
        <v>45231</v>
      </c>
      <c r="J402" s="207"/>
      <c r="K402" s="207"/>
      <c r="L402" s="207"/>
      <c r="M402" s="207"/>
      <c r="N402" s="207"/>
      <c r="O402" s="206" t="n">
        <f aca="false">SUM(O403:O406)</f>
        <v>4</v>
      </c>
      <c r="P402" s="208" t="n">
        <f aca="false">IFERROR(SUMPRODUCT(O403:O406,P403:P406)/SUM(O403:O406),0)</f>
        <v>0</v>
      </c>
      <c r="Q402" s="208" t="n">
        <f aca="false">IFERROR(SUMPRODUCT(O403:O406,Q403:Q406)/SUM(O403:O406),0)</f>
        <v>0</v>
      </c>
      <c r="R402" s="208" t="n">
        <f aca="false">P402-Q402</f>
        <v>0</v>
      </c>
      <c r="S402" s="206"/>
      <c r="T402" s="206"/>
      <c r="U402" s="206"/>
      <c r="V402" s="207"/>
      <c r="W402" s="206"/>
      <c r="X402" s="206"/>
      <c r="Y402" s="206"/>
      <c r="Z402" s="206"/>
      <c r="AA402" s="206"/>
      <c r="AB402" s="206"/>
      <c r="AC402" s="206"/>
      <c r="AD402" s="206"/>
      <c r="AE402" s="206"/>
      <c r="AF402" s="206"/>
      <c r="AG402" s="206"/>
      <c r="AH402" s="206"/>
    </row>
    <row r="403" customFormat="false" ht="15" hidden="false" customHeight="false" outlineLevel="0" collapsed="false">
      <c r="A403" s="209" t="s">
        <v>60</v>
      </c>
      <c r="B403" s="210" t="s">
        <v>51</v>
      </c>
      <c r="C403" s="209" t="s">
        <v>1778</v>
      </c>
      <c r="D403" s="209" t="s">
        <v>1779</v>
      </c>
      <c r="E403" s="209" t="s">
        <v>1780</v>
      </c>
      <c r="F403" s="90" t="s">
        <v>234</v>
      </c>
      <c r="G403" s="209" t="s">
        <v>1781</v>
      </c>
      <c r="H403" s="211" t="n">
        <f aca="false">IFERROR(INDEX(Schedule!$E$2:$E$147,MATCH($G403,Schedule!$A$2:$A$147,0)),"")</f>
        <v>45017</v>
      </c>
      <c r="I403" s="211" t="n">
        <f aca="false">IFERROR(INDEX(Schedule!$F$2:$F$147,MATCH($G403,Schedule!$A$2:$A$147,0)),"")</f>
        <v>45231</v>
      </c>
      <c r="J403" s="92"/>
      <c r="K403" s="92"/>
      <c r="L403" s="92"/>
      <c r="M403" s="92"/>
      <c r="N403" s="92"/>
      <c r="O403" s="90" t="n">
        <v>1</v>
      </c>
      <c r="P403" s="212" t="n">
        <f aca="false">IFERROR((IF(OR(ISNUMBER(J403),UPPER(TRIM(J403))="N/A"),1,0)*IF($W403="N",0,INDEX('Rules of Credit'!$B$5:$F$8,MATCH($F403,'Rules of Credit'!$A$5:$A$8,0),1))+IF(OR(ISNUMBER(K403),UPPER(TRIM(K403))="N/A"),1,0)*INDEX('Rules of Credit'!$B$5:$F$8,MATCH($F403,'Rules of Credit'!$A$5:$A$8,0),2)+IF(OR(ISNUMBER(L403),UPPER(TRIM(L403))="N/A"),1,0)*INDEX('Rules of Credit'!$B$5:$F$8,MATCH($F403,'Rules of Credit'!$A$5:$A$8,0),3)+IF(OR(ISNUMBER(M403),UPPER(TRIM(M403))="N/A"),1,0)*IF($X403="N",0,INDEX('Rules of Credit'!$B$5:$F$8,MATCH($F403,'Rules of Credit'!$A$5:$A$8,0),4))+IF(OR(ISNUMBER(N403),UPPER(TRIM(N403))="N/A"),1,0)*INDEX('Rules of Credit'!$B$5:$F$8,MATCH($F403,'Rules of Credit'!$A$5:$A$8,0),5))/(IF($W403="N",0,INDEX('Rules of Credit'!$B$5:$F$8,MATCH($F403,'Rules of Credit'!$A$5:$A$8,0),1))+INDEX('Rules of Credit'!$B$5:$F$8,MATCH($F403,'Rules of Credit'!$A$5:$A$8,0),2)+INDEX('Rules of Credit'!$B$5:$F$8,MATCH($F403,'Rules of Credit'!$A$5:$A$8,0),3)+IF($X403="N",0,INDEX('Rules of Credit'!$B$5:$F$8,MATCH($F403,'Rules of Credit'!$A$5:$A$8,0),4))+INDEX('Rules of Credit'!$B$5:$F$8,MATCH($F403,'Rules of Credit'!$A$5:$A$8,0),5)),0)</f>
        <v>0</v>
      </c>
      <c r="Q403" s="212" t="n">
        <f aca="false">IF(OR($H403="",$I403=""),0,IF('Tracker Summary'!$C$3&lt;$H403,0,IF('Tracker Summary'!$C$3&gt;=$I403,1,('Tracker Summary'!$C$3-$H403)/($I403-$H403+1))))</f>
        <v>0</v>
      </c>
      <c r="R403" s="212" t="n">
        <f aca="false">P403-Q403</f>
        <v>0</v>
      </c>
      <c r="S403" s="209" t="str">
        <f aca="false">IF($I403="","Not scheduled",IF(P403&gt;=1,"Complete",IF('Tracker Summary'!$C$3&gt;$I403,"Overdue",IF(P403-Q403&lt;-0.1,"Behind",IF(AND(P403=0,'Tracker Summary'!$C$3&lt;$H403),"Not started","On track")))))</f>
        <v>Not started</v>
      </c>
      <c r="T403" s="90"/>
      <c r="U403" s="209" t="str">
        <f aca="false">IFERROR(INDEX(Schedule!$D$2:$D$147,MATCH($G403,Schedule!$A$2:$A$147,0)),"")</f>
        <v>Process Valves — Aerobic digester</v>
      </c>
      <c r="V403" s="211" t="n">
        <f aca="false">IFERROR(INDEX(Schedule!$F$2:$F$147,MATCH("45-P01",Schedule!$A$2:$A$147,0)),"")</f>
        <v>45016</v>
      </c>
      <c r="W403" s="209" t="s">
        <v>99</v>
      </c>
      <c r="X403" s="209" t="s">
        <v>99</v>
      </c>
      <c r="Y403" s="209" t="n">
        <v>3</v>
      </c>
      <c r="Z403" s="209" t="n">
        <v>2</v>
      </c>
      <c r="AA403" s="209"/>
      <c r="AB403" s="209"/>
      <c r="AC403" s="209" t="s">
        <v>92</v>
      </c>
      <c r="AD403" s="209" t="s">
        <v>93</v>
      </c>
      <c r="AE403" s="209" t="s">
        <v>1782</v>
      </c>
      <c r="AF403" s="209" t="s">
        <v>1783</v>
      </c>
      <c r="AG403" s="209" t="s">
        <v>1784</v>
      </c>
      <c r="AH403" s="209" t="s">
        <v>213</v>
      </c>
    </row>
    <row r="404" customFormat="false" ht="15" hidden="false" customHeight="false" outlineLevel="0" collapsed="false">
      <c r="A404" s="209" t="s">
        <v>60</v>
      </c>
      <c r="B404" s="210" t="s">
        <v>51</v>
      </c>
      <c r="C404" s="209" t="s">
        <v>1785</v>
      </c>
      <c r="D404" s="209" t="s">
        <v>1786</v>
      </c>
      <c r="E404" s="209" t="s">
        <v>507</v>
      </c>
      <c r="F404" s="90" t="s">
        <v>234</v>
      </c>
      <c r="G404" s="209" t="s">
        <v>1787</v>
      </c>
      <c r="H404" s="211" t="n">
        <f aca="false">IFERROR(INDEX(Schedule!$E$2:$E$147,MATCH($G404,Schedule!$A$2:$A$147,0)),"")</f>
        <v>45017</v>
      </c>
      <c r="I404" s="211" t="n">
        <f aca="false">IFERROR(INDEX(Schedule!$F$2:$F$147,MATCH($G404,Schedule!$A$2:$A$147,0)),"")</f>
        <v>45231</v>
      </c>
      <c r="J404" s="92"/>
      <c r="K404" s="92"/>
      <c r="L404" s="92"/>
      <c r="M404" s="92"/>
      <c r="N404" s="92"/>
      <c r="O404" s="90" t="n">
        <v>1</v>
      </c>
      <c r="P404" s="212" t="n">
        <f aca="false">IFERROR((IF(OR(ISNUMBER(J404),UPPER(TRIM(J404))="N/A"),1,0)*IF($W404="N",0,INDEX('Rules of Credit'!$B$5:$F$8,MATCH($F404,'Rules of Credit'!$A$5:$A$8,0),1))+IF(OR(ISNUMBER(K404),UPPER(TRIM(K404))="N/A"),1,0)*INDEX('Rules of Credit'!$B$5:$F$8,MATCH($F404,'Rules of Credit'!$A$5:$A$8,0),2)+IF(OR(ISNUMBER(L404),UPPER(TRIM(L404))="N/A"),1,0)*INDEX('Rules of Credit'!$B$5:$F$8,MATCH($F404,'Rules of Credit'!$A$5:$A$8,0),3)+IF(OR(ISNUMBER(M404),UPPER(TRIM(M404))="N/A"),1,0)*IF($X404="N",0,INDEX('Rules of Credit'!$B$5:$F$8,MATCH($F404,'Rules of Credit'!$A$5:$A$8,0),4))+IF(OR(ISNUMBER(N404),UPPER(TRIM(N404))="N/A"),1,0)*INDEX('Rules of Credit'!$B$5:$F$8,MATCH($F404,'Rules of Credit'!$A$5:$A$8,0),5))/(IF($W404="N",0,INDEX('Rules of Credit'!$B$5:$F$8,MATCH($F404,'Rules of Credit'!$A$5:$A$8,0),1))+INDEX('Rules of Credit'!$B$5:$F$8,MATCH($F404,'Rules of Credit'!$A$5:$A$8,0),2)+INDEX('Rules of Credit'!$B$5:$F$8,MATCH($F404,'Rules of Credit'!$A$5:$A$8,0),3)+IF($X404="N",0,INDEX('Rules of Credit'!$B$5:$F$8,MATCH($F404,'Rules of Credit'!$A$5:$A$8,0),4))+INDEX('Rules of Credit'!$B$5:$F$8,MATCH($F404,'Rules of Credit'!$A$5:$A$8,0),5)),0)</f>
        <v>0</v>
      </c>
      <c r="Q404" s="212" t="n">
        <f aca="false">IF(OR($H404="",$I404=""),0,IF('Tracker Summary'!$C$3&lt;$H404,0,IF('Tracker Summary'!$C$3&gt;=$I404,1,('Tracker Summary'!$C$3-$H404)/($I404-$H404+1))))</f>
        <v>0</v>
      </c>
      <c r="R404" s="212" t="n">
        <f aca="false">P404-Q404</f>
        <v>0</v>
      </c>
      <c r="S404" s="209" t="str">
        <f aca="false">IF($I404="","Not scheduled",IF(P404&gt;=1,"Complete",IF('Tracker Summary'!$C$3&gt;$I404,"Overdue",IF(P404-Q404&lt;-0.1,"Behind",IF(AND(P404=0,'Tracker Summary'!$C$3&lt;$H404),"Not started","On track")))))</f>
        <v>Not started</v>
      </c>
      <c r="T404" s="90"/>
      <c r="U404" s="209" t="str">
        <f aca="false">IFERROR(INDEX(Schedule!$D$2:$D$147,MATCH($G404,Schedule!$A$2:$A$147,0)),"")</f>
        <v>Process Valves — Sludge pumps and valving</v>
      </c>
      <c r="V404" s="211" t="n">
        <f aca="false">IFERROR(INDEX(Schedule!$F$2:$F$147,MATCH("45-P01",Schedule!$A$2:$A$147,0)),"")</f>
        <v>45016</v>
      </c>
      <c r="W404" s="209" t="s">
        <v>91</v>
      </c>
      <c r="X404" s="209" t="s">
        <v>91</v>
      </c>
      <c r="Y404" s="209" t="n">
        <v>0</v>
      </c>
      <c r="Z404" s="209" t="n">
        <v>0</v>
      </c>
      <c r="AA404" s="209"/>
      <c r="AB404" s="209"/>
      <c r="AC404" s="209" t="s">
        <v>120</v>
      </c>
      <c r="AD404" s="209" t="s">
        <v>93</v>
      </c>
      <c r="AE404" s="209" t="s">
        <v>875</v>
      </c>
      <c r="AF404" s="209" t="s">
        <v>1783</v>
      </c>
      <c r="AG404" s="209" t="s">
        <v>1788</v>
      </c>
      <c r="AH404" s="209" t="s">
        <v>213</v>
      </c>
    </row>
    <row r="405" customFormat="false" ht="15" hidden="false" customHeight="false" outlineLevel="0" collapsed="false">
      <c r="A405" s="209" t="s">
        <v>60</v>
      </c>
      <c r="B405" s="210" t="s">
        <v>51</v>
      </c>
      <c r="C405" s="209" t="s">
        <v>1789</v>
      </c>
      <c r="D405" s="209" t="s">
        <v>1790</v>
      </c>
      <c r="E405" s="209" t="s">
        <v>334</v>
      </c>
      <c r="F405" s="90" t="s">
        <v>234</v>
      </c>
      <c r="G405" s="209" t="s">
        <v>1791</v>
      </c>
      <c r="H405" s="211" t="n">
        <f aca="false">IFERROR(INDEX(Schedule!$E$2:$E$147,MATCH($G405,Schedule!$A$2:$A$147,0)),"")</f>
        <v>45078</v>
      </c>
      <c r="I405" s="211" t="n">
        <f aca="false">IFERROR(INDEX(Schedule!$F$2:$F$147,MATCH($G405,Schedule!$A$2:$A$147,0)),"")</f>
        <v>45224</v>
      </c>
      <c r="J405" s="92"/>
      <c r="K405" s="92"/>
      <c r="L405" s="92"/>
      <c r="M405" s="92"/>
      <c r="N405" s="92"/>
      <c r="O405" s="90" t="n">
        <v>1</v>
      </c>
      <c r="P405" s="212" t="n">
        <f aca="false">IFERROR((IF(OR(ISNUMBER(J405),UPPER(TRIM(J405))="N/A"),1,0)*IF($W405="N",0,INDEX('Rules of Credit'!$B$5:$F$8,MATCH($F405,'Rules of Credit'!$A$5:$A$8,0),1))+IF(OR(ISNUMBER(K405),UPPER(TRIM(K405))="N/A"),1,0)*INDEX('Rules of Credit'!$B$5:$F$8,MATCH($F405,'Rules of Credit'!$A$5:$A$8,0),2)+IF(OR(ISNUMBER(L405),UPPER(TRIM(L405))="N/A"),1,0)*INDEX('Rules of Credit'!$B$5:$F$8,MATCH($F405,'Rules of Credit'!$A$5:$A$8,0),3)+IF(OR(ISNUMBER(M405),UPPER(TRIM(M405))="N/A"),1,0)*IF($X405="N",0,INDEX('Rules of Credit'!$B$5:$F$8,MATCH($F405,'Rules of Credit'!$A$5:$A$8,0),4))+IF(OR(ISNUMBER(N405),UPPER(TRIM(N405))="N/A"),1,0)*INDEX('Rules of Credit'!$B$5:$F$8,MATCH($F405,'Rules of Credit'!$A$5:$A$8,0),5))/(IF($W405="N",0,INDEX('Rules of Credit'!$B$5:$F$8,MATCH($F405,'Rules of Credit'!$A$5:$A$8,0),1))+INDEX('Rules of Credit'!$B$5:$F$8,MATCH($F405,'Rules of Credit'!$A$5:$A$8,0),2)+INDEX('Rules of Credit'!$B$5:$F$8,MATCH($F405,'Rules of Credit'!$A$5:$A$8,0),3)+IF($X405="N",0,INDEX('Rules of Credit'!$B$5:$F$8,MATCH($F405,'Rules of Credit'!$A$5:$A$8,0),4))+INDEX('Rules of Credit'!$B$5:$F$8,MATCH($F405,'Rules of Credit'!$A$5:$A$8,0),5)),0)</f>
        <v>0</v>
      </c>
      <c r="Q405" s="212" t="n">
        <f aca="false">IF(OR($H405="",$I405=""),0,IF('Tracker Summary'!$C$3&lt;$H405,0,IF('Tracker Summary'!$C$3&gt;=$I405,1,('Tracker Summary'!$C$3-$H405)/($I405-$H405+1))))</f>
        <v>0</v>
      </c>
      <c r="R405" s="212" t="n">
        <f aca="false">P405-Q405</f>
        <v>0</v>
      </c>
      <c r="S405" s="209" t="str">
        <f aca="false">IF($I405="","Not scheduled",IF(P405&gt;=1,"Complete",IF('Tracker Summary'!$C$3&gt;$I405,"Overdue",IF(P405-Q405&lt;-0.1,"Behind",IF(AND(P405=0,'Tracker Summary'!$C$3&lt;$H405),"Not started","On track")))))</f>
        <v>Not started</v>
      </c>
      <c r="T405" s="90"/>
      <c r="U405" s="209" t="str">
        <f aca="false">IFERROR(INDEX(Schedule!$D$2:$D$147,MATCH($G405,Schedule!$A$2:$A$147,0)),"")</f>
        <v>Process Valves — Influent pump station and flow splitter</v>
      </c>
      <c r="V405" s="211" t="n">
        <f aca="false">IFERROR(INDEX(Schedule!$F$2:$F$147,MATCH("45-P01",Schedule!$A$2:$A$147,0)),"")</f>
        <v>45016</v>
      </c>
      <c r="W405" s="209" t="s">
        <v>99</v>
      </c>
      <c r="X405" s="209" t="s">
        <v>99</v>
      </c>
      <c r="Y405" s="209" t="n">
        <v>4</v>
      </c>
      <c r="Z405" s="209" t="n">
        <v>2</v>
      </c>
      <c r="AA405" s="209"/>
      <c r="AB405" s="209"/>
      <c r="AC405" s="209" t="s">
        <v>92</v>
      </c>
      <c r="AD405" s="209" t="s">
        <v>93</v>
      </c>
      <c r="AE405" s="209" t="s">
        <v>337</v>
      </c>
      <c r="AF405" s="209" t="s">
        <v>1783</v>
      </c>
      <c r="AG405" s="209" t="s">
        <v>1792</v>
      </c>
      <c r="AH405" s="209" t="s">
        <v>213</v>
      </c>
    </row>
    <row r="406" customFormat="false" ht="15" hidden="false" customHeight="false" outlineLevel="0" collapsed="false">
      <c r="A406" s="209" t="s">
        <v>60</v>
      </c>
      <c r="B406" s="210" t="s">
        <v>51</v>
      </c>
      <c r="C406" s="209" t="s">
        <v>1793</v>
      </c>
      <c r="D406" s="209" t="s">
        <v>1794</v>
      </c>
      <c r="E406" s="209" t="s">
        <v>334</v>
      </c>
      <c r="F406" s="90" t="s">
        <v>234</v>
      </c>
      <c r="G406" s="209" t="s">
        <v>1791</v>
      </c>
      <c r="H406" s="211" t="n">
        <f aca="false">IFERROR(INDEX(Schedule!$E$2:$E$147,MATCH($G406,Schedule!$A$2:$A$147,0)),"")</f>
        <v>45078</v>
      </c>
      <c r="I406" s="211" t="n">
        <f aca="false">IFERROR(INDEX(Schedule!$F$2:$F$147,MATCH($G406,Schedule!$A$2:$A$147,0)),"")</f>
        <v>45224</v>
      </c>
      <c r="J406" s="92"/>
      <c r="K406" s="92"/>
      <c r="L406" s="92"/>
      <c r="M406" s="92"/>
      <c r="N406" s="92"/>
      <c r="O406" s="90" t="n">
        <v>1</v>
      </c>
      <c r="P406" s="212" t="n">
        <f aca="false">IFERROR((IF(OR(ISNUMBER(J406),UPPER(TRIM(J406))="N/A"),1,0)*IF($W406="N",0,INDEX('Rules of Credit'!$B$5:$F$8,MATCH($F406,'Rules of Credit'!$A$5:$A$8,0),1))+IF(OR(ISNUMBER(K406),UPPER(TRIM(K406))="N/A"),1,0)*INDEX('Rules of Credit'!$B$5:$F$8,MATCH($F406,'Rules of Credit'!$A$5:$A$8,0),2)+IF(OR(ISNUMBER(L406),UPPER(TRIM(L406))="N/A"),1,0)*INDEX('Rules of Credit'!$B$5:$F$8,MATCH($F406,'Rules of Credit'!$A$5:$A$8,0),3)+IF(OR(ISNUMBER(M406),UPPER(TRIM(M406))="N/A"),1,0)*IF($X406="N",0,INDEX('Rules of Credit'!$B$5:$F$8,MATCH($F406,'Rules of Credit'!$A$5:$A$8,0),4))+IF(OR(ISNUMBER(N406),UPPER(TRIM(N406))="N/A"),1,0)*INDEX('Rules of Credit'!$B$5:$F$8,MATCH($F406,'Rules of Credit'!$A$5:$A$8,0),5))/(IF($W406="N",0,INDEX('Rules of Credit'!$B$5:$F$8,MATCH($F406,'Rules of Credit'!$A$5:$A$8,0),1))+INDEX('Rules of Credit'!$B$5:$F$8,MATCH($F406,'Rules of Credit'!$A$5:$A$8,0),2)+INDEX('Rules of Credit'!$B$5:$F$8,MATCH($F406,'Rules of Credit'!$A$5:$A$8,0),3)+IF($X406="N",0,INDEX('Rules of Credit'!$B$5:$F$8,MATCH($F406,'Rules of Credit'!$A$5:$A$8,0),4))+INDEX('Rules of Credit'!$B$5:$F$8,MATCH($F406,'Rules of Credit'!$A$5:$A$8,0),5)),0)</f>
        <v>0</v>
      </c>
      <c r="Q406" s="212" t="n">
        <f aca="false">IF(OR($H406="",$I406=""),0,IF('Tracker Summary'!$C$3&lt;$H406,0,IF('Tracker Summary'!$C$3&gt;=$I406,1,('Tracker Summary'!$C$3-$H406)/($I406-$H406+1))))</f>
        <v>0</v>
      </c>
      <c r="R406" s="212" t="n">
        <f aca="false">P406-Q406</f>
        <v>0</v>
      </c>
      <c r="S406" s="209" t="str">
        <f aca="false">IF($I406="","Not scheduled",IF(P406&gt;=1,"Complete",IF('Tracker Summary'!$C$3&gt;$I406,"Overdue",IF(P406-Q406&lt;-0.1,"Behind",IF(AND(P406=0,'Tracker Summary'!$C$3&lt;$H406),"Not started","On track")))))</f>
        <v>Not started</v>
      </c>
      <c r="T406" s="90"/>
      <c r="U406" s="209" t="str">
        <f aca="false">IFERROR(INDEX(Schedule!$D$2:$D$147,MATCH($G406,Schedule!$A$2:$A$147,0)),"")</f>
        <v>Process Valves — Influent pump station and flow splitter</v>
      </c>
      <c r="V406" s="211" t="n">
        <f aca="false">IFERROR(INDEX(Schedule!$F$2:$F$147,MATCH("45-P01",Schedule!$A$2:$A$147,0)),"")</f>
        <v>45016</v>
      </c>
      <c r="W406" s="209" t="s">
        <v>99</v>
      </c>
      <c r="X406" s="209" t="s">
        <v>99</v>
      </c>
      <c r="Y406" s="209" t="n">
        <v>4</v>
      </c>
      <c r="Z406" s="209" t="n">
        <v>2</v>
      </c>
      <c r="AA406" s="209"/>
      <c r="AB406" s="209"/>
      <c r="AC406" s="209" t="s">
        <v>92</v>
      </c>
      <c r="AD406" s="209" t="s">
        <v>93</v>
      </c>
      <c r="AE406" s="209" t="s">
        <v>337</v>
      </c>
      <c r="AF406" s="209" t="s">
        <v>1783</v>
      </c>
      <c r="AG406" s="209" t="s">
        <v>1792</v>
      </c>
      <c r="AH406" s="209" t="s">
        <v>213</v>
      </c>
    </row>
    <row r="407" customFormat="false" ht="15" hidden="false" customHeight="false" outlineLevel="0" collapsed="false">
      <c r="A407" s="213" t="s">
        <v>85</v>
      </c>
      <c r="B407" s="213" t="s">
        <v>53</v>
      </c>
      <c r="C407" s="213" t="s">
        <v>54</v>
      </c>
      <c r="D407" s="213" t="str">
        <f aca="false">COUNTIF(A408:A467,"Item")&amp;" items · "&amp;COUNTIF(S408:S467,"Overdue")&amp;" overdue · "&amp;COUNTIF(S408:S467,"Complete")&amp;" complete"</f>
        <v>60 items · 0 overdue · 0 complete</v>
      </c>
      <c r="E407" s="213"/>
      <c r="F407" s="213"/>
      <c r="G407" s="213"/>
      <c r="H407" s="214" t="n">
        <f aca="false">MIN(H408:H467)</f>
        <v>45017</v>
      </c>
      <c r="I407" s="214" t="n">
        <f aca="false">MAX(I408:I467)</f>
        <v>45481</v>
      </c>
      <c r="J407" s="214"/>
      <c r="K407" s="214"/>
      <c r="L407" s="214"/>
      <c r="M407" s="214"/>
      <c r="N407" s="214"/>
      <c r="O407" s="213" t="n">
        <f aca="false">SUM(O408:O467)</f>
        <v>60</v>
      </c>
      <c r="P407" s="215" t="n">
        <f aca="false">IFERROR(SUMPRODUCT(O408:O467,P408:P467)/SUM(O408:O467),0)</f>
        <v>0</v>
      </c>
      <c r="Q407" s="215" t="n">
        <f aca="false">IFERROR(SUMPRODUCT(O408:O467,Q408:Q467)/SUM(O408:O467),0)</f>
        <v>0</v>
      </c>
      <c r="R407" s="215" t="n">
        <f aca="false">P407-Q407</f>
        <v>0</v>
      </c>
      <c r="S407" s="213"/>
      <c r="T407" s="213"/>
      <c r="U407" s="213"/>
      <c r="V407" s="214"/>
      <c r="W407" s="213"/>
      <c r="X407" s="213"/>
      <c r="Y407" s="213"/>
      <c r="Z407" s="213"/>
      <c r="AA407" s="213"/>
      <c r="AB407" s="213"/>
      <c r="AC407" s="213"/>
      <c r="AD407" s="213"/>
      <c r="AE407" s="213"/>
      <c r="AF407" s="213"/>
      <c r="AG407" s="213"/>
      <c r="AH407" s="213"/>
    </row>
    <row r="408" customFormat="false" ht="15" hidden="false" customHeight="false" outlineLevel="0" collapsed="false">
      <c r="A408" s="216" t="s">
        <v>60</v>
      </c>
      <c r="B408" s="217" t="s">
        <v>53</v>
      </c>
      <c r="C408" s="216" t="s">
        <v>1795</v>
      </c>
      <c r="D408" s="216" t="s">
        <v>1796</v>
      </c>
      <c r="E408" s="216" t="s">
        <v>507</v>
      </c>
      <c r="F408" s="90" t="s">
        <v>234</v>
      </c>
      <c r="G408" s="216" t="s">
        <v>1797</v>
      </c>
      <c r="H408" s="218" t="n">
        <f aca="false">IFERROR(INDEX(Schedule!$E$2:$E$147,MATCH($G408,Schedule!$A$2:$A$147,0)),"")</f>
        <v>45017</v>
      </c>
      <c r="I408" s="218" t="n">
        <f aca="false">IFERROR(INDEX(Schedule!$F$2:$F$147,MATCH($G408,Schedule!$A$2:$A$147,0)),"")</f>
        <v>45231</v>
      </c>
      <c r="J408" s="92"/>
      <c r="K408" s="92"/>
      <c r="L408" s="92"/>
      <c r="M408" s="92"/>
      <c r="N408" s="92"/>
      <c r="O408" s="90" t="n">
        <v>1</v>
      </c>
      <c r="P408" s="219" t="n">
        <f aca="false">IFERROR((IF(OR(ISNUMBER(J408),UPPER(TRIM(J408))="N/A"),1,0)*IF($W408="N",0,INDEX('Rules of Credit'!$B$5:$F$8,MATCH($F408,'Rules of Credit'!$A$5:$A$8,0),1))+IF(OR(ISNUMBER(K408),UPPER(TRIM(K408))="N/A"),1,0)*INDEX('Rules of Credit'!$B$5:$F$8,MATCH($F408,'Rules of Credit'!$A$5:$A$8,0),2)+IF(OR(ISNUMBER(L408),UPPER(TRIM(L408))="N/A"),1,0)*INDEX('Rules of Credit'!$B$5:$F$8,MATCH($F408,'Rules of Credit'!$A$5:$A$8,0),3)+IF(OR(ISNUMBER(M408),UPPER(TRIM(M408))="N/A"),1,0)*IF($X408="N",0,INDEX('Rules of Credit'!$B$5:$F$8,MATCH($F408,'Rules of Credit'!$A$5:$A$8,0),4))+IF(OR(ISNUMBER(N408),UPPER(TRIM(N408))="N/A"),1,0)*INDEX('Rules of Credit'!$B$5:$F$8,MATCH($F408,'Rules of Credit'!$A$5:$A$8,0),5))/(IF($W408="N",0,INDEX('Rules of Credit'!$B$5:$F$8,MATCH($F408,'Rules of Credit'!$A$5:$A$8,0),1))+INDEX('Rules of Credit'!$B$5:$F$8,MATCH($F408,'Rules of Credit'!$A$5:$A$8,0),2)+INDEX('Rules of Credit'!$B$5:$F$8,MATCH($F408,'Rules of Credit'!$A$5:$A$8,0),3)+IF($X408="N",0,INDEX('Rules of Credit'!$B$5:$F$8,MATCH($F408,'Rules of Credit'!$A$5:$A$8,0),4))+INDEX('Rules of Credit'!$B$5:$F$8,MATCH($F408,'Rules of Credit'!$A$5:$A$8,0),5)),0)</f>
        <v>0</v>
      </c>
      <c r="Q408" s="219" t="n">
        <f aca="false">IF(OR($H408="",$I408=""),0,IF('Tracker Summary'!$C$3&lt;$H408,0,IF('Tracker Summary'!$C$3&gt;=$I408,1,('Tracker Summary'!$C$3-$H408)/($I408-$H408+1))))</f>
        <v>0</v>
      </c>
      <c r="R408" s="219" t="n">
        <f aca="false">P408-Q408</f>
        <v>0</v>
      </c>
      <c r="S408" s="216" t="str">
        <f aca="false">IF($I408="","Not scheduled",IF(P408&gt;=1,"Complete",IF('Tracker Summary'!$C$3&gt;$I408,"Overdue",IF(P408-Q408&lt;-0.1,"Behind",IF(AND(P408=0,'Tracker Summary'!$C$3&lt;$H408),"Not started","On track")))))</f>
        <v>Not started</v>
      </c>
      <c r="T408" s="90"/>
      <c r="U408" s="216" t="str">
        <f aca="false">IFERROR(INDEX(Schedule!$D$2:$D$147,MATCH($G408,Schedule!$A$2:$A$147,0)),"")</f>
        <v>Treatment Equipment — Sludge pumps and valving</v>
      </c>
      <c r="V408" s="218" t="n">
        <f aca="false">IFERROR(INDEX(Schedule!$F$2:$F$147,MATCH("46-P01",Schedule!$A$2:$A$147,0)),"")</f>
        <v>45016</v>
      </c>
      <c r="W408" s="216" t="s">
        <v>91</v>
      </c>
      <c r="X408" s="216" t="s">
        <v>91</v>
      </c>
      <c r="Y408" s="216" t="n">
        <v>0</v>
      </c>
      <c r="Z408" s="216" t="n">
        <v>0</v>
      </c>
      <c r="AA408" s="216" t="s">
        <v>1798</v>
      </c>
      <c r="AB408" s="216" t="s">
        <v>1799</v>
      </c>
      <c r="AC408" s="216" t="s">
        <v>92</v>
      </c>
      <c r="AD408" s="216" t="s">
        <v>93</v>
      </c>
      <c r="AE408" s="216" t="s">
        <v>875</v>
      </c>
      <c r="AF408" s="216"/>
      <c r="AG408" s="216" t="s">
        <v>875</v>
      </c>
      <c r="AH408" s="216" t="s">
        <v>213</v>
      </c>
    </row>
    <row r="409" customFormat="false" ht="15" hidden="false" customHeight="false" outlineLevel="0" collapsed="false">
      <c r="A409" s="216" t="s">
        <v>60</v>
      </c>
      <c r="B409" s="217" t="s">
        <v>53</v>
      </c>
      <c r="C409" s="216" t="s">
        <v>1800</v>
      </c>
      <c r="D409" s="216" t="s">
        <v>1801</v>
      </c>
      <c r="E409" s="216" t="s">
        <v>537</v>
      </c>
      <c r="F409" s="90" t="s">
        <v>234</v>
      </c>
      <c r="G409" s="216" t="s">
        <v>1802</v>
      </c>
      <c r="H409" s="218" t="n">
        <f aca="false">IFERROR(INDEX(Schedule!$E$2:$E$147,MATCH($G409,Schedule!$A$2:$A$147,0)),"")</f>
        <v>45017</v>
      </c>
      <c r="I409" s="218" t="n">
        <f aca="false">IFERROR(INDEX(Schedule!$F$2:$F$147,MATCH($G409,Schedule!$A$2:$A$147,0)),"")</f>
        <v>45331</v>
      </c>
      <c r="J409" s="92"/>
      <c r="K409" s="92"/>
      <c r="L409" s="92"/>
      <c r="M409" s="92"/>
      <c r="N409" s="92"/>
      <c r="O409" s="90" t="n">
        <v>1</v>
      </c>
      <c r="P409" s="219" t="n">
        <f aca="false">IFERROR((IF(OR(ISNUMBER(J409),UPPER(TRIM(J409))="N/A"),1,0)*IF($W409="N",0,INDEX('Rules of Credit'!$B$5:$F$8,MATCH($F409,'Rules of Credit'!$A$5:$A$8,0),1))+IF(OR(ISNUMBER(K409),UPPER(TRIM(K409))="N/A"),1,0)*INDEX('Rules of Credit'!$B$5:$F$8,MATCH($F409,'Rules of Credit'!$A$5:$A$8,0),2)+IF(OR(ISNUMBER(L409),UPPER(TRIM(L409))="N/A"),1,0)*INDEX('Rules of Credit'!$B$5:$F$8,MATCH($F409,'Rules of Credit'!$A$5:$A$8,0),3)+IF(OR(ISNUMBER(M409),UPPER(TRIM(M409))="N/A"),1,0)*IF($X409="N",0,INDEX('Rules of Credit'!$B$5:$F$8,MATCH($F409,'Rules of Credit'!$A$5:$A$8,0),4))+IF(OR(ISNUMBER(N409),UPPER(TRIM(N409))="N/A"),1,0)*INDEX('Rules of Credit'!$B$5:$F$8,MATCH($F409,'Rules of Credit'!$A$5:$A$8,0),5))/(IF($W409="N",0,INDEX('Rules of Credit'!$B$5:$F$8,MATCH($F409,'Rules of Credit'!$A$5:$A$8,0),1))+INDEX('Rules of Credit'!$B$5:$F$8,MATCH($F409,'Rules of Credit'!$A$5:$A$8,0),2)+INDEX('Rules of Credit'!$B$5:$F$8,MATCH($F409,'Rules of Credit'!$A$5:$A$8,0),3)+IF($X409="N",0,INDEX('Rules of Credit'!$B$5:$F$8,MATCH($F409,'Rules of Credit'!$A$5:$A$8,0),4))+INDEX('Rules of Credit'!$B$5:$F$8,MATCH($F409,'Rules of Credit'!$A$5:$A$8,0),5)),0)</f>
        <v>0</v>
      </c>
      <c r="Q409" s="219" t="n">
        <f aca="false">IF(OR($H409="",$I409=""),0,IF('Tracker Summary'!$C$3&lt;$H409,0,IF('Tracker Summary'!$C$3&gt;=$I409,1,('Tracker Summary'!$C$3-$H409)/($I409-$H409+1))))</f>
        <v>0</v>
      </c>
      <c r="R409" s="219" t="n">
        <f aca="false">P409-Q409</f>
        <v>0</v>
      </c>
      <c r="S409" s="216" t="str">
        <f aca="false">IF($I409="","Not scheduled",IF(P409&gt;=1,"Complete",IF('Tracker Summary'!$C$3&gt;$I409,"Overdue",IF(P409-Q409&lt;-0.1,"Behind",IF(AND(P409=0,'Tracker Summary'!$C$3&lt;$H409),"Not started","On track")))))</f>
        <v>Not started</v>
      </c>
      <c r="T409" s="90"/>
      <c r="U409" s="216" t="str">
        <f aca="false">IFERROR(INDEX(Schedule!$D$2:$D$147,MATCH($G409,Schedule!$A$2:$A$147,0)),"")</f>
        <v>Treatment Equipment — Existing dewatering / treatment building</v>
      </c>
      <c r="V409" s="218" t="n">
        <f aca="false">IFERROR(INDEX(Schedule!$F$2:$F$147,MATCH("46-P01",Schedule!$A$2:$A$147,0)),"")</f>
        <v>45016</v>
      </c>
      <c r="W409" s="216" t="s">
        <v>115</v>
      </c>
      <c r="X409" s="216" t="s">
        <v>115</v>
      </c>
      <c r="Y409" s="216" t="n">
        <v>0</v>
      </c>
      <c r="Z409" s="216" t="n">
        <v>0</v>
      </c>
      <c r="AA409" s="216" t="s">
        <v>1803</v>
      </c>
      <c r="AB409" s="216" t="s">
        <v>1804</v>
      </c>
      <c r="AC409" s="216" t="s">
        <v>541</v>
      </c>
      <c r="AD409" s="216" t="s">
        <v>542</v>
      </c>
      <c r="AE409" s="216" t="s">
        <v>1805</v>
      </c>
      <c r="AF409" s="216"/>
      <c r="AG409" s="216" t="s">
        <v>1805</v>
      </c>
      <c r="AH409" s="216" t="s">
        <v>501</v>
      </c>
    </row>
    <row r="410" customFormat="false" ht="15" hidden="false" customHeight="false" outlineLevel="0" collapsed="false">
      <c r="A410" s="216" t="s">
        <v>60</v>
      </c>
      <c r="B410" s="217" t="s">
        <v>53</v>
      </c>
      <c r="C410" s="216" t="s">
        <v>1806</v>
      </c>
      <c r="D410" s="216" t="s">
        <v>1807</v>
      </c>
      <c r="E410" s="216" t="s">
        <v>537</v>
      </c>
      <c r="F410" s="90" t="s">
        <v>234</v>
      </c>
      <c r="G410" s="216" t="s">
        <v>1802</v>
      </c>
      <c r="H410" s="218" t="n">
        <f aca="false">IFERROR(INDEX(Schedule!$E$2:$E$147,MATCH($G410,Schedule!$A$2:$A$147,0)),"")</f>
        <v>45017</v>
      </c>
      <c r="I410" s="218" t="n">
        <f aca="false">IFERROR(INDEX(Schedule!$F$2:$F$147,MATCH($G410,Schedule!$A$2:$A$147,0)),"")</f>
        <v>45331</v>
      </c>
      <c r="J410" s="92"/>
      <c r="K410" s="92"/>
      <c r="L410" s="92"/>
      <c r="M410" s="92"/>
      <c r="N410" s="92"/>
      <c r="O410" s="90" t="n">
        <v>1</v>
      </c>
      <c r="P410" s="219" t="n">
        <f aca="false">IFERROR((IF(OR(ISNUMBER(J410),UPPER(TRIM(J410))="N/A"),1,0)*IF($W410="N",0,INDEX('Rules of Credit'!$B$5:$F$8,MATCH($F410,'Rules of Credit'!$A$5:$A$8,0),1))+IF(OR(ISNUMBER(K410),UPPER(TRIM(K410))="N/A"),1,0)*INDEX('Rules of Credit'!$B$5:$F$8,MATCH($F410,'Rules of Credit'!$A$5:$A$8,0),2)+IF(OR(ISNUMBER(L410),UPPER(TRIM(L410))="N/A"),1,0)*INDEX('Rules of Credit'!$B$5:$F$8,MATCH($F410,'Rules of Credit'!$A$5:$A$8,0),3)+IF(OR(ISNUMBER(M410),UPPER(TRIM(M410))="N/A"),1,0)*IF($X410="N",0,INDEX('Rules of Credit'!$B$5:$F$8,MATCH($F410,'Rules of Credit'!$A$5:$A$8,0),4))+IF(OR(ISNUMBER(N410),UPPER(TRIM(N410))="N/A"),1,0)*INDEX('Rules of Credit'!$B$5:$F$8,MATCH($F410,'Rules of Credit'!$A$5:$A$8,0),5))/(IF($W410="N",0,INDEX('Rules of Credit'!$B$5:$F$8,MATCH($F410,'Rules of Credit'!$A$5:$A$8,0),1))+INDEX('Rules of Credit'!$B$5:$F$8,MATCH($F410,'Rules of Credit'!$A$5:$A$8,0),2)+INDEX('Rules of Credit'!$B$5:$F$8,MATCH($F410,'Rules of Credit'!$A$5:$A$8,0),3)+IF($X410="N",0,INDEX('Rules of Credit'!$B$5:$F$8,MATCH($F410,'Rules of Credit'!$A$5:$A$8,0),4))+INDEX('Rules of Credit'!$B$5:$F$8,MATCH($F410,'Rules of Credit'!$A$5:$A$8,0),5)),0)</f>
        <v>0</v>
      </c>
      <c r="Q410" s="219" t="n">
        <f aca="false">IF(OR($H410="",$I410=""),0,IF('Tracker Summary'!$C$3&lt;$H410,0,IF('Tracker Summary'!$C$3&gt;=$I410,1,('Tracker Summary'!$C$3-$H410)/($I410-$H410+1))))</f>
        <v>0</v>
      </c>
      <c r="R410" s="219" t="n">
        <f aca="false">P410-Q410</f>
        <v>0</v>
      </c>
      <c r="S410" s="216" t="str">
        <f aca="false">IF($I410="","Not scheduled",IF(P410&gt;=1,"Complete",IF('Tracker Summary'!$C$3&gt;$I410,"Overdue",IF(P410-Q410&lt;-0.1,"Behind",IF(AND(P410=0,'Tracker Summary'!$C$3&lt;$H410),"Not started","On track")))))</f>
        <v>Not started</v>
      </c>
      <c r="T410" s="90"/>
      <c r="U410" s="216" t="str">
        <f aca="false">IFERROR(INDEX(Schedule!$D$2:$D$147,MATCH($G410,Schedule!$A$2:$A$147,0)),"")</f>
        <v>Treatment Equipment — Existing dewatering / treatment building</v>
      </c>
      <c r="V410" s="218" t="n">
        <f aca="false">IFERROR(INDEX(Schedule!$F$2:$F$147,MATCH("46-P01",Schedule!$A$2:$A$147,0)),"")</f>
        <v>45016</v>
      </c>
      <c r="W410" s="216" t="s">
        <v>115</v>
      </c>
      <c r="X410" s="216" t="s">
        <v>115</v>
      </c>
      <c r="Y410" s="216" t="n">
        <v>0</v>
      </c>
      <c r="Z410" s="216" t="n">
        <v>0</v>
      </c>
      <c r="AA410" s="216" t="s">
        <v>1808</v>
      </c>
      <c r="AB410" s="216" t="s">
        <v>1809</v>
      </c>
      <c r="AC410" s="216" t="s">
        <v>541</v>
      </c>
      <c r="AD410" s="216" t="s">
        <v>542</v>
      </c>
      <c r="AE410" s="216" t="s">
        <v>1810</v>
      </c>
      <c r="AF410" s="216"/>
      <c r="AG410" s="216" t="s">
        <v>1810</v>
      </c>
      <c r="AH410" s="216" t="s">
        <v>501</v>
      </c>
    </row>
    <row r="411" customFormat="false" ht="15" hidden="false" customHeight="false" outlineLevel="0" collapsed="false">
      <c r="A411" s="216" t="s">
        <v>60</v>
      </c>
      <c r="B411" s="217" t="s">
        <v>53</v>
      </c>
      <c r="C411" s="216" t="s">
        <v>1811</v>
      </c>
      <c r="D411" s="216" t="s">
        <v>1812</v>
      </c>
      <c r="E411" s="216" t="s">
        <v>537</v>
      </c>
      <c r="F411" s="90" t="s">
        <v>234</v>
      </c>
      <c r="G411" s="216" t="s">
        <v>1802</v>
      </c>
      <c r="H411" s="218" t="n">
        <f aca="false">IFERROR(INDEX(Schedule!$E$2:$E$147,MATCH($G411,Schedule!$A$2:$A$147,0)),"")</f>
        <v>45017</v>
      </c>
      <c r="I411" s="218" t="n">
        <f aca="false">IFERROR(INDEX(Schedule!$F$2:$F$147,MATCH($G411,Schedule!$A$2:$A$147,0)),"")</f>
        <v>45331</v>
      </c>
      <c r="J411" s="92"/>
      <c r="K411" s="92"/>
      <c r="L411" s="92"/>
      <c r="M411" s="92"/>
      <c r="N411" s="92"/>
      <c r="O411" s="90" t="n">
        <v>1</v>
      </c>
      <c r="P411" s="219" t="n">
        <f aca="false">IFERROR((IF(OR(ISNUMBER(J411),UPPER(TRIM(J411))="N/A"),1,0)*IF($W411="N",0,INDEX('Rules of Credit'!$B$5:$F$8,MATCH($F411,'Rules of Credit'!$A$5:$A$8,0),1))+IF(OR(ISNUMBER(K411),UPPER(TRIM(K411))="N/A"),1,0)*INDEX('Rules of Credit'!$B$5:$F$8,MATCH($F411,'Rules of Credit'!$A$5:$A$8,0),2)+IF(OR(ISNUMBER(L411),UPPER(TRIM(L411))="N/A"),1,0)*INDEX('Rules of Credit'!$B$5:$F$8,MATCH($F411,'Rules of Credit'!$A$5:$A$8,0),3)+IF(OR(ISNUMBER(M411),UPPER(TRIM(M411))="N/A"),1,0)*IF($X411="N",0,INDEX('Rules of Credit'!$B$5:$F$8,MATCH($F411,'Rules of Credit'!$A$5:$A$8,0),4))+IF(OR(ISNUMBER(N411),UPPER(TRIM(N411))="N/A"),1,0)*INDEX('Rules of Credit'!$B$5:$F$8,MATCH($F411,'Rules of Credit'!$A$5:$A$8,0),5))/(IF($W411="N",0,INDEX('Rules of Credit'!$B$5:$F$8,MATCH($F411,'Rules of Credit'!$A$5:$A$8,0),1))+INDEX('Rules of Credit'!$B$5:$F$8,MATCH($F411,'Rules of Credit'!$A$5:$A$8,0),2)+INDEX('Rules of Credit'!$B$5:$F$8,MATCH($F411,'Rules of Credit'!$A$5:$A$8,0),3)+IF($X411="N",0,INDEX('Rules of Credit'!$B$5:$F$8,MATCH($F411,'Rules of Credit'!$A$5:$A$8,0),4))+INDEX('Rules of Credit'!$B$5:$F$8,MATCH($F411,'Rules of Credit'!$A$5:$A$8,0),5)),0)</f>
        <v>0</v>
      </c>
      <c r="Q411" s="219" t="n">
        <f aca="false">IF(OR($H411="",$I411=""),0,IF('Tracker Summary'!$C$3&lt;$H411,0,IF('Tracker Summary'!$C$3&gt;=$I411,1,('Tracker Summary'!$C$3-$H411)/($I411-$H411+1))))</f>
        <v>0</v>
      </c>
      <c r="R411" s="219" t="n">
        <f aca="false">P411-Q411</f>
        <v>0</v>
      </c>
      <c r="S411" s="216" t="str">
        <f aca="false">IF($I411="","Not scheduled",IF(P411&gt;=1,"Complete",IF('Tracker Summary'!$C$3&gt;$I411,"Overdue",IF(P411-Q411&lt;-0.1,"Behind",IF(AND(P411=0,'Tracker Summary'!$C$3&lt;$H411),"Not started","On track")))))</f>
        <v>Not started</v>
      </c>
      <c r="T411" s="90"/>
      <c r="U411" s="216" t="str">
        <f aca="false">IFERROR(INDEX(Schedule!$D$2:$D$147,MATCH($G411,Schedule!$A$2:$A$147,0)),"")</f>
        <v>Treatment Equipment — Existing dewatering / treatment building</v>
      </c>
      <c r="V411" s="218" t="n">
        <f aca="false">IFERROR(INDEX(Schedule!$F$2:$F$147,MATCH("46-P01",Schedule!$A$2:$A$147,0)),"")</f>
        <v>45016</v>
      </c>
      <c r="W411" s="216" t="s">
        <v>115</v>
      </c>
      <c r="X411" s="216" t="s">
        <v>115</v>
      </c>
      <c r="Y411" s="216" t="n">
        <v>0</v>
      </c>
      <c r="Z411" s="216" t="n">
        <v>0</v>
      </c>
      <c r="AA411" s="216" t="s">
        <v>1813</v>
      </c>
      <c r="AB411" s="216" t="s">
        <v>1814</v>
      </c>
      <c r="AC411" s="216" t="s">
        <v>541</v>
      </c>
      <c r="AD411" s="216" t="s">
        <v>542</v>
      </c>
      <c r="AE411" s="216" t="s">
        <v>1815</v>
      </c>
      <c r="AF411" s="216"/>
      <c r="AG411" s="216" t="s">
        <v>1815</v>
      </c>
      <c r="AH411" s="216" t="s">
        <v>501</v>
      </c>
    </row>
    <row r="412" customFormat="false" ht="15" hidden="false" customHeight="false" outlineLevel="0" collapsed="false">
      <c r="A412" s="216" t="s">
        <v>60</v>
      </c>
      <c r="B412" s="217" t="s">
        <v>53</v>
      </c>
      <c r="C412" s="216" t="s">
        <v>1816</v>
      </c>
      <c r="D412" s="216" t="s">
        <v>1817</v>
      </c>
      <c r="E412" s="216" t="s">
        <v>115</v>
      </c>
      <c r="F412" s="90" t="s">
        <v>234</v>
      </c>
      <c r="G412" s="216" t="s">
        <v>1818</v>
      </c>
      <c r="H412" s="218" t="n">
        <f aca="false">IFERROR(INDEX(Schedule!$E$2:$E$147,MATCH($G412,Schedule!$A$2:$A$147,0)),"")</f>
        <v>45017</v>
      </c>
      <c r="I412" s="218" t="n">
        <f aca="false">IFERROR(INDEX(Schedule!$F$2:$F$147,MATCH($G412,Schedule!$A$2:$A$147,0)),"")</f>
        <v>45210</v>
      </c>
      <c r="J412" s="92"/>
      <c r="K412" s="92"/>
      <c r="L412" s="92"/>
      <c r="M412" s="92"/>
      <c r="N412" s="92"/>
      <c r="O412" s="90" t="n">
        <v>1</v>
      </c>
      <c r="P412" s="219" t="n">
        <f aca="false">IFERROR((IF(OR(ISNUMBER(J412),UPPER(TRIM(J412))="N/A"),1,0)*IF($W412="N",0,INDEX('Rules of Credit'!$B$5:$F$8,MATCH($F412,'Rules of Credit'!$A$5:$A$8,0),1))+IF(OR(ISNUMBER(K412),UPPER(TRIM(K412))="N/A"),1,0)*INDEX('Rules of Credit'!$B$5:$F$8,MATCH($F412,'Rules of Credit'!$A$5:$A$8,0),2)+IF(OR(ISNUMBER(L412),UPPER(TRIM(L412))="N/A"),1,0)*INDEX('Rules of Credit'!$B$5:$F$8,MATCH($F412,'Rules of Credit'!$A$5:$A$8,0),3)+IF(OR(ISNUMBER(M412),UPPER(TRIM(M412))="N/A"),1,0)*IF($X412="N",0,INDEX('Rules of Credit'!$B$5:$F$8,MATCH($F412,'Rules of Credit'!$A$5:$A$8,0),4))+IF(OR(ISNUMBER(N412),UPPER(TRIM(N412))="N/A"),1,0)*INDEX('Rules of Credit'!$B$5:$F$8,MATCH($F412,'Rules of Credit'!$A$5:$A$8,0),5))/(IF($W412="N",0,INDEX('Rules of Credit'!$B$5:$F$8,MATCH($F412,'Rules of Credit'!$A$5:$A$8,0),1))+INDEX('Rules of Credit'!$B$5:$F$8,MATCH($F412,'Rules of Credit'!$A$5:$A$8,0),2)+INDEX('Rules of Credit'!$B$5:$F$8,MATCH($F412,'Rules of Credit'!$A$5:$A$8,0),3)+IF($X412="N",0,INDEX('Rules of Credit'!$B$5:$F$8,MATCH($F412,'Rules of Credit'!$A$5:$A$8,0),4))+INDEX('Rules of Credit'!$B$5:$F$8,MATCH($F412,'Rules of Credit'!$A$5:$A$8,0),5)),0)</f>
        <v>0</v>
      </c>
      <c r="Q412" s="219" t="n">
        <f aca="false">IF(OR($H412="",$I412=""),0,IF('Tracker Summary'!$C$3&lt;$H412,0,IF('Tracker Summary'!$C$3&gt;=$I412,1,('Tracker Summary'!$C$3-$H412)/($I412-$H412+1))))</f>
        <v>0</v>
      </c>
      <c r="R412" s="219" t="n">
        <f aca="false">P412-Q412</f>
        <v>0</v>
      </c>
      <c r="S412" s="216" t="str">
        <f aca="false">IF($I412="","Not scheduled",IF(P412&gt;=1,"Complete",IF('Tracker Summary'!$C$3&gt;$I412,"Overdue",IF(P412-Q412&lt;-0.1,"Behind",IF(AND(P412=0,'Tracker Summary'!$C$3&lt;$H412),"Not started","On track")))))</f>
        <v>Not started</v>
      </c>
      <c r="T412" s="90"/>
      <c r="U412" s="216" t="str">
        <f aca="false">IFERROR(INDEX(Schedule!$D$2:$D$147,MATCH($G412,Schedule!$A$2:$A$147,0)),"")</f>
        <v>Treatment Equipment — UV chamber</v>
      </c>
      <c r="V412" s="218" t="n">
        <f aca="false">IFERROR(INDEX(Schedule!$F$2:$F$147,MATCH("46-P01",Schedule!$A$2:$A$147,0)),"")</f>
        <v>45016</v>
      </c>
      <c r="W412" s="216" t="s">
        <v>99</v>
      </c>
      <c r="X412" s="216" t="s">
        <v>99</v>
      </c>
      <c r="Y412" s="216" t="n">
        <v>1</v>
      </c>
      <c r="Z412" s="216" t="n">
        <v>1</v>
      </c>
      <c r="AA412" s="216"/>
      <c r="AB412" s="216" t="s">
        <v>1819</v>
      </c>
      <c r="AC412" s="216" t="s">
        <v>92</v>
      </c>
      <c r="AD412" s="216" t="s">
        <v>93</v>
      </c>
      <c r="AE412" s="216"/>
      <c r="AF412" s="216" t="s">
        <v>1820</v>
      </c>
      <c r="AG412" s="216" t="s">
        <v>1820</v>
      </c>
      <c r="AH412" s="216" t="s">
        <v>213</v>
      </c>
    </row>
    <row r="413" customFormat="false" ht="15" hidden="false" customHeight="false" outlineLevel="0" collapsed="false">
      <c r="A413" s="216" t="s">
        <v>60</v>
      </c>
      <c r="B413" s="217" t="s">
        <v>53</v>
      </c>
      <c r="C413" s="216" t="s">
        <v>1821</v>
      </c>
      <c r="D413" s="216" t="s">
        <v>1822</v>
      </c>
      <c r="E413" s="216" t="s">
        <v>923</v>
      </c>
      <c r="F413" s="90" t="s">
        <v>234</v>
      </c>
      <c r="G413" s="216" t="s">
        <v>1818</v>
      </c>
      <c r="H413" s="218" t="n">
        <f aca="false">IFERROR(INDEX(Schedule!$E$2:$E$147,MATCH($G413,Schedule!$A$2:$A$147,0)),"")</f>
        <v>45017</v>
      </c>
      <c r="I413" s="218" t="n">
        <f aca="false">IFERROR(INDEX(Schedule!$F$2:$F$147,MATCH($G413,Schedule!$A$2:$A$147,0)),"")</f>
        <v>45210</v>
      </c>
      <c r="J413" s="92"/>
      <c r="K413" s="92"/>
      <c r="L413" s="92"/>
      <c r="M413" s="92"/>
      <c r="N413" s="92"/>
      <c r="O413" s="90" t="n">
        <v>1</v>
      </c>
      <c r="P413" s="219" t="n">
        <f aca="false">IFERROR((IF(OR(ISNUMBER(J413),UPPER(TRIM(J413))="N/A"),1,0)*IF($W413="N",0,INDEX('Rules of Credit'!$B$5:$F$8,MATCH($F413,'Rules of Credit'!$A$5:$A$8,0),1))+IF(OR(ISNUMBER(K413),UPPER(TRIM(K413))="N/A"),1,0)*INDEX('Rules of Credit'!$B$5:$F$8,MATCH($F413,'Rules of Credit'!$A$5:$A$8,0),2)+IF(OR(ISNUMBER(L413),UPPER(TRIM(L413))="N/A"),1,0)*INDEX('Rules of Credit'!$B$5:$F$8,MATCH($F413,'Rules of Credit'!$A$5:$A$8,0),3)+IF(OR(ISNUMBER(M413),UPPER(TRIM(M413))="N/A"),1,0)*IF($X413="N",0,INDEX('Rules of Credit'!$B$5:$F$8,MATCH($F413,'Rules of Credit'!$A$5:$A$8,0),4))+IF(OR(ISNUMBER(N413),UPPER(TRIM(N413))="N/A"),1,0)*INDEX('Rules of Credit'!$B$5:$F$8,MATCH($F413,'Rules of Credit'!$A$5:$A$8,0),5))/(IF($W413="N",0,INDEX('Rules of Credit'!$B$5:$F$8,MATCH($F413,'Rules of Credit'!$A$5:$A$8,0),1))+INDEX('Rules of Credit'!$B$5:$F$8,MATCH($F413,'Rules of Credit'!$A$5:$A$8,0),2)+INDEX('Rules of Credit'!$B$5:$F$8,MATCH($F413,'Rules of Credit'!$A$5:$A$8,0),3)+IF($X413="N",0,INDEX('Rules of Credit'!$B$5:$F$8,MATCH($F413,'Rules of Credit'!$A$5:$A$8,0),4))+INDEX('Rules of Credit'!$B$5:$F$8,MATCH($F413,'Rules of Credit'!$A$5:$A$8,0),5)),0)</f>
        <v>0</v>
      </c>
      <c r="Q413" s="219" t="n">
        <f aca="false">IF(OR($H413="",$I413=""),0,IF('Tracker Summary'!$C$3&lt;$H413,0,IF('Tracker Summary'!$C$3&gt;=$I413,1,('Tracker Summary'!$C$3-$H413)/($I413-$H413+1))))</f>
        <v>0</v>
      </c>
      <c r="R413" s="219" t="n">
        <f aca="false">P413-Q413</f>
        <v>0</v>
      </c>
      <c r="S413" s="216" t="str">
        <f aca="false">IF($I413="","Not scheduled",IF(P413&gt;=1,"Complete",IF('Tracker Summary'!$C$3&gt;$I413,"Overdue",IF(P413-Q413&lt;-0.1,"Behind",IF(AND(P413=0,'Tracker Summary'!$C$3&lt;$H413),"Not started","On track")))))</f>
        <v>Not started</v>
      </c>
      <c r="T413" s="90"/>
      <c r="U413" s="216" t="str">
        <f aca="false">IFERROR(INDEX(Schedule!$D$2:$D$147,MATCH($G413,Schedule!$A$2:$A$147,0)),"")</f>
        <v>Treatment Equipment — UV chamber</v>
      </c>
      <c r="V413" s="218" t="n">
        <f aca="false">IFERROR(INDEX(Schedule!$F$2:$F$147,MATCH("46-P01",Schedule!$A$2:$A$147,0)),"")</f>
        <v>45016</v>
      </c>
      <c r="W413" s="216" t="s">
        <v>115</v>
      </c>
      <c r="X413" s="216" t="s">
        <v>115</v>
      </c>
      <c r="Y413" s="216" t="n">
        <v>0</v>
      </c>
      <c r="Z413" s="216" t="n">
        <v>0</v>
      </c>
      <c r="AA413" s="216" t="s">
        <v>1823</v>
      </c>
      <c r="AB413" s="216" t="s">
        <v>1824</v>
      </c>
      <c r="AC413" s="216" t="s">
        <v>92</v>
      </c>
      <c r="AD413" s="216" t="s">
        <v>542</v>
      </c>
      <c r="AE413" s="216" t="s">
        <v>1825</v>
      </c>
      <c r="AF413" s="216"/>
      <c r="AG413" s="216" t="s">
        <v>1826</v>
      </c>
      <c r="AH413" s="216" t="s">
        <v>501</v>
      </c>
    </row>
    <row r="414" customFormat="false" ht="15" hidden="false" customHeight="false" outlineLevel="0" collapsed="false">
      <c r="A414" s="216" t="s">
        <v>60</v>
      </c>
      <c r="B414" s="217" t="s">
        <v>53</v>
      </c>
      <c r="C414" s="216" t="s">
        <v>1827</v>
      </c>
      <c r="D414" s="216" t="s">
        <v>1828</v>
      </c>
      <c r="E414" s="216" t="s">
        <v>923</v>
      </c>
      <c r="F414" s="90" t="s">
        <v>234</v>
      </c>
      <c r="G414" s="216" t="s">
        <v>1818</v>
      </c>
      <c r="H414" s="218" t="n">
        <f aca="false">IFERROR(INDEX(Schedule!$E$2:$E$147,MATCH($G414,Schedule!$A$2:$A$147,0)),"")</f>
        <v>45017</v>
      </c>
      <c r="I414" s="218" t="n">
        <f aca="false">IFERROR(INDEX(Schedule!$F$2:$F$147,MATCH($G414,Schedule!$A$2:$A$147,0)),"")</f>
        <v>45210</v>
      </c>
      <c r="J414" s="92"/>
      <c r="K414" s="92"/>
      <c r="L414" s="92"/>
      <c r="M414" s="92"/>
      <c r="N414" s="92"/>
      <c r="O414" s="90" t="n">
        <v>1</v>
      </c>
      <c r="P414" s="219" t="n">
        <f aca="false">IFERROR((IF(OR(ISNUMBER(J414),UPPER(TRIM(J414))="N/A"),1,0)*IF($W414="N",0,INDEX('Rules of Credit'!$B$5:$F$8,MATCH($F414,'Rules of Credit'!$A$5:$A$8,0),1))+IF(OR(ISNUMBER(K414),UPPER(TRIM(K414))="N/A"),1,0)*INDEX('Rules of Credit'!$B$5:$F$8,MATCH($F414,'Rules of Credit'!$A$5:$A$8,0),2)+IF(OR(ISNUMBER(L414),UPPER(TRIM(L414))="N/A"),1,0)*INDEX('Rules of Credit'!$B$5:$F$8,MATCH($F414,'Rules of Credit'!$A$5:$A$8,0),3)+IF(OR(ISNUMBER(M414),UPPER(TRIM(M414))="N/A"),1,0)*IF($X414="N",0,INDEX('Rules of Credit'!$B$5:$F$8,MATCH($F414,'Rules of Credit'!$A$5:$A$8,0),4))+IF(OR(ISNUMBER(N414),UPPER(TRIM(N414))="N/A"),1,0)*INDEX('Rules of Credit'!$B$5:$F$8,MATCH($F414,'Rules of Credit'!$A$5:$A$8,0),5))/(IF($W414="N",0,INDEX('Rules of Credit'!$B$5:$F$8,MATCH($F414,'Rules of Credit'!$A$5:$A$8,0),1))+INDEX('Rules of Credit'!$B$5:$F$8,MATCH($F414,'Rules of Credit'!$A$5:$A$8,0),2)+INDEX('Rules of Credit'!$B$5:$F$8,MATCH($F414,'Rules of Credit'!$A$5:$A$8,0),3)+IF($X414="N",0,INDEX('Rules of Credit'!$B$5:$F$8,MATCH($F414,'Rules of Credit'!$A$5:$A$8,0),4))+INDEX('Rules of Credit'!$B$5:$F$8,MATCH($F414,'Rules of Credit'!$A$5:$A$8,0),5)),0)</f>
        <v>0</v>
      </c>
      <c r="Q414" s="219" t="n">
        <f aca="false">IF(OR($H414="",$I414=""),0,IF('Tracker Summary'!$C$3&lt;$H414,0,IF('Tracker Summary'!$C$3&gt;=$I414,1,('Tracker Summary'!$C$3-$H414)/($I414-$H414+1))))</f>
        <v>0</v>
      </c>
      <c r="R414" s="219" t="n">
        <f aca="false">P414-Q414</f>
        <v>0</v>
      </c>
      <c r="S414" s="216" t="str">
        <f aca="false">IF($I414="","Not scheduled",IF(P414&gt;=1,"Complete",IF('Tracker Summary'!$C$3&gt;$I414,"Overdue",IF(P414-Q414&lt;-0.1,"Behind",IF(AND(P414=0,'Tracker Summary'!$C$3&lt;$H414),"Not started","On track")))))</f>
        <v>Not started</v>
      </c>
      <c r="T414" s="90"/>
      <c r="U414" s="216" t="str">
        <f aca="false">IFERROR(INDEX(Schedule!$D$2:$D$147,MATCH($G414,Schedule!$A$2:$A$147,0)),"")</f>
        <v>Treatment Equipment — UV chamber</v>
      </c>
      <c r="V414" s="218" t="n">
        <f aca="false">IFERROR(INDEX(Schedule!$F$2:$F$147,MATCH("46-P01",Schedule!$A$2:$A$147,0)),"")</f>
        <v>45016</v>
      </c>
      <c r="W414" s="216" t="s">
        <v>115</v>
      </c>
      <c r="X414" s="216" t="s">
        <v>115</v>
      </c>
      <c r="Y414" s="216" t="n">
        <v>0</v>
      </c>
      <c r="Z414" s="216" t="n">
        <v>0</v>
      </c>
      <c r="AA414" s="216" t="s">
        <v>1823</v>
      </c>
      <c r="AB414" s="216" t="s">
        <v>1824</v>
      </c>
      <c r="AC414" s="216" t="s">
        <v>92</v>
      </c>
      <c r="AD414" s="216" t="s">
        <v>542</v>
      </c>
      <c r="AE414" s="216" t="s">
        <v>1825</v>
      </c>
      <c r="AF414" s="216"/>
      <c r="AG414" s="216" t="s">
        <v>1826</v>
      </c>
      <c r="AH414" s="216" t="s">
        <v>501</v>
      </c>
    </row>
    <row r="415" customFormat="false" ht="15" hidden="false" customHeight="false" outlineLevel="0" collapsed="false">
      <c r="A415" s="216" t="s">
        <v>60</v>
      </c>
      <c r="B415" s="217" t="s">
        <v>53</v>
      </c>
      <c r="C415" s="216" t="s">
        <v>1829</v>
      </c>
      <c r="D415" s="216" t="s">
        <v>1830</v>
      </c>
      <c r="E415" s="216" t="s">
        <v>256</v>
      </c>
      <c r="F415" s="90" t="s">
        <v>234</v>
      </c>
      <c r="G415" s="216" t="s">
        <v>1831</v>
      </c>
      <c r="H415" s="218" t="n">
        <f aca="false">IFERROR(INDEX(Schedule!$E$2:$E$147,MATCH($G415,Schedule!$A$2:$A$147,0)),"")</f>
        <v>45017</v>
      </c>
      <c r="I415" s="218" t="n">
        <f aca="false">IFERROR(INDEX(Schedule!$F$2:$F$147,MATCH($G415,Schedule!$A$2:$A$147,0)),"")</f>
        <v>45231</v>
      </c>
      <c r="J415" s="92"/>
      <c r="K415" s="92"/>
      <c r="L415" s="92"/>
      <c r="M415" s="92"/>
      <c r="N415" s="92"/>
      <c r="O415" s="90" t="n">
        <v>1</v>
      </c>
      <c r="P415" s="219" t="n">
        <f aca="false">IFERROR((IF(OR(ISNUMBER(J415),UPPER(TRIM(J415))="N/A"),1,0)*IF($W415="N",0,INDEX('Rules of Credit'!$B$5:$F$8,MATCH($F415,'Rules of Credit'!$A$5:$A$8,0),1))+IF(OR(ISNUMBER(K415),UPPER(TRIM(K415))="N/A"),1,0)*INDEX('Rules of Credit'!$B$5:$F$8,MATCH($F415,'Rules of Credit'!$A$5:$A$8,0),2)+IF(OR(ISNUMBER(L415),UPPER(TRIM(L415))="N/A"),1,0)*INDEX('Rules of Credit'!$B$5:$F$8,MATCH($F415,'Rules of Credit'!$A$5:$A$8,0),3)+IF(OR(ISNUMBER(M415),UPPER(TRIM(M415))="N/A"),1,0)*IF($X415="N",0,INDEX('Rules of Credit'!$B$5:$F$8,MATCH($F415,'Rules of Credit'!$A$5:$A$8,0),4))+IF(OR(ISNUMBER(N415),UPPER(TRIM(N415))="N/A"),1,0)*INDEX('Rules of Credit'!$B$5:$F$8,MATCH($F415,'Rules of Credit'!$A$5:$A$8,0),5))/(IF($W415="N",0,INDEX('Rules of Credit'!$B$5:$F$8,MATCH($F415,'Rules of Credit'!$A$5:$A$8,0),1))+INDEX('Rules of Credit'!$B$5:$F$8,MATCH($F415,'Rules of Credit'!$A$5:$A$8,0),2)+INDEX('Rules of Credit'!$B$5:$F$8,MATCH($F415,'Rules of Credit'!$A$5:$A$8,0),3)+IF($X415="N",0,INDEX('Rules of Credit'!$B$5:$F$8,MATCH($F415,'Rules of Credit'!$A$5:$A$8,0),4))+INDEX('Rules of Credit'!$B$5:$F$8,MATCH($F415,'Rules of Credit'!$A$5:$A$8,0),5)),0)</f>
        <v>0</v>
      </c>
      <c r="Q415" s="219" t="n">
        <f aca="false">IF(OR($H415="",$I415=""),0,IF('Tracker Summary'!$C$3&lt;$H415,0,IF('Tracker Summary'!$C$3&gt;=$I415,1,('Tracker Summary'!$C$3-$H415)/($I415-$H415+1))))</f>
        <v>0</v>
      </c>
      <c r="R415" s="219" t="n">
        <f aca="false">P415-Q415</f>
        <v>0</v>
      </c>
      <c r="S415" s="216" t="str">
        <f aca="false">IF($I415="","Not scheduled",IF(P415&gt;=1,"Complete",IF('Tracker Summary'!$C$3&gt;$I415,"Overdue",IF(P415-Q415&lt;-0.1,"Behind",IF(AND(P415=0,'Tracker Summary'!$C$3&lt;$H415),"Not started","On track")))))</f>
        <v>Not started</v>
      </c>
      <c r="T415" s="90"/>
      <c r="U415" s="216" t="str">
        <f aca="false">IFERROR(INDEX(Schedule!$D$2:$D$147,MATCH($G415,Schedule!$A$2:$A$147,0)),"")</f>
        <v>Treatment Equipment — UV chamber and digester</v>
      </c>
      <c r="V415" s="218" t="n">
        <f aca="false">IFERROR(INDEX(Schedule!$F$2:$F$147,MATCH("46-P01",Schedule!$A$2:$A$147,0)),"")</f>
        <v>45016</v>
      </c>
      <c r="W415" s="216" t="s">
        <v>99</v>
      </c>
      <c r="X415" s="216" t="s">
        <v>99</v>
      </c>
      <c r="Y415" s="216" t="n">
        <v>10</v>
      </c>
      <c r="Z415" s="216" t="n">
        <v>6</v>
      </c>
      <c r="AA415" s="216" t="s">
        <v>1832</v>
      </c>
      <c r="AB415" s="216" t="s">
        <v>1824</v>
      </c>
      <c r="AC415" s="216" t="s">
        <v>120</v>
      </c>
      <c r="AD415" s="216" t="s">
        <v>1833</v>
      </c>
      <c r="AE415" s="216" t="s">
        <v>1834</v>
      </c>
      <c r="AF415" s="216" t="s">
        <v>1835</v>
      </c>
      <c r="AG415" s="216" t="s">
        <v>1836</v>
      </c>
      <c r="AH415" s="216" t="s">
        <v>213</v>
      </c>
    </row>
    <row r="416" customFormat="false" ht="15" hidden="false" customHeight="false" outlineLevel="0" collapsed="false">
      <c r="A416" s="216" t="s">
        <v>60</v>
      </c>
      <c r="B416" s="217" t="s">
        <v>53</v>
      </c>
      <c r="C416" s="216" t="s">
        <v>1837</v>
      </c>
      <c r="D416" s="216" t="s">
        <v>1838</v>
      </c>
      <c r="E416" s="216" t="s">
        <v>256</v>
      </c>
      <c r="F416" s="90" t="s">
        <v>234</v>
      </c>
      <c r="G416" s="216" t="s">
        <v>1831</v>
      </c>
      <c r="H416" s="218" t="n">
        <f aca="false">IFERROR(INDEX(Schedule!$E$2:$E$147,MATCH($G416,Schedule!$A$2:$A$147,0)),"")</f>
        <v>45017</v>
      </c>
      <c r="I416" s="218" t="n">
        <f aca="false">IFERROR(INDEX(Schedule!$F$2:$F$147,MATCH($G416,Schedule!$A$2:$A$147,0)),"")</f>
        <v>45231</v>
      </c>
      <c r="J416" s="92"/>
      <c r="K416" s="92"/>
      <c r="L416" s="92"/>
      <c r="M416" s="92"/>
      <c r="N416" s="92"/>
      <c r="O416" s="90" t="n">
        <v>1</v>
      </c>
      <c r="P416" s="219" t="n">
        <f aca="false">IFERROR((IF(OR(ISNUMBER(J416),UPPER(TRIM(J416))="N/A"),1,0)*IF($W416="N",0,INDEX('Rules of Credit'!$B$5:$F$8,MATCH($F416,'Rules of Credit'!$A$5:$A$8,0),1))+IF(OR(ISNUMBER(K416),UPPER(TRIM(K416))="N/A"),1,0)*INDEX('Rules of Credit'!$B$5:$F$8,MATCH($F416,'Rules of Credit'!$A$5:$A$8,0),2)+IF(OR(ISNUMBER(L416),UPPER(TRIM(L416))="N/A"),1,0)*INDEX('Rules of Credit'!$B$5:$F$8,MATCH($F416,'Rules of Credit'!$A$5:$A$8,0),3)+IF(OR(ISNUMBER(M416),UPPER(TRIM(M416))="N/A"),1,0)*IF($X416="N",0,INDEX('Rules of Credit'!$B$5:$F$8,MATCH($F416,'Rules of Credit'!$A$5:$A$8,0),4))+IF(OR(ISNUMBER(N416),UPPER(TRIM(N416))="N/A"),1,0)*INDEX('Rules of Credit'!$B$5:$F$8,MATCH($F416,'Rules of Credit'!$A$5:$A$8,0),5))/(IF($W416="N",0,INDEX('Rules of Credit'!$B$5:$F$8,MATCH($F416,'Rules of Credit'!$A$5:$A$8,0),1))+INDEX('Rules of Credit'!$B$5:$F$8,MATCH($F416,'Rules of Credit'!$A$5:$A$8,0),2)+INDEX('Rules of Credit'!$B$5:$F$8,MATCH($F416,'Rules of Credit'!$A$5:$A$8,0),3)+IF($X416="N",0,INDEX('Rules of Credit'!$B$5:$F$8,MATCH($F416,'Rules of Credit'!$A$5:$A$8,0),4))+INDEX('Rules of Credit'!$B$5:$F$8,MATCH($F416,'Rules of Credit'!$A$5:$A$8,0),5)),0)</f>
        <v>0</v>
      </c>
      <c r="Q416" s="219" t="n">
        <f aca="false">IF(OR($H416="",$I416=""),0,IF('Tracker Summary'!$C$3&lt;$H416,0,IF('Tracker Summary'!$C$3&gt;=$I416,1,('Tracker Summary'!$C$3-$H416)/($I416-$H416+1))))</f>
        <v>0</v>
      </c>
      <c r="R416" s="219" t="n">
        <f aca="false">P416-Q416</f>
        <v>0</v>
      </c>
      <c r="S416" s="216" t="str">
        <f aca="false">IF($I416="","Not scheduled",IF(P416&gt;=1,"Complete",IF('Tracker Summary'!$C$3&gt;$I416,"Overdue",IF(P416-Q416&lt;-0.1,"Behind",IF(AND(P416=0,'Tracker Summary'!$C$3&lt;$H416),"Not started","On track")))))</f>
        <v>Not started</v>
      </c>
      <c r="T416" s="90"/>
      <c r="U416" s="216" t="str">
        <f aca="false">IFERROR(INDEX(Schedule!$D$2:$D$147,MATCH($G416,Schedule!$A$2:$A$147,0)),"")</f>
        <v>Treatment Equipment — UV chamber and digester</v>
      </c>
      <c r="V416" s="218" t="n">
        <f aca="false">IFERROR(INDEX(Schedule!$F$2:$F$147,MATCH("46-P01",Schedule!$A$2:$A$147,0)),"")</f>
        <v>45016</v>
      </c>
      <c r="W416" s="216" t="s">
        <v>99</v>
      </c>
      <c r="X416" s="216" t="s">
        <v>99</v>
      </c>
      <c r="Y416" s="216" t="n">
        <v>8</v>
      </c>
      <c r="Z416" s="216" t="n">
        <v>4</v>
      </c>
      <c r="AA416" s="216" t="s">
        <v>1839</v>
      </c>
      <c r="AB416" s="216" t="s">
        <v>934</v>
      </c>
      <c r="AC416" s="216" t="s">
        <v>120</v>
      </c>
      <c r="AD416" s="216" t="s">
        <v>1833</v>
      </c>
      <c r="AE416" s="216" t="s">
        <v>1840</v>
      </c>
      <c r="AF416" s="216" t="s">
        <v>1835</v>
      </c>
      <c r="AG416" s="216" t="s">
        <v>1841</v>
      </c>
      <c r="AH416" s="216" t="s">
        <v>213</v>
      </c>
    </row>
    <row r="417" customFormat="false" ht="15" hidden="false" customHeight="false" outlineLevel="0" collapsed="false">
      <c r="A417" s="216" t="s">
        <v>60</v>
      </c>
      <c r="B417" s="217" t="s">
        <v>53</v>
      </c>
      <c r="C417" s="216" t="s">
        <v>1842</v>
      </c>
      <c r="D417" s="216" t="s">
        <v>1843</v>
      </c>
      <c r="E417" s="216" t="s">
        <v>256</v>
      </c>
      <c r="F417" s="90" t="s">
        <v>234</v>
      </c>
      <c r="G417" s="216" t="s">
        <v>1831</v>
      </c>
      <c r="H417" s="218" t="n">
        <f aca="false">IFERROR(INDEX(Schedule!$E$2:$E$147,MATCH($G417,Schedule!$A$2:$A$147,0)),"")</f>
        <v>45017</v>
      </c>
      <c r="I417" s="218" t="n">
        <f aca="false">IFERROR(INDEX(Schedule!$F$2:$F$147,MATCH($G417,Schedule!$A$2:$A$147,0)),"")</f>
        <v>45231</v>
      </c>
      <c r="J417" s="92"/>
      <c r="K417" s="92"/>
      <c r="L417" s="92"/>
      <c r="M417" s="92"/>
      <c r="N417" s="92"/>
      <c r="O417" s="90" t="n">
        <v>1</v>
      </c>
      <c r="P417" s="219" t="n">
        <f aca="false">IFERROR((IF(OR(ISNUMBER(J417),UPPER(TRIM(J417))="N/A"),1,0)*IF($W417="N",0,INDEX('Rules of Credit'!$B$5:$F$8,MATCH($F417,'Rules of Credit'!$A$5:$A$8,0),1))+IF(OR(ISNUMBER(K417),UPPER(TRIM(K417))="N/A"),1,0)*INDEX('Rules of Credit'!$B$5:$F$8,MATCH($F417,'Rules of Credit'!$A$5:$A$8,0),2)+IF(OR(ISNUMBER(L417),UPPER(TRIM(L417))="N/A"),1,0)*INDEX('Rules of Credit'!$B$5:$F$8,MATCH($F417,'Rules of Credit'!$A$5:$A$8,0),3)+IF(OR(ISNUMBER(M417),UPPER(TRIM(M417))="N/A"),1,0)*IF($X417="N",0,INDEX('Rules of Credit'!$B$5:$F$8,MATCH($F417,'Rules of Credit'!$A$5:$A$8,0),4))+IF(OR(ISNUMBER(N417),UPPER(TRIM(N417))="N/A"),1,0)*INDEX('Rules of Credit'!$B$5:$F$8,MATCH($F417,'Rules of Credit'!$A$5:$A$8,0),5))/(IF($W417="N",0,INDEX('Rules of Credit'!$B$5:$F$8,MATCH($F417,'Rules of Credit'!$A$5:$A$8,0),1))+INDEX('Rules of Credit'!$B$5:$F$8,MATCH($F417,'Rules of Credit'!$A$5:$A$8,0),2)+INDEX('Rules of Credit'!$B$5:$F$8,MATCH($F417,'Rules of Credit'!$A$5:$A$8,0),3)+IF($X417="N",0,INDEX('Rules of Credit'!$B$5:$F$8,MATCH($F417,'Rules of Credit'!$A$5:$A$8,0),4))+INDEX('Rules of Credit'!$B$5:$F$8,MATCH($F417,'Rules of Credit'!$A$5:$A$8,0),5)),0)</f>
        <v>0</v>
      </c>
      <c r="Q417" s="219" t="n">
        <f aca="false">IF(OR($H417="",$I417=""),0,IF('Tracker Summary'!$C$3&lt;$H417,0,IF('Tracker Summary'!$C$3&gt;=$I417,1,('Tracker Summary'!$C$3-$H417)/($I417-$H417+1))))</f>
        <v>0</v>
      </c>
      <c r="R417" s="219" t="n">
        <f aca="false">P417-Q417</f>
        <v>0</v>
      </c>
      <c r="S417" s="216" t="str">
        <f aca="false">IF($I417="","Not scheduled",IF(P417&gt;=1,"Complete",IF('Tracker Summary'!$C$3&gt;$I417,"Overdue",IF(P417-Q417&lt;-0.1,"Behind",IF(AND(P417=0,'Tracker Summary'!$C$3&lt;$H417),"Not started","On track")))))</f>
        <v>Not started</v>
      </c>
      <c r="T417" s="90"/>
      <c r="U417" s="216" t="str">
        <f aca="false">IFERROR(INDEX(Schedule!$D$2:$D$147,MATCH($G417,Schedule!$A$2:$A$147,0)),"")</f>
        <v>Treatment Equipment — UV chamber and digester</v>
      </c>
      <c r="V417" s="218" t="n">
        <f aca="false">IFERROR(INDEX(Schedule!$F$2:$F$147,MATCH("46-P01",Schedule!$A$2:$A$147,0)),"")</f>
        <v>45016</v>
      </c>
      <c r="W417" s="216" t="s">
        <v>99</v>
      </c>
      <c r="X417" s="216" t="s">
        <v>91</v>
      </c>
      <c r="Y417" s="216" t="n">
        <v>4</v>
      </c>
      <c r="Z417" s="216" t="n">
        <v>0</v>
      </c>
      <c r="AA417" s="216"/>
      <c r="AB417" s="216"/>
      <c r="AC417" s="216" t="s">
        <v>92</v>
      </c>
      <c r="AD417" s="216" t="s">
        <v>93</v>
      </c>
      <c r="AE417" s="216" t="s">
        <v>1844</v>
      </c>
      <c r="AF417" s="216" t="s">
        <v>1845</v>
      </c>
      <c r="AG417" s="216" t="s">
        <v>1846</v>
      </c>
      <c r="AH417" s="216" t="s">
        <v>213</v>
      </c>
    </row>
    <row r="418" customFormat="false" ht="15" hidden="false" customHeight="false" outlineLevel="0" collapsed="false">
      <c r="A418" s="216" t="s">
        <v>60</v>
      </c>
      <c r="B418" s="217" t="s">
        <v>53</v>
      </c>
      <c r="C418" s="216" t="s">
        <v>1847</v>
      </c>
      <c r="D418" s="216" t="s">
        <v>1848</v>
      </c>
      <c r="E418" s="216" t="s">
        <v>256</v>
      </c>
      <c r="F418" s="90" t="s">
        <v>234</v>
      </c>
      <c r="G418" s="216" t="s">
        <v>1831</v>
      </c>
      <c r="H418" s="218" t="n">
        <f aca="false">IFERROR(INDEX(Schedule!$E$2:$E$147,MATCH($G418,Schedule!$A$2:$A$147,0)),"")</f>
        <v>45017</v>
      </c>
      <c r="I418" s="218" t="n">
        <f aca="false">IFERROR(INDEX(Schedule!$F$2:$F$147,MATCH($G418,Schedule!$A$2:$A$147,0)),"")</f>
        <v>45231</v>
      </c>
      <c r="J418" s="92"/>
      <c r="K418" s="92"/>
      <c r="L418" s="92"/>
      <c r="M418" s="92"/>
      <c r="N418" s="92"/>
      <c r="O418" s="90" t="n">
        <v>1</v>
      </c>
      <c r="P418" s="219" t="n">
        <f aca="false">IFERROR((IF(OR(ISNUMBER(J418),UPPER(TRIM(J418))="N/A"),1,0)*IF($W418="N",0,INDEX('Rules of Credit'!$B$5:$F$8,MATCH($F418,'Rules of Credit'!$A$5:$A$8,0),1))+IF(OR(ISNUMBER(K418),UPPER(TRIM(K418))="N/A"),1,0)*INDEX('Rules of Credit'!$B$5:$F$8,MATCH($F418,'Rules of Credit'!$A$5:$A$8,0),2)+IF(OR(ISNUMBER(L418),UPPER(TRIM(L418))="N/A"),1,0)*INDEX('Rules of Credit'!$B$5:$F$8,MATCH($F418,'Rules of Credit'!$A$5:$A$8,0),3)+IF(OR(ISNUMBER(M418),UPPER(TRIM(M418))="N/A"),1,0)*IF($X418="N",0,INDEX('Rules of Credit'!$B$5:$F$8,MATCH($F418,'Rules of Credit'!$A$5:$A$8,0),4))+IF(OR(ISNUMBER(N418),UPPER(TRIM(N418))="N/A"),1,0)*INDEX('Rules of Credit'!$B$5:$F$8,MATCH($F418,'Rules of Credit'!$A$5:$A$8,0),5))/(IF($W418="N",0,INDEX('Rules of Credit'!$B$5:$F$8,MATCH($F418,'Rules of Credit'!$A$5:$A$8,0),1))+INDEX('Rules of Credit'!$B$5:$F$8,MATCH($F418,'Rules of Credit'!$A$5:$A$8,0),2)+INDEX('Rules of Credit'!$B$5:$F$8,MATCH($F418,'Rules of Credit'!$A$5:$A$8,0),3)+IF($X418="N",0,INDEX('Rules of Credit'!$B$5:$F$8,MATCH($F418,'Rules of Credit'!$A$5:$A$8,0),4))+INDEX('Rules of Credit'!$B$5:$F$8,MATCH($F418,'Rules of Credit'!$A$5:$A$8,0),5)),0)</f>
        <v>0</v>
      </c>
      <c r="Q418" s="219" t="n">
        <f aca="false">IF(OR($H418="",$I418=""),0,IF('Tracker Summary'!$C$3&lt;$H418,0,IF('Tracker Summary'!$C$3&gt;=$I418,1,('Tracker Summary'!$C$3-$H418)/($I418-$H418+1))))</f>
        <v>0</v>
      </c>
      <c r="R418" s="219" t="n">
        <f aca="false">P418-Q418</f>
        <v>0</v>
      </c>
      <c r="S418" s="216" t="str">
        <f aca="false">IF($I418="","Not scheduled",IF(P418&gt;=1,"Complete",IF('Tracker Summary'!$C$3&gt;$I418,"Overdue",IF(P418-Q418&lt;-0.1,"Behind",IF(AND(P418=0,'Tracker Summary'!$C$3&lt;$H418),"Not started","On track")))))</f>
        <v>Not started</v>
      </c>
      <c r="T418" s="90"/>
      <c r="U418" s="216" t="str">
        <f aca="false">IFERROR(INDEX(Schedule!$D$2:$D$147,MATCH($G418,Schedule!$A$2:$A$147,0)),"")</f>
        <v>Treatment Equipment — UV chamber and digester</v>
      </c>
      <c r="V418" s="218" t="n">
        <f aca="false">IFERROR(INDEX(Schedule!$F$2:$F$147,MATCH("46-P01",Schedule!$A$2:$A$147,0)),"")</f>
        <v>45016</v>
      </c>
      <c r="W418" s="216" t="s">
        <v>99</v>
      </c>
      <c r="X418" s="216" t="s">
        <v>99</v>
      </c>
      <c r="Y418" s="216" t="n">
        <v>5</v>
      </c>
      <c r="Z418" s="216" t="n">
        <v>2</v>
      </c>
      <c r="AA418" s="216"/>
      <c r="AB418" s="216" t="s">
        <v>1849</v>
      </c>
      <c r="AC418" s="216" t="s">
        <v>92</v>
      </c>
      <c r="AD418" s="216" t="s">
        <v>1833</v>
      </c>
      <c r="AE418" s="216"/>
      <c r="AF418" s="216" t="s">
        <v>1835</v>
      </c>
      <c r="AG418" s="216" t="s">
        <v>1835</v>
      </c>
      <c r="AH418" s="216" t="s">
        <v>213</v>
      </c>
    </row>
    <row r="419" customFormat="false" ht="15" hidden="false" customHeight="false" outlineLevel="0" collapsed="false">
      <c r="A419" s="216" t="s">
        <v>60</v>
      </c>
      <c r="B419" s="217" t="s">
        <v>53</v>
      </c>
      <c r="C419" s="216" t="s">
        <v>1850</v>
      </c>
      <c r="D419" s="216" t="s">
        <v>1851</v>
      </c>
      <c r="E419" s="216" t="s">
        <v>256</v>
      </c>
      <c r="F419" s="90" t="s">
        <v>234</v>
      </c>
      <c r="G419" s="216" t="s">
        <v>1831</v>
      </c>
      <c r="H419" s="218" t="n">
        <f aca="false">IFERROR(INDEX(Schedule!$E$2:$E$147,MATCH($G419,Schedule!$A$2:$A$147,0)),"")</f>
        <v>45017</v>
      </c>
      <c r="I419" s="218" t="n">
        <f aca="false">IFERROR(INDEX(Schedule!$F$2:$F$147,MATCH($G419,Schedule!$A$2:$A$147,0)),"")</f>
        <v>45231</v>
      </c>
      <c r="J419" s="92"/>
      <c r="K419" s="92"/>
      <c r="L419" s="92"/>
      <c r="M419" s="92"/>
      <c r="N419" s="92"/>
      <c r="O419" s="90" t="n">
        <v>1</v>
      </c>
      <c r="P419" s="219" t="n">
        <f aca="false">IFERROR((IF(OR(ISNUMBER(J419),UPPER(TRIM(J419))="N/A"),1,0)*IF($W419="N",0,INDEX('Rules of Credit'!$B$5:$F$8,MATCH($F419,'Rules of Credit'!$A$5:$A$8,0),1))+IF(OR(ISNUMBER(K419),UPPER(TRIM(K419))="N/A"),1,0)*INDEX('Rules of Credit'!$B$5:$F$8,MATCH($F419,'Rules of Credit'!$A$5:$A$8,0),2)+IF(OR(ISNUMBER(L419),UPPER(TRIM(L419))="N/A"),1,0)*INDEX('Rules of Credit'!$B$5:$F$8,MATCH($F419,'Rules of Credit'!$A$5:$A$8,0),3)+IF(OR(ISNUMBER(M419),UPPER(TRIM(M419))="N/A"),1,0)*IF($X419="N",0,INDEX('Rules of Credit'!$B$5:$F$8,MATCH($F419,'Rules of Credit'!$A$5:$A$8,0),4))+IF(OR(ISNUMBER(N419),UPPER(TRIM(N419))="N/A"),1,0)*INDEX('Rules of Credit'!$B$5:$F$8,MATCH($F419,'Rules of Credit'!$A$5:$A$8,0),5))/(IF($W419="N",0,INDEX('Rules of Credit'!$B$5:$F$8,MATCH($F419,'Rules of Credit'!$A$5:$A$8,0),1))+INDEX('Rules of Credit'!$B$5:$F$8,MATCH($F419,'Rules of Credit'!$A$5:$A$8,0),2)+INDEX('Rules of Credit'!$B$5:$F$8,MATCH($F419,'Rules of Credit'!$A$5:$A$8,0),3)+IF($X419="N",0,INDEX('Rules of Credit'!$B$5:$F$8,MATCH($F419,'Rules of Credit'!$A$5:$A$8,0),4))+INDEX('Rules of Credit'!$B$5:$F$8,MATCH($F419,'Rules of Credit'!$A$5:$A$8,0),5)),0)</f>
        <v>0</v>
      </c>
      <c r="Q419" s="219" t="n">
        <f aca="false">IF(OR($H419="",$I419=""),0,IF('Tracker Summary'!$C$3&lt;$H419,0,IF('Tracker Summary'!$C$3&gt;=$I419,1,('Tracker Summary'!$C$3-$H419)/($I419-$H419+1))))</f>
        <v>0</v>
      </c>
      <c r="R419" s="219" t="n">
        <f aca="false">P419-Q419</f>
        <v>0</v>
      </c>
      <c r="S419" s="216" t="str">
        <f aca="false">IF($I419="","Not scheduled",IF(P419&gt;=1,"Complete",IF('Tracker Summary'!$C$3&gt;$I419,"Overdue",IF(P419-Q419&lt;-0.1,"Behind",IF(AND(P419=0,'Tracker Summary'!$C$3&lt;$H419),"Not started","On track")))))</f>
        <v>Not started</v>
      </c>
      <c r="T419" s="90"/>
      <c r="U419" s="216" t="str">
        <f aca="false">IFERROR(INDEX(Schedule!$D$2:$D$147,MATCH($G419,Schedule!$A$2:$A$147,0)),"")</f>
        <v>Treatment Equipment — UV chamber and digester</v>
      </c>
      <c r="V419" s="218" t="n">
        <f aca="false">IFERROR(INDEX(Schedule!$F$2:$F$147,MATCH("46-P01",Schedule!$A$2:$A$147,0)),"")</f>
        <v>45016</v>
      </c>
      <c r="W419" s="216" t="s">
        <v>99</v>
      </c>
      <c r="X419" s="216" t="s">
        <v>99</v>
      </c>
      <c r="Y419" s="216" t="n">
        <v>12</v>
      </c>
      <c r="Z419" s="216" t="n">
        <v>6</v>
      </c>
      <c r="AA419" s="216" t="s">
        <v>1852</v>
      </c>
      <c r="AB419" s="216" t="s">
        <v>1853</v>
      </c>
      <c r="AC419" s="216" t="s">
        <v>92</v>
      </c>
      <c r="AD419" s="216" t="s">
        <v>1833</v>
      </c>
      <c r="AE419" s="216"/>
      <c r="AF419" s="216" t="s">
        <v>1854</v>
      </c>
      <c r="AG419" s="216" t="s">
        <v>1855</v>
      </c>
      <c r="AH419" s="216" t="s">
        <v>109</v>
      </c>
    </row>
    <row r="420" customFormat="false" ht="15" hidden="false" customHeight="false" outlineLevel="0" collapsed="false">
      <c r="A420" s="216" t="s">
        <v>60</v>
      </c>
      <c r="B420" s="217" t="s">
        <v>53</v>
      </c>
      <c r="C420" s="216" t="s">
        <v>1856</v>
      </c>
      <c r="D420" s="216" t="s">
        <v>1857</v>
      </c>
      <c r="E420" s="216" t="s">
        <v>98</v>
      </c>
      <c r="F420" s="90" t="s">
        <v>234</v>
      </c>
      <c r="G420" s="216" t="s">
        <v>1858</v>
      </c>
      <c r="H420" s="218" t="n">
        <f aca="false">IFERROR(INDEX(Schedule!$E$2:$E$147,MATCH($G420,Schedule!$A$2:$A$147,0)),"")</f>
        <v>45017</v>
      </c>
      <c r="I420" s="218" t="n">
        <f aca="false">IFERROR(INDEX(Schedule!$F$2:$F$147,MATCH($G420,Schedule!$A$2:$A$147,0)),"")</f>
        <v>45231</v>
      </c>
      <c r="J420" s="92"/>
      <c r="K420" s="92"/>
      <c r="L420" s="92"/>
      <c r="M420" s="92"/>
      <c r="N420" s="92"/>
      <c r="O420" s="90" t="n">
        <v>1</v>
      </c>
      <c r="P420" s="219" t="n">
        <f aca="false">IFERROR((IF(OR(ISNUMBER(J420),UPPER(TRIM(J420))="N/A"),1,0)*IF($W420="N",0,INDEX('Rules of Credit'!$B$5:$F$8,MATCH($F420,'Rules of Credit'!$A$5:$A$8,0),1))+IF(OR(ISNUMBER(K420),UPPER(TRIM(K420))="N/A"),1,0)*INDEX('Rules of Credit'!$B$5:$F$8,MATCH($F420,'Rules of Credit'!$A$5:$A$8,0),2)+IF(OR(ISNUMBER(L420),UPPER(TRIM(L420))="N/A"),1,0)*INDEX('Rules of Credit'!$B$5:$F$8,MATCH($F420,'Rules of Credit'!$A$5:$A$8,0),3)+IF(OR(ISNUMBER(M420),UPPER(TRIM(M420))="N/A"),1,0)*IF($X420="N",0,INDEX('Rules of Credit'!$B$5:$F$8,MATCH($F420,'Rules of Credit'!$A$5:$A$8,0),4))+IF(OR(ISNUMBER(N420),UPPER(TRIM(N420))="N/A"),1,0)*INDEX('Rules of Credit'!$B$5:$F$8,MATCH($F420,'Rules of Credit'!$A$5:$A$8,0),5))/(IF($W420="N",0,INDEX('Rules of Credit'!$B$5:$F$8,MATCH($F420,'Rules of Credit'!$A$5:$A$8,0),1))+INDEX('Rules of Credit'!$B$5:$F$8,MATCH($F420,'Rules of Credit'!$A$5:$A$8,0),2)+INDEX('Rules of Credit'!$B$5:$F$8,MATCH($F420,'Rules of Credit'!$A$5:$A$8,0),3)+IF($X420="N",0,INDEX('Rules of Credit'!$B$5:$F$8,MATCH($F420,'Rules of Credit'!$A$5:$A$8,0),4))+INDEX('Rules of Credit'!$B$5:$F$8,MATCH($F420,'Rules of Credit'!$A$5:$A$8,0),5)),0)</f>
        <v>0</v>
      </c>
      <c r="Q420" s="219" t="n">
        <f aca="false">IF(OR($H420="",$I420=""),0,IF('Tracker Summary'!$C$3&lt;$H420,0,IF('Tracker Summary'!$C$3&gt;=$I420,1,('Tracker Summary'!$C$3-$H420)/($I420-$H420+1))))</f>
        <v>0</v>
      </c>
      <c r="R420" s="219" t="n">
        <f aca="false">P420-Q420</f>
        <v>0</v>
      </c>
      <c r="S420" s="216" t="str">
        <f aca="false">IF($I420="","Not scheduled",IF(P420&gt;=1,"Complete",IF('Tracker Summary'!$C$3&gt;$I420,"Overdue",IF(P420-Q420&lt;-0.1,"Behind",IF(AND(P420=0,'Tracker Summary'!$C$3&lt;$H420),"Not started","On track")))))</f>
        <v>Not started</v>
      </c>
      <c r="T420" s="90"/>
      <c r="U420" s="216" t="str">
        <f aca="false">IFERROR(INDEX(Schedule!$D$2:$D$147,MATCH($G420,Schedule!$A$2:$A$147,0)),"")</f>
        <v>Treatment Equipment — Yard piping, vaults and site utilities</v>
      </c>
      <c r="V420" s="218" t="n">
        <f aca="false">IFERROR(INDEX(Schedule!$F$2:$F$147,MATCH("46-P01",Schedule!$A$2:$A$147,0)),"")</f>
        <v>45016</v>
      </c>
      <c r="W420" s="216" t="s">
        <v>91</v>
      </c>
      <c r="X420" s="216" t="s">
        <v>91</v>
      </c>
      <c r="Y420" s="216" t="n">
        <v>0</v>
      </c>
      <c r="Z420" s="216" t="n">
        <v>0</v>
      </c>
      <c r="AA420" s="216" t="s">
        <v>1859</v>
      </c>
      <c r="AB420" s="216" t="s">
        <v>1442</v>
      </c>
      <c r="AC420" s="216" t="s">
        <v>92</v>
      </c>
      <c r="AD420" s="216" t="s">
        <v>93</v>
      </c>
      <c r="AE420" s="216" t="s">
        <v>1860</v>
      </c>
      <c r="AF420" s="216" t="s">
        <v>1861</v>
      </c>
      <c r="AG420" s="216" t="s">
        <v>1862</v>
      </c>
      <c r="AH420" s="216" t="s">
        <v>213</v>
      </c>
    </row>
    <row r="421" customFormat="false" ht="15" hidden="false" customHeight="false" outlineLevel="0" collapsed="false">
      <c r="A421" s="216" t="s">
        <v>60</v>
      </c>
      <c r="B421" s="217" t="s">
        <v>53</v>
      </c>
      <c r="C421" s="216" t="s">
        <v>1863</v>
      </c>
      <c r="D421" s="216" t="s">
        <v>1864</v>
      </c>
      <c r="E421" s="216" t="s">
        <v>209</v>
      </c>
      <c r="F421" s="90" t="s">
        <v>234</v>
      </c>
      <c r="G421" s="216" t="s">
        <v>1865</v>
      </c>
      <c r="H421" s="218" t="n">
        <f aca="false">IFERROR(INDEX(Schedule!$E$2:$E$147,MATCH($G421,Schedule!$A$2:$A$147,0)),"")</f>
        <v>45078</v>
      </c>
      <c r="I421" s="218" t="n">
        <f aca="false">IFERROR(INDEX(Schedule!$F$2:$F$147,MATCH($G421,Schedule!$A$2:$A$147,0)),"")</f>
        <v>45224</v>
      </c>
      <c r="J421" s="92"/>
      <c r="K421" s="92"/>
      <c r="L421" s="92"/>
      <c r="M421" s="92"/>
      <c r="N421" s="92"/>
      <c r="O421" s="90" t="n">
        <v>1</v>
      </c>
      <c r="P421" s="219" t="n">
        <f aca="false">IFERROR((IF(OR(ISNUMBER(J421),UPPER(TRIM(J421))="N/A"),1,0)*IF($W421="N",0,INDEX('Rules of Credit'!$B$5:$F$8,MATCH($F421,'Rules of Credit'!$A$5:$A$8,0),1))+IF(OR(ISNUMBER(K421),UPPER(TRIM(K421))="N/A"),1,0)*INDEX('Rules of Credit'!$B$5:$F$8,MATCH($F421,'Rules of Credit'!$A$5:$A$8,0),2)+IF(OR(ISNUMBER(L421),UPPER(TRIM(L421))="N/A"),1,0)*INDEX('Rules of Credit'!$B$5:$F$8,MATCH($F421,'Rules of Credit'!$A$5:$A$8,0),3)+IF(OR(ISNUMBER(M421),UPPER(TRIM(M421))="N/A"),1,0)*IF($X421="N",0,INDEX('Rules of Credit'!$B$5:$F$8,MATCH($F421,'Rules of Credit'!$A$5:$A$8,0),4))+IF(OR(ISNUMBER(N421),UPPER(TRIM(N421))="N/A"),1,0)*INDEX('Rules of Credit'!$B$5:$F$8,MATCH($F421,'Rules of Credit'!$A$5:$A$8,0),5))/(IF($W421="N",0,INDEX('Rules of Credit'!$B$5:$F$8,MATCH($F421,'Rules of Credit'!$A$5:$A$8,0),1))+INDEX('Rules of Credit'!$B$5:$F$8,MATCH($F421,'Rules of Credit'!$A$5:$A$8,0),2)+INDEX('Rules of Credit'!$B$5:$F$8,MATCH($F421,'Rules of Credit'!$A$5:$A$8,0),3)+IF($X421="N",0,INDEX('Rules of Credit'!$B$5:$F$8,MATCH($F421,'Rules of Credit'!$A$5:$A$8,0),4))+INDEX('Rules of Credit'!$B$5:$F$8,MATCH($F421,'Rules of Credit'!$A$5:$A$8,0),5)),0)</f>
        <v>0</v>
      </c>
      <c r="Q421" s="219" t="n">
        <f aca="false">IF(OR($H421="",$I421=""),0,IF('Tracker Summary'!$C$3&lt;$H421,0,IF('Tracker Summary'!$C$3&gt;=$I421,1,('Tracker Summary'!$C$3-$H421)/($I421-$H421+1))))</f>
        <v>0</v>
      </c>
      <c r="R421" s="219" t="n">
        <f aca="false">P421-Q421</f>
        <v>0</v>
      </c>
      <c r="S421" s="216" t="str">
        <f aca="false">IF($I421="","Not scheduled",IF(P421&gt;=1,"Complete",IF('Tracker Summary'!$C$3&gt;$I421,"Overdue",IF(P421-Q421&lt;-0.1,"Behind",IF(AND(P421=0,'Tracker Summary'!$C$3&lt;$H421),"Not started","On track")))))</f>
        <v>Not started</v>
      </c>
      <c r="T421" s="90"/>
      <c r="U421" s="216" t="str">
        <f aca="false">IFERROR(INDEX(Schedule!$D$2:$D$147,MATCH($G421,Schedule!$A$2:$A$147,0)),"")</f>
        <v>Treatment Equipment — Influent pump station and flow splitter</v>
      </c>
      <c r="V421" s="218" t="n">
        <f aca="false">IFERROR(INDEX(Schedule!$F$2:$F$147,MATCH("46-P01",Schedule!$A$2:$A$147,0)),"")</f>
        <v>45016</v>
      </c>
      <c r="W421" s="216" t="s">
        <v>91</v>
      </c>
      <c r="X421" s="216" t="s">
        <v>91</v>
      </c>
      <c r="Y421" s="216" t="n">
        <v>0</v>
      </c>
      <c r="Z421" s="216" t="n">
        <v>0</v>
      </c>
      <c r="AA421" s="216" t="s">
        <v>1866</v>
      </c>
      <c r="AB421" s="216" t="s">
        <v>1867</v>
      </c>
      <c r="AC421" s="216" t="s">
        <v>92</v>
      </c>
      <c r="AD421" s="216" t="s">
        <v>93</v>
      </c>
      <c r="AE421" s="216" t="s">
        <v>1868</v>
      </c>
      <c r="AF421" s="216"/>
      <c r="AG421" s="216" t="s">
        <v>1868</v>
      </c>
      <c r="AH421" s="216" t="s">
        <v>213</v>
      </c>
    </row>
    <row r="422" customFormat="false" ht="15" hidden="false" customHeight="false" outlineLevel="0" collapsed="false">
      <c r="A422" s="216" t="s">
        <v>60</v>
      </c>
      <c r="B422" s="217" t="s">
        <v>53</v>
      </c>
      <c r="C422" s="216" t="s">
        <v>1869</v>
      </c>
      <c r="D422" s="216" t="s">
        <v>1870</v>
      </c>
      <c r="E422" s="216" t="s">
        <v>334</v>
      </c>
      <c r="F422" s="90" t="s">
        <v>234</v>
      </c>
      <c r="G422" s="216" t="s">
        <v>1865</v>
      </c>
      <c r="H422" s="218" t="n">
        <f aca="false">IFERROR(INDEX(Schedule!$E$2:$E$147,MATCH($G422,Schedule!$A$2:$A$147,0)),"")</f>
        <v>45078</v>
      </c>
      <c r="I422" s="218" t="n">
        <f aca="false">IFERROR(INDEX(Schedule!$F$2:$F$147,MATCH($G422,Schedule!$A$2:$A$147,0)),"")</f>
        <v>45224</v>
      </c>
      <c r="J422" s="92"/>
      <c r="K422" s="92"/>
      <c r="L422" s="92"/>
      <c r="M422" s="92"/>
      <c r="N422" s="92"/>
      <c r="O422" s="90" t="n">
        <v>1</v>
      </c>
      <c r="P422" s="219" t="n">
        <f aca="false">IFERROR((IF(OR(ISNUMBER(J422),UPPER(TRIM(J422))="N/A"),1,0)*IF($W422="N",0,INDEX('Rules of Credit'!$B$5:$F$8,MATCH($F422,'Rules of Credit'!$A$5:$A$8,0),1))+IF(OR(ISNUMBER(K422),UPPER(TRIM(K422))="N/A"),1,0)*INDEX('Rules of Credit'!$B$5:$F$8,MATCH($F422,'Rules of Credit'!$A$5:$A$8,0),2)+IF(OR(ISNUMBER(L422),UPPER(TRIM(L422))="N/A"),1,0)*INDEX('Rules of Credit'!$B$5:$F$8,MATCH($F422,'Rules of Credit'!$A$5:$A$8,0),3)+IF(OR(ISNUMBER(M422),UPPER(TRIM(M422))="N/A"),1,0)*IF($X422="N",0,INDEX('Rules of Credit'!$B$5:$F$8,MATCH($F422,'Rules of Credit'!$A$5:$A$8,0),4))+IF(OR(ISNUMBER(N422),UPPER(TRIM(N422))="N/A"),1,0)*INDEX('Rules of Credit'!$B$5:$F$8,MATCH($F422,'Rules of Credit'!$A$5:$A$8,0),5))/(IF($W422="N",0,INDEX('Rules of Credit'!$B$5:$F$8,MATCH($F422,'Rules of Credit'!$A$5:$A$8,0),1))+INDEX('Rules of Credit'!$B$5:$F$8,MATCH($F422,'Rules of Credit'!$A$5:$A$8,0),2)+INDEX('Rules of Credit'!$B$5:$F$8,MATCH($F422,'Rules of Credit'!$A$5:$A$8,0),3)+IF($X422="N",0,INDEX('Rules of Credit'!$B$5:$F$8,MATCH($F422,'Rules of Credit'!$A$5:$A$8,0),4))+INDEX('Rules of Credit'!$B$5:$F$8,MATCH($F422,'Rules of Credit'!$A$5:$A$8,0),5)),0)</f>
        <v>0</v>
      </c>
      <c r="Q422" s="219" t="n">
        <f aca="false">IF(OR($H422="",$I422=""),0,IF('Tracker Summary'!$C$3&lt;$H422,0,IF('Tracker Summary'!$C$3&gt;=$I422,1,('Tracker Summary'!$C$3-$H422)/($I422-$H422+1))))</f>
        <v>0</v>
      </c>
      <c r="R422" s="219" t="n">
        <f aca="false">P422-Q422</f>
        <v>0</v>
      </c>
      <c r="S422" s="216" t="str">
        <f aca="false">IF($I422="","Not scheduled",IF(P422&gt;=1,"Complete",IF('Tracker Summary'!$C$3&gt;$I422,"Overdue",IF(P422-Q422&lt;-0.1,"Behind",IF(AND(P422=0,'Tracker Summary'!$C$3&lt;$H422),"Not started","On track")))))</f>
        <v>Not started</v>
      </c>
      <c r="T422" s="90"/>
      <c r="U422" s="216" t="str">
        <f aca="false">IFERROR(INDEX(Schedule!$D$2:$D$147,MATCH($G422,Schedule!$A$2:$A$147,0)),"")</f>
        <v>Treatment Equipment — Influent pump station and flow splitter</v>
      </c>
      <c r="V422" s="218" t="n">
        <f aca="false">IFERROR(INDEX(Schedule!$F$2:$F$147,MATCH("46-P01",Schedule!$A$2:$A$147,0)),"")</f>
        <v>45016</v>
      </c>
      <c r="W422" s="216" t="s">
        <v>115</v>
      </c>
      <c r="X422" s="216" t="s">
        <v>115</v>
      </c>
      <c r="Y422" s="216" t="n">
        <v>0</v>
      </c>
      <c r="Z422" s="216" t="n">
        <v>0</v>
      </c>
      <c r="AA422" s="216"/>
      <c r="AB422" s="216" t="s">
        <v>1871</v>
      </c>
      <c r="AC422" s="216" t="s">
        <v>541</v>
      </c>
      <c r="AD422" s="216" t="s">
        <v>1872</v>
      </c>
      <c r="AE422" s="216" t="s">
        <v>1873</v>
      </c>
      <c r="AF422" s="216"/>
      <c r="AG422" s="216" t="s">
        <v>1874</v>
      </c>
      <c r="AH422" s="216" t="s">
        <v>501</v>
      </c>
    </row>
    <row r="423" customFormat="false" ht="15" hidden="false" customHeight="false" outlineLevel="0" collapsed="false">
      <c r="A423" s="216" t="s">
        <v>60</v>
      </c>
      <c r="B423" s="217" t="s">
        <v>53</v>
      </c>
      <c r="C423" s="216" t="s">
        <v>1875</v>
      </c>
      <c r="D423" s="216" t="s">
        <v>1876</v>
      </c>
      <c r="E423" s="216" t="s">
        <v>354</v>
      </c>
      <c r="F423" s="90" t="s">
        <v>234</v>
      </c>
      <c r="G423" s="216" t="s">
        <v>1865</v>
      </c>
      <c r="H423" s="218" t="n">
        <f aca="false">IFERROR(INDEX(Schedule!$E$2:$E$147,MATCH($G423,Schedule!$A$2:$A$147,0)),"")</f>
        <v>45078</v>
      </c>
      <c r="I423" s="218" t="n">
        <f aca="false">IFERROR(INDEX(Schedule!$F$2:$F$147,MATCH($G423,Schedule!$A$2:$A$147,0)),"")</f>
        <v>45224</v>
      </c>
      <c r="J423" s="92"/>
      <c r="K423" s="92"/>
      <c r="L423" s="92"/>
      <c r="M423" s="92"/>
      <c r="N423" s="92"/>
      <c r="O423" s="90" t="n">
        <v>1</v>
      </c>
      <c r="P423" s="219" t="n">
        <f aca="false">IFERROR((IF(OR(ISNUMBER(J423),UPPER(TRIM(J423))="N/A"),1,0)*IF($W423="N",0,INDEX('Rules of Credit'!$B$5:$F$8,MATCH($F423,'Rules of Credit'!$A$5:$A$8,0),1))+IF(OR(ISNUMBER(K423),UPPER(TRIM(K423))="N/A"),1,0)*INDEX('Rules of Credit'!$B$5:$F$8,MATCH($F423,'Rules of Credit'!$A$5:$A$8,0),2)+IF(OR(ISNUMBER(L423),UPPER(TRIM(L423))="N/A"),1,0)*INDEX('Rules of Credit'!$B$5:$F$8,MATCH($F423,'Rules of Credit'!$A$5:$A$8,0),3)+IF(OR(ISNUMBER(M423),UPPER(TRIM(M423))="N/A"),1,0)*IF($X423="N",0,INDEX('Rules of Credit'!$B$5:$F$8,MATCH($F423,'Rules of Credit'!$A$5:$A$8,0),4))+IF(OR(ISNUMBER(N423),UPPER(TRIM(N423))="N/A"),1,0)*INDEX('Rules of Credit'!$B$5:$F$8,MATCH($F423,'Rules of Credit'!$A$5:$A$8,0),5))/(IF($W423="N",0,INDEX('Rules of Credit'!$B$5:$F$8,MATCH($F423,'Rules of Credit'!$A$5:$A$8,0),1))+INDEX('Rules of Credit'!$B$5:$F$8,MATCH($F423,'Rules of Credit'!$A$5:$A$8,0),2)+INDEX('Rules of Credit'!$B$5:$F$8,MATCH($F423,'Rules of Credit'!$A$5:$A$8,0),3)+IF($X423="N",0,INDEX('Rules of Credit'!$B$5:$F$8,MATCH($F423,'Rules of Credit'!$A$5:$A$8,0),4))+INDEX('Rules of Credit'!$B$5:$F$8,MATCH($F423,'Rules of Credit'!$A$5:$A$8,0),5)),0)</f>
        <v>0</v>
      </c>
      <c r="Q423" s="219" t="n">
        <f aca="false">IF(OR($H423="",$I423=""),0,IF('Tracker Summary'!$C$3&lt;$H423,0,IF('Tracker Summary'!$C$3&gt;=$I423,1,('Tracker Summary'!$C$3-$H423)/($I423-$H423+1))))</f>
        <v>0</v>
      </c>
      <c r="R423" s="219" t="n">
        <f aca="false">P423-Q423</f>
        <v>0</v>
      </c>
      <c r="S423" s="216" t="str">
        <f aca="false">IF($I423="","Not scheduled",IF(P423&gt;=1,"Complete",IF('Tracker Summary'!$C$3&gt;$I423,"Overdue",IF(P423-Q423&lt;-0.1,"Behind",IF(AND(P423=0,'Tracker Summary'!$C$3&lt;$H423),"Not started","On track")))))</f>
        <v>Not started</v>
      </c>
      <c r="T423" s="90"/>
      <c r="U423" s="216" t="str">
        <f aca="false">IFERROR(INDEX(Schedule!$D$2:$D$147,MATCH($G423,Schedule!$A$2:$A$147,0)),"")</f>
        <v>Treatment Equipment — Influent pump station and flow splitter</v>
      </c>
      <c r="V423" s="218" t="n">
        <f aca="false">IFERROR(INDEX(Schedule!$F$2:$F$147,MATCH("46-P01",Schedule!$A$2:$A$147,0)),"")</f>
        <v>45016</v>
      </c>
      <c r="W423" s="216" t="s">
        <v>115</v>
      </c>
      <c r="X423" s="216" t="s">
        <v>115</v>
      </c>
      <c r="Y423" s="216" t="n">
        <v>0</v>
      </c>
      <c r="Z423" s="216" t="n">
        <v>0</v>
      </c>
      <c r="AA423" s="216" t="s">
        <v>1877</v>
      </c>
      <c r="AB423" s="216" t="s">
        <v>1878</v>
      </c>
      <c r="AC423" s="216" t="s">
        <v>92</v>
      </c>
      <c r="AD423" s="216" t="s">
        <v>236</v>
      </c>
      <c r="AE423" s="216" t="s">
        <v>346</v>
      </c>
      <c r="AF423" s="216"/>
      <c r="AG423" s="216" t="s">
        <v>346</v>
      </c>
      <c r="AH423" s="216" t="s">
        <v>240</v>
      </c>
    </row>
    <row r="424" customFormat="false" ht="15" hidden="false" customHeight="false" outlineLevel="0" collapsed="false">
      <c r="A424" s="216" t="s">
        <v>60</v>
      </c>
      <c r="B424" s="217" t="s">
        <v>53</v>
      </c>
      <c r="C424" s="216" t="s">
        <v>1879</v>
      </c>
      <c r="D424" s="216" t="s">
        <v>1880</v>
      </c>
      <c r="E424" s="216" t="s">
        <v>209</v>
      </c>
      <c r="F424" s="90" t="s">
        <v>234</v>
      </c>
      <c r="G424" s="216" t="s">
        <v>1865</v>
      </c>
      <c r="H424" s="218" t="n">
        <f aca="false">IFERROR(INDEX(Schedule!$E$2:$E$147,MATCH($G424,Schedule!$A$2:$A$147,0)),"")</f>
        <v>45078</v>
      </c>
      <c r="I424" s="218" t="n">
        <f aca="false">IFERROR(INDEX(Schedule!$F$2:$F$147,MATCH($G424,Schedule!$A$2:$A$147,0)),"")</f>
        <v>45224</v>
      </c>
      <c r="J424" s="92"/>
      <c r="K424" s="92"/>
      <c r="L424" s="92"/>
      <c r="M424" s="92"/>
      <c r="N424" s="92"/>
      <c r="O424" s="90" t="n">
        <v>1</v>
      </c>
      <c r="P424" s="219" t="n">
        <f aca="false">IFERROR((IF(OR(ISNUMBER(J424),UPPER(TRIM(J424))="N/A"),1,0)*IF($W424="N",0,INDEX('Rules of Credit'!$B$5:$F$8,MATCH($F424,'Rules of Credit'!$A$5:$A$8,0),1))+IF(OR(ISNUMBER(K424),UPPER(TRIM(K424))="N/A"),1,0)*INDEX('Rules of Credit'!$B$5:$F$8,MATCH($F424,'Rules of Credit'!$A$5:$A$8,0),2)+IF(OR(ISNUMBER(L424),UPPER(TRIM(L424))="N/A"),1,0)*INDEX('Rules of Credit'!$B$5:$F$8,MATCH($F424,'Rules of Credit'!$A$5:$A$8,0),3)+IF(OR(ISNUMBER(M424),UPPER(TRIM(M424))="N/A"),1,0)*IF($X424="N",0,INDEX('Rules of Credit'!$B$5:$F$8,MATCH($F424,'Rules of Credit'!$A$5:$A$8,0),4))+IF(OR(ISNUMBER(N424),UPPER(TRIM(N424))="N/A"),1,0)*INDEX('Rules of Credit'!$B$5:$F$8,MATCH($F424,'Rules of Credit'!$A$5:$A$8,0),5))/(IF($W424="N",0,INDEX('Rules of Credit'!$B$5:$F$8,MATCH($F424,'Rules of Credit'!$A$5:$A$8,0),1))+INDEX('Rules of Credit'!$B$5:$F$8,MATCH($F424,'Rules of Credit'!$A$5:$A$8,0),2)+INDEX('Rules of Credit'!$B$5:$F$8,MATCH($F424,'Rules of Credit'!$A$5:$A$8,0),3)+IF($X424="N",0,INDEX('Rules of Credit'!$B$5:$F$8,MATCH($F424,'Rules of Credit'!$A$5:$A$8,0),4))+INDEX('Rules of Credit'!$B$5:$F$8,MATCH($F424,'Rules of Credit'!$A$5:$A$8,0),5)),0)</f>
        <v>0</v>
      </c>
      <c r="Q424" s="219" t="n">
        <f aca="false">IF(OR($H424="",$I424=""),0,IF('Tracker Summary'!$C$3&lt;$H424,0,IF('Tracker Summary'!$C$3&gt;=$I424,1,('Tracker Summary'!$C$3-$H424)/($I424-$H424+1))))</f>
        <v>0</v>
      </c>
      <c r="R424" s="219" t="n">
        <f aca="false">P424-Q424</f>
        <v>0</v>
      </c>
      <c r="S424" s="216" t="str">
        <f aca="false">IF($I424="","Not scheduled",IF(P424&gt;=1,"Complete",IF('Tracker Summary'!$C$3&gt;$I424,"Overdue",IF(P424-Q424&lt;-0.1,"Behind",IF(AND(P424=0,'Tracker Summary'!$C$3&lt;$H424),"Not started","On track")))))</f>
        <v>Not started</v>
      </c>
      <c r="T424" s="90"/>
      <c r="U424" s="216" t="str">
        <f aca="false">IFERROR(INDEX(Schedule!$D$2:$D$147,MATCH($G424,Schedule!$A$2:$A$147,0)),"")</f>
        <v>Treatment Equipment — Influent pump station and flow splitter</v>
      </c>
      <c r="V424" s="218" t="n">
        <f aca="false">IFERROR(INDEX(Schedule!$F$2:$F$147,MATCH("46-P01",Schedule!$A$2:$A$147,0)),"")</f>
        <v>45016</v>
      </c>
      <c r="W424" s="216" t="s">
        <v>91</v>
      </c>
      <c r="X424" s="216" t="s">
        <v>99</v>
      </c>
      <c r="Y424" s="216" t="n">
        <v>0</v>
      </c>
      <c r="Z424" s="216" t="n">
        <v>6</v>
      </c>
      <c r="AA424" s="216" t="s">
        <v>1881</v>
      </c>
      <c r="AB424" s="216" t="s">
        <v>1882</v>
      </c>
      <c r="AC424" s="216" t="s">
        <v>92</v>
      </c>
      <c r="AD424" s="216" t="s">
        <v>93</v>
      </c>
      <c r="AE424" s="216"/>
      <c r="AF424" s="216" t="s">
        <v>372</v>
      </c>
      <c r="AG424" s="216" t="s">
        <v>373</v>
      </c>
      <c r="AH424" s="216" t="s">
        <v>109</v>
      </c>
    </row>
    <row r="425" customFormat="false" ht="15" hidden="false" customHeight="false" outlineLevel="0" collapsed="false">
      <c r="A425" s="216" t="s">
        <v>60</v>
      </c>
      <c r="B425" s="217" t="s">
        <v>53</v>
      </c>
      <c r="C425" s="216" t="s">
        <v>1869</v>
      </c>
      <c r="D425" s="216" t="s">
        <v>1883</v>
      </c>
      <c r="E425" s="216" t="s">
        <v>115</v>
      </c>
      <c r="F425" s="90" t="s">
        <v>234</v>
      </c>
      <c r="G425" s="216" t="s">
        <v>1865</v>
      </c>
      <c r="H425" s="218" t="n">
        <f aca="false">IFERROR(INDEX(Schedule!$E$2:$E$147,MATCH($G425,Schedule!$A$2:$A$147,0)),"")</f>
        <v>45078</v>
      </c>
      <c r="I425" s="218" t="n">
        <f aca="false">IFERROR(INDEX(Schedule!$F$2:$F$147,MATCH($G425,Schedule!$A$2:$A$147,0)),"")</f>
        <v>45224</v>
      </c>
      <c r="J425" s="92"/>
      <c r="K425" s="92"/>
      <c r="L425" s="92"/>
      <c r="M425" s="92"/>
      <c r="N425" s="92"/>
      <c r="O425" s="90" t="n">
        <v>1</v>
      </c>
      <c r="P425" s="219" t="n">
        <f aca="false">IFERROR((IF(OR(ISNUMBER(J425),UPPER(TRIM(J425))="N/A"),1,0)*IF($W425="N",0,INDEX('Rules of Credit'!$B$5:$F$8,MATCH($F425,'Rules of Credit'!$A$5:$A$8,0),1))+IF(OR(ISNUMBER(K425),UPPER(TRIM(K425))="N/A"),1,0)*INDEX('Rules of Credit'!$B$5:$F$8,MATCH($F425,'Rules of Credit'!$A$5:$A$8,0),2)+IF(OR(ISNUMBER(L425),UPPER(TRIM(L425))="N/A"),1,0)*INDEX('Rules of Credit'!$B$5:$F$8,MATCH($F425,'Rules of Credit'!$A$5:$A$8,0),3)+IF(OR(ISNUMBER(M425),UPPER(TRIM(M425))="N/A"),1,0)*IF($X425="N",0,INDEX('Rules of Credit'!$B$5:$F$8,MATCH($F425,'Rules of Credit'!$A$5:$A$8,0),4))+IF(OR(ISNUMBER(N425),UPPER(TRIM(N425))="N/A"),1,0)*INDEX('Rules of Credit'!$B$5:$F$8,MATCH($F425,'Rules of Credit'!$A$5:$A$8,0),5))/(IF($W425="N",0,INDEX('Rules of Credit'!$B$5:$F$8,MATCH($F425,'Rules of Credit'!$A$5:$A$8,0),1))+INDEX('Rules of Credit'!$B$5:$F$8,MATCH($F425,'Rules of Credit'!$A$5:$A$8,0),2)+INDEX('Rules of Credit'!$B$5:$F$8,MATCH($F425,'Rules of Credit'!$A$5:$A$8,0),3)+IF($X425="N",0,INDEX('Rules of Credit'!$B$5:$F$8,MATCH($F425,'Rules of Credit'!$A$5:$A$8,0),4))+INDEX('Rules of Credit'!$B$5:$F$8,MATCH($F425,'Rules of Credit'!$A$5:$A$8,0),5)),0)</f>
        <v>0</v>
      </c>
      <c r="Q425" s="219" t="n">
        <f aca="false">IF(OR($H425="",$I425=""),0,IF('Tracker Summary'!$C$3&lt;$H425,0,IF('Tracker Summary'!$C$3&gt;=$I425,1,('Tracker Summary'!$C$3-$H425)/($I425-$H425+1))))</f>
        <v>0</v>
      </c>
      <c r="R425" s="219" t="n">
        <f aca="false">P425-Q425</f>
        <v>0</v>
      </c>
      <c r="S425" s="216" t="str">
        <f aca="false">IF($I425="","Not scheduled",IF(P425&gt;=1,"Complete",IF('Tracker Summary'!$C$3&gt;$I425,"Overdue",IF(P425-Q425&lt;-0.1,"Behind",IF(AND(P425=0,'Tracker Summary'!$C$3&lt;$H425),"Not started","On track")))))</f>
        <v>Not started</v>
      </c>
      <c r="T425" s="90"/>
      <c r="U425" s="216" t="str">
        <f aca="false">IFERROR(INDEX(Schedule!$D$2:$D$147,MATCH($G425,Schedule!$A$2:$A$147,0)),"")</f>
        <v>Treatment Equipment — Influent pump station and flow splitter</v>
      </c>
      <c r="V425" s="218" t="n">
        <f aca="false">IFERROR(INDEX(Schedule!$F$2:$F$147,MATCH("46-P01",Schedule!$A$2:$A$147,0)),"")</f>
        <v>45016</v>
      </c>
      <c r="W425" s="216" t="s">
        <v>99</v>
      </c>
      <c r="X425" s="216" t="s">
        <v>99</v>
      </c>
      <c r="Y425" s="216" t="n">
        <v>9</v>
      </c>
      <c r="Z425" s="216" t="n">
        <v>3</v>
      </c>
      <c r="AA425" s="216"/>
      <c r="AB425" s="216" t="s">
        <v>1871</v>
      </c>
      <c r="AC425" s="216" t="s">
        <v>92</v>
      </c>
      <c r="AD425" s="216" t="s">
        <v>115</v>
      </c>
      <c r="AE425" s="216"/>
      <c r="AF425" s="216" t="s">
        <v>786</v>
      </c>
      <c r="AG425" s="216" t="s">
        <v>786</v>
      </c>
      <c r="AH425" s="216" t="s">
        <v>109</v>
      </c>
    </row>
    <row r="426" customFormat="false" ht="15" hidden="false" customHeight="false" outlineLevel="0" collapsed="false">
      <c r="A426" s="216" t="s">
        <v>60</v>
      </c>
      <c r="B426" s="217" t="s">
        <v>53</v>
      </c>
      <c r="C426" s="216" t="s">
        <v>1884</v>
      </c>
      <c r="D426" s="216" t="s">
        <v>1885</v>
      </c>
      <c r="E426" s="216" t="s">
        <v>376</v>
      </c>
      <c r="F426" s="90" t="s">
        <v>234</v>
      </c>
      <c r="G426" s="216" t="s">
        <v>1886</v>
      </c>
      <c r="H426" s="218" t="n">
        <f aca="false">IFERROR(INDEX(Schedule!$E$2:$E$147,MATCH($G426,Schedule!$A$2:$A$147,0)),"")</f>
        <v>45139</v>
      </c>
      <c r="I426" s="218" t="n">
        <f aca="false">IFERROR(INDEX(Schedule!$F$2:$F$147,MATCH($G426,Schedule!$A$2:$A$147,0)),"")</f>
        <v>45481</v>
      </c>
      <c r="J426" s="92"/>
      <c r="K426" s="92"/>
      <c r="L426" s="92"/>
      <c r="M426" s="92"/>
      <c r="N426" s="92"/>
      <c r="O426" s="90" t="n">
        <v>1</v>
      </c>
      <c r="P426" s="219" t="n">
        <f aca="false">IFERROR((IF(OR(ISNUMBER(J426),UPPER(TRIM(J426))="N/A"),1,0)*IF($W426="N",0,INDEX('Rules of Credit'!$B$5:$F$8,MATCH($F426,'Rules of Credit'!$A$5:$A$8,0),1))+IF(OR(ISNUMBER(K426),UPPER(TRIM(K426))="N/A"),1,0)*INDEX('Rules of Credit'!$B$5:$F$8,MATCH($F426,'Rules of Credit'!$A$5:$A$8,0),2)+IF(OR(ISNUMBER(L426),UPPER(TRIM(L426))="N/A"),1,0)*INDEX('Rules of Credit'!$B$5:$F$8,MATCH($F426,'Rules of Credit'!$A$5:$A$8,0),3)+IF(OR(ISNUMBER(M426),UPPER(TRIM(M426))="N/A"),1,0)*IF($X426="N",0,INDEX('Rules of Credit'!$B$5:$F$8,MATCH($F426,'Rules of Credit'!$A$5:$A$8,0),4))+IF(OR(ISNUMBER(N426),UPPER(TRIM(N426))="N/A"),1,0)*INDEX('Rules of Credit'!$B$5:$F$8,MATCH($F426,'Rules of Credit'!$A$5:$A$8,0),5))/(IF($W426="N",0,INDEX('Rules of Credit'!$B$5:$F$8,MATCH($F426,'Rules of Credit'!$A$5:$A$8,0),1))+INDEX('Rules of Credit'!$B$5:$F$8,MATCH($F426,'Rules of Credit'!$A$5:$A$8,0),2)+INDEX('Rules of Credit'!$B$5:$F$8,MATCH($F426,'Rules of Credit'!$A$5:$A$8,0),3)+IF($X426="N",0,INDEX('Rules of Credit'!$B$5:$F$8,MATCH($F426,'Rules of Credit'!$A$5:$A$8,0),4))+INDEX('Rules of Credit'!$B$5:$F$8,MATCH($F426,'Rules of Credit'!$A$5:$A$8,0),5)),0)</f>
        <v>0</v>
      </c>
      <c r="Q426" s="219" t="n">
        <f aca="false">IF(OR($H426="",$I426=""),0,IF('Tracker Summary'!$C$3&lt;$H426,0,IF('Tracker Summary'!$C$3&gt;=$I426,1,('Tracker Summary'!$C$3-$H426)/($I426-$H426+1))))</f>
        <v>0</v>
      </c>
      <c r="R426" s="219" t="n">
        <f aca="false">P426-Q426</f>
        <v>0</v>
      </c>
      <c r="S426" s="216" t="str">
        <f aca="false">IF($I426="","Not scheduled",IF(P426&gt;=1,"Complete",IF('Tracker Summary'!$C$3&gt;$I426,"Overdue",IF(P426-Q426&lt;-0.1,"Behind",IF(AND(P426=0,'Tracker Summary'!$C$3&lt;$H426),"Not started","On track")))))</f>
        <v>Not started</v>
      </c>
      <c r="T426" s="90"/>
      <c r="U426" s="216" t="str">
        <f aca="false">IFERROR(INDEX(Schedule!$D$2:$D$147,MATCH($G426,Schedule!$A$2:$A$147,0)),"")</f>
        <v>Treatment Equipment — Train 3</v>
      </c>
      <c r="V426" s="218" t="n">
        <f aca="false">IFERROR(INDEX(Schedule!$F$2:$F$147,MATCH("46-P01",Schedule!$A$2:$A$147,0)),"")</f>
        <v>45016</v>
      </c>
      <c r="W426" s="216" t="s">
        <v>91</v>
      </c>
      <c r="X426" s="216" t="s">
        <v>91</v>
      </c>
      <c r="Y426" s="216" t="n">
        <v>0</v>
      </c>
      <c r="Z426" s="216" t="n">
        <v>0</v>
      </c>
      <c r="AA426" s="216" t="s">
        <v>1887</v>
      </c>
      <c r="AB426" s="216" t="s">
        <v>1888</v>
      </c>
      <c r="AC426" s="216" t="s">
        <v>92</v>
      </c>
      <c r="AD426" s="216" t="s">
        <v>93</v>
      </c>
      <c r="AE426" s="216" t="s">
        <v>1889</v>
      </c>
      <c r="AF426" s="216" t="s">
        <v>1890</v>
      </c>
      <c r="AG426" s="216" t="s">
        <v>1891</v>
      </c>
      <c r="AH426" s="216" t="s">
        <v>213</v>
      </c>
    </row>
    <row r="427" customFormat="false" ht="15" hidden="false" customHeight="false" outlineLevel="0" collapsed="false">
      <c r="A427" s="216" t="s">
        <v>60</v>
      </c>
      <c r="B427" s="217" t="s">
        <v>53</v>
      </c>
      <c r="C427" s="216" t="s">
        <v>1892</v>
      </c>
      <c r="D427" s="216" t="s">
        <v>1893</v>
      </c>
      <c r="E427" s="216" t="s">
        <v>1894</v>
      </c>
      <c r="F427" s="90" t="s">
        <v>234</v>
      </c>
      <c r="G427" s="216" t="s">
        <v>1886</v>
      </c>
      <c r="H427" s="218" t="n">
        <f aca="false">IFERROR(INDEX(Schedule!$E$2:$E$147,MATCH($G427,Schedule!$A$2:$A$147,0)),"")</f>
        <v>45139</v>
      </c>
      <c r="I427" s="218" t="n">
        <f aca="false">IFERROR(INDEX(Schedule!$F$2:$F$147,MATCH($G427,Schedule!$A$2:$A$147,0)),"")</f>
        <v>45481</v>
      </c>
      <c r="J427" s="92"/>
      <c r="K427" s="92"/>
      <c r="L427" s="92"/>
      <c r="M427" s="92"/>
      <c r="N427" s="92"/>
      <c r="O427" s="90" t="n">
        <v>1</v>
      </c>
      <c r="P427" s="219" t="n">
        <f aca="false">IFERROR((IF(OR(ISNUMBER(J427),UPPER(TRIM(J427))="N/A"),1,0)*IF($W427="N",0,INDEX('Rules of Credit'!$B$5:$F$8,MATCH($F427,'Rules of Credit'!$A$5:$A$8,0),1))+IF(OR(ISNUMBER(K427),UPPER(TRIM(K427))="N/A"),1,0)*INDEX('Rules of Credit'!$B$5:$F$8,MATCH($F427,'Rules of Credit'!$A$5:$A$8,0),2)+IF(OR(ISNUMBER(L427),UPPER(TRIM(L427))="N/A"),1,0)*INDEX('Rules of Credit'!$B$5:$F$8,MATCH($F427,'Rules of Credit'!$A$5:$A$8,0),3)+IF(OR(ISNUMBER(M427),UPPER(TRIM(M427))="N/A"),1,0)*IF($X427="N",0,INDEX('Rules of Credit'!$B$5:$F$8,MATCH($F427,'Rules of Credit'!$A$5:$A$8,0),4))+IF(OR(ISNUMBER(N427),UPPER(TRIM(N427))="N/A"),1,0)*INDEX('Rules of Credit'!$B$5:$F$8,MATCH($F427,'Rules of Credit'!$A$5:$A$8,0),5))/(IF($W427="N",0,INDEX('Rules of Credit'!$B$5:$F$8,MATCH($F427,'Rules of Credit'!$A$5:$A$8,0),1))+INDEX('Rules of Credit'!$B$5:$F$8,MATCH($F427,'Rules of Credit'!$A$5:$A$8,0),2)+INDEX('Rules of Credit'!$B$5:$F$8,MATCH($F427,'Rules of Credit'!$A$5:$A$8,0),3)+IF($X427="N",0,INDEX('Rules of Credit'!$B$5:$F$8,MATCH($F427,'Rules of Credit'!$A$5:$A$8,0),4))+INDEX('Rules of Credit'!$B$5:$F$8,MATCH($F427,'Rules of Credit'!$A$5:$A$8,0),5)),0)</f>
        <v>0</v>
      </c>
      <c r="Q427" s="219" t="n">
        <f aca="false">IF(OR($H427="",$I427=""),0,IF('Tracker Summary'!$C$3&lt;$H427,0,IF('Tracker Summary'!$C$3&gt;=$I427,1,('Tracker Summary'!$C$3-$H427)/($I427-$H427+1))))</f>
        <v>0</v>
      </c>
      <c r="R427" s="219" t="n">
        <f aca="false">P427-Q427</f>
        <v>0</v>
      </c>
      <c r="S427" s="216" t="str">
        <f aca="false">IF($I427="","Not scheduled",IF(P427&gt;=1,"Complete",IF('Tracker Summary'!$C$3&gt;$I427,"Overdue",IF(P427-Q427&lt;-0.1,"Behind",IF(AND(P427=0,'Tracker Summary'!$C$3&lt;$H427),"Not started","On track")))))</f>
        <v>Not started</v>
      </c>
      <c r="T427" s="90"/>
      <c r="U427" s="216" t="str">
        <f aca="false">IFERROR(INDEX(Schedule!$D$2:$D$147,MATCH($G427,Schedule!$A$2:$A$147,0)),"")</f>
        <v>Treatment Equipment — Train 3</v>
      </c>
      <c r="V427" s="218" t="n">
        <f aca="false">IFERROR(INDEX(Schedule!$F$2:$F$147,MATCH("46-P01",Schedule!$A$2:$A$147,0)),"")</f>
        <v>45016</v>
      </c>
      <c r="W427" s="216" t="s">
        <v>99</v>
      </c>
      <c r="X427" s="216" t="s">
        <v>99</v>
      </c>
      <c r="Y427" s="216" t="n">
        <v>4</v>
      </c>
      <c r="Z427" s="216" t="n">
        <v>3</v>
      </c>
      <c r="AA427" s="216" t="s">
        <v>1895</v>
      </c>
      <c r="AB427" s="216" t="s">
        <v>1896</v>
      </c>
      <c r="AC427" s="216" t="s">
        <v>120</v>
      </c>
      <c r="AD427" s="216" t="s">
        <v>1897</v>
      </c>
      <c r="AE427" s="216" t="s">
        <v>1898</v>
      </c>
      <c r="AF427" s="216" t="s">
        <v>1899</v>
      </c>
      <c r="AG427" s="216" t="s">
        <v>1900</v>
      </c>
      <c r="AH427" s="216" t="s">
        <v>996</v>
      </c>
    </row>
    <row r="428" customFormat="false" ht="15" hidden="false" customHeight="false" outlineLevel="0" collapsed="false">
      <c r="A428" s="216" t="s">
        <v>60</v>
      </c>
      <c r="B428" s="217" t="s">
        <v>53</v>
      </c>
      <c r="C428" s="216" t="s">
        <v>1901</v>
      </c>
      <c r="D428" s="216" t="s">
        <v>1902</v>
      </c>
      <c r="E428" s="216" t="s">
        <v>1894</v>
      </c>
      <c r="F428" s="90" t="s">
        <v>234</v>
      </c>
      <c r="G428" s="216" t="s">
        <v>1886</v>
      </c>
      <c r="H428" s="218" t="n">
        <f aca="false">IFERROR(INDEX(Schedule!$E$2:$E$147,MATCH($G428,Schedule!$A$2:$A$147,0)),"")</f>
        <v>45139</v>
      </c>
      <c r="I428" s="218" t="n">
        <f aca="false">IFERROR(INDEX(Schedule!$F$2:$F$147,MATCH($G428,Schedule!$A$2:$A$147,0)),"")</f>
        <v>45481</v>
      </c>
      <c r="J428" s="92"/>
      <c r="K428" s="92"/>
      <c r="L428" s="92"/>
      <c r="M428" s="92"/>
      <c r="N428" s="92"/>
      <c r="O428" s="90" t="n">
        <v>1</v>
      </c>
      <c r="P428" s="219" t="n">
        <f aca="false">IFERROR((IF(OR(ISNUMBER(J428),UPPER(TRIM(J428))="N/A"),1,0)*IF($W428="N",0,INDEX('Rules of Credit'!$B$5:$F$8,MATCH($F428,'Rules of Credit'!$A$5:$A$8,0),1))+IF(OR(ISNUMBER(K428),UPPER(TRIM(K428))="N/A"),1,0)*INDEX('Rules of Credit'!$B$5:$F$8,MATCH($F428,'Rules of Credit'!$A$5:$A$8,0),2)+IF(OR(ISNUMBER(L428),UPPER(TRIM(L428))="N/A"),1,0)*INDEX('Rules of Credit'!$B$5:$F$8,MATCH($F428,'Rules of Credit'!$A$5:$A$8,0),3)+IF(OR(ISNUMBER(M428),UPPER(TRIM(M428))="N/A"),1,0)*IF($X428="N",0,INDEX('Rules of Credit'!$B$5:$F$8,MATCH($F428,'Rules of Credit'!$A$5:$A$8,0),4))+IF(OR(ISNUMBER(N428),UPPER(TRIM(N428))="N/A"),1,0)*INDEX('Rules of Credit'!$B$5:$F$8,MATCH($F428,'Rules of Credit'!$A$5:$A$8,0),5))/(IF($W428="N",0,INDEX('Rules of Credit'!$B$5:$F$8,MATCH($F428,'Rules of Credit'!$A$5:$A$8,0),1))+INDEX('Rules of Credit'!$B$5:$F$8,MATCH($F428,'Rules of Credit'!$A$5:$A$8,0),2)+INDEX('Rules of Credit'!$B$5:$F$8,MATCH($F428,'Rules of Credit'!$A$5:$A$8,0),3)+IF($X428="N",0,INDEX('Rules of Credit'!$B$5:$F$8,MATCH($F428,'Rules of Credit'!$A$5:$A$8,0),4))+INDEX('Rules of Credit'!$B$5:$F$8,MATCH($F428,'Rules of Credit'!$A$5:$A$8,0),5)),0)</f>
        <v>0</v>
      </c>
      <c r="Q428" s="219" t="n">
        <f aca="false">IF(OR($H428="",$I428=""),0,IF('Tracker Summary'!$C$3&lt;$H428,0,IF('Tracker Summary'!$C$3&gt;=$I428,1,('Tracker Summary'!$C$3-$H428)/($I428-$H428+1))))</f>
        <v>0</v>
      </c>
      <c r="R428" s="219" t="n">
        <f aca="false">P428-Q428</f>
        <v>0</v>
      </c>
      <c r="S428" s="216" t="str">
        <f aca="false">IF($I428="","Not scheduled",IF(P428&gt;=1,"Complete",IF('Tracker Summary'!$C$3&gt;$I428,"Overdue",IF(P428-Q428&lt;-0.1,"Behind",IF(AND(P428=0,'Tracker Summary'!$C$3&lt;$H428),"Not started","On track")))))</f>
        <v>Not started</v>
      </c>
      <c r="T428" s="90"/>
      <c r="U428" s="216" t="str">
        <f aca="false">IFERROR(INDEX(Schedule!$D$2:$D$147,MATCH($G428,Schedule!$A$2:$A$147,0)),"")</f>
        <v>Treatment Equipment — Train 3</v>
      </c>
      <c r="V428" s="218" t="n">
        <f aca="false">IFERROR(INDEX(Schedule!$F$2:$F$147,MATCH("46-P01",Schedule!$A$2:$A$147,0)),"")</f>
        <v>45016</v>
      </c>
      <c r="W428" s="216" t="s">
        <v>99</v>
      </c>
      <c r="X428" s="216" t="s">
        <v>99</v>
      </c>
      <c r="Y428" s="216" t="n">
        <v>4</v>
      </c>
      <c r="Z428" s="216" t="n">
        <v>3</v>
      </c>
      <c r="AA428" s="216" t="s">
        <v>1895</v>
      </c>
      <c r="AB428" s="216" t="s">
        <v>1903</v>
      </c>
      <c r="AC428" s="216" t="s">
        <v>120</v>
      </c>
      <c r="AD428" s="216" t="s">
        <v>1897</v>
      </c>
      <c r="AE428" s="216" t="s">
        <v>1904</v>
      </c>
      <c r="AF428" s="216" t="s">
        <v>1899</v>
      </c>
      <c r="AG428" s="216" t="s">
        <v>1905</v>
      </c>
      <c r="AH428" s="216" t="s">
        <v>996</v>
      </c>
    </row>
    <row r="429" customFormat="false" ht="15" hidden="false" customHeight="false" outlineLevel="0" collapsed="false">
      <c r="A429" s="216" t="s">
        <v>60</v>
      </c>
      <c r="B429" s="217" t="s">
        <v>53</v>
      </c>
      <c r="C429" s="216" t="s">
        <v>1906</v>
      </c>
      <c r="D429" s="216" t="s">
        <v>1907</v>
      </c>
      <c r="E429" s="216" t="s">
        <v>376</v>
      </c>
      <c r="F429" s="90" t="s">
        <v>234</v>
      </c>
      <c r="G429" s="216" t="s">
        <v>1886</v>
      </c>
      <c r="H429" s="218" t="n">
        <f aca="false">IFERROR(INDEX(Schedule!$E$2:$E$147,MATCH($G429,Schedule!$A$2:$A$147,0)),"")</f>
        <v>45139</v>
      </c>
      <c r="I429" s="218" t="n">
        <f aca="false">IFERROR(INDEX(Schedule!$F$2:$F$147,MATCH($G429,Schedule!$A$2:$A$147,0)),"")</f>
        <v>45481</v>
      </c>
      <c r="J429" s="92"/>
      <c r="K429" s="92"/>
      <c r="L429" s="92"/>
      <c r="M429" s="92"/>
      <c r="N429" s="92"/>
      <c r="O429" s="90" t="n">
        <v>1</v>
      </c>
      <c r="P429" s="219" t="n">
        <f aca="false">IFERROR((IF(OR(ISNUMBER(J429),UPPER(TRIM(J429))="N/A"),1,0)*IF($W429="N",0,INDEX('Rules of Credit'!$B$5:$F$8,MATCH($F429,'Rules of Credit'!$A$5:$A$8,0),1))+IF(OR(ISNUMBER(K429),UPPER(TRIM(K429))="N/A"),1,0)*INDEX('Rules of Credit'!$B$5:$F$8,MATCH($F429,'Rules of Credit'!$A$5:$A$8,0),2)+IF(OR(ISNUMBER(L429),UPPER(TRIM(L429))="N/A"),1,0)*INDEX('Rules of Credit'!$B$5:$F$8,MATCH($F429,'Rules of Credit'!$A$5:$A$8,0),3)+IF(OR(ISNUMBER(M429),UPPER(TRIM(M429))="N/A"),1,0)*IF($X429="N",0,INDEX('Rules of Credit'!$B$5:$F$8,MATCH($F429,'Rules of Credit'!$A$5:$A$8,0),4))+IF(OR(ISNUMBER(N429),UPPER(TRIM(N429))="N/A"),1,0)*INDEX('Rules of Credit'!$B$5:$F$8,MATCH($F429,'Rules of Credit'!$A$5:$A$8,0),5))/(IF($W429="N",0,INDEX('Rules of Credit'!$B$5:$F$8,MATCH($F429,'Rules of Credit'!$A$5:$A$8,0),1))+INDEX('Rules of Credit'!$B$5:$F$8,MATCH($F429,'Rules of Credit'!$A$5:$A$8,0),2)+INDEX('Rules of Credit'!$B$5:$F$8,MATCH($F429,'Rules of Credit'!$A$5:$A$8,0),3)+IF($X429="N",0,INDEX('Rules of Credit'!$B$5:$F$8,MATCH($F429,'Rules of Credit'!$A$5:$A$8,0),4))+INDEX('Rules of Credit'!$B$5:$F$8,MATCH($F429,'Rules of Credit'!$A$5:$A$8,0),5)),0)</f>
        <v>0</v>
      </c>
      <c r="Q429" s="219" t="n">
        <f aca="false">IF(OR($H429="",$I429=""),0,IF('Tracker Summary'!$C$3&lt;$H429,0,IF('Tracker Summary'!$C$3&gt;=$I429,1,('Tracker Summary'!$C$3-$H429)/($I429-$H429+1))))</f>
        <v>0</v>
      </c>
      <c r="R429" s="219" t="n">
        <f aca="false">P429-Q429</f>
        <v>0</v>
      </c>
      <c r="S429" s="216" t="str">
        <f aca="false">IF($I429="","Not scheduled",IF(P429&gt;=1,"Complete",IF('Tracker Summary'!$C$3&gt;$I429,"Overdue",IF(P429-Q429&lt;-0.1,"Behind",IF(AND(P429=0,'Tracker Summary'!$C$3&lt;$H429),"Not started","On track")))))</f>
        <v>Not started</v>
      </c>
      <c r="T429" s="90"/>
      <c r="U429" s="216" t="str">
        <f aca="false">IFERROR(INDEX(Schedule!$D$2:$D$147,MATCH($G429,Schedule!$A$2:$A$147,0)),"")</f>
        <v>Treatment Equipment — Train 3</v>
      </c>
      <c r="V429" s="218" t="n">
        <f aca="false">IFERROR(INDEX(Schedule!$F$2:$F$147,MATCH("46-P01",Schedule!$A$2:$A$147,0)),"")</f>
        <v>45016</v>
      </c>
      <c r="W429" s="216" t="s">
        <v>91</v>
      </c>
      <c r="X429" s="216" t="s">
        <v>91</v>
      </c>
      <c r="Y429" s="216" t="n">
        <v>0</v>
      </c>
      <c r="Z429" s="216" t="n">
        <v>0</v>
      </c>
      <c r="AA429" s="216" t="s">
        <v>1908</v>
      </c>
      <c r="AB429" s="216" t="s">
        <v>1909</v>
      </c>
      <c r="AC429" s="216" t="s">
        <v>120</v>
      </c>
      <c r="AD429" s="216" t="s">
        <v>460</v>
      </c>
      <c r="AE429" s="216" t="s">
        <v>1910</v>
      </c>
      <c r="AF429" s="216" t="s">
        <v>1890</v>
      </c>
      <c r="AG429" s="216" t="s">
        <v>1911</v>
      </c>
      <c r="AH429" s="216" t="s">
        <v>213</v>
      </c>
    </row>
    <row r="430" customFormat="false" ht="15" hidden="false" customHeight="false" outlineLevel="0" collapsed="false">
      <c r="A430" s="216" t="s">
        <v>60</v>
      </c>
      <c r="B430" s="217" t="s">
        <v>53</v>
      </c>
      <c r="C430" s="216" t="s">
        <v>1912</v>
      </c>
      <c r="D430" s="216" t="s">
        <v>1913</v>
      </c>
      <c r="E430" s="216" t="s">
        <v>376</v>
      </c>
      <c r="F430" s="90" t="s">
        <v>234</v>
      </c>
      <c r="G430" s="216" t="s">
        <v>1886</v>
      </c>
      <c r="H430" s="218" t="n">
        <f aca="false">IFERROR(INDEX(Schedule!$E$2:$E$147,MATCH($G430,Schedule!$A$2:$A$147,0)),"")</f>
        <v>45139</v>
      </c>
      <c r="I430" s="218" t="n">
        <f aca="false">IFERROR(INDEX(Schedule!$F$2:$F$147,MATCH($G430,Schedule!$A$2:$A$147,0)),"")</f>
        <v>45481</v>
      </c>
      <c r="J430" s="92"/>
      <c r="K430" s="92"/>
      <c r="L430" s="92"/>
      <c r="M430" s="92"/>
      <c r="N430" s="92"/>
      <c r="O430" s="90" t="n">
        <v>1</v>
      </c>
      <c r="P430" s="219" t="n">
        <f aca="false">IFERROR((IF(OR(ISNUMBER(J430),UPPER(TRIM(J430))="N/A"),1,0)*IF($W430="N",0,INDEX('Rules of Credit'!$B$5:$F$8,MATCH($F430,'Rules of Credit'!$A$5:$A$8,0),1))+IF(OR(ISNUMBER(K430),UPPER(TRIM(K430))="N/A"),1,0)*INDEX('Rules of Credit'!$B$5:$F$8,MATCH($F430,'Rules of Credit'!$A$5:$A$8,0),2)+IF(OR(ISNUMBER(L430),UPPER(TRIM(L430))="N/A"),1,0)*INDEX('Rules of Credit'!$B$5:$F$8,MATCH($F430,'Rules of Credit'!$A$5:$A$8,0),3)+IF(OR(ISNUMBER(M430),UPPER(TRIM(M430))="N/A"),1,0)*IF($X430="N",0,INDEX('Rules of Credit'!$B$5:$F$8,MATCH($F430,'Rules of Credit'!$A$5:$A$8,0),4))+IF(OR(ISNUMBER(N430),UPPER(TRIM(N430))="N/A"),1,0)*INDEX('Rules of Credit'!$B$5:$F$8,MATCH($F430,'Rules of Credit'!$A$5:$A$8,0),5))/(IF($W430="N",0,INDEX('Rules of Credit'!$B$5:$F$8,MATCH($F430,'Rules of Credit'!$A$5:$A$8,0),1))+INDEX('Rules of Credit'!$B$5:$F$8,MATCH($F430,'Rules of Credit'!$A$5:$A$8,0),2)+INDEX('Rules of Credit'!$B$5:$F$8,MATCH($F430,'Rules of Credit'!$A$5:$A$8,0),3)+IF($X430="N",0,INDEX('Rules of Credit'!$B$5:$F$8,MATCH($F430,'Rules of Credit'!$A$5:$A$8,0),4))+INDEX('Rules of Credit'!$B$5:$F$8,MATCH($F430,'Rules of Credit'!$A$5:$A$8,0),5)),0)</f>
        <v>0</v>
      </c>
      <c r="Q430" s="219" t="n">
        <f aca="false">IF(OR($H430="",$I430=""),0,IF('Tracker Summary'!$C$3&lt;$H430,0,IF('Tracker Summary'!$C$3&gt;=$I430,1,('Tracker Summary'!$C$3-$H430)/($I430-$H430+1))))</f>
        <v>0</v>
      </c>
      <c r="R430" s="219" t="n">
        <f aca="false">P430-Q430</f>
        <v>0</v>
      </c>
      <c r="S430" s="216" t="str">
        <f aca="false">IF($I430="","Not scheduled",IF(P430&gt;=1,"Complete",IF('Tracker Summary'!$C$3&gt;$I430,"Overdue",IF(P430-Q430&lt;-0.1,"Behind",IF(AND(P430=0,'Tracker Summary'!$C$3&lt;$H430),"Not started","On track")))))</f>
        <v>Not started</v>
      </c>
      <c r="T430" s="90"/>
      <c r="U430" s="216" t="str">
        <f aca="false">IFERROR(INDEX(Schedule!$D$2:$D$147,MATCH($G430,Schedule!$A$2:$A$147,0)),"")</f>
        <v>Treatment Equipment — Train 3</v>
      </c>
      <c r="V430" s="218" t="n">
        <f aca="false">IFERROR(INDEX(Schedule!$F$2:$F$147,MATCH("46-P01",Schedule!$A$2:$A$147,0)),"")</f>
        <v>45016</v>
      </c>
      <c r="W430" s="216" t="s">
        <v>99</v>
      </c>
      <c r="X430" s="216" t="s">
        <v>99</v>
      </c>
      <c r="Y430" s="216" t="n">
        <v>4</v>
      </c>
      <c r="Z430" s="216" t="n">
        <v>3</v>
      </c>
      <c r="AA430" s="216" t="s">
        <v>1914</v>
      </c>
      <c r="AB430" s="216" t="s">
        <v>1915</v>
      </c>
      <c r="AC430" s="216" t="s">
        <v>120</v>
      </c>
      <c r="AD430" s="216" t="s">
        <v>460</v>
      </c>
      <c r="AE430" s="216" t="s">
        <v>1910</v>
      </c>
      <c r="AF430" s="216" t="s">
        <v>1890</v>
      </c>
      <c r="AG430" s="216" t="s">
        <v>1916</v>
      </c>
      <c r="AH430" s="216" t="s">
        <v>213</v>
      </c>
    </row>
    <row r="431" customFormat="false" ht="15" hidden="false" customHeight="false" outlineLevel="0" collapsed="false">
      <c r="A431" s="216" t="s">
        <v>60</v>
      </c>
      <c r="B431" s="217" t="s">
        <v>53</v>
      </c>
      <c r="C431" s="216" t="s">
        <v>1917</v>
      </c>
      <c r="D431" s="216" t="s">
        <v>1918</v>
      </c>
      <c r="E431" s="216" t="s">
        <v>376</v>
      </c>
      <c r="F431" s="90" t="s">
        <v>234</v>
      </c>
      <c r="G431" s="216" t="s">
        <v>1886</v>
      </c>
      <c r="H431" s="218" t="n">
        <f aca="false">IFERROR(INDEX(Schedule!$E$2:$E$147,MATCH($G431,Schedule!$A$2:$A$147,0)),"")</f>
        <v>45139</v>
      </c>
      <c r="I431" s="218" t="n">
        <f aca="false">IFERROR(INDEX(Schedule!$F$2:$F$147,MATCH($G431,Schedule!$A$2:$A$147,0)),"")</f>
        <v>45481</v>
      </c>
      <c r="J431" s="92"/>
      <c r="K431" s="92"/>
      <c r="L431" s="92"/>
      <c r="M431" s="92"/>
      <c r="N431" s="92"/>
      <c r="O431" s="90" t="n">
        <v>1</v>
      </c>
      <c r="P431" s="219" t="n">
        <f aca="false">IFERROR((IF(OR(ISNUMBER(J431),UPPER(TRIM(J431))="N/A"),1,0)*IF($W431="N",0,INDEX('Rules of Credit'!$B$5:$F$8,MATCH($F431,'Rules of Credit'!$A$5:$A$8,0),1))+IF(OR(ISNUMBER(K431),UPPER(TRIM(K431))="N/A"),1,0)*INDEX('Rules of Credit'!$B$5:$F$8,MATCH($F431,'Rules of Credit'!$A$5:$A$8,0),2)+IF(OR(ISNUMBER(L431),UPPER(TRIM(L431))="N/A"),1,0)*INDEX('Rules of Credit'!$B$5:$F$8,MATCH($F431,'Rules of Credit'!$A$5:$A$8,0),3)+IF(OR(ISNUMBER(M431),UPPER(TRIM(M431))="N/A"),1,0)*IF($X431="N",0,INDEX('Rules of Credit'!$B$5:$F$8,MATCH($F431,'Rules of Credit'!$A$5:$A$8,0),4))+IF(OR(ISNUMBER(N431),UPPER(TRIM(N431))="N/A"),1,0)*INDEX('Rules of Credit'!$B$5:$F$8,MATCH($F431,'Rules of Credit'!$A$5:$A$8,0),5))/(IF($W431="N",0,INDEX('Rules of Credit'!$B$5:$F$8,MATCH($F431,'Rules of Credit'!$A$5:$A$8,0),1))+INDEX('Rules of Credit'!$B$5:$F$8,MATCH($F431,'Rules of Credit'!$A$5:$A$8,0),2)+INDEX('Rules of Credit'!$B$5:$F$8,MATCH($F431,'Rules of Credit'!$A$5:$A$8,0),3)+IF($X431="N",0,INDEX('Rules of Credit'!$B$5:$F$8,MATCH($F431,'Rules of Credit'!$A$5:$A$8,0),4))+INDEX('Rules of Credit'!$B$5:$F$8,MATCH($F431,'Rules of Credit'!$A$5:$A$8,0),5)),0)</f>
        <v>0</v>
      </c>
      <c r="Q431" s="219" t="n">
        <f aca="false">IF(OR($H431="",$I431=""),0,IF('Tracker Summary'!$C$3&lt;$H431,0,IF('Tracker Summary'!$C$3&gt;=$I431,1,('Tracker Summary'!$C$3-$H431)/($I431-$H431+1))))</f>
        <v>0</v>
      </c>
      <c r="R431" s="219" t="n">
        <f aca="false">P431-Q431</f>
        <v>0</v>
      </c>
      <c r="S431" s="216" t="str">
        <f aca="false">IF($I431="","Not scheduled",IF(P431&gt;=1,"Complete",IF('Tracker Summary'!$C$3&gt;$I431,"Overdue",IF(P431-Q431&lt;-0.1,"Behind",IF(AND(P431=0,'Tracker Summary'!$C$3&lt;$H431),"Not started","On track")))))</f>
        <v>Not started</v>
      </c>
      <c r="T431" s="90"/>
      <c r="U431" s="216" t="str">
        <f aca="false">IFERROR(INDEX(Schedule!$D$2:$D$147,MATCH($G431,Schedule!$A$2:$A$147,0)),"")</f>
        <v>Treatment Equipment — Train 3</v>
      </c>
      <c r="V431" s="218" t="n">
        <f aca="false">IFERROR(INDEX(Schedule!$F$2:$F$147,MATCH("46-P01",Schedule!$A$2:$A$147,0)),"")</f>
        <v>45016</v>
      </c>
      <c r="W431" s="216" t="s">
        <v>99</v>
      </c>
      <c r="X431" s="216" t="s">
        <v>91</v>
      </c>
      <c r="Y431" s="216" t="n">
        <v>2</v>
      </c>
      <c r="Z431" s="216" t="n">
        <v>0</v>
      </c>
      <c r="AA431" s="216"/>
      <c r="AB431" s="216" t="s">
        <v>459</v>
      </c>
      <c r="AC431" s="216" t="s">
        <v>120</v>
      </c>
      <c r="AD431" s="216" t="s">
        <v>460</v>
      </c>
      <c r="AE431" s="216" t="s">
        <v>1919</v>
      </c>
      <c r="AF431" s="216" t="s">
        <v>1890</v>
      </c>
      <c r="AG431" s="216" t="s">
        <v>1920</v>
      </c>
      <c r="AH431" s="216" t="s">
        <v>213</v>
      </c>
    </row>
    <row r="432" customFormat="false" ht="15" hidden="false" customHeight="false" outlineLevel="0" collapsed="false">
      <c r="A432" s="216" t="s">
        <v>60</v>
      </c>
      <c r="B432" s="217" t="s">
        <v>53</v>
      </c>
      <c r="C432" s="216" t="s">
        <v>1921</v>
      </c>
      <c r="D432" s="216" t="s">
        <v>1922</v>
      </c>
      <c r="E432" s="216" t="s">
        <v>376</v>
      </c>
      <c r="F432" s="90" t="s">
        <v>234</v>
      </c>
      <c r="G432" s="216" t="s">
        <v>1886</v>
      </c>
      <c r="H432" s="218" t="n">
        <f aca="false">IFERROR(INDEX(Schedule!$E$2:$E$147,MATCH($G432,Schedule!$A$2:$A$147,0)),"")</f>
        <v>45139</v>
      </c>
      <c r="I432" s="218" t="n">
        <f aca="false">IFERROR(INDEX(Schedule!$F$2:$F$147,MATCH($G432,Schedule!$A$2:$A$147,0)),"")</f>
        <v>45481</v>
      </c>
      <c r="J432" s="92"/>
      <c r="K432" s="92"/>
      <c r="L432" s="92"/>
      <c r="M432" s="92"/>
      <c r="N432" s="92"/>
      <c r="O432" s="90" t="n">
        <v>1</v>
      </c>
      <c r="P432" s="219" t="n">
        <f aca="false">IFERROR((IF(OR(ISNUMBER(J432),UPPER(TRIM(J432))="N/A"),1,0)*IF($W432="N",0,INDEX('Rules of Credit'!$B$5:$F$8,MATCH($F432,'Rules of Credit'!$A$5:$A$8,0),1))+IF(OR(ISNUMBER(K432),UPPER(TRIM(K432))="N/A"),1,0)*INDEX('Rules of Credit'!$B$5:$F$8,MATCH($F432,'Rules of Credit'!$A$5:$A$8,0),2)+IF(OR(ISNUMBER(L432),UPPER(TRIM(L432))="N/A"),1,0)*INDEX('Rules of Credit'!$B$5:$F$8,MATCH($F432,'Rules of Credit'!$A$5:$A$8,0),3)+IF(OR(ISNUMBER(M432),UPPER(TRIM(M432))="N/A"),1,0)*IF($X432="N",0,INDEX('Rules of Credit'!$B$5:$F$8,MATCH($F432,'Rules of Credit'!$A$5:$A$8,0),4))+IF(OR(ISNUMBER(N432),UPPER(TRIM(N432))="N/A"),1,0)*INDEX('Rules of Credit'!$B$5:$F$8,MATCH($F432,'Rules of Credit'!$A$5:$A$8,0),5))/(IF($W432="N",0,INDEX('Rules of Credit'!$B$5:$F$8,MATCH($F432,'Rules of Credit'!$A$5:$A$8,0),1))+INDEX('Rules of Credit'!$B$5:$F$8,MATCH($F432,'Rules of Credit'!$A$5:$A$8,0),2)+INDEX('Rules of Credit'!$B$5:$F$8,MATCH($F432,'Rules of Credit'!$A$5:$A$8,0),3)+IF($X432="N",0,INDEX('Rules of Credit'!$B$5:$F$8,MATCH($F432,'Rules of Credit'!$A$5:$A$8,0),4))+INDEX('Rules of Credit'!$B$5:$F$8,MATCH($F432,'Rules of Credit'!$A$5:$A$8,0),5)),0)</f>
        <v>0</v>
      </c>
      <c r="Q432" s="219" t="n">
        <f aca="false">IF(OR($H432="",$I432=""),0,IF('Tracker Summary'!$C$3&lt;$H432,0,IF('Tracker Summary'!$C$3&gt;=$I432,1,('Tracker Summary'!$C$3-$H432)/($I432-$H432+1))))</f>
        <v>0</v>
      </c>
      <c r="R432" s="219" t="n">
        <f aca="false">P432-Q432</f>
        <v>0</v>
      </c>
      <c r="S432" s="216" t="str">
        <f aca="false">IF($I432="","Not scheduled",IF(P432&gt;=1,"Complete",IF('Tracker Summary'!$C$3&gt;$I432,"Overdue",IF(P432-Q432&lt;-0.1,"Behind",IF(AND(P432=0,'Tracker Summary'!$C$3&lt;$H432),"Not started","On track")))))</f>
        <v>Not started</v>
      </c>
      <c r="T432" s="90"/>
      <c r="U432" s="216" t="str">
        <f aca="false">IFERROR(INDEX(Schedule!$D$2:$D$147,MATCH($G432,Schedule!$A$2:$A$147,0)),"")</f>
        <v>Treatment Equipment — Train 3</v>
      </c>
      <c r="V432" s="218" t="n">
        <f aca="false">IFERROR(INDEX(Schedule!$F$2:$F$147,MATCH("46-P01",Schedule!$A$2:$A$147,0)),"")</f>
        <v>45016</v>
      </c>
      <c r="W432" s="216" t="s">
        <v>99</v>
      </c>
      <c r="X432" s="216" t="s">
        <v>99</v>
      </c>
      <c r="Y432" s="216" t="n">
        <v>2</v>
      </c>
      <c r="Z432" s="216" t="n">
        <v>1</v>
      </c>
      <c r="AA432" s="216" t="s">
        <v>1923</v>
      </c>
      <c r="AB432" s="216" t="s">
        <v>1924</v>
      </c>
      <c r="AC432" s="216" t="s">
        <v>120</v>
      </c>
      <c r="AD432" s="216" t="s">
        <v>460</v>
      </c>
      <c r="AE432" s="216" t="s">
        <v>1925</v>
      </c>
      <c r="AF432" s="216" t="s">
        <v>1890</v>
      </c>
      <c r="AG432" s="216" t="s">
        <v>1926</v>
      </c>
      <c r="AH432" s="216" t="s">
        <v>213</v>
      </c>
    </row>
    <row r="433" customFormat="false" ht="15" hidden="false" customHeight="false" outlineLevel="0" collapsed="false">
      <c r="A433" s="216" t="s">
        <v>60</v>
      </c>
      <c r="B433" s="217" t="s">
        <v>53</v>
      </c>
      <c r="C433" s="216" t="s">
        <v>1927</v>
      </c>
      <c r="D433" s="216" t="s">
        <v>1928</v>
      </c>
      <c r="E433" s="216" t="s">
        <v>376</v>
      </c>
      <c r="F433" s="90" t="s">
        <v>234</v>
      </c>
      <c r="G433" s="216" t="s">
        <v>1886</v>
      </c>
      <c r="H433" s="218" t="n">
        <f aca="false">IFERROR(INDEX(Schedule!$E$2:$E$147,MATCH($G433,Schedule!$A$2:$A$147,0)),"")</f>
        <v>45139</v>
      </c>
      <c r="I433" s="218" t="n">
        <f aca="false">IFERROR(INDEX(Schedule!$F$2:$F$147,MATCH($G433,Schedule!$A$2:$A$147,0)),"")</f>
        <v>45481</v>
      </c>
      <c r="J433" s="92"/>
      <c r="K433" s="92"/>
      <c r="L433" s="92"/>
      <c r="M433" s="92"/>
      <c r="N433" s="92"/>
      <c r="O433" s="90" t="n">
        <v>1</v>
      </c>
      <c r="P433" s="219" t="n">
        <f aca="false">IFERROR((IF(OR(ISNUMBER(J433),UPPER(TRIM(J433))="N/A"),1,0)*IF($W433="N",0,INDEX('Rules of Credit'!$B$5:$F$8,MATCH($F433,'Rules of Credit'!$A$5:$A$8,0),1))+IF(OR(ISNUMBER(K433),UPPER(TRIM(K433))="N/A"),1,0)*INDEX('Rules of Credit'!$B$5:$F$8,MATCH($F433,'Rules of Credit'!$A$5:$A$8,0),2)+IF(OR(ISNUMBER(L433),UPPER(TRIM(L433))="N/A"),1,0)*INDEX('Rules of Credit'!$B$5:$F$8,MATCH($F433,'Rules of Credit'!$A$5:$A$8,0),3)+IF(OR(ISNUMBER(M433),UPPER(TRIM(M433))="N/A"),1,0)*IF($X433="N",0,INDEX('Rules of Credit'!$B$5:$F$8,MATCH($F433,'Rules of Credit'!$A$5:$A$8,0),4))+IF(OR(ISNUMBER(N433),UPPER(TRIM(N433))="N/A"),1,0)*INDEX('Rules of Credit'!$B$5:$F$8,MATCH($F433,'Rules of Credit'!$A$5:$A$8,0),5))/(IF($W433="N",0,INDEX('Rules of Credit'!$B$5:$F$8,MATCH($F433,'Rules of Credit'!$A$5:$A$8,0),1))+INDEX('Rules of Credit'!$B$5:$F$8,MATCH($F433,'Rules of Credit'!$A$5:$A$8,0),2)+INDEX('Rules of Credit'!$B$5:$F$8,MATCH($F433,'Rules of Credit'!$A$5:$A$8,0),3)+IF($X433="N",0,INDEX('Rules of Credit'!$B$5:$F$8,MATCH($F433,'Rules of Credit'!$A$5:$A$8,0),4))+INDEX('Rules of Credit'!$B$5:$F$8,MATCH($F433,'Rules of Credit'!$A$5:$A$8,0),5)),0)</f>
        <v>0</v>
      </c>
      <c r="Q433" s="219" t="n">
        <f aca="false">IF(OR($H433="",$I433=""),0,IF('Tracker Summary'!$C$3&lt;$H433,0,IF('Tracker Summary'!$C$3&gt;=$I433,1,('Tracker Summary'!$C$3-$H433)/($I433-$H433+1))))</f>
        <v>0</v>
      </c>
      <c r="R433" s="219" t="n">
        <f aca="false">P433-Q433</f>
        <v>0</v>
      </c>
      <c r="S433" s="216" t="str">
        <f aca="false">IF($I433="","Not scheduled",IF(P433&gt;=1,"Complete",IF('Tracker Summary'!$C$3&gt;$I433,"Overdue",IF(P433-Q433&lt;-0.1,"Behind",IF(AND(P433=0,'Tracker Summary'!$C$3&lt;$H433),"Not started","On track")))))</f>
        <v>Not started</v>
      </c>
      <c r="T433" s="90"/>
      <c r="U433" s="216" t="str">
        <f aca="false">IFERROR(INDEX(Schedule!$D$2:$D$147,MATCH($G433,Schedule!$A$2:$A$147,0)),"")</f>
        <v>Treatment Equipment — Train 3</v>
      </c>
      <c r="V433" s="218" t="n">
        <f aca="false">IFERROR(INDEX(Schedule!$F$2:$F$147,MATCH("46-P01",Schedule!$A$2:$A$147,0)),"")</f>
        <v>45016</v>
      </c>
      <c r="W433" s="216" t="s">
        <v>99</v>
      </c>
      <c r="X433" s="216" t="s">
        <v>91</v>
      </c>
      <c r="Y433" s="216" t="n">
        <v>2</v>
      </c>
      <c r="Z433" s="216" t="n">
        <v>0</v>
      </c>
      <c r="AA433" s="216" t="s">
        <v>1929</v>
      </c>
      <c r="AB433" s="216" t="s">
        <v>1930</v>
      </c>
      <c r="AC433" s="216" t="s">
        <v>120</v>
      </c>
      <c r="AD433" s="216" t="s">
        <v>460</v>
      </c>
      <c r="AE433" s="216" t="s">
        <v>1925</v>
      </c>
      <c r="AF433" s="216" t="s">
        <v>1890</v>
      </c>
      <c r="AG433" s="216" t="s">
        <v>1931</v>
      </c>
      <c r="AH433" s="216" t="s">
        <v>213</v>
      </c>
    </row>
    <row r="434" customFormat="false" ht="15" hidden="false" customHeight="false" outlineLevel="0" collapsed="false">
      <c r="A434" s="216" t="s">
        <v>60</v>
      </c>
      <c r="B434" s="217" t="s">
        <v>53</v>
      </c>
      <c r="C434" s="216" t="s">
        <v>1932</v>
      </c>
      <c r="D434" s="216" t="s">
        <v>1933</v>
      </c>
      <c r="E434" s="216" t="s">
        <v>376</v>
      </c>
      <c r="F434" s="90" t="s">
        <v>234</v>
      </c>
      <c r="G434" s="216" t="s">
        <v>1886</v>
      </c>
      <c r="H434" s="218" t="n">
        <f aca="false">IFERROR(INDEX(Schedule!$E$2:$E$147,MATCH($G434,Schedule!$A$2:$A$147,0)),"")</f>
        <v>45139</v>
      </c>
      <c r="I434" s="218" t="n">
        <f aca="false">IFERROR(INDEX(Schedule!$F$2:$F$147,MATCH($G434,Schedule!$A$2:$A$147,0)),"")</f>
        <v>45481</v>
      </c>
      <c r="J434" s="92"/>
      <c r="K434" s="92"/>
      <c r="L434" s="92"/>
      <c r="M434" s="92"/>
      <c r="N434" s="92"/>
      <c r="O434" s="90" t="n">
        <v>1</v>
      </c>
      <c r="P434" s="219" t="n">
        <f aca="false">IFERROR((IF(OR(ISNUMBER(J434),UPPER(TRIM(J434))="N/A"),1,0)*IF($W434="N",0,INDEX('Rules of Credit'!$B$5:$F$8,MATCH($F434,'Rules of Credit'!$A$5:$A$8,0),1))+IF(OR(ISNUMBER(K434),UPPER(TRIM(K434))="N/A"),1,0)*INDEX('Rules of Credit'!$B$5:$F$8,MATCH($F434,'Rules of Credit'!$A$5:$A$8,0),2)+IF(OR(ISNUMBER(L434),UPPER(TRIM(L434))="N/A"),1,0)*INDEX('Rules of Credit'!$B$5:$F$8,MATCH($F434,'Rules of Credit'!$A$5:$A$8,0),3)+IF(OR(ISNUMBER(M434),UPPER(TRIM(M434))="N/A"),1,0)*IF($X434="N",0,INDEX('Rules of Credit'!$B$5:$F$8,MATCH($F434,'Rules of Credit'!$A$5:$A$8,0),4))+IF(OR(ISNUMBER(N434),UPPER(TRIM(N434))="N/A"),1,0)*INDEX('Rules of Credit'!$B$5:$F$8,MATCH($F434,'Rules of Credit'!$A$5:$A$8,0),5))/(IF($W434="N",0,INDEX('Rules of Credit'!$B$5:$F$8,MATCH($F434,'Rules of Credit'!$A$5:$A$8,0),1))+INDEX('Rules of Credit'!$B$5:$F$8,MATCH($F434,'Rules of Credit'!$A$5:$A$8,0),2)+INDEX('Rules of Credit'!$B$5:$F$8,MATCH($F434,'Rules of Credit'!$A$5:$A$8,0),3)+IF($X434="N",0,INDEX('Rules of Credit'!$B$5:$F$8,MATCH($F434,'Rules of Credit'!$A$5:$A$8,0),4))+INDEX('Rules of Credit'!$B$5:$F$8,MATCH($F434,'Rules of Credit'!$A$5:$A$8,0),5)),0)</f>
        <v>0</v>
      </c>
      <c r="Q434" s="219" t="n">
        <f aca="false">IF(OR($H434="",$I434=""),0,IF('Tracker Summary'!$C$3&lt;$H434,0,IF('Tracker Summary'!$C$3&gt;=$I434,1,('Tracker Summary'!$C$3-$H434)/($I434-$H434+1))))</f>
        <v>0</v>
      </c>
      <c r="R434" s="219" t="n">
        <f aca="false">P434-Q434</f>
        <v>0</v>
      </c>
      <c r="S434" s="216" t="str">
        <f aca="false">IF($I434="","Not scheduled",IF(P434&gt;=1,"Complete",IF('Tracker Summary'!$C$3&gt;$I434,"Overdue",IF(P434-Q434&lt;-0.1,"Behind",IF(AND(P434=0,'Tracker Summary'!$C$3&lt;$H434),"Not started","On track")))))</f>
        <v>Not started</v>
      </c>
      <c r="T434" s="90"/>
      <c r="U434" s="216" t="str">
        <f aca="false">IFERROR(INDEX(Schedule!$D$2:$D$147,MATCH($G434,Schedule!$A$2:$A$147,0)),"")</f>
        <v>Treatment Equipment — Train 3</v>
      </c>
      <c r="V434" s="218" t="n">
        <f aca="false">IFERROR(INDEX(Schedule!$F$2:$F$147,MATCH("46-P01",Schedule!$A$2:$A$147,0)),"")</f>
        <v>45016</v>
      </c>
      <c r="W434" s="216" t="s">
        <v>99</v>
      </c>
      <c r="X434" s="216" t="s">
        <v>99</v>
      </c>
      <c r="Y434" s="216" t="n">
        <v>2</v>
      </c>
      <c r="Z434" s="216" t="n">
        <v>2</v>
      </c>
      <c r="AA434" s="216"/>
      <c r="AB434" s="216" t="s">
        <v>459</v>
      </c>
      <c r="AC434" s="216" t="s">
        <v>120</v>
      </c>
      <c r="AD434" s="216" t="s">
        <v>460</v>
      </c>
      <c r="AE434" s="216" t="s">
        <v>1934</v>
      </c>
      <c r="AF434" s="216" t="s">
        <v>1890</v>
      </c>
      <c r="AG434" s="216" t="s">
        <v>1935</v>
      </c>
      <c r="AH434" s="216" t="s">
        <v>213</v>
      </c>
    </row>
    <row r="435" customFormat="false" ht="15" hidden="false" customHeight="false" outlineLevel="0" collapsed="false">
      <c r="A435" s="216" t="s">
        <v>60</v>
      </c>
      <c r="B435" s="217" t="s">
        <v>53</v>
      </c>
      <c r="C435" s="216" t="s">
        <v>1936</v>
      </c>
      <c r="D435" s="216" t="s">
        <v>1937</v>
      </c>
      <c r="E435" s="216" t="s">
        <v>376</v>
      </c>
      <c r="F435" s="90" t="s">
        <v>234</v>
      </c>
      <c r="G435" s="216" t="s">
        <v>1886</v>
      </c>
      <c r="H435" s="218" t="n">
        <f aca="false">IFERROR(INDEX(Schedule!$E$2:$E$147,MATCH($G435,Schedule!$A$2:$A$147,0)),"")</f>
        <v>45139</v>
      </c>
      <c r="I435" s="218" t="n">
        <f aca="false">IFERROR(INDEX(Schedule!$F$2:$F$147,MATCH($G435,Schedule!$A$2:$A$147,0)),"")</f>
        <v>45481</v>
      </c>
      <c r="J435" s="92"/>
      <c r="K435" s="92"/>
      <c r="L435" s="92"/>
      <c r="M435" s="92"/>
      <c r="N435" s="92"/>
      <c r="O435" s="90" t="n">
        <v>1</v>
      </c>
      <c r="P435" s="219" t="n">
        <f aca="false">IFERROR((IF(OR(ISNUMBER(J435),UPPER(TRIM(J435))="N/A"),1,0)*IF($W435="N",0,INDEX('Rules of Credit'!$B$5:$F$8,MATCH($F435,'Rules of Credit'!$A$5:$A$8,0),1))+IF(OR(ISNUMBER(K435),UPPER(TRIM(K435))="N/A"),1,0)*INDEX('Rules of Credit'!$B$5:$F$8,MATCH($F435,'Rules of Credit'!$A$5:$A$8,0),2)+IF(OR(ISNUMBER(L435),UPPER(TRIM(L435))="N/A"),1,0)*INDEX('Rules of Credit'!$B$5:$F$8,MATCH($F435,'Rules of Credit'!$A$5:$A$8,0),3)+IF(OR(ISNUMBER(M435),UPPER(TRIM(M435))="N/A"),1,0)*IF($X435="N",0,INDEX('Rules of Credit'!$B$5:$F$8,MATCH($F435,'Rules of Credit'!$A$5:$A$8,0),4))+IF(OR(ISNUMBER(N435),UPPER(TRIM(N435))="N/A"),1,0)*INDEX('Rules of Credit'!$B$5:$F$8,MATCH($F435,'Rules of Credit'!$A$5:$A$8,0),5))/(IF($W435="N",0,INDEX('Rules of Credit'!$B$5:$F$8,MATCH($F435,'Rules of Credit'!$A$5:$A$8,0),1))+INDEX('Rules of Credit'!$B$5:$F$8,MATCH($F435,'Rules of Credit'!$A$5:$A$8,0),2)+INDEX('Rules of Credit'!$B$5:$F$8,MATCH($F435,'Rules of Credit'!$A$5:$A$8,0),3)+IF($X435="N",0,INDEX('Rules of Credit'!$B$5:$F$8,MATCH($F435,'Rules of Credit'!$A$5:$A$8,0),4))+INDEX('Rules of Credit'!$B$5:$F$8,MATCH($F435,'Rules of Credit'!$A$5:$A$8,0),5)),0)</f>
        <v>0</v>
      </c>
      <c r="Q435" s="219" t="n">
        <f aca="false">IF(OR($H435="",$I435=""),0,IF('Tracker Summary'!$C$3&lt;$H435,0,IF('Tracker Summary'!$C$3&gt;=$I435,1,('Tracker Summary'!$C$3-$H435)/($I435-$H435+1))))</f>
        <v>0</v>
      </c>
      <c r="R435" s="219" t="n">
        <f aca="false">P435-Q435</f>
        <v>0</v>
      </c>
      <c r="S435" s="216" t="str">
        <f aca="false">IF($I435="","Not scheduled",IF(P435&gt;=1,"Complete",IF('Tracker Summary'!$C$3&gt;$I435,"Overdue",IF(P435-Q435&lt;-0.1,"Behind",IF(AND(P435=0,'Tracker Summary'!$C$3&lt;$H435),"Not started","On track")))))</f>
        <v>Not started</v>
      </c>
      <c r="T435" s="90"/>
      <c r="U435" s="216" t="str">
        <f aca="false">IFERROR(INDEX(Schedule!$D$2:$D$147,MATCH($G435,Schedule!$A$2:$A$147,0)),"")</f>
        <v>Treatment Equipment — Train 3</v>
      </c>
      <c r="V435" s="218" t="n">
        <f aca="false">IFERROR(INDEX(Schedule!$F$2:$F$147,MATCH("46-P01",Schedule!$A$2:$A$147,0)),"")</f>
        <v>45016</v>
      </c>
      <c r="W435" s="216" t="s">
        <v>99</v>
      </c>
      <c r="X435" s="216" t="s">
        <v>99</v>
      </c>
      <c r="Y435" s="216" t="n">
        <v>4</v>
      </c>
      <c r="Z435" s="216" t="n">
        <v>3</v>
      </c>
      <c r="AA435" s="216" t="s">
        <v>1938</v>
      </c>
      <c r="AB435" s="216" t="s">
        <v>1939</v>
      </c>
      <c r="AC435" s="216" t="s">
        <v>120</v>
      </c>
      <c r="AD435" s="216" t="s">
        <v>460</v>
      </c>
      <c r="AE435" s="216" t="s">
        <v>1940</v>
      </c>
      <c r="AF435" s="216" t="s">
        <v>1941</v>
      </c>
      <c r="AG435" s="216" t="s">
        <v>1942</v>
      </c>
      <c r="AH435" s="216" t="s">
        <v>213</v>
      </c>
    </row>
    <row r="436" customFormat="false" ht="15" hidden="false" customHeight="false" outlineLevel="0" collapsed="false">
      <c r="A436" s="216" t="s">
        <v>60</v>
      </c>
      <c r="B436" s="217" t="s">
        <v>53</v>
      </c>
      <c r="C436" s="216" t="s">
        <v>1943</v>
      </c>
      <c r="D436" s="216" t="s">
        <v>1944</v>
      </c>
      <c r="E436" s="216" t="s">
        <v>376</v>
      </c>
      <c r="F436" s="90" t="s">
        <v>234</v>
      </c>
      <c r="G436" s="216" t="s">
        <v>1886</v>
      </c>
      <c r="H436" s="218" t="n">
        <f aca="false">IFERROR(INDEX(Schedule!$E$2:$E$147,MATCH($G436,Schedule!$A$2:$A$147,0)),"")</f>
        <v>45139</v>
      </c>
      <c r="I436" s="218" t="n">
        <f aca="false">IFERROR(INDEX(Schedule!$F$2:$F$147,MATCH($G436,Schedule!$A$2:$A$147,0)),"")</f>
        <v>45481</v>
      </c>
      <c r="J436" s="92"/>
      <c r="K436" s="92"/>
      <c r="L436" s="92"/>
      <c r="M436" s="92"/>
      <c r="N436" s="92"/>
      <c r="O436" s="90" t="n">
        <v>1</v>
      </c>
      <c r="P436" s="219" t="n">
        <f aca="false">IFERROR((IF(OR(ISNUMBER(J436),UPPER(TRIM(J436))="N/A"),1,0)*IF($W436="N",0,INDEX('Rules of Credit'!$B$5:$F$8,MATCH($F436,'Rules of Credit'!$A$5:$A$8,0),1))+IF(OR(ISNUMBER(K436),UPPER(TRIM(K436))="N/A"),1,0)*INDEX('Rules of Credit'!$B$5:$F$8,MATCH($F436,'Rules of Credit'!$A$5:$A$8,0),2)+IF(OR(ISNUMBER(L436),UPPER(TRIM(L436))="N/A"),1,0)*INDEX('Rules of Credit'!$B$5:$F$8,MATCH($F436,'Rules of Credit'!$A$5:$A$8,0),3)+IF(OR(ISNUMBER(M436),UPPER(TRIM(M436))="N/A"),1,0)*IF($X436="N",0,INDEX('Rules of Credit'!$B$5:$F$8,MATCH($F436,'Rules of Credit'!$A$5:$A$8,0),4))+IF(OR(ISNUMBER(N436),UPPER(TRIM(N436))="N/A"),1,0)*INDEX('Rules of Credit'!$B$5:$F$8,MATCH($F436,'Rules of Credit'!$A$5:$A$8,0),5))/(IF($W436="N",0,INDEX('Rules of Credit'!$B$5:$F$8,MATCH($F436,'Rules of Credit'!$A$5:$A$8,0),1))+INDEX('Rules of Credit'!$B$5:$F$8,MATCH($F436,'Rules of Credit'!$A$5:$A$8,0),2)+INDEX('Rules of Credit'!$B$5:$F$8,MATCH($F436,'Rules of Credit'!$A$5:$A$8,0),3)+IF($X436="N",0,INDEX('Rules of Credit'!$B$5:$F$8,MATCH($F436,'Rules of Credit'!$A$5:$A$8,0),4))+INDEX('Rules of Credit'!$B$5:$F$8,MATCH($F436,'Rules of Credit'!$A$5:$A$8,0),5)),0)</f>
        <v>0</v>
      </c>
      <c r="Q436" s="219" t="n">
        <f aca="false">IF(OR($H436="",$I436=""),0,IF('Tracker Summary'!$C$3&lt;$H436,0,IF('Tracker Summary'!$C$3&gt;=$I436,1,('Tracker Summary'!$C$3-$H436)/($I436-$H436+1))))</f>
        <v>0</v>
      </c>
      <c r="R436" s="219" t="n">
        <f aca="false">P436-Q436</f>
        <v>0</v>
      </c>
      <c r="S436" s="216" t="str">
        <f aca="false">IF($I436="","Not scheduled",IF(P436&gt;=1,"Complete",IF('Tracker Summary'!$C$3&gt;$I436,"Overdue",IF(P436-Q436&lt;-0.1,"Behind",IF(AND(P436=0,'Tracker Summary'!$C$3&lt;$H436),"Not started","On track")))))</f>
        <v>Not started</v>
      </c>
      <c r="T436" s="90"/>
      <c r="U436" s="216" t="str">
        <f aca="false">IFERROR(INDEX(Schedule!$D$2:$D$147,MATCH($G436,Schedule!$A$2:$A$147,0)),"")</f>
        <v>Treatment Equipment — Train 3</v>
      </c>
      <c r="V436" s="218" t="n">
        <f aca="false">IFERROR(INDEX(Schedule!$F$2:$F$147,MATCH("46-P01",Schedule!$A$2:$A$147,0)),"")</f>
        <v>45016</v>
      </c>
      <c r="W436" s="216" t="s">
        <v>99</v>
      </c>
      <c r="X436" s="216" t="s">
        <v>91</v>
      </c>
      <c r="Y436" s="216" t="n">
        <v>2</v>
      </c>
      <c r="Z436" s="216" t="n">
        <v>0</v>
      </c>
      <c r="AA436" s="216"/>
      <c r="AB436" s="216" t="s">
        <v>459</v>
      </c>
      <c r="AC436" s="216" t="s">
        <v>120</v>
      </c>
      <c r="AD436" s="216" t="s">
        <v>460</v>
      </c>
      <c r="AE436" s="216" t="s">
        <v>1945</v>
      </c>
      <c r="AF436" s="216" t="s">
        <v>1946</v>
      </c>
      <c r="AG436" s="216" t="s">
        <v>1947</v>
      </c>
      <c r="AH436" s="216" t="s">
        <v>213</v>
      </c>
    </row>
    <row r="437" customFormat="false" ht="15" hidden="false" customHeight="false" outlineLevel="0" collapsed="false">
      <c r="A437" s="216" t="s">
        <v>60</v>
      </c>
      <c r="B437" s="217" t="s">
        <v>53</v>
      </c>
      <c r="C437" s="216" t="s">
        <v>1948</v>
      </c>
      <c r="D437" s="216" t="s">
        <v>1949</v>
      </c>
      <c r="E437" s="216" t="s">
        <v>376</v>
      </c>
      <c r="F437" s="90" t="s">
        <v>234</v>
      </c>
      <c r="G437" s="216" t="s">
        <v>1886</v>
      </c>
      <c r="H437" s="218" t="n">
        <f aca="false">IFERROR(INDEX(Schedule!$E$2:$E$147,MATCH($G437,Schedule!$A$2:$A$147,0)),"")</f>
        <v>45139</v>
      </c>
      <c r="I437" s="218" t="n">
        <f aca="false">IFERROR(INDEX(Schedule!$F$2:$F$147,MATCH($G437,Schedule!$A$2:$A$147,0)),"")</f>
        <v>45481</v>
      </c>
      <c r="J437" s="92"/>
      <c r="K437" s="92"/>
      <c r="L437" s="92"/>
      <c r="M437" s="92"/>
      <c r="N437" s="92"/>
      <c r="O437" s="90" t="n">
        <v>1</v>
      </c>
      <c r="P437" s="219" t="n">
        <f aca="false">IFERROR((IF(OR(ISNUMBER(J437),UPPER(TRIM(J437))="N/A"),1,0)*IF($W437="N",0,INDEX('Rules of Credit'!$B$5:$F$8,MATCH($F437,'Rules of Credit'!$A$5:$A$8,0),1))+IF(OR(ISNUMBER(K437),UPPER(TRIM(K437))="N/A"),1,0)*INDEX('Rules of Credit'!$B$5:$F$8,MATCH($F437,'Rules of Credit'!$A$5:$A$8,0),2)+IF(OR(ISNUMBER(L437),UPPER(TRIM(L437))="N/A"),1,0)*INDEX('Rules of Credit'!$B$5:$F$8,MATCH($F437,'Rules of Credit'!$A$5:$A$8,0),3)+IF(OR(ISNUMBER(M437),UPPER(TRIM(M437))="N/A"),1,0)*IF($X437="N",0,INDEX('Rules of Credit'!$B$5:$F$8,MATCH($F437,'Rules of Credit'!$A$5:$A$8,0),4))+IF(OR(ISNUMBER(N437),UPPER(TRIM(N437))="N/A"),1,0)*INDEX('Rules of Credit'!$B$5:$F$8,MATCH($F437,'Rules of Credit'!$A$5:$A$8,0),5))/(IF($W437="N",0,INDEX('Rules of Credit'!$B$5:$F$8,MATCH($F437,'Rules of Credit'!$A$5:$A$8,0),1))+INDEX('Rules of Credit'!$B$5:$F$8,MATCH($F437,'Rules of Credit'!$A$5:$A$8,0),2)+INDEX('Rules of Credit'!$B$5:$F$8,MATCH($F437,'Rules of Credit'!$A$5:$A$8,0),3)+IF($X437="N",0,INDEX('Rules of Credit'!$B$5:$F$8,MATCH($F437,'Rules of Credit'!$A$5:$A$8,0),4))+INDEX('Rules of Credit'!$B$5:$F$8,MATCH($F437,'Rules of Credit'!$A$5:$A$8,0),5)),0)</f>
        <v>0</v>
      </c>
      <c r="Q437" s="219" t="n">
        <f aca="false">IF(OR($H437="",$I437=""),0,IF('Tracker Summary'!$C$3&lt;$H437,0,IF('Tracker Summary'!$C$3&gt;=$I437,1,('Tracker Summary'!$C$3-$H437)/($I437-$H437+1))))</f>
        <v>0</v>
      </c>
      <c r="R437" s="219" t="n">
        <f aca="false">P437-Q437</f>
        <v>0</v>
      </c>
      <c r="S437" s="216" t="str">
        <f aca="false">IF($I437="","Not scheduled",IF(P437&gt;=1,"Complete",IF('Tracker Summary'!$C$3&gt;$I437,"Overdue",IF(P437-Q437&lt;-0.1,"Behind",IF(AND(P437=0,'Tracker Summary'!$C$3&lt;$H437),"Not started","On track")))))</f>
        <v>Not started</v>
      </c>
      <c r="T437" s="90"/>
      <c r="U437" s="216" t="str">
        <f aca="false">IFERROR(INDEX(Schedule!$D$2:$D$147,MATCH($G437,Schedule!$A$2:$A$147,0)),"")</f>
        <v>Treatment Equipment — Train 3</v>
      </c>
      <c r="V437" s="218" t="n">
        <f aca="false">IFERROR(INDEX(Schedule!$F$2:$F$147,MATCH("46-P01",Schedule!$A$2:$A$147,0)),"")</f>
        <v>45016</v>
      </c>
      <c r="W437" s="216" t="s">
        <v>99</v>
      </c>
      <c r="X437" s="216" t="s">
        <v>99</v>
      </c>
      <c r="Y437" s="216" t="n">
        <v>3</v>
      </c>
      <c r="Z437" s="216" t="n">
        <v>2</v>
      </c>
      <c r="AA437" s="216"/>
      <c r="AB437" s="216" t="s">
        <v>459</v>
      </c>
      <c r="AC437" s="216" t="s">
        <v>120</v>
      </c>
      <c r="AD437" s="216" t="s">
        <v>460</v>
      </c>
      <c r="AE437" s="216" t="s">
        <v>1950</v>
      </c>
      <c r="AF437" s="216" t="s">
        <v>1890</v>
      </c>
      <c r="AG437" s="216" t="s">
        <v>1951</v>
      </c>
      <c r="AH437" s="216" t="s">
        <v>213</v>
      </c>
    </row>
    <row r="438" customFormat="false" ht="15" hidden="false" customHeight="false" outlineLevel="0" collapsed="false">
      <c r="A438" s="216" t="s">
        <v>60</v>
      </c>
      <c r="B438" s="217" t="s">
        <v>53</v>
      </c>
      <c r="C438" s="216" t="s">
        <v>1952</v>
      </c>
      <c r="D438" s="216" t="s">
        <v>1953</v>
      </c>
      <c r="E438" s="216" t="s">
        <v>376</v>
      </c>
      <c r="F438" s="90" t="s">
        <v>234</v>
      </c>
      <c r="G438" s="216" t="s">
        <v>1886</v>
      </c>
      <c r="H438" s="218" t="n">
        <f aca="false">IFERROR(INDEX(Schedule!$E$2:$E$147,MATCH($G438,Schedule!$A$2:$A$147,0)),"")</f>
        <v>45139</v>
      </c>
      <c r="I438" s="218" t="n">
        <f aca="false">IFERROR(INDEX(Schedule!$F$2:$F$147,MATCH($G438,Schedule!$A$2:$A$147,0)),"")</f>
        <v>45481</v>
      </c>
      <c r="J438" s="92"/>
      <c r="K438" s="92"/>
      <c r="L438" s="92"/>
      <c r="M438" s="92"/>
      <c r="N438" s="92"/>
      <c r="O438" s="90" t="n">
        <v>1</v>
      </c>
      <c r="P438" s="219" t="n">
        <f aca="false">IFERROR((IF(OR(ISNUMBER(J438),UPPER(TRIM(J438))="N/A"),1,0)*IF($W438="N",0,INDEX('Rules of Credit'!$B$5:$F$8,MATCH($F438,'Rules of Credit'!$A$5:$A$8,0),1))+IF(OR(ISNUMBER(K438),UPPER(TRIM(K438))="N/A"),1,0)*INDEX('Rules of Credit'!$B$5:$F$8,MATCH($F438,'Rules of Credit'!$A$5:$A$8,0),2)+IF(OR(ISNUMBER(L438),UPPER(TRIM(L438))="N/A"),1,0)*INDEX('Rules of Credit'!$B$5:$F$8,MATCH($F438,'Rules of Credit'!$A$5:$A$8,0),3)+IF(OR(ISNUMBER(M438),UPPER(TRIM(M438))="N/A"),1,0)*IF($X438="N",0,INDEX('Rules of Credit'!$B$5:$F$8,MATCH($F438,'Rules of Credit'!$A$5:$A$8,0),4))+IF(OR(ISNUMBER(N438),UPPER(TRIM(N438))="N/A"),1,0)*INDEX('Rules of Credit'!$B$5:$F$8,MATCH($F438,'Rules of Credit'!$A$5:$A$8,0),5))/(IF($W438="N",0,INDEX('Rules of Credit'!$B$5:$F$8,MATCH($F438,'Rules of Credit'!$A$5:$A$8,0),1))+INDEX('Rules of Credit'!$B$5:$F$8,MATCH($F438,'Rules of Credit'!$A$5:$A$8,0),2)+INDEX('Rules of Credit'!$B$5:$F$8,MATCH($F438,'Rules of Credit'!$A$5:$A$8,0),3)+IF($X438="N",0,INDEX('Rules of Credit'!$B$5:$F$8,MATCH($F438,'Rules of Credit'!$A$5:$A$8,0),4))+INDEX('Rules of Credit'!$B$5:$F$8,MATCH($F438,'Rules of Credit'!$A$5:$A$8,0),5)),0)</f>
        <v>0</v>
      </c>
      <c r="Q438" s="219" t="n">
        <f aca="false">IF(OR($H438="",$I438=""),0,IF('Tracker Summary'!$C$3&lt;$H438,0,IF('Tracker Summary'!$C$3&gt;=$I438,1,('Tracker Summary'!$C$3-$H438)/($I438-$H438+1))))</f>
        <v>0</v>
      </c>
      <c r="R438" s="219" t="n">
        <f aca="false">P438-Q438</f>
        <v>0</v>
      </c>
      <c r="S438" s="216" t="str">
        <f aca="false">IF($I438="","Not scheduled",IF(P438&gt;=1,"Complete",IF('Tracker Summary'!$C$3&gt;$I438,"Overdue",IF(P438-Q438&lt;-0.1,"Behind",IF(AND(P438=0,'Tracker Summary'!$C$3&lt;$H438),"Not started","On track")))))</f>
        <v>Not started</v>
      </c>
      <c r="T438" s="90"/>
      <c r="U438" s="216" t="str">
        <f aca="false">IFERROR(INDEX(Schedule!$D$2:$D$147,MATCH($G438,Schedule!$A$2:$A$147,0)),"")</f>
        <v>Treatment Equipment — Train 3</v>
      </c>
      <c r="V438" s="218" t="n">
        <f aca="false">IFERROR(INDEX(Schedule!$F$2:$F$147,MATCH("46-P01",Schedule!$A$2:$A$147,0)),"")</f>
        <v>45016</v>
      </c>
      <c r="W438" s="216" t="s">
        <v>99</v>
      </c>
      <c r="X438" s="216" t="s">
        <v>99</v>
      </c>
      <c r="Y438" s="216" t="n">
        <v>3</v>
      </c>
      <c r="Z438" s="216" t="n">
        <v>2</v>
      </c>
      <c r="AA438" s="216"/>
      <c r="AB438" s="216" t="s">
        <v>459</v>
      </c>
      <c r="AC438" s="216" t="s">
        <v>120</v>
      </c>
      <c r="AD438" s="216" t="s">
        <v>460</v>
      </c>
      <c r="AE438" s="216" t="s">
        <v>1954</v>
      </c>
      <c r="AF438" s="216" t="s">
        <v>1890</v>
      </c>
      <c r="AG438" s="216" t="s">
        <v>1955</v>
      </c>
      <c r="AH438" s="216" t="s">
        <v>213</v>
      </c>
    </row>
    <row r="439" customFormat="false" ht="15" hidden="false" customHeight="false" outlineLevel="0" collapsed="false">
      <c r="A439" s="216" t="s">
        <v>60</v>
      </c>
      <c r="B439" s="217" t="s">
        <v>53</v>
      </c>
      <c r="C439" s="216" t="s">
        <v>1956</v>
      </c>
      <c r="D439" s="216" t="s">
        <v>1957</v>
      </c>
      <c r="E439" s="216" t="s">
        <v>1958</v>
      </c>
      <c r="F439" s="90" t="s">
        <v>234</v>
      </c>
      <c r="G439" s="216" t="s">
        <v>1886</v>
      </c>
      <c r="H439" s="218" t="n">
        <f aca="false">IFERROR(INDEX(Schedule!$E$2:$E$147,MATCH($G439,Schedule!$A$2:$A$147,0)),"")</f>
        <v>45139</v>
      </c>
      <c r="I439" s="218" t="n">
        <f aca="false">IFERROR(INDEX(Schedule!$F$2:$F$147,MATCH($G439,Schedule!$A$2:$A$147,0)),"")</f>
        <v>45481</v>
      </c>
      <c r="J439" s="92"/>
      <c r="K439" s="92"/>
      <c r="L439" s="92"/>
      <c r="M439" s="92"/>
      <c r="N439" s="92"/>
      <c r="O439" s="90" t="n">
        <v>1</v>
      </c>
      <c r="P439" s="219" t="n">
        <f aca="false">IFERROR((IF(OR(ISNUMBER(J439),UPPER(TRIM(J439))="N/A"),1,0)*IF($W439="N",0,INDEX('Rules of Credit'!$B$5:$F$8,MATCH($F439,'Rules of Credit'!$A$5:$A$8,0),1))+IF(OR(ISNUMBER(K439),UPPER(TRIM(K439))="N/A"),1,0)*INDEX('Rules of Credit'!$B$5:$F$8,MATCH($F439,'Rules of Credit'!$A$5:$A$8,0),2)+IF(OR(ISNUMBER(L439),UPPER(TRIM(L439))="N/A"),1,0)*INDEX('Rules of Credit'!$B$5:$F$8,MATCH($F439,'Rules of Credit'!$A$5:$A$8,0),3)+IF(OR(ISNUMBER(M439),UPPER(TRIM(M439))="N/A"),1,0)*IF($X439="N",0,INDEX('Rules of Credit'!$B$5:$F$8,MATCH($F439,'Rules of Credit'!$A$5:$A$8,0),4))+IF(OR(ISNUMBER(N439),UPPER(TRIM(N439))="N/A"),1,0)*INDEX('Rules of Credit'!$B$5:$F$8,MATCH($F439,'Rules of Credit'!$A$5:$A$8,0),5))/(IF($W439="N",0,INDEX('Rules of Credit'!$B$5:$F$8,MATCH($F439,'Rules of Credit'!$A$5:$A$8,0),1))+INDEX('Rules of Credit'!$B$5:$F$8,MATCH($F439,'Rules of Credit'!$A$5:$A$8,0),2)+INDEX('Rules of Credit'!$B$5:$F$8,MATCH($F439,'Rules of Credit'!$A$5:$A$8,0),3)+IF($X439="N",0,INDEX('Rules of Credit'!$B$5:$F$8,MATCH($F439,'Rules of Credit'!$A$5:$A$8,0),4))+INDEX('Rules of Credit'!$B$5:$F$8,MATCH($F439,'Rules of Credit'!$A$5:$A$8,0),5)),0)</f>
        <v>0</v>
      </c>
      <c r="Q439" s="219" t="n">
        <f aca="false">IF(OR($H439="",$I439=""),0,IF('Tracker Summary'!$C$3&lt;$H439,0,IF('Tracker Summary'!$C$3&gt;=$I439,1,('Tracker Summary'!$C$3-$H439)/($I439-$H439+1))))</f>
        <v>0</v>
      </c>
      <c r="R439" s="219" t="n">
        <f aca="false">P439-Q439</f>
        <v>0</v>
      </c>
      <c r="S439" s="216" t="str">
        <f aca="false">IF($I439="","Not scheduled",IF(P439&gt;=1,"Complete",IF('Tracker Summary'!$C$3&gt;$I439,"Overdue",IF(P439-Q439&lt;-0.1,"Behind",IF(AND(P439=0,'Tracker Summary'!$C$3&lt;$H439),"Not started","On track")))))</f>
        <v>Not started</v>
      </c>
      <c r="T439" s="90"/>
      <c r="U439" s="216" t="str">
        <f aca="false">IFERROR(INDEX(Schedule!$D$2:$D$147,MATCH($G439,Schedule!$A$2:$A$147,0)),"")</f>
        <v>Treatment Equipment — Train 3</v>
      </c>
      <c r="V439" s="218" t="n">
        <f aca="false">IFERROR(INDEX(Schedule!$F$2:$F$147,MATCH("46-P01",Schedule!$A$2:$A$147,0)),"")</f>
        <v>45016</v>
      </c>
      <c r="W439" s="216" t="s">
        <v>99</v>
      </c>
      <c r="X439" s="216" t="s">
        <v>99</v>
      </c>
      <c r="Y439" s="216" t="n">
        <v>3</v>
      </c>
      <c r="Z439" s="216" t="n">
        <v>1</v>
      </c>
      <c r="AA439" s="216"/>
      <c r="AB439" s="216" t="s">
        <v>1959</v>
      </c>
      <c r="AC439" s="216" t="s">
        <v>120</v>
      </c>
      <c r="AD439" s="216" t="s">
        <v>460</v>
      </c>
      <c r="AE439" s="216" t="s">
        <v>1555</v>
      </c>
      <c r="AF439" s="216" t="s">
        <v>1890</v>
      </c>
      <c r="AG439" s="216" t="s">
        <v>1960</v>
      </c>
      <c r="AH439" s="216" t="s">
        <v>213</v>
      </c>
    </row>
    <row r="440" customFormat="false" ht="15" hidden="false" customHeight="false" outlineLevel="0" collapsed="false">
      <c r="A440" s="216" t="s">
        <v>60</v>
      </c>
      <c r="B440" s="217" t="s">
        <v>53</v>
      </c>
      <c r="C440" s="216" t="s">
        <v>1961</v>
      </c>
      <c r="D440" s="216" t="s">
        <v>1962</v>
      </c>
      <c r="E440" s="216" t="s">
        <v>376</v>
      </c>
      <c r="F440" s="90" t="s">
        <v>234</v>
      </c>
      <c r="G440" s="216" t="s">
        <v>1886</v>
      </c>
      <c r="H440" s="218" t="n">
        <f aca="false">IFERROR(INDEX(Schedule!$E$2:$E$147,MATCH($G440,Schedule!$A$2:$A$147,0)),"")</f>
        <v>45139</v>
      </c>
      <c r="I440" s="218" t="n">
        <f aca="false">IFERROR(INDEX(Schedule!$F$2:$F$147,MATCH($G440,Schedule!$A$2:$A$147,0)),"")</f>
        <v>45481</v>
      </c>
      <c r="J440" s="92"/>
      <c r="K440" s="92"/>
      <c r="L440" s="92"/>
      <c r="M440" s="92"/>
      <c r="N440" s="92"/>
      <c r="O440" s="90" t="n">
        <v>1</v>
      </c>
      <c r="P440" s="219" t="n">
        <f aca="false">IFERROR((IF(OR(ISNUMBER(J440),UPPER(TRIM(J440))="N/A"),1,0)*IF($W440="N",0,INDEX('Rules of Credit'!$B$5:$F$8,MATCH($F440,'Rules of Credit'!$A$5:$A$8,0),1))+IF(OR(ISNUMBER(K440),UPPER(TRIM(K440))="N/A"),1,0)*INDEX('Rules of Credit'!$B$5:$F$8,MATCH($F440,'Rules of Credit'!$A$5:$A$8,0),2)+IF(OR(ISNUMBER(L440),UPPER(TRIM(L440))="N/A"),1,0)*INDEX('Rules of Credit'!$B$5:$F$8,MATCH($F440,'Rules of Credit'!$A$5:$A$8,0),3)+IF(OR(ISNUMBER(M440),UPPER(TRIM(M440))="N/A"),1,0)*IF($X440="N",0,INDEX('Rules of Credit'!$B$5:$F$8,MATCH($F440,'Rules of Credit'!$A$5:$A$8,0),4))+IF(OR(ISNUMBER(N440),UPPER(TRIM(N440))="N/A"),1,0)*INDEX('Rules of Credit'!$B$5:$F$8,MATCH($F440,'Rules of Credit'!$A$5:$A$8,0),5))/(IF($W440="N",0,INDEX('Rules of Credit'!$B$5:$F$8,MATCH($F440,'Rules of Credit'!$A$5:$A$8,0),1))+INDEX('Rules of Credit'!$B$5:$F$8,MATCH($F440,'Rules of Credit'!$A$5:$A$8,0),2)+INDEX('Rules of Credit'!$B$5:$F$8,MATCH($F440,'Rules of Credit'!$A$5:$A$8,0),3)+IF($X440="N",0,INDEX('Rules of Credit'!$B$5:$F$8,MATCH($F440,'Rules of Credit'!$A$5:$A$8,0),4))+INDEX('Rules of Credit'!$B$5:$F$8,MATCH($F440,'Rules of Credit'!$A$5:$A$8,0),5)),0)</f>
        <v>0</v>
      </c>
      <c r="Q440" s="219" t="n">
        <f aca="false">IF(OR($H440="",$I440=""),0,IF('Tracker Summary'!$C$3&lt;$H440,0,IF('Tracker Summary'!$C$3&gt;=$I440,1,('Tracker Summary'!$C$3-$H440)/($I440-$H440+1))))</f>
        <v>0</v>
      </c>
      <c r="R440" s="219" t="n">
        <f aca="false">P440-Q440</f>
        <v>0</v>
      </c>
      <c r="S440" s="216" t="str">
        <f aca="false">IF($I440="","Not scheduled",IF(P440&gt;=1,"Complete",IF('Tracker Summary'!$C$3&gt;$I440,"Overdue",IF(P440-Q440&lt;-0.1,"Behind",IF(AND(P440=0,'Tracker Summary'!$C$3&lt;$H440),"Not started","On track")))))</f>
        <v>Not started</v>
      </c>
      <c r="T440" s="90"/>
      <c r="U440" s="216" t="str">
        <f aca="false">IFERROR(INDEX(Schedule!$D$2:$D$147,MATCH($G440,Schedule!$A$2:$A$147,0)),"")</f>
        <v>Treatment Equipment — Train 3</v>
      </c>
      <c r="V440" s="218" t="n">
        <f aca="false">IFERROR(INDEX(Schedule!$F$2:$F$147,MATCH("46-P01",Schedule!$A$2:$A$147,0)),"")</f>
        <v>45016</v>
      </c>
      <c r="W440" s="216" t="s">
        <v>99</v>
      </c>
      <c r="X440" s="216" t="s">
        <v>99</v>
      </c>
      <c r="Y440" s="216" t="n">
        <v>2</v>
      </c>
      <c r="Z440" s="216" t="n">
        <v>1</v>
      </c>
      <c r="AA440" s="216" t="s">
        <v>1963</v>
      </c>
      <c r="AB440" s="216" t="s">
        <v>1964</v>
      </c>
      <c r="AC440" s="216" t="s">
        <v>120</v>
      </c>
      <c r="AD440" s="216" t="s">
        <v>460</v>
      </c>
      <c r="AE440" s="216"/>
      <c r="AF440" s="216" t="s">
        <v>1890</v>
      </c>
      <c r="AG440" s="216" t="s">
        <v>1890</v>
      </c>
      <c r="AH440" s="216" t="s">
        <v>213</v>
      </c>
    </row>
    <row r="441" customFormat="false" ht="15" hidden="false" customHeight="false" outlineLevel="0" collapsed="false">
      <c r="A441" s="216" t="s">
        <v>60</v>
      </c>
      <c r="B441" s="217" t="s">
        <v>53</v>
      </c>
      <c r="C441" s="216" t="s">
        <v>1965</v>
      </c>
      <c r="D441" s="216" t="s">
        <v>1966</v>
      </c>
      <c r="E441" s="216" t="s">
        <v>1050</v>
      </c>
      <c r="F441" s="90" t="s">
        <v>234</v>
      </c>
      <c r="G441" s="216" t="s">
        <v>1886</v>
      </c>
      <c r="H441" s="218" t="n">
        <f aca="false">IFERROR(INDEX(Schedule!$E$2:$E$147,MATCH($G441,Schedule!$A$2:$A$147,0)),"")</f>
        <v>45139</v>
      </c>
      <c r="I441" s="218" t="n">
        <f aca="false">IFERROR(INDEX(Schedule!$F$2:$F$147,MATCH($G441,Schedule!$A$2:$A$147,0)),"")</f>
        <v>45481</v>
      </c>
      <c r="J441" s="92"/>
      <c r="K441" s="92"/>
      <c r="L441" s="92"/>
      <c r="M441" s="92"/>
      <c r="N441" s="92"/>
      <c r="O441" s="90" t="n">
        <v>1</v>
      </c>
      <c r="P441" s="219" t="n">
        <f aca="false">IFERROR((IF(OR(ISNUMBER(J441),UPPER(TRIM(J441))="N/A"),1,0)*IF($W441="N",0,INDEX('Rules of Credit'!$B$5:$F$8,MATCH($F441,'Rules of Credit'!$A$5:$A$8,0),1))+IF(OR(ISNUMBER(K441),UPPER(TRIM(K441))="N/A"),1,0)*INDEX('Rules of Credit'!$B$5:$F$8,MATCH($F441,'Rules of Credit'!$A$5:$A$8,0),2)+IF(OR(ISNUMBER(L441),UPPER(TRIM(L441))="N/A"),1,0)*INDEX('Rules of Credit'!$B$5:$F$8,MATCH($F441,'Rules of Credit'!$A$5:$A$8,0),3)+IF(OR(ISNUMBER(M441),UPPER(TRIM(M441))="N/A"),1,0)*IF($X441="N",0,INDEX('Rules of Credit'!$B$5:$F$8,MATCH($F441,'Rules of Credit'!$A$5:$A$8,0),4))+IF(OR(ISNUMBER(N441),UPPER(TRIM(N441))="N/A"),1,0)*INDEX('Rules of Credit'!$B$5:$F$8,MATCH($F441,'Rules of Credit'!$A$5:$A$8,0),5))/(IF($W441="N",0,INDEX('Rules of Credit'!$B$5:$F$8,MATCH($F441,'Rules of Credit'!$A$5:$A$8,0),1))+INDEX('Rules of Credit'!$B$5:$F$8,MATCH($F441,'Rules of Credit'!$A$5:$A$8,0),2)+INDEX('Rules of Credit'!$B$5:$F$8,MATCH($F441,'Rules of Credit'!$A$5:$A$8,0),3)+IF($X441="N",0,INDEX('Rules of Credit'!$B$5:$F$8,MATCH($F441,'Rules of Credit'!$A$5:$A$8,0),4))+INDEX('Rules of Credit'!$B$5:$F$8,MATCH($F441,'Rules of Credit'!$A$5:$A$8,0),5)),0)</f>
        <v>0</v>
      </c>
      <c r="Q441" s="219" t="n">
        <f aca="false">IF(OR($H441="",$I441=""),0,IF('Tracker Summary'!$C$3&lt;$H441,0,IF('Tracker Summary'!$C$3&gt;=$I441,1,('Tracker Summary'!$C$3-$H441)/($I441-$H441+1))))</f>
        <v>0</v>
      </c>
      <c r="R441" s="219" t="n">
        <f aca="false">P441-Q441</f>
        <v>0</v>
      </c>
      <c r="S441" s="216" t="str">
        <f aca="false">IF($I441="","Not scheduled",IF(P441&gt;=1,"Complete",IF('Tracker Summary'!$C$3&gt;$I441,"Overdue",IF(P441-Q441&lt;-0.1,"Behind",IF(AND(P441=0,'Tracker Summary'!$C$3&lt;$H441),"Not started","On track")))))</f>
        <v>Not started</v>
      </c>
      <c r="T441" s="90"/>
      <c r="U441" s="216" t="str">
        <f aca="false">IFERROR(INDEX(Schedule!$D$2:$D$147,MATCH($G441,Schedule!$A$2:$A$147,0)),"")</f>
        <v>Treatment Equipment — Train 3</v>
      </c>
      <c r="V441" s="218" t="n">
        <f aca="false">IFERROR(INDEX(Schedule!$F$2:$F$147,MATCH("46-P01",Schedule!$A$2:$A$147,0)),"")</f>
        <v>45016</v>
      </c>
      <c r="W441" s="216" t="s">
        <v>115</v>
      </c>
      <c r="X441" s="216" t="s">
        <v>115</v>
      </c>
      <c r="Y441" s="216" t="n">
        <v>0</v>
      </c>
      <c r="Z441" s="216" t="n">
        <v>0</v>
      </c>
      <c r="AA441" s="216" t="s">
        <v>1967</v>
      </c>
      <c r="AB441" s="216" t="s">
        <v>1968</v>
      </c>
      <c r="AC441" s="216" t="s">
        <v>92</v>
      </c>
      <c r="AD441" s="216" t="s">
        <v>542</v>
      </c>
      <c r="AE441" s="216" t="s">
        <v>1969</v>
      </c>
      <c r="AF441" s="216"/>
      <c r="AG441" s="216" t="s">
        <v>1969</v>
      </c>
      <c r="AH441" s="216" t="s">
        <v>501</v>
      </c>
    </row>
    <row r="442" customFormat="false" ht="15" hidden="false" customHeight="false" outlineLevel="0" collapsed="false">
      <c r="A442" s="216" t="s">
        <v>60</v>
      </c>
      <c r="B442" s="217" t="s">
        <v>53</v>
      </c>
      <c r="C442" s="216" t="s">
        <v>1970</v>
      </c>
      <c r="D442" s="216" t="s">
        <v>1971</v>
      </c>
      <c r="E442" s="216" t="s">
        <v>1050</v>
      </c>
      <c r="F442" s="90" t="s">
        <v>234</v>
      </c>
      <c r="G442" s="216" t="s">
        <v>1886</v>
      </c>
      <c r="H442" s="218" t="n">
        <f aca="false">IFERROR(INDEX(Schedule!$E$2:$E$147,MATCH($G442,Schedule!$A$2:$A$147,0)),"")</f>
        <v>45139</v>
      </c>
      <c r="I442" s="218" t="n">
        <f aca="false">IFERROR(INDEX(Schedule!$F$2:$F$147,MATCH($G442,Schedule!$A$2:$A$147,0)),"")</f>
        <v>45481</v>
      </c>
      <c r="J442" s="92"/>
      <c r="K442" s="92"/>
      <c r="L442" s="92"/>
      <c r="M442" s="92"/>
      <c r="N442" s="92"/>
      <c r="O442" s="90" t="n">
        <v>1</v>
      </c>
      <c r="P442" s="219" t="n">
        <f aca="false">IFERROR((IF(OR(ISNUMBER(J442),UPPER(TRIM(J442))="N/A"),1,0)*IF($W442="N",0,INDEX('Rules of Credit'!$B$5:$F$8,MATCH($F442,'Rules of Credit'!$A$5:$A$8,0),1))+IF(OR(ISNUMBER(K442),UPPER(TRIM(K442))="N/A"),1,0)*INDEX('Rules of Credit'!$B$5:$F$8,MATCH($F442,'Rules of Credit'!$A$5:$A$8,0),2)+IF(OR(ISNUMBER(L442),UPPER(TRIM(L442))="N/A"),1,0)*INDEX('Rules of Credit'!$B$5:$F$8,MATCH($F442,'Rules of Credit'!$A$5:$A$8,0),3)+IF(OR(ISNUMBER(M442),UPPER(TRIM(M442))="N/A"),1,0)*IF($X442="N",0,INDEX('Rules of Credit'!$B$5:$F$8,MATCH($F442,'Rules of Credit'!$A$5:$A$8,0),4))+IF(OR(ISNUMBER(N442),UPPER(TRIM(N442))="N/A"),1,0)*INDEX('Rules of Credit'!$B$5:$F$8,MATCH($F442,'Rules of Credit'!$A$5:$A$8,0),5))/(IF($W442="N",0,INDEX('Rules of Credit'!$B$5:$F$8,MATCH($F442,'Rules of Credit'!$A$5:$A$8,0),1))+INDEX('Rules of Credit'!$B$5:$F$8,MATCH($F442,'Rules of Credit'!$A$5:$A$8,0),2)+INDEX('Rules of Credit'!$B$5:$F$8,MATCH($F442,'Rules of Credit'!$A$5:$A$8,0),3)+IF($X442="N",0,INDEX('Rules of Credit'!$B$5:$F$8,MATCH($F442,'Rules of Credit'!$A$5:$A$8,0),4))+INDEX('Rules of Credit'!$B$5:$F$8,MATCH($F442,'Rules of Credit'!$A$5:$A$8,0),5)),0)</f>
        <v>0</v>
      </c>
      <c r="Q442" s="219" t="n">
        <f aca="false">IF(OR($H442="",$I442=""),0,IF('Tracker Summary'!$C$3&lt;$H442,0,IF('Tracker Summary'!$C$3&gt;=$I442,1,('Tracker Summary'!$C$3-$H442)/($I442-$H442+1))))</f>
        <v>0</v>
      </c>
      <c r="R442" s="219" t="n">
        <f aca="false">P442-Q442</f>
        <v>0</v>
      </c>
      <c r="S442" s="216" t="str">
        <f aca="false">IF($I442="","Not scheduled",IF(P442&gt;=1,"Complete",IF('Tracker Summary'!$C$3&gt;$I442,"Overdue",IF(P442-Q442&lt;-0.1,"Behind",IF(AND(P442=0,'Tracker Summary'!$C$3&lt;$H442),"Not started","On track")))))</f>
        <v>Not started</v>
      </c>
      <c r="T442" s="90"/>
      <c r="U442" s="216" t="str">
        <f aca="false">IFERROR(INDEX(Schedule!$D$2:$D$147,MATCH($G442,Schedule!$A$2:$A$147,0)),"")</f>
        <v>Treatment Equipment — Train 3</v>
      </c>
      <c r="V442" s="218" t="n">
        <f aca="false">IFERROR(INDEX(Schedule!$F$2:$F$147,MATCH("46-P01",Schedule!$A$2:$A$147,0)),"")</f>
        <v>45016</v>
      </c>
      <c r="W442" s="216" t="s">
        <v>115</v>
      </c>
      <c r="X442" s="216" t="s">
        <v>115</v>
      </c>
      <c r="Y442" s="216" t="n">
        <v>0</v>
      </c>
      <c r="Z442" s="216" t="n">
        <v>0</v>
      </c>
      <c r="AA442" s="216" t="s">
        <v>1972</v>
      </c>
      <c r="AB442" s="216" t="s">
        <v>1973</v>
      </c>
      <c r="AC442" s="216" t="s">
        <v>92</v>
      </c>
      <c r="AD442" s="216" t="s">
        <v>542</v>
      </c>
      <c r="AE442" s="216" t="s">
        <v>1054</v>
      </c>
      <c r="AF442" s="216"/>
      <c r="AG442" s="216" t="s">
        <v>1054</v>
      </c>
      <c r="AH442" s="216" t="s">
        <v>501</v>
      </c>
    </row>
    <row r="443" customFormat="false" ht="15" hidden="false" customHeight="false" outlineLevel="0" collapsed="false">
      <c r="A443" s="216" t="s">
        <v>60</v>
      </c>
      <c r="B443" s="217" t="s">
        <v>53</v>
      </c>
      <c r="C443" s="216" t="s">
        <v>1974</v>
      </c>
      <c r="D443" s="216" t="s">
        <v>1975</v>
      </c>
      <c r="E443" s="216" t="s">
        <v>1050</v>
      </c>
      <c r="F443" s="90" t="s">
        <v>234</v>
      </c>
      <c r="G443" s="216" t="s">
        <v>1886</v>
      </c>
      <c r="H443" s="218" t="n">
        <f aca="false">IFERROR(INDEX(Schedule!$E$2:$E$147,MATCH($G443,Schedule!$A$2:$A$147,0)),"")</f>
        <v>45139</v>
      </c>
      <c r="I443" s="218" t="n">
        <f aca="false">IFERROR(INDEX(Schedule!$F$2:$F$147,MATCH($G443,Schedule!$A$2:$A$147,0)),"")</f>
        <v>45481</v>
      </c>
      <c r="J443" s="92"/>
      <c r="K443" s="92"/>
      <c r="L443" s="92"/>
      <c r="M443" s="92"/>
      <c r="N443" s="92"/>
      <c r="O443" s="90" t="n">
        <v>1</v>
      </c>
      <c r="P443" s="219" t="n">
        <f aca="false">IFERROR((IF(OR(ISNUMBER(J443),UPPER(TRIM(J443))="N/A"),1,0)*IF($W443="N",0,INDEX('Rules of Credit'!$B$5:$F$8,MATCH($F443,'Rules of Credit'!$A$5:$A$8,0),1))+IF(OR(ISNUMBER(K443),UPPER(TRIM(K443))="N/A"),1,0)*INDEX('Rules of Credit'!$B$5:$F$8,MATCH($F443,'Rules of Credit'!$A$5:$A$8,0),2)+IF(OR(ISNUMBER(L443),UPPER(TRIM(L443))="N/A"),1,0)*INDEX('Rules of Credit'!$B$5:$F$8,MATCH($F443,'Rules of Credit'!$A$5:$A$8,0),3)+IF(OR(ISNUMBER(M443),UPPER(TRIM(M443))="N/A"),1,0)*IF($X443="N",0,INDEX('Rules of Credit'!$B$5:$F$8,MATCH($F443,'Rules of Credit'!$A$5:$A$8,0),4))+IF(OR(ISNUMBER(N443),UPPER(TRIM(N443))="N/A"),1,0)*INDEX('Rules of Credit'!$B$5:$F$8,MATCH($F443,'Rules of Credit'!$A$5:$A$8,0),5))/(IF($W443="N",0,INDEX('Rules of Credit'!$B$5:$F$8,MATCH($F443,'Rules of Credit'!$A$5:$A$8,0),1))+INDEX('Rules of Credit'!$B$5:$F$8,MATCH($F443,'Rules of Credit'!$A$5:$A$8,0),2)+INDEX('Rules of Credit'!$B$5:$F$8,MATCH($F443,'Rules of Credit'!$A$5:$A$8,0),3)+IF($X443="N",0,INDEX('Rules of Credit'!$B$5:$F$8,MATCH($F443,'Rules of Credit'!$A$5:$A$8,0),4))+INDEX('Rules of Credit'!$B$5:$F$8,MATCH($F443,'Rules of Credit'!$A$5:$A$8,0),5)),0)</f>
        <v>0</v>
      </c>
      <c r="Q443" s="219" t="n">
        <f aca="false">IF(OR($H443="",$I443=""),0,IF('Tracker Summary'!$C$3&lt;$H443,0,IF('Tracker Summary'!$C$3&gt;=$I443,1,('Tracker Summary'!$C$3-$H443)/($I443-$H443+1))))</f>
        <v>0</v>
      </c>
      <c r="R443" s="219" t="n">
        <f aca="false">P443-Q443</f>
        <v>0</v>
      </c>
      <c r="S443" s="216" t="str">
        <f aca="false">IF($I443="","Not scheduled",IF(P443&gt;=1,"Complete",IF('Tracker Summary'!$C$3&gt;$I443,"Overdue",IF(P443-Q443&lt;-0.1,"Behind",IF(AND(P443=0,'Tracker Summary'!$C$3&lt;$H443),"Not started","On track")))))</f>
        <v>Not started</v>
      </c>
      <c r="T443" s="90"/>
      <c r="U443" s="216" t="str">
        <f aca="false">IFERROR(INDEX(Schedule!$D$2:$D$147,MATCH($G443,Schedule!$A$2:$A$147,0)),"")</f>
        <v>Treatment Equipment — Train 3</v>
      </c>
      <c r="V443" s="218" t="n">
        <f aca="false">IFERROR(INDEX(Schedule!$F$2:$F$147,MATCH("46-P01",Schedule!$A$2:$A$147,0)),"")</f>
        <v>45016</v>
      </c>
      <c r="W443" s="216" t="s">
        <v>115</v>
      </c>
      <c r="X443" s="216" t="s">
        <v>115</v>
      </c>
      <c r="Y443" s="216" t="n">
        <v>0</v>
      </c>
      <c r="Z443" s="216" t="n">
        <v>0</v>
      </c>
      <c r="AA443" s="216" t="s">
        <v>1976</v>
      </c>
      <c r="AB443" s="216" t="s">
        <v>1977</v>
      </c>
      <c r="AC443" s="216" t="s">
        <v>92</v>
      </c>
      <c r="AD443" s="216" t="s">
        <v>542</v>
      </c>
      <c r="AE443" s="216" t="s">
        <v>1054</v>
      </c>
      <c r="AF443" s="216"/>
      <c r="AG443" s="216" t="s">
        <v>1054</v>
      </c>
      <c r="AH443" s="216" t="s">
        <v>501</v>
      </c>
    </row>
    <row r="444" customFormat="false" ht="15" hidden="false" customHeight="false" outlineLevel="0" collapsed="false">
      <c r="A444" s="216" t="s">
        <v>60</v>
      </c>
      <c r="B444" s="217" t="s">
        <v>53</v>
      </c>
      <c r="C444" s="216" t="s">
        <v>1978</v>
      </c>
      <c r="D444" s="216" t="s">
        <v>1979</v>
      </c>
      <c r="E444" s="216" t="s">
        <v>1050</v>
      </c>
      <c r="F444" s="90" t="s">
        <v>234</v>
      </c>
      <c r="G444" s="216" t="s">
        <v>1886</v>
      </c>
      <c r="H444" s="218" t="n">
        <f aca="false">IFERROR(INDEX(Schedule!$E$2:$E$147,MATCH($G444,Schedule!$A$2:$A$147,0)),"")</f>
        <v>45139</v>
      </c>
      <c r="I444" s="218" t="n">
        <f aca="false">IFERROR(INDEX(Schedule!$F$2:$F$147,MATCH($G444,Schedule!$A$2:$A$147,0)),"")</f>
        <v>45481</v>
      </c>
      <c r="J444" s="92"/>
      <c r="K444" s="92"/>
      <c r="L444" s="92"/>
      <c r="M444" s="92"/>
      <c r="N444" s="92"/>
      <c r="O444" s="90" t="n">
        <v>1</v>
      </c>
      <c r="P444" s="219" t="n">
        <f aca="false">IFERROR((IF(OR(ISNUMBER(J444),UPPER(TRIM(J444))="N/A"),1,0)*IF($W444="N",0,INDEX('Rules of Credit'!$B$5:$F$8,MATCH($F444,'Rules of Credit'!$A$5:$A$8,0),1))+IF(OR(ISNUMBER(K444),UPPER(TRIM(K444))="N/A"),1,0)*INDEX('Rules of Credit'!$B$5:$F$8,MATCH($F444,'Rules of Credit'!$A$5:$A$8,0),2)+IF(OR(ISNUMBER(L444),UPPER(TRIM(L444))="N/A"),1,0)*INDEX('Rules of Credit'!$B$5:$F$8,MATCH($F444,'Rules of Credit'!$A$5:$A$8,0),3)+IF(OR(ISNUMBER(M444),UPPER(TRIM(M444))="N/A"),1,0)*IF($X444="N",0,INDEX('Rules of Credit'!$B$5:$F$8,MATCH($F444,'Rules of Credit'!$A$5:$A$8,0),4))+IF(OR(ISNUMBER(N444),UPPER(TRIM(N444))="N/A"),1,0)*INDEX('Rules of Credit'!$B$5:$F$8,MATCH($F444,'Rules of Credit'!$A$5:$A$8,0),5))/(IF($W444="N",0,INDEX('Rules of Credit'!$B$5:$F$8,MATCH($F444,'Rules of Credit'!$A$5:$A$8,0),1))+INDEX('Rules of Credit'!$B$5:$F$8,MATCH($F444,'Rules of Credit'!$A$5:$A$8,0),2)+INDEX('Rules of Credit'!$B$5:$F$8,MATCH($F444,'Rules of Credit'!$A$5:$A$8,0),3)+IF($X444="N",0,INDEX('Rules of Credit'!$B$5:$F$8,MATCH($F444,'Rules of Credit'!$A$5:$A$8,0),4))+INDEX('Rules of Credit'!$B$5:$F$8,MATCH($F444,'Rules of Credit'!$A$5:$A$8,0),5)),0)</f>
        <v>0</v>
      </c>
      <c r="Q444" s="219" t="n">
        <f aca="false">IF(OR($H444="",$I444=""),0,IF('Tracker Summary'!$C$3&lt;$H444,0,IF('Tracker Summary'!$C$3&gt;=$I444,1,('Tracker Summary'!$C$3-$H444)/($I444-$H444+1))))</f>
        <v>0</v>
      </c>
      <c r="R444" s="219" t="n">
        <f aca="false">P444-Q444</f>
        <v>0</v>
      </c>
      <c r="S444" s="216" t="str">
        <f aca="false">IF($I444="","Not scheduled",IF(P444&gt;=1,"Complete",IF('Tracker Summary'!$C$3&gt;$I444,"Overdue",IF(P444-Q444&lt;-0.1,"Behind",IF(AND(P444=0,'Tracker Summary'!$C$3&lt;$H444),"Not started","On track")))))</f>
        <v>Not started</v>
      </c>
      <c r="T444" s="90"/>
      <c r="U444" s="216" t="str">
        <f aca="false">IFERROR(INDEX(Schedule!$D$2:$D$147,MATCH($G444,Schedule!$A$2:$A$147,0)),"")</f>
        <v>Treatment Equipment — Train 3</v>
      </c>
      <c r="V444" s="218" t="n">
        <f aca="false">IFERROR(INDEX(Schedule!$F$2:$F$147,MATCH("46-P01",Schedule!$A$2:$A$147,0)),"")</f>
        <v>45016</v>
      </c>
      <c r="W444" s="216" t="s">
        <v>115</v>
      </c>
      <c r="X444" s="216" t="s">
        <v>115</v>
      </c>
      <c r="Y444" s="216" t="n">
        <v>0</v>
      </c>
      <c r="Z444" s="216" t="n">
        <v>0</v>
      </c>
      <c r="AA444" s="216" t="s">
        <v>1976</v>
      </c>
      <c r="AB444" s="216" t="s">
        <v>1977</v>
      </c>
      <c r="AC444" s="216" t="s">
        <v>92</v>
      </c>
      <c r="AD444" s="216" t="s">
        <v>542</v>
      </c>
      <c r="AE444" s="216" t="s">
        <v>1054</v>
      </c>
      <c r="AF444" s="216"/>
      <c r="AG444" s="216" t="s">
        <v>1054</v>
      </c>
      <c r="AH444" s="216" t="s">
        <v>501</v>
      </c>
    </row>
    <row r="445" customFormat="false" ht="15" hidden="false" customHeight="false" outlineLevel="0" collapsed="false">
      <c r="A445" s="216" t="s">
        <v>60</v>
      </c>
      <c r="B445" s="217" t="s">
        <v>53</v>
      </c>
      <c r="C445" s="216" t="s">
        <v>1980</v>
      </c>
      <c r="D445" s="216" t="s">
        <v>1981</v>
      </c>
      <c r="E445" s="216" t="s">
        <v>1982</v>
      </c>
      <c r="F445" s="90" t="s">
        <v>234</v>
      </c>
      <c r="G445" s="216" t="s">
        <v>1886</v>
      </c>
      <c r="H445" s="218" t="n">
        <f aca="false">IFERROR(INDEX(Schedule!$E$2:$E$147,MATCH($G445,Schedule!$A$2:$A$147,0)),"")</f>
        <v>45139</v>
      </c>
      <c r="I445" s="218" t="n">
        <f aca="false">IFERROR(INDEX(Schedule!$F$2:$F$147,MATCH($G445,Schedule!$A$2:$A$147,0)),"")</f>
        <v>45481</v>
      </c>
      <c r="J445" s="92"/>
      <c r="K445" s="92"/>
      <c r="L445" s="92"/>
      <c r="M445" s="92"/>
      <c r="N445" s="92"/>
      <c r="O445" s="90" t="n">
        <v>1</v>
      </c>
      <c r="P445" s="219" t="n">
        <f aca="false">IFERROR((IF(OR(ISNUMBER(J445),UPPER(TRIM(J445))="N/A"),1,0)*IF($W445="N",0,INDEX('Rules of Credit'!$B$5:$F$8,MATCH($F445,'Rules of Credit'!$A$5:$A$8,0),1))+IF(OR(ISNUMBER(K445),UPPER(TRIM(K445))="N/A"),1,0)*INDEX('Rules of Credit'!$B$5:$F$8,MATCH($F445,'Rules of Credit'!$A$5:$A$8,0),2)+IF(OR(ISNUMBER(L445),UPPER(TRIM(L445))="N/A"),1,0)*INDEX('Rules of Credit'!$B$5:$F$8,MATCH($F445,'Rules of Credit'!$A$5:$A$8,0),3)+IF(OR(ISNUMBER(M445),UPPER(TRIM(M445))="N/A"),1,0)*IF($X445="N",0,INDEX('Rules of Credit'!$B$5:$F$8,MATCH($F445,'Rules of Credit'!$A$5:$A$8,0),4))+IF(OR(ISNUMBER(N445),UPPER(TRIM(N445))="N/A"),1,0)*INDEX('Rules of Credit'!$B$5:$F$8,MATCH($F445,'Rules of Credit'!$A$5:$A$8,0),5))/(IF($W445="N",0,INDEX('Rules of Credit'!$B$5:$F$8,MATCH($F445,'Rules of Credit'!$A$5:$A$8,0),1))+INDEX('Rules of Credit'!$B$5:$F$8,MATCH($F445,'Rules of Credit'!$A$5:$A$8,0),2)+INDEX('Rules of Credit'!$B$5:$F$8,MATCH($F445,'Rules of Credit'!$A$5:$A$8,0),3)+IF($X445="N",0,INDEX('Rules of Credit'!$B$5:$F$8,MATCH($F445,'Rules of Credit'!$A$5:$A$8,0),4))+INDEX('Rules of Credit'!$B$5:$F$8,MATCH($F445,'Rules of Credit'!$A$5:$A$8,0),5)),0)</f>
        <v>0</v>
      </c>
      <c r="Q445" s="219" t="n">
        <f aca="false">IF(OR($H445="",$I445=""),0,IF('Tracker Summary'!$C$3&lt;$H445,0,IF('Tracker Summary'!$C$3&gt;=$I445,1,('Tracker Summary'!$C$3-$H445)/($I445-$H445+1))))</f>
        <v>0</v>
      </c>
      <c r="R445" s="219" t="n">
        <f aca="false">P445-Q445</f>
        <v>0</v>
      </c>
      <c r="S445" s="216" t="str">
        <f aca="false">IF($I445="","Not scheduled",IF(P445&gt;=1,"Complete",IF('Tracker Summary'!$C$3&gt;$I445,"Overdue",IF(P445-Q445&lt;-0.1,"Behind",IF(AND(P445=0,'Tracker Summary'!$C$3&lt;$H445),"Not started","On track")))))</f>
        <v>Not started</v>
      </c>
      <c r="T445" s="90"/>
      <c r="U445" s="216" t="str">
        <f aca="false">IFERROR(INDEX(Schedule!$D$2:$D$147,MATCH($G445,Schedule!$A$2:$A$147,0)),"")</f>
        <v>Treatment Equipment — Train 3</v>
      </c>
      <c r="V445" s="218" t="n">
        <f aca="false">IFERROR(INDEX(Schedule!$F$2:$F$147,MATCH("46-P01",Schedule!$A$2:$A$147,0)),"")</f>
        <v>45016</v>
      </c>
      <c r="W445" s="216" t="s">
        <v>115</v>
      </c>
      <c r="X445" s="216" t="s">
        <v>115</v>
      </c>
      <c r="Y445" s="216" t="n">
        <v>0</v>
      </c>
      <c r="Z445" s="216" t="n">
        <v>0</v>
      </c>
      <c r="AA445" s="216"/>
      <c r="AB445" s="216" t="s">
        <v>1983</v>
      </c>
      <c r="AC445" s="216" t="s">
        <v>541</v>
      </c>
      <c r="AD445" s="216" t="s">
        <v>542</v>
      </c>
      <c r="AE445" s="216" t="s">
        <v>1984</v>
      </c>
      <c r="AF445" s="216"/>
      <c r="AG445" s="216" t="s">
        <v>1984</v>
      </c>
      <c r="AH445" s="216" t="s">
        <v>501</v>
      </c>
    </row>
    <row r="446" customFormat="false" ht="15" hidden="false" customHeight="false" outlineLevel="0" collapsed="false">
      <c r="A446" s="216" t="s">
        <v>60</v>
      </c>
      <c r="B446" s="217" t="s">
        <v>53</v>
      </c>
      <c r="C446" s="216" t="s">
        <v>1985</v>
      </c>
      <c r="D446" s="216" t="s">
        <v>1986</v>
      </c>
      <c r="E446" s="216" t="s">
        <v>1982</v>
      </c>
      <c r="F446" s="90" t="s">
        <v>234</v>
      </c>
      <c r="G446" s="216" t="s">
        <v>1886</v>
      </c>
      <c r="H446" s="218" t="n">
        <f aca="false">IFERROR(INDEX(Schedule!$E$2:$E$147,MATCH($G446,Schedule!$A$2:$A$147,0)),"")</f>
        <v>45139</v>
      </c>
      <c r="I446" s="218" t="n">
        <f aca="false">IFERROR(INDEX(Schedule!$F$2:$F$147,MATCH($G446,Schedule!$A$2:$A$147,0)),"")</f>
        <v>45481</v>
      </c>
      <c r="J446" s="92"/>
      <c r="K446" s="92"/>
      <c r="L446" s="92"/>
      <c r="M446" s="92"/>
      <c r="N446" s="92"/>
      <c r="O446" s="90" t="n">
        <v>1</v>
      </c>
      <c r="P446" s="219" t="n">
        <f aca="false">IFERROR((IF(OR(ISNUMBER(J446),UPPER(TRIM(J446))="N/A"),1,0)*IF($W446="N",0,INDEX('Rules of Credit'!$B$5:$F$8,MATCH($F446,'Rules of Credit'!$A$5:$A$8,0),1))+IF(OR(ISNUMBER(K446),UPPER(TRIM(K446))="N/A"),1,0)*INDEX('Rules of Credit'!$B$5:$F$8,MATCH($F446,'Rules of Credit'!$A$5:$A$8,0),2)+IF(OR(ISNUMBER(L446),UPPER(TRIM(L446))="N/A"),1,0)*INDEX('Rules of Credit'!$B$5:$F$8,MATCH($F446,'Rules of Credit'!$A$5:$A$8,0),3)+IF(OR(ISNUMBER(M446),UPPER(TRIM(M446))="N/A"),1,0)*IF($X446="N",0,INDEX('Rules of Credit'!$B$5:$F$8,MATCH($F446,'Rules of Credit'!$A$5:$A$8,0),4))+IF(OR(ISNUMBER(N446),UPPER(TRIM(N446))="N/A"),1,0)*INDEX('Rules of Credit'!$B$5:$F$8,MATCH($F446,'Rules of Credit'!$A$5:$A$8,0),5))/(IF($W446="N",0,INDEX('Rules of Credit'!$B$5:$F$8,MATCH($F446,'Rules of Credit'!$A$5:$A$8,0),1))+INDEX('Rules of Credit'!$B$5:$F$8,MATCH($F446,'Rules of Credit'!$A$5:$A$8,0),2)+INDEX('Rules of Credit'!$B$5:$F$8,MATCH($F446,'Rules of Credit'!$A$5:$A$8,0),3)+IF($X446="N",0,INDEX('Rules of Credit'!$B$5:$F$8,MATCH($F446,'Rules of Credit'!$A$5:$A$8,0),4))+INDEX('Rules of Credit'!$B$5:$F$8,MATCH($F446,'Rules of Credit'!$A$5:$A$8,0),5)),0)</f>
        <v>0</v>
      </c>
      <c r="Q446" s="219" t="n">
        <f aca="false">IF(OR($H446="",$I446=""),0,IF('Tracker Summary'!$C$3&lt;$H446,0,IF('Tracker Summary'!$C$3&gt;=$I446,1,('Tracker Summary'!$C$3-$H446)/($I446-$H446+1))))</f>
        <v>0</v>
      </c>
      <c r="R446" s="219" t="n">
        <f aca="false">P446-Q446</f>
        <v>0</v>
      </c>
      <c r="S446" s="216" t="str">
        <f aca="false">IF($I446="","Not scheduled",IF(P446&gt;=1,"Complete",IF('Tracker Summary'!$C$3&gt;$I446,"Overdue",IF(P446-Q446&lt;-0.1,"Behind",IF(AND(P446=0,'Tracker Summary'!$C$3&lt;$H446),"Not started","On track")))))</f>
        <v>Not started</v>
      </c>
      <c r="T446" s="90"/>
      <c r="U446" s="216" t="str">
        <f aca="false">IFERROR(INDEX(Schedule!$D$2:$D$147,MATCH($G446,Schedule!$A$2:$A$147,0)),"")</f>
        <v>Treatment Equipment — Train 3</v>
      </c>
      <c r="V446" s="218" t="n">
        <f aca="false">IFERROR(INDEX(Schedule!$F$2:$F$147,MATCH("46-P01",Schedule!$A$2:$A$147,0)),"")</f>
        <v>45016</v>
      </c>
      <c r="W446" s="216" t="s">
        <v>115</v>
      </c>
      <c r="X446" s="216" t="s">
        <v>115</v>
      </c>
      <c r="Y446" s="216" t="n">
        <v>0</v>
      </c>
      <c r="Z446" s="216" t="n">
        <v>0</v>
      </c>
      <c r="AA446" s="216"/>
      <c r="AB446" s="216" t="s">
        <v>1987</v>
      </c>
      <c r="AC446" s="216" t="s">
        <v>541</v>
      </c>
      <c r="AD446" s="216" t="s">
        <v>1872</v>
      </c>
      <c r="AE446" s="216" t="s">
        <v>1988</v>
      </c>
      <c r="AF446" s="216"/>
      <c r="AG446" s="216" t="s">
        <v>1989</v>
      </c>
      <c r="AH446" s="216" t="s">
        <v>501</v>
      </c>
    </row>
    <row r="447" customFormat="false" ht="15" hidden="false" customHeight="false" outlineLevel="0" collapsed="false">
      <c r="A447" s="216" t="s">
        <v>60</v>
      </c>
      <c r="B447" s="217" t="s">
        <v>53</v>
      </c>
      <c r="C447" s="216" t="s">
        <v>1990</v>
      </c>
      <c r="D447" s="216" t="s">
        <v>1991</v>
      </c>
      <c r="E447" s="216" t="s">
        <v>376</v>
      </c>
      <c r="F447" s="90" t="s">
        <v>234</v>
      </c>
      <c r="G447" s="216" t="s">
        <v>1886</v>
      </c>
      <c r="H447" s="218" t="n">
        <f aca="false">IFERROR(INDEX(Schedule!$E$2:$E$147,MATCH($G447,Schedule!$A$2:$A$147,0)),"")</f>
        <v>45139</v>
      </c>
      <c r="I447" s="218" t="n">
        <f aca="false">IFERROR(INDEX(Schedule!$F$2:$F$147,MATCH($G447,Schedule!$A$2:$A$147,0)),"")</f>
        <v>45481</v>
      </c>
      <c r="J447" s="92"/>
      <c r="K447" s="92"/>
      <c r="L447" s="92"/>
      <c r="M447" s="92"/>
      <c r="N447" s="92"/>
      <c r="O447" s="90" t="n">
        <v>1</v>
      </c>
      <c r="P447" s="219" t="n">
        <f aca="false">IFERROR((IF(OR(ISNUMBER(J447),UPPER(TRIM(J447))="N/A"),1,0)*IF($W447="N",0,INDEX('Rules of Credit'!$B$5:$F$8,MATCH($F447,'Rules of Credit'!$A$5:$A$8,0),1))+IF(OR(ISNUMBER(K447),UPPER(TRIM(K447))="N/A"),1,0)*INDEX('Rules of Credit'!$B$5:$F$8,MATCH($F447,'Rules of Credit'!$A$5:$A$8,0),2)+IF(OR(ISNUMBER(L447),UPPER(TRIM(L447))="N/A"),1,0)*INDEX('Rules of Credit'!$B$5:$F$8,MATCH($F447,'Rules of Credit'!$A$5:$A$8,0),3)+IF(OR(ISNUMBER(M447),UPPER(TRIM(M447))="N/A"),1,0)*IF($X447="N",0,INDEX('Rules of Credit'!$B$5:$F$8,MATCH($F447,'Rules of Credit'!$A$5:$A$8,0),4))+IF(OR(ISNUMBER(N447),UPPER(TRIM(N447))="N/A"),1,0)*INDEX('Rules of Credit'!$B$5:$F$8,MATCH($F447,'Rules of Credit'!$A$5:$A$8,0),5))/(IF($W447="N",0,INDEX('Rules of Credit'!$B$5:$F$8,MATCH($F447,'Rules of Credit'!$A$5:$A$8,0),1))+INDEX('Rules of Credit'!$B$5:$F$8,MATCH($F447,'Rules of Credit'!$A$5:$A$8,0),2)+INDEX('Rules of Credit'!$B$5:$F$8,MATCH($F447,'Rules of Credit'!$A$5:$A$8,0),3)+IF($X447="N",0,INDEX('Rules of Credit'!$B$5:$F$8,MATCH($F447,'Rules of Credit'!$A$5:$A$8,0),4))+INDEX('Rules of Credit'!$B$5:$F$8,MATCH($F447,'Rules of Credit'!$A$5:$A$8,0),5)),0)</f>
        <v>0</v>
      </c>
      <c r="Q447" s="219" t="n">
        <f aca="false">IF(OR($H447="",$I447=""),0,IF('Tracker Summary'!$C$3&lt;$H447,0,IF('Tracker Summary'!$C$3&gt;=$I447,1,('Tracker Summary'!$C$3-$H447)/($I447-$H447+1))))</f>
        <v>0</v>
      </c>
      <c r="R447" s="219" t="n">
        <f aca="false">P447-Q447</f>
        <v>0</v>
      </c>
      <c r="S447" s="216" t="str">
        <f aca="false">IF($I447="","Not scheduled",IF(P447&gt;=1,"Complete",IF('Tracker Summary'!$C$3&gt;$I447,"Overdue",IF(P447-Q447&lt;-0.1,"Behind",IF(AND(P447=0,'Tracker Summary'!$C$3&lt;$H447),"Not started","On track")))))</f>
        <v>Not started</v>
      </c>
      <c r="T447" s="90"/>
      <c r="U447" s="216" t="str">
        <f aca="false">IFERROR(INDEX(Schedule!$D$2:$D$147,MATCH($G447,Schedule!$A$2:$A$147,0)),"")</f>
        <v>Treatment Equipment — Train 3</v>
      </c>
      <c r="V447" s="218" t="n">
        <f aca="false">IFERROR(INDEX(Schedule!$F$2:$F$147,MATCH("46-P01",Schedule!$A$2:$A$147,0)),"")</f>
        <v>45016</v>
      </c>
      <c r="W447" s="216" t="s">
        <v>91</v>
      </c>
      <c r="X447" s="216" t="s">
        <v>99</v>
      </c>
      <c r="Y447" s="216" t="n">
        <v>0</v>
      </c>
      <c r="Z447" s="216" t="n">
        <v>6</v>
      </c>
      <c r="AA447" s="216"/>
      <c r="AB447" s="216" t="s">
        <v>868</v>
      </c>
      <c r="AC447" s="216" t="s">
        <v>92</v>
      </c>
      <c r="AD447" s="216" t="s">
        <v>93</v>
      </c>
      <c r="AE447" s="216"/>
      <c r="AF447" s="216" t="s">
        <v>1992</v>
      </c>
      <c r="AG447" s="216" t="s">
        <v>1993</v>
      </c>
      <c r="AH447" s="216" t="s">
        <v>109</v>
      </c>
    </row>
    <row r="448" customFormat="false" ht="15" hidden="false" customHeight="false" outlineLevel="0" collapsed="false">
      <c r="A448" s="216" t="s">
        <v>60</v>
      </c>
      <c r="B448" s="217" t="s">
        <v>53</v>
      </c>
      <c r="C448" s="216" t="s">
        <v>1994</v>
      </c>
      <c r="D448" s="216" t="s">
        <v>1995</v>
      </c>
      <c r="E448" s="216" t="s">
        <v>376</v>
      </c>
      <c r="F448" s="90" t="s">
        <v>234</v>
      </c>
      <c r="G448" s="216" t="s">
        <v>1886</v>
      </c>
      <c r="H448" s="218" t="n">
        <f aca="false">IFERROR(INDEX(Schedule!$E$2:$E$147,MATCH($G448,Schedule!$A$2:$A$147,0)),"")</f>
        <v>45139</v>
      </c>
      <c r="I448" s="218" t="n">
        <f aca="false">IFERROR(INDEX(Schedule!$F$2:$F$147,MATCH($G448,Schedule!$A$2:$A$147,0)),"")</f>
        <v>45481</v>
      </c>
      <c r="J448" s="92"/>
      <c r="K448" s="92"/>
      <c r="L448" s="92"/>
      <c r="M448" s="92"/>
      <c r="N448" s="92"/>
      <c r="O448" s="90" t="n">
        <v>1</v>
      </c>
      <c r="P448" s="219" t="n">
        <f aca="false">IFERROR((IF(OR(ISNUMBER(J448),UPPER(TRIM(J448))="N/A"),1,0)*IF($W448="N",0,INDEX('Rules of Credit'!$B$5:$F$8,MATCH($F448,'Rules of Credit'!$A$5:$A$8,0),1))+IF(OR(ISNUMBER(K448),UPPER(TRIM(K448))="N/A"),1,0)*INDEX('Rules of Credit'!$B$5:$F$8,MATCH($F448,'Rules of Credit'!$A$5:$A$8,0),2)+IF(OR(ISNUMBER(L448),UPPER(TRIM(L448))="N/A"),1,0)*INDEX('Rules of Credit'!$B$5:$F$8,MATCH($F448,'Rules of Credit'!$A$5:$A$8,0),3)+IF(OR(ISNUMBER(M448),UPPER(TRIM(M448))="N/A"),1,0)*IF($X448="N",0,INDEX('Rules of Credit'!$B$5:$F$8,MATCH($F448,'Rules of Credit'!$A$5:$A$8,0),4))+IF(OR(ISNUMBER(N448),UPPER(TRIM(N448))="N/A"),1,0)*INDEX('Rules of Credit'!$B$5:$F$8,MATCH($F448,'Rules of Credit'!$A$5:$A$8,0),5))/(IF($W448="N",0,INDEX('Rules of Credit'!$B$5:$F$8,MATCH($F448,'Rules of Credit'!$A$5:$A$8,0),1))+INDEX('Rules of Credit'!$B$5:$F$8,MATCH($F448,'Rules of Credit'!$A$5:$A$8,0),2)+INDEX('Rules of Credit'!$B$5:$F$8,MATCH($F448,'Rules of Credit'!$A$5:$A$8,0),3)+IF($X448="N",0,INDEX('Rules of Credit'!$B$5:$F$8,MATCH($F448,'Rules of Credit'!$A$5:$A$8,0),4))+INDEX('Rules of Credit'!$B$5:$F$8,MATCH($F448,'Rules of Credit'!$A$5:$A$8,0),5)),0)</f>
        <v>0</v>
      </c>
      <c r="Q448" s="219" t="n">
        <f aca="false">IF(OR($H448="",$I448=""),0,IF('Tracker Summary'!$C$3&lt;$H448,0,IF('Tracker Summary'!$C$3&gt;=$I448,1,('Tracker Summary'!$C$3-$H448)/($I448-$H448+1))))</f>
        <v>0</v>
      </c>
      <c r="R448" s="219" t="n">
        <f aca="false">P448-Q448</f>
        <v>0</v>
      </c>
      <c r="S448" s="216" t="str">
        <f aca="false">IF($I448="","Not scheduled",IF(P448&gt;=1,"Complete",IF('Tracker Summary'!$C$3&gt;$I448,"Overdue",IF(P448-Q448&lt;-0.1,"Behind",IF(AND(P448=0,'Tracker Summary'!$C$3&lt;$H448),"Not started","On track")))))</f>
        <v>Not started</v>
      </c>
      <c r="T448" s="90"/>
      <c r="U448" s="216" t="str">
        <f aca="false">IFERROR(INDEX(Schedule!$D$2:$D$147,MATCH($G448,Schedule!$A$2:$A$147,0)),"")</f>
        <v>Treatment Equipment — Train 3</v>
      </c>
      <c r="V448" s="218" t="n">
        <f aca="false">IFERROR(INDEX(Schedule!$F$2:$F$147,MATCH("46-P01",Schedule!$A$2:$A$147,0)),"")</f>
        <v>45016</v>
      </c>
      <c r="W448" s="216" t="s">
        <v>99</v>
      </c>
      <c r="X448" s="216" t="s">
        <v>99</v>
      </c>
      <c r="Y448" s="216" t="n">
        <v>12</v>
      </c>
      <c r="Z448" s="216" t="n">
        <v>7</v>
      </c>
      <c r="AA448" s="216" t="s">
        <v>1996</v>
      </c>
      <c r="AB448" s="216" t="s">
        <v>1997</v>
      </c>
      <c r="AC448" s="216" t="s">
        <v>120</v>
      </c>
      <c r="AD448" s="216" t="s">
        <v>1998</v>
      </c>
      <c r="AE448" s="216"/>
      <c r="AF448" s="216" t="s">
        <v>1999</v>
      </c>
      <c r="AG448" s="216" t="s">
        <v>1999</v>
      </c>
      <c r="AH448" s="216" t="s">
        <v>109</v>
      </c>
    </row>
    <row r="449" customFormat="false" ht="15" hidden="false" customHeight="false" outlineLevel="0" collapsed="false">
      <c r="A449" s="216" t="s">
        <v>60</v>
      </c>
      <c r="B449" s="217" t="s">
        <v>53</v>
      </c>
      <c r="C449" s="216" t="s">
        <v>2000</v>
      </c>
      <c r="D449" s="216" t="s">
        <v>2001</v>
      </c>
      <c r="E449" s="216" t="s">
        <v>376</v>
      </c>
      <c r="F449" s="90" t="s">
        <v>234</v>
      </c>
      <c r="G449" s="216" t="s">
        <v>1886</v>
      </c>
      <c r="H449" s="218" t="n">
        <f aca="false">IFERROR(INDEX(Schedule!$E$2:$E$147,MATCH($G449,Schedule!$A$2:$A$147,0)),"")</f>
        <v>45139</v>
      </c>
      <c r="I449" s="218" t="n">
        <f aca="false">IFERROR(INDEX(Schedule!$F$2:$F$147,MATCH($G449,Schedule!$A$2:$A$147,0)),"")</f>
        <v>45481</v>
      </c>
      <c r="J449" s="92"/>
      <c r="K449" s="92"/>
      <c r="L449" s="92"/>
      <c r="M449" s="92"/>
      <c r="N449" s="92"/>
      <c r="O449" s="90" t="n">
        <v>1</v>
      </c>
      <c r="P449" s="219" t="n">
        <f aca="false">IFERROR((IF(OR(ISNUMBER(J449),UPPER(TRIM(J449))="N/A"),1,0)*IF($W449="N",0,INDEX('Rules of Credit'!$B$5:$F$8,MATCH($F449,'Rules of Credit'!$A$5:$A$8,0),1))+IF(OR(ISNUMBER(K449),UPPER(TRIM(K449))="N/A"),1,0)*INDEX('Rules of Credit'!$B$5:$F$8,MATCH($F449,'Rules of Credit'!$A$5:$A$8,0),2)+IF(OR(ISNUMBER(L449),UPPER(TRIM(L449))="N/A"),1,0)*INDEX('Rules of Credit'!$B$5:$F$8,MATCH($F449,'Rules of Credit'!$A$5:$A$8,0),3)+IF(OR(ISNUMBER(M449),UPPER(TRIM(M449))="N/A"),1,0)*IF($X449="N",0,INDEX('Rules of Credit'!$B$5:$F$8,MATCH($F449,'Rules of Credit'!$A$5:$A$8,0),4))+IF(OR(ISNUMBER(N449),UPPER(TRIM(N449))="N/A"),1,0)*INDEX('Rules of Credit'!$B$5:$F$8,MATCH($F449,'Rules of Credit'!$A$5:$A$8,0),5))/(IF($W449="N",0,INDEX('Rules of Credit'!$B$5:$F$8,MATCH($F449,'Rules of Credit'!$A$5:$A$8,0),1))+INDEX('Rules of Credit'!$B$5:$F$8,MATCH($F449,'Rules of Credit'!$A$5:$A$8,0),2)+INDEX('Rules of Credit'!$B$5:$F$8,MATCH($F449,'Rules of Credit'!$A$5:$A$8,0),3)+IF($X449="N",0,INDEX('Rules of Credit'!$B$5:$F$8,MATCH($F449,'Rules of Credit'!$A$5:$A$8,0),4))+INDEX('Rules of Credit'!$B$5:$F$8,MATCH($F449,'Rules of Credit'!$A$5:$A$8,0),5)),0)</f>
        <v>0</v>
      </c>
      <c r="Q449" s="219" t="n">
        <f aca="false">IF(OR($H449="",$I449=""),0,IF('Tracker Summary'!$C$3&lt;$H449,0,IF('Tracker Summary'!$C$3&gt;=$I449,1,('Tracker Summary'!$C$3-$H449)/($I449-$H449+1))))</f>
        <v>0</v>
      </c>
      <c r="R449" s="219" t="n">
        <f aca="false">P449-Q449</f>
        <v>0</v>
      </c>
      <c r="S449" s="216" t="str">
        <f aca="false">IF($I449="","Not scheduled",IF(P449&gt;=1,"Complete",IF('Tracker Summary'!$C$3&gt;$I449,"Overdue",IF(P449-Q449&lt;-0.1,"Behind",IF(AND(P449=0,'Tracker Summary'!$C$3&lt;$H449),"Not started","On track")))))</f>
        <v>Not started</v>
      </c>
      <c r="T449" s="90"/>
      <c r="U449" s="216" t="str">
        <f aca="false">IFERROR(INDEX(Schedule!$D$2:$D$147,MATCH($G449,Schedule!$A$2:$A$147,0)),"")</f>
        <v>Treatment Equipment — Train 3</v>
      </c>
      <c r="V449" s="218" t="n">
        <f aca="false">IFERROR(INDEX(Schedule!$F$2:$F$147,MATCH("46-P01",Schedule!$A$2:$A$147,0)),"")</f>
        <v>45016</v>
      </c>
      <c r="W449" s="216" t="s">
        <v>91</v>
      </c>
      <c r="X449" s="216" t="s">
        <v>99</v>
      </c>
      <c r="Y449" s="216" t="n">
        <v>0</v>
      </c>
      <c r="Z449" s="216" t="n">
        <v>4</v>
      </c>
      <c r="AA449" s="216"/>
      <c r="AB449" s="216" t="s">
        <v>2002</v>
      </c>
      <c r="AC449" s="216" t="s">
        <v>92</v>
      </c>
      <c r="AD449" s="216" t="s">
        <v>93</v>
      </c>
      <c r="AE449" s="216"/>
      <c r="AF449" s="216" t="s">
        <v>2003</v>
      </c>
      <c r="AG449" s="216" t="s">
        <v>2003</v>
      </c>
      <c r="AH449" s="216" t="s">
        <v>109</v>
      </c>
    </row>
    <row r="450" customFormat="false" ht="15" hidden="false" customHeight="false" outlineLevel="0" collapsed="false">
      <c r="A450" s="216" t="s">
        <v>60</v>
      </c>
      <c r="B450" s="217" t="s">
        <v>53</v>
      </c>
      <c r="C450" s="216" t="s">
        <v>2004</v>
      </c>
      <c r="D450" s="216" t="s">
        <v>2005</v>
      </c>
      <c r="E450" s="216" t="s">
        <v>376</v>
      </c>
      <c r="F450" s="90" t="s">
        <v>234</v>
      </c>
      <c r="G450" s="216" t="s">
        <v>1886</v>
      </c>
      <c r="H450" s="218" t="n">
        <f aca="false">IFERROR(INDEX(Schedule!$E$2:$E$147,MATCH($G450,Schedule!$A$2:$A$147,0)),"")</f>
        <v>45139</v>
      </c>
      <c r="I450" s="218" t="n">
        <f aca="false">IFERROR(INDEX(Schedule!$F$2:$F$147,MATCH($G450,Schedule!$A$2:$A$147,0)),"")</f>
        <v>45481</v>
      </c>
      <c r="J450" s="92"/>
      <c r="K450" s="92"/>
      <c r="L450" s="92"/>
      <c r="M450" s="92"/>
      <c r="N450" s="92"/>
      <c r="O450" s="90" t="n">
        <v>1</v>
      </c>
      <c r="P450" s="219" t="n">
        <f aca="false">IFERROR((IF(OR(ISNUMBER(J450),UPPER(TRIM(J450))="N/A"),1,0)*IF($W450="N",0,INDEX('Rules of Credit'!$B$5:$F$8,MATCH($F450,'Rules of Credit'!$A$5:$A$8,0),1))+IF(OR(ISNUMBER(K450),UPPER(TRIM(K450))="N/A"),1,0)*INDEX('Rules of Credit'!$B$5:$F$8,MATCH($F450,'Rules of Credit'!$A$5:$A$8,0),2)+IF(OR(ISNUMBER(L450),UPPER(TRIM(L450))="N/A"),1,0)*INDEX('Rules of Credit'!$B$5:$F$8,MATCH($F450,'Rules of Credit'!$A$5:$A$8,0),3)+IF(OR(ISNUMBER(M450),UPPER(TRIM(M450))="N/A"),1,0)*IF($X450="N",0,INDEX('Rules of Credit'!$B$5:$F$8,MATCH($F450,'Rules of Credit'!$A$5:$A$8,0),4))+IF(OR(ISNUMBER(N450),UPPER(TRIM(N450))="N/A"),1,0)*INDEX('Rules of Credit'!$B$5:$F$8,MATCH($F450,'Rules of Credit'!$A$5:$A$8,0),5))/(IF($W450="N",0,INDEX('Rules of Credit'!$B$5:$F$8,MATCH($F450,'Rules of Credit'!$A$5:$A$8,0),1))+INDEX('Rules of Credit'!$B$5:$F$8,MATCH($F450,'Rules of Credit'!$A$5:$A$8,0),2)+INDEX('Rules of Credit'!$B$5:$F$8,MATCH($F450,'Rules of Credit'!$A$5:$A$8,0),3)+IF($X450="N",0,INDEX('Rules of Credit'!$B$5:$F$8,MATCH($F450,'Rules of Credit'!$A$5:$A$8,0),4))+INDEX('Rules of Credit'!$B$5:$F$8,MATCH($F450,'Rules of Credit'!$A$5:$A$8,0),5)),0)</f>
        <v>0</v>
      </c>
      <c r="Q450" s="219" t="n">
        <f aca="false">IF(OR($H450="",$I450=""),0,IF('Tracker Summary'!$C$3&lt;$H450,0,IF('Tracker Summary'!$C$3&gt;=$I450,1,('Tracker Summary'!$C$3-$H450)/($I450-$H450+1))))</f>
        <v>0</v>
      </c>
      <c r="R450" s="219" t="n">
        <f aca="false">P450-Q450</f>
        <v>0</v>
      </c>
      <c r="S450" s="216" t="str">
        <f aca="false">IF($I450="","Not scheduled",IF(P450&gt;=1,"Complete",IF('Tracker Summary'!$C$3&gt;$I450,"Overdue",IF(P450-Q450&lt;-0.1,"Behind",IF(AND(P450=0,'Tracker Summary'!$C$3&lt;$H450),"Not started","On track")))))</f>
        <v>Not started</v>
      </c>
      <c r="T450" s="90"/>
      <c r="U450" s="216" t="str">
        <f aca="false">IFERROR(INDEX(Schedule!$D$2:$D$147,MATCH($G450,Schedule!$A$2:$A$147,0)),"")</f>
        <v>Treatment Equipment — Train 3</v>
      </c>
      <c r="V450" s="218" t="n">
        <f aca="false">IFERROR(INDEX(Schedule!$F$2:$F$147,MATCH("46-P01",Schedule!$A$2:$A$147,0)),"")</f>
        <v>45016</v>
      </c>
      <c r="W450" s="216" t="s">
        <v>91</v>
      </c>
      <c r="X450" s="216" t="s">
        <v>99</v>
      </c>
      <c r="Y450" s="216" t="n">
        <v>0</v>
      </c>
      <c r="Z450" s="216" t="n">
        <v>4</v>
      </c>
      <c r="AA450" s="216"/>
      <c r="AB450" s="216" t="s">
        <v>2002</v>
      </c>
      <c r="AC450" s="216" t="s">
        <v>92</v>
      </c>
      <c r="AD450" s="216" t="s">
        <v>93</v>
      </c>
      <c r="AE450" s="216"/>
      <c r="AF450" s="216" t="s">
        <v>2003</v>
      </c>
      <c r="AG450" s="216" t="s">
        <v>2003</v>
      </c>
      <c r="AH450" s="216" t="s">
        <v>109</v>
      </c>
    </row>
    <row r="451" customFormat="false" ht="15" hidden="false" customHeight="false" outlineLevel="0" collapsed="false">
      <c r="A451" s="216" t="s">
        <v>60</v>
      </c>
      <c r="B451" s="217" t="s">
        <v>53</v>
      </c>
      <c r="C451" s="216" t="s">
        <v>2006</v>
      </c>
      <c r="D451" s="216" t="s">
        <v>2007</v>
      </c>
      <c r="E451" s="216" t="s">
        <v>376</v>
      </c>
      <c r="F451" s="90" t="s">
        <v>234</v>
      </c>
      <c r="G451" s="216" t="s">
        <v>1886</v>
      </c>
      <c r="H451" s="218" t="n">
        <f aca="false">IFERROR(INDEX(Schedule!$E$2:$E$147,MATCH($G451,Schedule!$A$2:$A$147,0)),"")</f>
        <v>45139</v>
      </c>
      <c r="I451" s="218" t="n">
        <f aca="false">IFERROR(INDEX(Schedule!$F$2:$F$147,MATCH($G451,Schedule!$A$2:$A$147,0)),"")</f>
        <v>45481</v>
      </c>
      <c r="J451" s="92"/>
      <c r="K451" s="92"/>
      <c r="L451" s="92"/>
      <c r="M451" s="92"/>
      <c r="N451" s="92"/>
      <c r="O451" s="90" t="n">
        <v>1</v>
      </c>
      <c r="P451" s="219" t="n">
        <f aca="false">IFERROR((IF(OR(ISNUMBER(J451),UPPER(TRIM(J451))="N/A"),1,0)*IF($W451="N",0,INDEX('Rules of Credit'!$B$5:$F$8,MATCH($F451,'Rules of Credit'!$A$5:$A$8,0),1))+IF(OR(ISNUMBER(K451),UPPER(TRIM(K451))="N/A"),1,0)*INDEX('Rules of Credit'!$B$5:$F$8,MATCH($F451,'Rules of Credit'!$A$5:$A$8,0),2)+IF(OR(ISNUMBER(L451),UPPER(TRIM(L451))="N/A"),1,0)*INDEX('Rules of Credit'!$B$5:$F$8,MATCH($F451,'Rules of Credit'!$A$5:$A$8,0),3)+IF(OR(ISNUMBER(M451),UPPER(TRIM(M451))="N/A"),1,0)*IF($X451="N",0,INDEX('Rules of Credit'!$B$5:$F$8,MATCH($F451,'Rules of Credit'!$A$5:$A$8,0),4))+IF(OR(ISNUMBER(N451),UPPER(TRIM(N451))="N/A"),1,0)*INDEX('Rules of Credit'!$B$5:$F$8,MATCH($F451,'Rules of Credit'!$A$5:$A$8,0),5))/(IF($W451="N",0,INDEX('Rules of Credit'!$B$5:$F$8,MATCH($F451,'Rules of Credit'!$A$5:$A$8,0),1))+INDEX('Rules of Credit'!$B$5:$F$8,MATCH($F451,'Rules of Credit'!$A$5:$A$8,0),2)+INDEX('Rules of Credit'!$B$5:$F$8,MATCH($F451,'Rules of Credit'!$A$5:$A$8,0),3)+IF($X451="N",0,INDEX('Rules of Credit'!$B$5:$F$8,MATCH($F451,'Rules of Credit'!$A$5:$A$8,0),4))+INDEX('Rules of Credit'!$B$5:$F$8,MATCH($F451,'Rules of Credit'!$A$5:$A$8,0),5)),0)</f>
        <v>0</v>
      </c>
      <c r="Q451" s="219" t="n">
        <f aca="false">IF(OR($H451="",$I451=""),0,IF('Tracker Summary'!$C$3&lt;$H451,0,IF('Tracker Summary'!$C$3&gt;=$I451,1,('Tracker Summary'!$C$3-$H451)/($I451-$H451+1))))</f>
        <v>0</v>
      </c>
      <c r="R451" s="219" t="n">
        <f aca="false">P451-Q451</f>
        <v>0</v>
      </c>
      <c r="S451" s="216" t="str">
        <f aca="false">IF($I451="","Not scheduled",IF(P451&gt;=1,"Complete",IF('Tracker Summary'!$C$3&gt;$I451,"Overdue",IF(P451-Q451&lt;-0.1,"Behind",IF(AND(P451=0,'Tracker Summary'!$C$3&lt;$H451),"Not started","On track")))))</f>
        <v>Not started</v>
      </c>
      <c r="T451" s="90"/>
      <c r="U451" s="216" t="str">
        <f aca="false">IFERROR(INDEX(Schedule!$D$2:$D$147,MATCH($G451,Schedule!$A$2:$A$147,0)),"")</f>
        <v>Treatment Equipment — Train 3</v>
      </c>
      <c r="V451" s="218" t="n">
        <f aca="false">IFERROR(INDEX(Schedule!$F$2:$F$147,MATCH("46-P01",Schedule!$A$2:$A$147,0)),"")</f>
        <v>45016</v>
      </c>
      <c r="W451" s="216" t="s">
        <v>91</v>
      </c>
      <c r="X451" s="216" t="s">
        <v>99</v>
      </c>
      <c r="Y451" s="216" t="n">
        <v>0</v>
      </c>
      <c r="Z451" s="216" t="n">
        <v>5</v>
      </c>
      <c r="AA451" s="216" t="s">
        <v>2008</v>
      </c>
      <c r="AB451" s="216" t="s">
        <v>2009</v>
      </c>
      <c r="AC451" s="216" t="s">
        <v>92</v>
      </c>
      <c r="AD451" s="216" t="s">
        <v>93</v>
      </c>
      <c r="AE451" s="216"/>
      <c r="AF451" s="216" t="s">
        <v>2010</v>
      </c>
      <c r="AG451" s="216" t="s">
        <v>2010</v>
      </c>
      <c r="AH451" s="216" t="s">
        <v>109</v>
      </c>
    </row>
    <row r="452" customFormat="false" ht="15" hidden="false" customHeight="false" outlineLevel="0" collapsed="false">
      <c r="A452" s="216" t="s">
        <v>60</v>
      </c>
      <c r="B452" s="217" t="s">
        <v>53</v>
      </c>
      <c r="C452" s="216" t="s">
        <v>2011</v>
      </c>
      <c r="D452" s="216" t="s">
        <v>2012</v>
      </c>
      <c r="E452" s="216" t="s">
        <v>376</v>
      </c>
      <c r="F452" s="90" t="s">
        <v>234</v>
      </c>
      <c r="G452" s="216" t="s">
        <v>1886</v>
      </c>
      <c r="H452" s="218" t="n">
        <f aca="false">IFERROR(INDEX(Schedule!$E$2:$E$147,MATCH($G452,Schedule!$A$2:$A$147,0)),"")</f>
        <v>45139</v>
      </c>
      <c r="I452" s="218" t="n">
        <f aca="false">IFERROR(INDEX(Schedule!$F$2:$F$147,MATCH($G452,Schedule!$A$2:$A$147,0)),"")</f>
        <v>45481</v>
      </c>
      <c r="J452" s="92"/>
      <c r="K452" s="92"/>
      <c r="L452" s="92"/>
      <c r="M452" s="92"/>
      <c r="N452" s="92"/>
      <c r="O452" s="90" t="n">
        <v>1</v>
      </c>
      <c r="P452" s="219" t="n">
        <f aca="false">IFERROR((IF(OR(ISNUMBER(J452),UPPER(TRIM(J452))="N/A"),1,0)*IF($W452="N",0,INDEX('Rules of Credit'!$B$5:$F$8,MATCH($F452,'Rules of Credit'!$A$5:$A$8,0),1))+IF(OR(ISNUMBER(K452),UPPER(TRIM(K452))="N/A"),1,0)*INDEX('Rules of Credit'!$B$5:$F$8,MATCH($F452,'Rules of Credit'!$A$5:$A$8,0),2)+IF(OR(ISNUMBER(L452),UPPER(TRIM(L452))="N/A"),1,0)*INDEX('Rules of Credit'!$B$5:$F$8,MATCH($F452,'Rules of Credit'!$A$5:$A$8,0),3)+IF(OR(ISNUMBER(M452),UPPER(TRIM(M452))="N/A"),1,0)*IF($X452="N",0,INDEX('Rules of Credit'!$B$5:$F$8,MATCH($F452,'Rules of Credit'!$A$5:$A$8,0),4))+IF(OR(ISNUMBER(N452),UPPER(TRIM(N452))="N/A"),1,0)*INDEX('Rules of Credit'!$B$5:$F$8,MATCH($F452,'Rules of Credit'!$A$5:$A$8,0),5))/(IF($W452="N",0,INDEX('Rules of Credit'!$B$5:$F$8,MATCH($F452,'Rules of Credit'!$A$5:$A$8,0),1))+INDEX('Rules of Credit'!$B$5:$F$8,MATCH($F452,'Rules of Credit'!$A$5:$A$8,0),2)+INDEX('Rules of Credit'!$B$5:$F$8,MATCH($F452,'Rules of Credit'!$A$5:$A$8,0),3)+IF($X452="N",0,INDEX('Rules of Credit'!$B$5:$F$8,MATCH($F452,'Rules of Credit'!$A$5:$A$8,0),4))+INDEX('Rules of Credit'!$B$5:$F$8,MATCH($F452,'Rules of Credit'!$A$5:$A$8,0),5)),0)</f>
        <v>0</v>
      </c>
      <c r="Q452" s="219" t="n">
        <f aca="false">IF(OR($H452="",$I452=""),0,IF('Tracker Summary'!$C$3&lt;$H452,0,IF('Tracker Summary'!$C$3&gt;=$I452,1,('Tracker Summary'!$C$3-$H452)/($I452-$H452+1))))</f>
        <v>0</v>
      </c>
      <c r="R452" s="219" t="n">
        <f aca="false">P452-Q452</f>
        <v>0</v>
      </c>
      <c r="S452" s="216" t="str">
        <f aca="false">IF($I452="","Not scheduled",IF(P452&gt;=1,"Complete",IF('Tracker Summary'!$C$3&gt;$I452,"Overdue",IF(P452-Q452&lt;-0.1,"Behind",IF(AND(P452=0,'Tracker Summary'!$C$3&lt;$H452),"Not started","On track")))))</f>
        <v>Not started</v>
      </c>
      <c r="T452" s="90"/>
      <c r="U452" s="216" t="str">
        <f aca="false">IFERROR(INDEX(Schedule!$D$2:$D$147,MATCH($G452,Schedule!$A$2:$A$147,0)),"")</f>
        <v>Treatment Equipment — Train 3</v>
      </c>
      <c r="V452" s="218" t="n">
        <f aca="false">IFERROR(INDEX(Schedule!$F$2:$F$147,MATCH("46-P01",Schedule!$A$2:$A$147,0)),"")</f>
        <v>45016</v>
      </c>
      <c r="W452" s="216" t="s">
        <v>99</v>
      </c>
      <c r="X452" s="216" t="s">
        <v>99</v>
      </c>
      <c r="Y452" s="216" t="n">
        <v>11</v>
      </c>
      <c r="Z452" s="216" t="n">
        <v>4</v>
      </c>
      <c r="AA452" s="216" t="s">
        <v>2013</v>
      </c>
      <c r="AB452" s="216" t="s">
        <v>2014</v>
      </c>
      <c r="AC452" s="216" t="s">
        <v>92</v>
      </c>
      <c r="AD452" s="216" t="s">
        <v>2015</v>
      </c>
      <c r="AE452" s="216"/>
      <c r="AF452" s="216" t="s">
        <v>869</v>
      </c>
      <c r="AG452" s="216" t="s">
        <v>869</v>
      </c>
      <c r="AH452" s="216" t="s">
        <v>109</v>
      </c>
    </row>
    <row r="453" customFormat="false" ht="15" hidden="false" customHeight="false" outlineLevel="0" collapsed="false">
      <c r="A453" s="216" t="s">
        <v>60</v>
      </c>
      <c r="B453" s="217" t="s">
        <v>53</v>
      </c>
      <c r="C453" s="216" t="s">
        <v>2016</v>
      </c>
      <c r="D453" s="216" t="s">
        <v>2017</v>
      </c>
      <c r="E453" s="216" t="s">
        <v>376</v>
      </c>
      <c r="F453" s="90" t="s">
        <v>234</v>
      </c>
      <c r="G453" s="216" t="s">
        <v>1886</v>
      </c>
      <c r="H453" s="218" t="n">
        <f aca="false">IFERROR(INDEX(Schedule!$E$2:$E$147,MATCH($G453,Schedule!$A$2:$A$147,0)),"")</f>
        <v>45139</v>
      </c>
      <c r="I453" s="218" t="n">
        <f aca="false">IFERROR(INDEX(Schedule!$F$2:$F$147,MATCH($G453,Schedule!$A$2:$A$147,0)),"")</f>
        <v>45481</v>
      </c>
      <c r="J453" s="92"/>
      <c r="K453" s="92"/>
      <c r="L453" s="92"/>
      <c r="M453" s="92"/>
      <c r="N453" s="92"/>
      <c r="O453" s="90" t="n">
        <v>1</v>
      </c>
      <c r="P453" s="219" t="n">
        <f aca="false">IFERROR((IF(OR(ISNUMBER(J453),UPPER(TRIM(J453))="N/A"),1,0)*IF($W453="N",0,INDEX('Rules of Credit'!$B$5:$F$8,MATCH($F453,'Rules of Credit'!$A$5:$A$8,0),1))+IF(OR(ISNUMBER(K453),UPPER(TRIM(K453))="N/A"),1,0)*INDEX('Rules of Credit'!$B$5:$F$8,MATCH($F453,'Rules of Credit'!$A$5:$A$8,0),2)+IF(OR(ISNUMBER(L453),UPPER(TRIM(L453))="N/A"),1,0)*INDEX('Rules of Credit'!$B$5:$F$8,MATCH($F453,'Rules of Credit'!$A$5:$A$8,0),3)+IF(OR(ISNUMBER(M453),UPPER(TRIM(M453))="N/A"),1,0)*IF($X453="N",0,INDEX('Rules of Credit'!$B$5:$F$8,MATCH($F453,'Rules of Credit'!$A$5:$A$8,0),4))+IF(OR(ISNUMBER(N453),UPPER(TRIM(N453))="N/A"),1,0)*INDEX('Rules of Credit'!$B$5:$F$8,MATCH($F453,'Rules of Credit'!$A$5:$A$8,0),5))/(IF($W453="N",0,INDEX('Rules of Credit'!$B$5:$F$8,MATCH($F453,'Rules of Credit'!$A$5:$A$8,0),1))+INDEX('Rules of Credit'!$B$5:$F$8,MATCH($F453,'Rules of Credit'!$A$5:$A$8,0),2)+INDEX('Rules of Credit'!$B$5:$F$8,MATCH($F453,'Rules of Credit'!$A$5:$A$8,0),3)+IF($X453="N",0,INDEX('Rules of Credit'!$B$5:$F$8,MATCH($F453,'Rules of Credit'!$A$5:$A$8,0),4))+INDEX('Rules of Credit'!$B$5:$F$8,MATCH($F453,'Rules of Credit'!$A$5:$A$8,0),5)),0)</f>
        <v>0</v>
      </c>
      <c r="Q453" s="219" t="n">
        <f aca="false">IF(OR($H453="",$I453=""),0,IF('Tracker Summary'!$C$3&lt;$H453,0,IF('Tracker Summary'!$C$3&gt;=$I453,1,('Tracker Summary'!$C$3-$H453)/($I453-$H453+1))))</f>
        <v>0</v>
      </c>
      <c r="R453" s="219" t="n">
        <f aca="false">P453-Q453</f>
        <v>0</v>
      </c>
      <c r="S453" s="216" t="str">
        <f aca="false">IF($I453="","Not scheduled",IF(P453&gt;=1,"Complete",IF('Tracker Summary'!$C$3&gt;$I453,"Overdue",IF(P453-Q453&lt;-0.1,"Behind",IF(AND(P453=0,'Tracker Summary'!$C$3&lt;$H453),"Not started","On track")))))</f>
        <v>Not started</v>
      </c>
      <c r="T453" s="90"/>
      <c r="U453" s="216" t="str">
        <f aca="false">IFERROR(INDEX(Schedule!$D$2:$D$147,MATCH($G453,Schedule!$A$2:$A$147,0)),"")</f>
        <v>Treatment Equipment — Train 3</v>
      </c>
      <c r="V453" s="218" t="n">
        <f aca="false">IFERROR(INDEX(Schedule!$F$2:$F$147,MATCH("46-P01",Schedule!$A$2:$A$147,0)),"")</f>
        <v>45016</v>
      </c>
      <c r="W453" s="216" t="s">
        <v>99</v>
      </c>
      <c r="X453" s="216" t="s">
        <v>99</v>
      </c>
      <c r="Y453" s="216" t="n">
        <v>11</v>
      </c>
      <c r="Z453" s="216" t="n">
        <v>4</v>
      </c>
      <c r="AA453" s="216" t="s">
        <v>2013</v>
      </c>
      <c r="AB453" s="216" t="s">
        <v>2014</v>
      </c>
      <c r="AC453" s="216" t="s">
        <v>92</v>
      </c>
      <c r="AD453" s="216" t="s">
        <v>2015</v>
      </c>
      <c r="AE453" s="216"/>
      <c r="AF453" s="216" t="s">
        <v>869</v>
      </c>
      <c r="AG453" s="216" t="s">
        <v>869</v>
      </c>
      <c r="AH453" s="216" t="s">
        <v>109</v>
      </c>
    </row>
    <row r="454" customFormat="false" ht="15" hidden="false" customHeight="false" outlineLevel="0" collapsed="false">
      <c r="A454" s="216" t="s">
        <v>60</v>
      </c>
      <c r="B454" s="217" t="s">
        <v>53</v>
      </c>
      <c r="C454" s="216" t="s">
        <v>2018</v>
      </c>
      <c r="D454" s="216" t="s">
        <v>2019</v>
      </c>
      <c r="E454" s="216" t="s">
        <v>115</v>
      </c>
      <c r="F454" s="90" t="s">
        <v>234</v>
      </c>
      <c r="G454" s="216" t="s">
        <v>1886</v>
      </c>
      <c r="H454" s="218" t="n">
        <f aca="false">IFERROR(INDEX(Schedule!$E$2:$E$147,MATCH($G454,Schedule!$A$2:$A$147,0)),"")</f>
        <v>45139</v>
      </c>
      <c r="I454" s="218" t="n">
        <f aca="false">IFERROR(INDEX(Schedule!$F$2:$F$147,MATCH($G454,Schedule!$A$2:$A$147,0)),"")</f>
        <v>45481</v>
      </c>
      <c r="J454" s="92"/>
      <c r="K454" s="92"/>
      <c r="L454" s="92"/>
      <c r="M454" s="92"/>
      <c r="N454" s="92"/>
      <c r="O454" s="90" t="n">
        <v>1</v>
      </c>
      <c r="P454" s="219" t="n">
        <f aca="false">IFERROR((IF(OR(ISNUMBER(J454),UPPER(TRIM(J454))="N/A"),1,0)*IF($W454="N",0,INDEX('Rules of Credit'!$B$5:$F$8,MATCH($F454,'Rules of Credit'!$A$5:$A$8,0),1))+IF(OR(ISNUMBER(K454),UPPER(TRIM(K454))="N/A"),1,0)*INDEX('Rules of Credit'!$B$5:$F$8,MATCH($F454,'Rules of Credit'!$A$5:$A$8,0),2)+IF(OR(ISNUMBER(L454),UPPER(TRIM(L454))="N/A"),1,0)*INDEX('Rules of Credit'!$B$5:$F$8,MATCH($F454,'Rules of Credit'!$A$5:$A$8,0),3)+IF(OR(ISNUMBER(M454),UPPER(TRIM(M454))="N/A"),1,0)*IF($X454="N",0,INDEX('Rules of Credit'!$B$5:$F$8,MATCH($F454,'Rules of Credit'!$A$5:$A$8,0),4))+IF(OR(ISNUMBER(N454),UPPER(TRIM(N454))="N/A"),1,0)*INDEX('Rules of Credit'!$B$5:$F$8,MATCH($F454,'Rules of Credit'!$A$5:$A$8,0),5))/(IF($W454="N",0,INDEX('Rules of Credit'!$B$5:$F$8,MATCH($F454,'Rules of Credit'!$A$5:$A$8,0),1))+INDEX('Rules of Credit'!$B$5:$F$8,MATCH($F454,'Rules of Credit'!$A$5:$A$8,0),2)+INDEX('Rules of Credit'!$B$5:$F$8,MATCH($F454,'Rules of Credit'!$A$5:$A$8,0),3)+IF($X454="N",0,INDEX('Rules of Credit'!$B$5:$F$8,MATCH($F454,'Rules of Credit'!$A$5:$A$8,0),4))+INDEX('Rules of Credit'!$B$5:$F$8,MATCH($F454,'Rules of Credit'!$A$5:$A$8,0),5)),0)</f>
        <v>0</v>
      </c>
      <c r="Q454" s="219" t="n">
        <f aca="false">IF(OR($H454="",$I454=""),0,IF('Tracker Summary'!$C$3&lt;$H454,0,IF('Tracker Summary'!$C$3&gt;=$I454,1,('Tracker Summary'!$C$3-$H454)/($I454-$H454+1))))</f>
        <v>0</v>
      </c>
      <c r="R454" s="219" t="n">
        <f aca="false">P454-Q454</f>
        <v>0</v>
      </c>
      <c r="S454" s="216" t="str">
        <f aca="false">IF($I454="","Not scheduled",IF(P454&gt;=1,"Complete",IF('Tracker Summary'!$C$3&gt;$I454,"Overdue",IF(P454-Q454&lt;-0.1,"Behind",IF(AND(P454=0,'Tracker Summary'!$C$3&lt;$H454),"Not started","On track")))))</f>
        <v>Not started</v>
      </c>
      <c r="T454" s="90"/>
      <c r="U454" s="216" t="str">
        <f aca="false">IFERROR(INDEX(Schedule!$D$2:$D$147,MATCH($G454,Schedule!$A$2:$A$147,0)),"")</f>
        <v>Treatment Equipment — Train 3</v>
      </c>
      <c r="V454" s="218" t="n">
        <f aca="false">IFERROR(INDEX(Schedule!$F$2:$F$147,MATCH("46-P01",Schedule!$A$2:$A$147,0)),"")</f>
        <v>45016</v>
      </c>
      <c r="W454" s="216" t="s">
        <v>91</v>
      </c>
      <c r="X454" s="216" t="s">
        <v>91</v>
      </c>
      <c r="Y454" s="216" t="n">
        <v>0</v>
      </c>
      <c r="Z454" s="216" t="n">
        <v>0</v>
      </c>
      <c r="AA454" s="216" t="s">
        <v>2020</v>
      </c>
      <c r="AB454" s="216" t="s">
        <v>2021</v>
      </c>
      <c r="AC454" s="216" t="s">
        <v>92</v>
      </c>
      <c r="AD454" s="216" t="s">
        <v>93</v>
      </c>
      <c r="AE454" s="216"/>
      <c r="AF454" s="216" t="s">
        <v>2022</v>
      </c>
      <c r="AG454" s="216" t="s">
        <v>2022</v>
      </c>
      <c r="AH454" s="216" t="s">
        <v>109</v>
      </c>
    </row>
    <row r="455" customFormat="false" ht="15" hidden="false" customHeight="false" outlineLevel="0" collapsed="false">
      <c r="A455" s="216" t="s">
        <v>60</v>
      </c>
      <c r="B455" s="217" t="s">
        <v>53</v>
      </c>
      <c r="C455" s="216" t="s">
        <v>2023</v>
      </c>
      <c r="D455" s="216" t="s">
        <v>2024</v>
      </c>
      <c r="E455" s="216" t="s">
        <v>1616</v>
      </c>
      <c r="F455" s="90" t="s">
        <v>234</v>
      </c>
      <c r="G455" s="216" t="s">
        <v>2025</v>
      </c>
      <c r="H455" s="218" t="n">
        <f aca="false">IFERROR(INDEX(Schedule!$E$2:$E$147,MATCH($G455,Schedule!$A$2:$A$147,0)),"")</f>
        <v>45231</v>
      </c>
      <c r="I455" s="218" t="n">
        <f aca="false">IFERROR(INDEX(Schedule!$F$2:$F$147,MATCH($G455,Schedule!$A$2:$A$147,0)),"")</f>
        <v>45331</v>
      </c>
      <c r="J455" s="92"/>
      <c r="K455" s="92"/>
      <c r="L455" s="92"/>
      <c r="M455" s="92"/>
      <c r="N455" s="92"/>
      <c r="O455" s="90" t="n">
        <v>1</v>
      </c>
      <c r="P455" s="219" t="n">
        <f aca="false">IFERROR((IF(OR(ISNUMBER(J455),UPPER(TRIM(J455))="N/A"),1,0)*IF($W455="N",0,INDEX('Rules of Credit'!$B$5:$F$8,MATCH($F455,'Rules of Credit'!$A$5:$A$8,0),1))+IF(OR(ISNUMBER(K455),UPPER(TRIM(K455))="N/A"),1,0)*INDEX('Rules of Credit'!$B$5:$F$8,MATCH($F455,'Rules of Credit'!$A$5:$A$8,0),2)+IF(OR(ISNUMBER(L455),UPPER(TRIM(L455))="N/A"),1,0)*INDEX('Rules of Credit'!$B$5:$F$8,MATCH($F455,'Rules of Credit'!$A$5:$A$8,0),3)+IF(OR(ISNUMBER(M455),UPPER(TRIM(M455))="N/A"),1,0)*IF($X455="N",0,INDEX('Rules of Credit'!$B$5:$F$8,MATCH($F455,'Rules of Credit'!$A$5:$A$8,0),4))+IF(OR(ISNUMBER(N455),UPPER(TRIM(N455))="N/A"),1,0)*INDEX('Rules of Credit'!$B$5:$F$8,MATCH($F455,'Rules of Credit'!$A$5:$A$8,0),5))/(IF($W455="N",0,INDEX('Rules of Credit'!$B$5:$F$8,MATCH($F455,'Rules of Credit'!$A$5:$A$8,0),1))+INDEX('Rules of Credit'!$B$5:$F$8,MATCH($F455,'Rules of Credit'!$A$5:$A$8,0),2)+INDEX('Rules of Credit'!$B$5:$F$8,MATCH($F455,'Rules of Credit'!$A$5:$A$8,0),3)+IF($X455="N",0,INDEX('Rules of Credit'!$B$5:$F$8,MATCH($F455,'Rules of Credit'!$A$5:$A$8,0),4))+INDEX('Rules of Credit'!$B$5:$F$8,MATCH($F455,'Rules of Credit'!$A$5:$A$8,0),5)),0)</f>
        <v>0</v>
      </c>
      <c r="Q455" s="219" t="n">
        <f aca="false">IF(OR($H455="",$I455=""),0,IF('Tracker Summary'!$C$3&lt;$H455,0,IF('Tracker Summary'!$C$3&gt;=$I455,1,('Tracker Summary'!$C$3-$H455)/($I455-$H455+1))))</f>
        <v>0</v>
      </c>
      <c r="R455" s="219" t="n">
        <f aca="false">P455-Q455</f>
        <v>0</v>
      </c>
      <c r="S455" s="216" t="str">
        <f aca="false">IF($I455="","Not scheduled",IF(P455&gt;=1,"Complete",IF('Tracker Summary'!$C$3&gt;$I455,"Overdue",IF(P455-Q455&lt;-0.1,"Behind",IF(AND(P455=0,'Tracker Summary'!$C$3&lt;$H455),"Not started","On track")))))</f>
        <v>Not started</v>
      </c>
      <c r="T455" s="90"/>
      <c r="U455" s="216" t="str">
        <f aca="false">IFERROR(INDEX(Schedule!$D$2:$D$147,MATCH($G455,Schedule!$A$2:$A$147,0)),"")</f>
        <v>Treatment Equipment — Sludge dewatering (rotary fan press)</v>
      </c>
      <c r="V455" s="218" t="n">
        <f aca="false">IFERROR(INDEX(Schedule!$F$2:$F$147,MATCH("46-P01",Schedule!$A$2:$A$147,0)),"")</f>
        <v>45016</v>
      </c>
      <c r="W455" s="216" t="s">
        <v>99</v>
      </c>
      <c r="X455" s="216" t="s">
        <v>91</v>
      </c>
      <c r="Y455" s="216" t="n">
        <v>2</v>
      </c>
      <c r="Z455" s="216" t="n">
        <v>0</v>
      </c>
      <c r="AA455" s="216"/>
      <c r="AB455" s="216" t="s">
        <v>2026</v>
      </c>
      <c r="AC455" s="216" t="s">
        <v>120</v>
      </c>
      <c r="AD455" s="216" t="s">
        <v>1619</v>
      </c>
      <c r="AE455" s="216" t="s">
        <v>1562</v>
      </c>
      <c r="AF455" s="216" t="s">
        <v>1861</v>
      </c>
      <c r="AG455" s="216" t="s">
        <v>2027</v>
      </c>
      <c r="AH455" s="216" t="s">
        <v>213</v>
      </c>
    </row>
    <row r="456" customFormat="false" ht="15" hidden="false" customHeight="false" outlineLevel="0" collapsed="false">
      <c r="A456" s="216" t="s">
        <v>60</v>
      </c>
      <c r="B456" s="217" t="s">
        <v>53</v>
      </c>
      <c r="C456" s="216" t="s">
        <v>2028</v>
      </c>
      <c r="D456" s="216" t="s">
        <v>2029</v>
      </c>
      <c r="E456" s="216" t="s">
        <v>1616</v>
      </c>
      <c r="F456" s="90" t="s">
        <v>234</v>
      </c>
      <c r="G456" s="216" t="s">
        <v>2025</v>
      </c>
      <c r="H456" s="218" t="n">
        <f aca="false">IFERROR(INDEX(Schedule!$E$2:$E$147,MATCH($G456,Schedule!$A$2:$A$147,0)),"")</f>
        <v>45231</v>
      </c>
      <c r="I456" s="218" t="n">
        <f aca="false">IFERROR(INDEX(Schedule!$F$2:$F$147,MATCH($G456,Schedule!$A$2:$A$147,0)),"")</f>
        <v>45331</v>
      </c>
      <c r="J456" s="92"/>
      <c r="K456" s="92"/>
      <c r="L456" s="92"/>
      <c r="M456" s="92"/>
      <c r="N456" s="92"/>
      <c r="O456" s="90" t="n">
        <v>1</v>
      </c>
      <c r="P456" s="219" t="n">
        <f aca="false">IFERROR((IF(OR(ISNUMBER(J456),UPPER(TRIM(J456))="N/A"),1,0)*IF($W456="N",0,INDEX('Rules of Credit'!$B$5:$F$8,MATCH($F456,'Rules of Credit'!$A$5:$A$8,0),1))+IF(OR(ISNUMBER(K456),UPPER(TRIM(K456))="N/A"),1,0)*INDEX('Rules of Credit'!$B$5:$F$8,MATCH($F456,'Rules of Credit'!$A$5:$A$8,0),2)+IF(OR(ISNUMBER(L456),UPPER(TRIM(L456))="N/A"),1,0)*INDEX('Rules of Credit'!$B$5:$F$8,MATCH($F456,'Rules of Credit'!$A$5:$A$8,0),3)+IF(OR(ISNUMBER(M456),UPPER(TRIM(M456))="N/A"),1,0)*IF($X456="N",0,INDEX('Rules of Credit'!$B$5:$F$8,MATCH($F456,'Rules of Credit'!$A$5:$A$8,0),4))+IF(OR(ISNUMBER(N456),UPPER(TRIM(N456))="N/A"),1,0)*INDEX('Rules of Credit'!$B$5:$F$8,MATCH($F456,'Rules of Credit'!$A$5:$A$8,0),5))/(IF($W456="N",0,INDEX('Rules of Credit'!$B$5:$F$8,MATCH($F456,'Rules of Credit'!$A$5:$A$8,0),1))+INDEX('Rules of Credit'!$B$5:$F$8,MATCH($F456,'Rules of Credit'!$A$5:$A$8,0),2)+INDEX('Rules of Credit'!$B$5:$F$8,MATCH($F456,'Rules of Credit'!$A$5:$A$8,0),3)+IF($X456="N",0,INDEX('Rules of Credit'!$B$5:$F$8,MATCH($F456,'Rules of Credit'!$A$5:$A$8,0),4))+INDEX('Rules of Credit'!$B$5:$F$8,MATCH($F456,'Rules of Credit'!$A$5:$A$8,0),5)),0)</f>
        <v>0</v>
      </c>
      <c r="Q456" s="219" t="n">
        <f aca="false">IF(OR($H456="",$I456=""),0,IF('Tracker Summary'!$C$3&lt;$H456,0,IF('Tracker Summary'!$C$3&gt;=$I456,1,('Tracker Summary'!$C$3-$H456)/($I456-$H456+1))))</f>
        <v>0</v>
      </c>
      <c r="R456" s="219" t="n">
        <f aca="false">P456-Q456</f>
        <v>0</v>
      </c>
      <c r="S456" s="216" t="str">
        <f aca="false">IF($I456="","Not scheduled",IF(P456&gt;=1,"Complete",IF('Tracker Summary'!$C$3&gt;$I456,"Overdue",IF(P456-Q456&lt;-0.1,"Behind",IF(AND(P456=0,'Tracker Summary'!$C$3&lt;$H456),"Not started","On track")))))</f>
        <v>Not started</v>
      </c>
      <c r="T456" s="90"/>
      <c r="U456" s="216" t="str">
        <f aca="false">IFERROR(INDEX(Schedule!$D$2:$D$147,MATCH($G456,Schedule!$A$2:$A$147,0)),"")</f>
        <v>Treatment Equipment — Sludge dewatering (rotary fan press)</v>
      </c>
      <c r="V456" s="218" t="n">
        <f aca="false">IFERROR(INDEX(Schedule!$F$2:$F$147,MATCH("46-P01",Schedule!$A$2:$A$147,0)),"")</f>
        <v>45016</v>
      </c>
      <c r="W456" s="216" t="s">
        <v>99</v>
      </c>
      <c r="X456" s="216" t="s">
        <v>99</v>
      </c>
      <c r="Y456" s="216" t="n">
        <v>3</v>
      </c>
      <c r="Z456" s="216" t="n">
        <v>5</v>
      </c>
      <c r="AA456" s="216" t="s">
        <v>2030</v>
      </c>
      <c r="AB456" s="216" t="s">
        <v>2031</v>
      </c>
      <c r="AC456" s="216" t="s">
        <v>92</v>
      </c>
      <c r="AD456" s="216" t="s">
        <v>1619</v>
      </c>
      <c r="AE456" s="216" t="s">
        <v>2032</v>
      </c>
      <c r="AF456" s="216" t="s">
        <v>1861</v>
      </c>
      <c r="AG456" s="216" t="s">
        <v>2033</v>
      </c>
      <c r="AH456" s="216" t="s">
        <v>213</v>
      </c>
    </row>
    <row r="457" customFormat="false" ht="15" hidden="false" customHeight="false" outlineLevel="0" collapsed="false">
      <c r="A457" s="216" t="s">
        <v>60</v>
      </c>
      <c r="B457" s="217" t="s">
        <v>53</v>
      </c>
      <c r="C457" s="216" t="s">
        <v>2034</v>
      </c>
      <c r="D457" s="216" t="s">
        <v>2035</v>
      </c>
      <c r="E457" s="216" t="s">
        <v>1616</v>
      </c>
      <c r="F457" s="90" t="s">
        <v>234</v>
      </c>
      <c r="G457" s="216" t="s">
        <v>2025</v>
      </c>
      <c r="H457" s="218" t="n">
        <f aca="false">IFERROR(INDEX(Schedule!$E$2:$E$147,MATCH($G457,Schedule!$A$2:$A$147,0)),"")</f>
        <v>45231</v>
      </c>
      <c r="I457" s="218" t="n">
        <f aca="false">IFERROR(INDEX(Schedule!$F$2:$F$147,MATCH($G457,Schedule!$A$2:$A$147,0)),"")</f>
        <v>45331</v>
      </c>
      <c r="J457" s="92"/>
      <c r="K457" s="92"/>
      <c r="L457" s="92"/>
      <c r="M457" s="92"/>
      <c r="N457" s="92"/>
      <c r="O457" s="90" t="n">
        <v>1</v>
      </c>
      <c r="P457" s="219" t="n">
        <f aca="false">IFERROR((IF(OR(ISNUMBER(J457),UPPER(TRIM(J457))="N/A"),1,0)*IF($W457="N",0,INDEX('Rules of Credit'!$B$5:$F$8,MATCH($F457,'Rules of Credit'!$A$5:$A$8,0),1))+IF(OR(ISNUMBER(K457),UPPER(TRIM(K457))="N/A"),1,0)*INDEX('Rules of Credit'!$B$5:$F$8,MATCH($F457,'Rules of Credit'!$A$5:$A$8,0),2)+IF(OR(ISNUMBER(L457),UPPER(TRIM(L457))="N/A"),1,0)*INDEX('Rules of Credit'!$B$5:$F$8,MATCH($F457,'Rules of Credit'!$A$5:$A$8,0),3)+IF(OR(ISNUMBER(M457),UPPER(TRIM(M457))="N/A"),1,0)*IF($X457="N",0,INDEX('Rules of Credit'!$B$5:$F$8,MATCH($F457,'Rules of Credit'!$A$5:$A$8,0),4))+IF(OR(ISNUMBER(N457),UPPER(TRIM(N457))="N/A"),1,0)*INDEX('Rules of Credit'!$B$5:$F$8,MATCH($F457,'Rules of Credit'!$A$5:$A$8,0),5))/(IF($W457="N",0,INDEX('Rules of Credit'!$B$5:$F$8,MATCH($F457,'Rules of Credit'!$A$5:$A$8,0),1))+INDEX('Rules of Credit'!$B$5:$F$8,MATCH($F457,'Rules of Credit'!$A$5:$A$8,0),2)+INDEX('Rules of Credit'!$B$5:$F$8,MATCH($F457,'Rules of Credit'!$A$5:$A$8,0),3)+IF($X457="N",0,INDEX('Rules of Credit'!$B$5:$F$8,MATCH($F457,'Rules of Credit'!$A$5:$A$8,0),4))+INDEX('Rules of Credit'!$B$5:$F$8,MATCH($F457,'Rules of Credit'!$A$5:$A$8,0),5)),0)</f>
        <v>0</v>
      </c>
      <c r="Q457" s="219" t="n">
        <f aca="false">IF(OR($H457="",$I457=""),0,IF('Tracker Summary'!$C$3&lt;$H457,0,IF('Tracker Summary'!$C$3&gt;=$I457,1,('Tracker Summary'!$C$3-$H457)/($I457-$H457+1))))</f>
        <v>0</v>
      </c>
      <c r="R457" s="219" t="n">
        <f aca="false">P457-Q457</f>
        <v>0</v>
      </c>
      <c r="S457" s="216" t="str">
        <f aca="false">IF($I457="","Not scheduled",IF(P457&gt;=1,"Complete",IF('Tracker Summary'!$C$3&gt;$I457,"Overdue",IF(P457-Q457&lt;-0.1,"Behind",IF(AND(P457=0,'Tracker Summary'!$C$3&lt;$H457),"Not started","On track")))))</f>
        <v>Not started</v>
      </c>
      <c r="T457" s="90"/>
      <c r="U457" s="216" t="str">
        <f aca="false">IFERROR(INDEX(Schedule!$D$2:$D$147,MATCH($G457,Schedule!$A$2:$A$147,0)),"")</f>
        <v>Treatment Equipment — Sludge dewatering (rotary fan press)</v>
      </c>
      <c r="V457" s="218" t="n">
        <f aca="false">IFERROR(INDEX(Schedule!$F$2:$F$147,MATCH("46-P01",Schedule!$A$2:$A$147,0)),"")</f>
        <v>45016</v>
      </c>
      <c r="W457" s="216" t="s">
        <v>99</v>
      </c>
      <c r="X457" s="216" t="s">
        <v>99</v>
      </c>
      <c r="Y457" s="216" t="n">
        <v>1</v>
      </c>
      <c r="Z457" s="216" t="n">
        <v>3</v>
      </c>
      <c r="AA457" s="216"/>
      <c r="AB457" s="216"/>
      <c r="AC457" s="216" t="s">
        <v>92</v>
      </c>
      <c r="AD457" s="216" t="s">
        <v>1619</v>
      </c>
      <c r="AE457" s="216" t="s">
        <v>1775</v>
      </c>
      <c r="AF457" s="216" t="s">
        <v>1861</v>
      </c>
      <c r="AG457" s="216" t="s">
        <v>2036</v>
      </c>
      <c r="AH457" s="216" t="s">
        <v>213</v>
      </c>
    </row>
    <row r="458" customFormat="false" ht="15" hidden="false" customHeight="false" outlineLevel="0" collapsed="false">
      <c r="A458" s="216" t="s">
        <v>60</v>
      </c>
      <c r="B458" s="217" t="s">
        <v>53</v>
      </c>
      <c r="C458" s="216" t="s">
        <v>2037</v>
      </c>
      <c r="D458" s="216" t="s">
        <v>2038</v>
      </c>
      <c r="E458" s="216" t="s">
        <v>1616</v>
      </c>
      <c r="F458" s="90" t="s">
        <v>234</v>
      </c>
      <c r="G458" s="216" t="s">
        <v>2025</v>
      </c>
      <c r="H458" s="218" t="n">
        <f aca="false">IFERROR(INDEX(Schedule!$E$2:$E$147,MATCH($G458,Schedule!$A$2:$A$147,0)),"")</f>
        <v>45231</v>
      </c>
      <c r="I458" s="218" t="n">
        <f aca="false">IFERROR(INDEX(Schedule!$F$2:$F$147,MATCH($G458,Schedule!$A$2:$A$147,0)),"")</f>
        <v>45331</v>
      </c>
      <c r="J458" s="92"/>
      <c r="K458" s="92"/>
      <c r="L458" s="92"/>
      <c r="M458" s="92"/>
      <c r="N458" s="92"/>
      <c r="O458" s="90" t="n">
        <v>1</v>
      </c>
      <c r="P458" s="219" t="n">
        <f aca="false">IFERROR((IF(OR(ISNUMBER(J458),UPPER(TRIM(J458))="N/A"),1,0)*IF($W458="N",0,INDEX('Rules of Credit'!$B$5:$F$8,MATCH($F458,'Rules of Credit'!$A$5:$A$8,0),1))+IF(OR(ISNUMBER(K458),UPPER(TRIM(K458))="N/A"),1,0)*INDEX('Rules of Credit'!$B$5:$F$8,MATCH($F458,'Rules of Credit'!$A$5:$A$8,0),2)+IF(OR(ISNUMBER(L458),UPPER(TRIM(L458))="N/A"),1,0)*INDEX('Rules of Credit'!$B$5:$F$8,MATCH($F458,'Rules of Credit'!$A$5:$A$8,0),3)+IF(OR(ISNUMBER(M458),UPPER(TRIM(M458))="N/A"),1,0)*IF($X458="N",0,INDEX('Rules of Credit'!$B$5:$F$8,MATCH($F458,'Rules of Credit'!$A$5:$A$8,0),4))+IF(OR(ISNUMBER(N458),UPPER(TRIM(N458))="N/A"),1,0)*INDEX('Rules of Credit'!$B$5:$F$8,MATCH($F458,'Rules of Credit'!$A$5:$A$8,0),5))/(IF($W458="N",0,INDEX('Rules of Credit'!$B$5:$F$8,MATCH($F458,'Rules of Credit'!$A$5:$A$8,0),1))+INDEX('Rules of Credit'!$B$5:$F$8,MATCH($F458,'Rules of Credit'!$A$5:$A$8,0),2)+INDEX('Rules of Credit'!$B$5:$F$8,MATCH($F458,'Rules of Credit'!$A$5:$A$8,0),3)+IF($X458="N",0,INDEX('Rules of Credit'!$B$5:$F$8,MATCH($F458,'Rules of Credit'!$A$5:$A$8,0),4))+INDEX('Rules of Credit'!$B$5:$F$8,MATCH($F458,'Rules of Credit'!$A$5:$A$8,0),5)),0)</f>
        <v>0</v>
      </c>
      <c r="Q458" s="219" t="n">
        <f aca="false">IF(OR($H458="",$I458=""),0,IF('Tracker Summary'!$C$3&lt;$H458,0,IF('Tracker Summary'!$C$3&gt;=$I458,1,('Tracker Summary'!$C$3-$H458)/($I458-$H458+1))))</f>
        <v>0</v>
      </c>
      <c r="R458" s="219" t="n">
        <f aca="false">P458-Q458</f>
        <v>0</v>
      </c>
      <c r="S458" s="216" t="str">
        <f aca="false">IF($I458="","Not scheduled",IF(P458&gt;=1,"Complete",IF('Tracker Summary'!$C$3&gt;$I458,"Overdue",IF(P458-Q458&lt;-0.1,"Behind",IF(AND(P458=0,'Tracker Summary'!$C$3&lt;$H458),"Not started","On track")))))</f>
        <v>Not started</v>
      </c>
      <c r="T458" s="90"/>
      <c r="U458" s="216" t="str">
        <f aca="false">IFERROR(INDEX(Schedule!$D$2:$D$147,MATCH($G458,Schedule!$A$2:$A$147,0)),"")</f>
        <v>Treatment Equipment — Sludge dewatering (rotary fan press)</v>
      </c>
      <c r="V458" s="218" t="n">
        <f aca="false">IFERROR(INDEX(Schedule!$F$2:$F$147,MATCH("46-P01",Schedule!$A$2:$A$147,0)),"")</f>
        <v>45016</v>
      </c>
      <c r="W458" s="216" t="s">
        <v>99</v>
      </c>
      <c r="X458" s="216" t="s">
        <v>99</v>
      </c>
      <c r="Y458" s="216" t="n">
        <v>1</v>
      </c>
      <c r="Z458" s="216" t="n">
        <v>3</v>
      </c>
      <c r="AA458" s="216"/>
      <c r="AB458" s="216"/>
      <c r="AC458" s="216" t="s">
        <v>92</v>
      </c>
      <c r="AD458" s="216" t="s">
        <v>1619</v>
      </c>
      <c r="AE458" s="216" t="s">
        <v>1775</v>
      </c>
      <c r="AF458" s="216" t="s">
        <v>1861</v>
      </c>
      <c r="AG458" s="216" t="s">
        <v>2036</v>
      </c>
      <c r="AH458" s="216" t="s">
        <v>213</v>
      </c>
    </row>
    <row r="459" customFormat="false" ht="15" hidden="false" customHeight="false" outlineLevel="0" collapsed="false">
      <c r="A459" s="216" t="s">
        <v>60</v>
      </c>
      <c r="B459" s="217" t="s">
        <v>53</v>
      </c>
      <c r="C459" s="216" t="s">
        <v>2039</v>
      </c>
      <c r="D459" s="216" t="s">
        <v>2040</v>
      </c>
      <c r="E459" s="216" t="s">
        <v>1616</v>
      </c>
      <c r="F459" s="90" t="s">
        <v>234</v>
      </c>
      <c r="G459" s="216" t="s">
        <v>2025</v>
      </c>
      <c r="H459" s="218" t="n">
        <f aca="false">IFERROR(INDEX(Schedule!$E$2:$E$147,MATCH($G459,Schedule!$A$2:$A$147,0)),"")</f>
        <v>45231</v>
      </c>
      <c r="I459" s="218" t="n">
        <f aca="false">IFERROR(INDEX(Schedule!$F$2:$F$147,MATCH($G459,Schedule!$A$2:$A$147,0)),"")</f>
        <v>45331</v>
      </c>
      <c r="J459" s="92"/>
      <c r="K459" s="92"/>
      <c r="L459" s="92"/>
      <c r="M459" s="92"/>
      <c r="N459" s="92"/>
      <c r="O459" s="90" t="n">
        <v>1</v>
      </c>
      <c r="P459" s="219" t="n">
        <f aca="false">IFERROR((IF(OR(ISNUMBER(J459),UPPER(TRIM(J459))="N/A"),1,0)*IF($W459="N",0,INDEX('Rules of Credit'!$B$5:$F$8,MATCH($F459,'Rules of Credit'!$A$5:$A$8,0),1))+IF(OR(ISNUMBER(K459),UPPER(TRIM(K459))="N/A"),1,0)*INDEX('Rules of Credit'!$B$5:$F$8,MATCH($F459,'Rules of Credit'!$A$5:$A$8,0),2)+IF(OR(ISNUMBER(L459),UPPER(TRIM(L459))="N/A"),1,0)*INDEX('Rules of Credit'!$B$5:$F$8,MATCH($F459,'Rules of Credit'!$A$5:$A$8,0),3)+IF(OR(ISNUMBER(M459),UPPER(TRIM(M459))="N/A"),1,0)*IF($X459="N",0,INDEX('Rules of Credit'!$B$5:$F$8,MATCH($F459,'Rules of Credit'!$A$5:$A$8,0),4))+IF(OR(ISNUMBER(N459),UPPER(TRIM(N459))="N/A"),1,0)*INDEX('Rules of Credit'!$B$5:$F$8,MATCH($F459,'Rules of Credit'!$A$5:$A$8,0),5))/(IF($W459="N",0,INDEX('Rules of Credit'!$B$5:$F$8,MATCH($F459,'Rules of Credit'!$A$5:$A$8,0),1))+INDEX('Rules of Credit'!$B$5:$F$8,MATCH($F459,'Rules of Credit'!$A$5:$A$8,0),2)+INDEX('Rules of Credit'!$B$5:$F$8,MATCH($F459,'Rules of Credit'!$A$5:$A$8,0),3)+IF($X459="N",0,INDEX('Rules of Credit'!$B$5:$F$8,MATCH($F459,'Rules of Credit'!$A$5:$A$8,0),4))+INDEX('Rules of Credit'!$B$5:$F$8,MATCH($F459,'Rules of Credit'!$A$5:$A$8,0),5)),0)</f>
        <v>0</v>
      </c>
      <c r="Q459" s="219" t="n">
        <f aca="false">IF(OR($H459="",$I459=""),0,IF('Tracker Summary'!$C$3&lt;$H459,0,IF('Tracker Summary'!$C$3&gt;=$I459,1,('Tracker Summary'!$C$3-$H459)/($I459-$H459+1))))</f>
        <v>0</v>
      </c>
      <c r="R459" s="219" t="n">
        <f aca="false">P459-Q459</f>
        <v>0</v>
      </c>
      <c r="S459" s="216" t="str">
        <f aca="false">IF($I459="","Not scheduled",IF(P459&gt;=1,"Complete",IF('Tracker Summary'!$C$3&gt;$I459,"Overdue",IF(P459-Q459&lt;-0.1,"Behind",IF(AND(P459=0,'Tracker Summary'!$C$3&lt;$H459),"Not started","On track")))))</f>
        <v>Not started</v>
      </c>
      <c r="T459" s="90"/>
      <c r="U459" s="216" t="str">
        <f aca="false">IFERROR(INDEX(Schedule!$D$2:$D$147,MATCH($G459,Schedule!$A$2:$A$147,0)),"")</f>
        <v>Treatment Equipment — Sludge dewatering (rotary fan press)</v>
      </c>
      <c r="V459" s="218" t="n">
        <f aca="false">IFERROR(INDEX(Schedule!$F$2:$F$147,MATCH("46-P01",Schedule!$A$2:$A$147,0)),"")</f>
        <v>45016</v>
      </c>
      <c r="W459" s="216" t="s">
        <v>99</v>
      </c>
      <c r="X459" s="216" t="s">
        <v>91</v>
      </c>
      <c r="Y459" s="216" t="n">
        <v>1</v>
      </c>
      <c r="Z459" s="216" t="n">
        <v>0</v>
      </c>
      <c r="AA459" s="216"/>
      <c r="AB459" s="216"/>
      <c r="AC459" s="216" t="s">
        <v>92</v>
      </c>
      <c r="AD459" s="216" t="s">
        <v>1619</v>
      </c>
      <c r="AE459" s="216" t="s">
        <v>1775</v>
      </c>
      <c r="AF459" s="216" t="s">
        <v>1861</v>
      </c>
      <c r="AG459" s="216" t="s">
        <v>2036</v>
      </c>
      <c r="AH459" s="216" t="s">
        <v>213</v>
      </c>
    </row>
    <row r="460" customFormat="false" ht="15" hidden="false" customHeight="false" outlineLevel="0" collapsed="false">
      <c r="A460" s="216" t="s">
        <v>60</v>
      </c>
      <c r="B460" s="217" t="s">
        <v>53</v>
      </c>
      <c r="C460" s="216" t="s">
        <v>2041</v>
      </c>
      <c r="D460" s="216" t="s">
        <v>2042</v>
      </c>
      <c r="E460" s="216" t="s">
        <v>1616</v>
      </c>
      <c r="F460" s="90" t="s">
        <v>234</v>
      </c>
      <c r="G460" s="216" t="s">
        <v>2025</v>
      </c>
      <c r="H460" s="218" t="n">
        <f aca="false">IFERROR(INDEX(Schedule!$E$2:$E$147,MATCH($G460,Schedule!$A$2:$A$147,0)),"")</f>
        <v>45231</v>
      </c>
      <c r="I460" s="218" t="n">
        <f aca="false">IFERROR(INDEX(Schedule!$F$2:$F$147,MATCH($G460,Schedule!$A$2:$A$147,0)),"")</f>
        <v>45331</v>
      </c>
      <c r="J460" s="92"/>
      <c r="K460" s="92"/>
      <c r="L460" s="92"/>
      <c r="M460" s="92"/>
      <c r="N460" s="92"/>
      <c r="O460" s="90" t="n">
        <v>1</v>
      </c>
      <c r="P460" s="219" t="n">
        <f aca="false">IFERROR((IF(OR(ISNUMBER(J460),UPPER(TRIM(J460))="N/A"),1,0)*IF($W460="N",0,INDEX('Rules of Credit'!$B$5:$F$8,MATCH($F460,'Rules of Credit'!$A$5:$A$8,0),1))+IF(OR(ISNUMBER(K460),UPPER(TRIM(K460))="N/A"),1,0)*INDEX('Rules of Credit'!$B$5:$F$8,MATCH($F460,'Rules of Credit'!$A$5:$A$8,0),2)+IF(OR(ISNUMBER(L460),UPPER(TRIM(L460))="N/A"),1,0)*INDEX('Rules of Credit'!$B$5:$F$8,MATCH($F460,'Rules of Credit'!$A$5:$A$8,0),3)+IF(OR(ISNUMBER(M460),UPPER(TRIM(M460))="N/A"),1,0)*IF($X460="N",0,INDEX('Rules of Credit'!$B$5:$F$8,MATCH($F460,'Rules of Credit'!$A$5:$A$8,0),4))+IF(OR(ISNUMBER(N460),UPPER(TRIM(N460))="N/A"),1,0)*INDEX('Rules of Credit'!$B$5:$F$8,MATCH($F460,'Rules of Credit'!$A$5:$A$8,0),5))/(IF($W460="N",0,INDEX('Rules of Credit'!$B$5:$F$8,MATCH($F460,'Rules of Credit'!$A$5:$A$8,0),1))+INDEX('Rules of Credit'!$B$5:$F$8,MATCH($F460,'Rules of Credit'!$A$5:$A$8,0),2)+INDEX('Rules of Credit'!$B$5:$F$8,MATCH($F460,'Rules of Credit'!$A$5:$A$8,0),3)+IF($X460="N",0,INDEX('Rules of Credit'!$B$5:$F$8,MATCH($F460,'Rules of Credit'!$A$5:$A$8,0),4))+INDEX('Rules of Credit'!$B$5:$F$8,MATCH($F460,'Rules of Credit'!$A$5:$A$8,0),5)),0)</f>
        <v>0</v>
      </c>
      <c r="Q460" s="219" t="n">
        <f aca="false">IF(OR($H460="",$I460=""),0,IF('Tracker Summary'!$C$3&lt;$H460,0,IF('Tracker Summary'!$C$3&gt;=$I460,1,('Tracker Summary'!$C$3-$H460)/($I460-$H460+1))))</f>
        <v>0</v>
      </c>
      <c r="R460" s="219" t="n">
        <f aca="false">P460-Q460</f>
        <v>0</v>
      </c>
      <c r="S460" s="216" t="str">
        <f aca="false">IF($I460="","Not scheduled",IF(P460&gt;=1,"Complete",IF('Tracker Summary'!$C$3&gt;$I460,"Overdue",IF(P460-Q460&lt;-0.1,"Behind",IF(AND(P460=0,'Tracker Summary'!$C$3&lt;$H460),"Not started","On track")))))</f>
        <v>Not started</v>
      </c>
      <c r="T460" s="90"/>
      <c r="U460" s="216" t="str">
        <f aca="false">IFERROR(INDEX(Schedule!$D$2:$D$147,MATCH($G460,Schedule!$A$2:$A$147,0)),"")</f>
        <v>Treatment Equipment — Sludge dewatering (rotary fan press)</v>
      </c>
      <c r="V460" s="218" t="n">
        <f aca="false">IFERROR(INDEX(Schedule!$F$2:$F$147,MATCH("46-P01",Schedule!$A$2:$A$147,0)),"")</f>
        <v>45016</v>
      </c>
      <c r="W460" s="216" t="s">
        <v>99</v>
      </c>
      <c r="X460" s="216" t="s">
        <v>91</v>
      </c>
      <c r="Y460" s="216" t="n">
        <v>1</v>
      </c>
      <c r="Z460" s="216" t="n">
        <v>0</v>
      </c>
      <c r="AA460" s="216"/>
      <c r="AB460" s="216"/>
      <c r="AC460" s="216" t="s">
        <v>92</v>
      </c>
      <c r="AD460" s="216" t="s">
        <v>1619</v>
      </c>
      <c r="AE460" s="216" t="s">
        <v>1775</v>
      </c>
      <c r="AF460" s="216" t="s">
        <v>1861</v>
      </c>
      <c r="AG460" s="216" t="s">
        <v>2036</v>
      </c>
      <c r="AH460" s="216" t="s">
        <v>213</v>
      </c>
    </row>
    <row r="461" customFormat="false" ht="15" hidden="false" customHeight="false" outlineLevel="0" collapsed="false">
      <c r="A461" s="216" t="s">
        <v>60</v>
      </c>
      <c r="B461" s="217" t="s">
        <v>53</v>
      </c>
      <c r="C461" s="216" t="s">
        <v>2043</v>
      </c>
      <c r="D461" s="216" t="s">
        <v>2044</v>
      </c>
      <c r="E461" s="216" t="s">
        <v>1616</v>
      </c>
      <c r="F461" s="90" t="s">
        <v>234</v>
      </c>
      <c r="G461" s="216" t="s">
        <v>2025</v>
      </c>
      <c r="H461" s="218" t="n">
        <f aca="false">IFERROR(INDEX(Schedule!$E$2:$E$147,MATCH($G461,Schedule!$A$2:$A$147,0)),"")</f>
        <v>45231</v>
      </c>
      <c r="I461" s="218" t="n">
        <f aca="false">IFERROR(INDEX(Schedule!$F$2:$F$147,MATCH($G461,Schedule!$A$2:$A$147,0)),"")</f>
        <v>45331</v>
      </c>
      <c r="J461" s="92"/>
      <c r="K461" s="92"/>
      <c r="L461" s="92"/>
      <c r="M461" s="92"/>
      <c r="N461" s="92"/>
      <c r="O461" s="90" t="n">
        <v>1</v>
      </c>
      <c r="P461" s="219" t="n">
        <f aca="false">IFERROR((IF(OR(ISNUMBER(J461),UPPER(TRIM(J461))="N/A"),1,0)*IF($W461="N",0,INDEX('Rules of Credit'!$B$5:$F$8,MATCH($F461,'Rules of Credit'!$A$5:$A$8,0),1))+IF(OR(ISNUMBER(K461),UPPER(TRIM(K461))="N/A"),1,0)*INDEX('Rules of Credit'!$B$5:$F$8,MATCH($F461,'Rules of Credit'!$A$5:$A$8,0),2)+IF(OR(ISNUMBER(L461),UPPER(TRIM(L461))="N/A"),1,0)*INDEX('Rules of Credit'!$B$5:$F$8,MATCH($F461,'Rules of Credit'!$A$5:$A$8,0),3)+IF(OR(ISNUMBER(M461),UPPER(TRIM(M461))="N/A"),1,0)*IF($X461="N",0,INDEX('Rules of Credit'!$B$5:$F$8,MATCH($F461,'Rules of Credit'!$A$5:$A$8,0),4))+IF(OR(ISNUMBER(N461),UPPER(TRIM(N461))="N/A"),1,0)*INDEX('Rules of Credit'!$B$5:$F$8,MATCH($F461,'Rules of Credit'!$A$5:$A$8,0),5))/(IF($W461="N",0,INDEX('Rules of Credit'!$B$5:$F$8,MATCH($F461,'Rules of Credit'!$A$5:$A$8,0),1))+INDEX('Rules of Credit'!$B$5:$F$8,MATCH($F461,'Rules of Credit'!$A$5:$A$8,0),2)+INDEX('Rules of Credit'!$B$5:$F$8,MATCH($F461,'Rules of Credit'!$A$5:$A$8,0),3)+IF($X461="N",0,INDEX('Rules of Credit'!$B$5:$F$8,MATCH($F461,'Rules of Credit'!$A$5:$A$8,0),4))+INDEX('Rules of Credit'!$B$5:$F$8,MATCH($F461,'Rules of Credit'!$A$5:$A$8,0),5)),0)</f>
        <v>0</v>
      </c>
      <c r="Q461" s="219" t="n">
        <f aca="false">IF(OR($H461="",$I461=""),0,IF('Tracker Summary'!$C$3&lt;$H461,0,IF('Tracker Summary'!$C$3&gt;=$I461,1,('Tracker Summary'!$C$3-$H461)/($I461-$H461+1))))</f>
        <v>0</v>
      </c>
      <c r="R461" s="219" t="n">
        <f aca="false">P461-Q461</f>
        <v>0</v>
      </c>
      <c r="S461" s="216" t="str">
        <f aca="false">IF($I461="","Not scheduled",IF(P461&gt;=1,"Complete",IF('Tracker Summary'!$C$3&gt;$I461,"Overdue",IF(P461-Q461&lt;-0.1,"Behind",IF(AND(P461=0,'Tracker Summary'!$C$3&lt;$H461),"Not started","On track")))))</f>
        <v>Not started</v>
      </c>
      <c r="T461" s="90"/>
      <c r="U461" s="216" t="str">
        <f aca="false">IFERROR(INDEX(Schedule!$D$2:$D$147,MATCH($G461,Schedule!$A$2:$A$147,0)),"")</f>
        <v>Treatment Equipment — Sludge dewatering (rotary fan press)</v>
      </c>
      <c r="V461" s="218" t="n">
        <f aca="false">IFERROR(INDEX(Schedule!$F$2:$F$147,MATCH("46-P01",Schedule!$A$2:$A$147,0)),"")</f>
        <v>45016</v>
      </c>
      <c r="W461" s="216" t="s">
        <v>99</v>
      </c>
      <c r="X461" s="216" t="s">
        <v>99</v>
      </c>
      <c r="Y461" s="216" t="n">
        <v>1</v>
      </c>
      <c r="Z461" s="216" t="n">
        <v>3</v>
      </c>
      <c r="AA461" s="216" t="s">
        <v>2030</v>
      </c>
      <c r="AB461" s="216" t="s">
        <v>2031</v>
      </c>
      <c r="AC461" s="216" t="s">
        <v>120</v>
      </c>
      <c r="AD461" s="216" t="s">
        <v>1619</v>
      </c>
      <c r="AE461" s="216" t="s">
        <v>1775</v>
      </c>
      <c r="AF461" s="216" t="s">
        <v>1861</v>
      </c>
      <c r="AG461" s="216" t="s">
        <v>2036</v>
      </c>
      <c r="AH461" s="216" t="s">
        <v>213</v>
      </c>
    </row>
    <row r="462" customFormat="false" ht="15" hidden="false" customHeight="false" outlineLevel="0" collapsed="false">
      <c r="A462" s="216" t="s">
        <v>60</v>
      </c>
      <c r="B462" s="217" t="s">
        <v>53</v>
      </c>
      <c r="C462" s="216" t="s">
        <v>2045</v>
      </c>
      <c r="D462" s="216" t="s">
        <v>2046</v>
      </c>
      <c r="E462" s="216" t="s">
        <v>1616</v>
      </c>
      <c r="F462" s="90" t="s">
        <v>234</v>
      </c>
      <c r="G462" s="216" t="s">
        <v>2025</v>
      </c>
      <c r="H462" s="218" t="n">
        <f aca="false">IFERROR(INDEX(Schedule!$E$2:$E$147,MATCH($G462,Schedule!$A$2:$A$147,0)),"")</f>
        <v>45231</v>
      </c>
      <c r="I462" s="218" t="n">
        <f aca="false">IFERROR(INDEX(Schedule!$F$2:$F$147,MATCH($G462,Schedule!$A$2:$A$147,0)),"")</f>
        <v>45331</v>
      </c>
      <c r="J462" s="92"/>
      <c r="K462" s="92"/>
      <c r="L462" s="92"/>
      <c r="M462" s="92"/>
      <c r="N462" s="92"/>
      <c r="O462" s="90" t="n">
        <v>1</v>
      </c>
      <c r="P462" s="219" t="n">
        <f aca="false">IFERROR((IF(OR(ISNUMBER(J462),UPPER(TRIM(J462))="N/A"),1,0)*IF($W462="N",0,INDEX('Rules of Credit'!$B$5:$F$8,MATCH($F462,'Rules of Credit'!$A$5:$A$8,0),1))+IF(OR(ISNUMBER(K462),UPPER(TRIM(K462))="N/A"),1,0)*INDEX('Rules of Credit'!$B$5:$F$8,MATCH($F462,'Rules of Credit'!$A$5:$A$8,0),2)+IF(OR(ISNUMBER(L462),UPPER(TRIM(L462))="N/A"),1,0)*INDEX('Rules of Credit'!$B$5:$F$8,MATCH($F462,'Rules of Credit'!$A$5:$A$8,0),3)+IF(OR(ISNUMBER(M462),UPPER(TRIM(M462))="N/A"),1,0)*IF($X462="N",0,INDEX('Rules of Credit'!$B$5:$F$8,MATCH($F462,'Rules of Credit'!$A$5:$A$8,0),4))+IF(OR(ISNUMBER(N462),UPPER(TRIM(N462))="N/A"),1,0)*INDEX('Rules of Credit'!$B$5:$F$8,MATCH($F462,'Rules of Credit'!$A$5:$A$8,0),5))/(IF($W462="N",0,INDEX('Rules of Credit'!$B$5:$F$8,MATCH($F462,'Rules of Credit'!$A$5:$A$8,0),1))+INDEX('Rules of Credit'!$B$5:$F$8,MATCH($F462,'Rules of Credit'!$A$5:$A$8,0),2)+INDEX('Rules of Credit'!$B$5:$F$8,MATCH($F462,'Rules of Credit'!$A$5:$A$8,0),3)+IF($X462="N",0,INDEX('Rules of Credit'!$B$5:$F$8,MATCH($F462,'Rules of Credit'!$A$5:$A$8,0),4))+INDEX('Rules of Credit'!$B$5:$F$8,MATCH($F462,'Rules of Credit'!$A$5:$A$8,0),5)),0)</f>
        <v>0</v>
      </c>
      <c r="Q462" s="219" t="n">
        <f aca="false">IF(OR($H462="",$I462=""),0,IF('Tracker Summary'!$C$3&lt;$H462,0,IF('Tracker Summary'!$C$3&gt;=$I462,1,('Tracker Summary'!$C$3-$H462)/($I462-$H462+1))))</f>
        <v>0</v>
      </c>
      <c r="R462" s="219" t="n">
        <f aca="false">P462-Q462</f>
        <v>0</v>
      </c>
      <c r="S462" s="216" t="str">
        <f aca="false">IF($I462="","Not scheduled",IF(P462&gt;=1,"Complete",IF('Tracker Summary'!$C$3&gt;$I462,"Overdue",IF(P462-Q462&lt;-0.1,"Behind",IF(AND(P462=0,'Tracker Summary'!$C$3&lt;$H462),"Not started","On track")))))</f>
        <v>Not started</v>
      </c>
      <c r="T462" s="90"/>
      <c r="U462" s="216" t="str">
        <f aca="false">IFERROR(INDEX(Schedule!$D$2:$D$147,MATCH($G462,Schedule!$A$2:$A$147,0)),"")</f>
        <v>Treatment Equipment — Sludge dewatering (rotary fan press)</v>
      </c>
      <c r="V462" s="218" t="n">
        <f aca="false">IFERROR(INDEX(Schedule!$F$2:$F$147,MATCH("46-P01",Schedule!$A$2:$A$147,0)),"")</f>
        <v>45016</v>
      </c>
      <c r="W462" s="216" t="s">
        <v>99</v>
      </c>
      <c r="X462" s="216" t="s">
        <v>91</v>
      </c>
      <c r="Y462" s="216" t="n">
        <v>2</v>
      </c>
      <c r="Z462" s="216" t="n">
        <v>0</v>
      </c>
      <c r="AA462" s="216" t="s">
        <v>2047</v>
      </c>
      <c r="AB462" s="216" t="s">
        <v>1814</v>
      </c>
      <c r="AC462" s="216" t="s">
        <v>120</v>
      </c>
      <c r="AD462" s="216" t="s">
        <v>1619</v>
      </c>
      <c r="AE462" s="216" t="s">
        <v>1775</v>
      </c>
      <c r="AF462" s="216" t="s">
        <v>2048</v>
      </c>
      <c r="AG462" s="216" t="s">
        <v>2049</v>
      </c>
      <c r="AH462" s="216" t="s">
        <v>213</v>
      </c>
    </row>
    <row r="463" customFormat="false" ht="15" hidden="false" customHeight="false" outlineLevel="0" collapsed="false">
      <c r="A463" s="216" t="s">
        <v>60</v>
      </c>
      <c r="B463" s="217" t="s">
        <v>53</v>
      </c>
      <c r="C463" s="216" t="s">
        <v>2050</v>
      </c>
      <c r="D463" s="216" t="s">
        <v>2051</v>
      </c>
      <c r="E463" s="216" t="s">
        <v>1616</v>
      </c>
      <c r="F463" s="90" t="s">
        <v>234</v>
      </c>
      <c r="G463" s="216" t="s">
        <v>2025</v>
      </c>
      <c r="H463" s="218" t="n">
        <f aca="false">IFERROR(INDEX(Schedule!$E$2:$E$147,MATCH($G463,Schedule!$A$2:$A$147,0)),"")</f>
        <v>45231</v>
      </c>
      <c r="I463" s="218" t="n">
        <f aca="false">IFERROR(INDEX(Schedule!$F$2:$F$147,MATCH($G463,Schedule!$A$2:$A$147,0)),"")</f>
        <v>45331</v>
      </c>
      <c r="J463" s="92"/>
      <c r="K463" s="92"/>
      <c r="L463" s="92"/>
      <c r="M463" s="92"/>
      <c r="N463" s="92"/>
      <c r="O463" s="90" t="n">
        <v>1</v>
      </c>
      <c r="P463" s="219" t="n">
        <f aca="false">IFERROR((IF(OR(ISNUMBER(J463),UPPER(TRIM(J463))="N/A"),1,0)*IF($W463="N",0,INDEX('Rules of Credit'!$B$5:$F$8,MATCH($F463,'Rules of Credit'!$A$5:$A$8,0),1))+IF(OR(ISNUMBER(K463),UPPER(TRIM(K463))="N/A"),1,0)*INDEX('Rules of Credit'!$B$5:$F$8,MATCH($F463,'Rules of Credit'!$A$5:$A$8,0),2)+IF(OR(ISNUMBER(L463),UPPER(TRIM(L463))="N/A"),1,0)*INDEX('Rules of Credit'!$B$5:$F$8,MATCH($F463,'Rules of Credit'!$A$5:$A$8,0),3)+IF(OR(ISNUMBER(M463),UPPER(TRIM(M463))="N/A"),1,0)*IF($X463="N",0,INDEX('Rules of Credit'!$B$5:$F$8,MATCH($F463,'Rules of Credit'!$A$5:$A$8,0),4))+IF(OR(ISNUMBER(N463),UPPER(TRIM(N463))="N/A"),1,0)*INDEX('Rules of Credit'!$B$5:$F$8,MATCH($F463,'Rules of Credit'!$A$5:$A$8,0),5))/(IF($W463="N",0,INDEX('Rules of Credit'!$B$5:$F$8,MATCH($F463,'Rules of Credit'!$A$5:$A$8,0),1))+INDEX('Rules of Credit'!$B$5:$F$8,MATCH($F463,'Rules of Credit'!$A$5:$A$8,0),2)+INDEX('Rules of Credit'!$B$5:$F$8,MATCH($F463,'Rules of Credit'!$A$5:$A$8,0),3)+IF($X463="N",0,INDEX('Rules of Credit'!$B$5:$F$8,MATCH($F463,'Rules of Credit'!$A$5:$A$8,0),4))+INDEX('Rules of Credit'!$B$5:$F$8,MATCH($F463,'Rules of Credit'!$A$5:$A$8,0),5)),0)</f>
        <v>0</v>
      </c>
      <c r="Q463" s="219" t="n">
        <f aca="false">IF(OR($H463="",$I463=""),0,IF('Tracker Summary'!$C$3&lt;$H463,0,IF('Tracker Summary'!$C$3&gt;=$I463,1,('Tracker Summary'!$C$3-$H463)/($I463-$H463+1))))</f>
        <v>0</v>
      </c>
      <c r="R463" s="219" t="n">
        <f aca="false">P463-Q463</f>
        <v>0</v>
      </c>
      <c r="S463" s="216" t="str">
        <f aca="false">IF($I463="","Not scheduled",IF(P463&gt;=1,"Complete",IF('Tracker Summary'!$C$3&gt;$I463,"Overdue",IF(P463-Q463&lt;-0.1,"Behind",IF(AND(P463=0,'Tracker Summary'!$C$3&lt;$H463),"Not started","On track")))))</f>
        <v>Not started</v>
      </c>
      <c r="T463" s="90"/>
      <c r="U463" s="216" t="str">
        <f aca="false">IFERROR(INDEX(Schedule!$D$2:$D$147,MATCH($G463,Schedule!$A$2:$A$147,0)),"")</f>
        <v>Treatment Equipment — Sludge dewatering (rotary fan press)</v>
      </c>
      <c r="V463" s="218" t="n">
        <f aca="false">IFERROR(INDEX(Schedule!$F$2:$F$147,MATCH("46-P01",Schedule!$A$2:$A$147,0)),"")</f>
        <v>45016</v>
      </c>
      <c r="W463" s="216" t="s">
        <v>99</v>
      </c>
      <c r="X463" s="216" t="s">
        <v>99</v>
      </c>
      <c r="Y463" s="216" t="n">
        <v>3</v>
      </c>
      <c r="Z463" s="216" t="n">
        <v>5</v>
      </c>
      <c r="AA463" s="216"/>
      <c r="AB463" s="216"/>
      <c r="AC463" s="216" t="s">
        <v>120</v>
      </c>
      <c r="AD463" s="216" t="s">
        <v>1619</v>
      </c>
      <c r="AE463" s="216" t="s">
        <v>1775</v>
      </c>
      <c r="AF463" s="216" t="s">
        <v>2052</v>
      </c>
      <c r="AG463" s="216" t="s">
        <v>2053</v>
      </c>
      <c r="AH463" s="216" t="s">
        <v>213</v>
      </c>
    </row>
    <row r="464" customFormat="false" ht="15" hidden="false" customHeight="false" outlineLevel="0" collapsed="false">
      <c r="A464" s="216" t="s">
        <v>60</v>
      </c>
      <c r="B464" s="217" t="s">
        <v>53</v>
      </c>
      <c r="C464" s="216" t="s">
        <v>2054</v>
      </c>
      <c r="D464" s="216" t="s">
        <v>2055</v>
      </c>
      <c r="E464" s="216" t="s">
        <v>1616</v>
      </c>
      <c r="F464" s="90" t="s">
        <v>234</v>
      </c>
      <c r="G464" s="216" t="s">
        <v>2025</v>
      </c>
      <c r="H464" s="218" t="n">
        <f aca="false">IFERROR(INDEX(Schedule!$E$2:$E$147,MATCH($G464,Schedule!$A$2:$A$147,0)),"")</f>
        <v>45231</v>
      </c>
      <c r="I464" s="218" t="n">
        <f aca="false">IFERROR(INDEX(Schedule!$F$2:$F$147,MATCH($G464,Schedule!$A$2:$A$147,0)),"")</f>
        <v>45331</v>
      </c>
      <c r="J464" s="92"/>
      <c r="K464" s="92"/>
      <c r="L464" s="92"/>
      <c r="M464" s="92"/>
      <c r="N464" s="92"/>
      <c r="O464" s="90" t="n">
        <v>1</v>
      </c>
      <c r="P464" s="219" t="n">
        <f aca="false">IFERROR((IF(OR(ISNUMBER(J464),UPPER(TRIM(J464))="N/A"),1,0)*IF($W464="N",0,INDEX('Rules of Credit'!$B$5:$F$8,MATCH($F464,'Rules of Credit'!$A$5:$A$8,0),1))+IF(OR(ISNUMBER(K464),UPPER(TRIM(K464))="N/A"),1,0)*INDEX('Rules of Credit'!$B$5:$F$8,MATCH($F464,'Rules of Credit'!$A$5:$A$8,0),2)+IF(OR(ISNUMBER(L464),UPPER(TRIM(L464))="N/A"),1,0)*INDEX('Rules of Credit'!$B$5:$F$8,MATCH($F464,'Rules of Credit'!$A$5:$A$8,0),3)+IF(OR(ISNUMBER(M464),UPPER(TRIM(M464))="N/A"),1,0)*IF($X464="N",0,INDEX('Rules of Credit'!$B$5:$F$8,MATCH($F464,'Rules of Credit'!$A$5:$A$8,0),4))+IF(OR(ISNUMBER(N464),UPPER(TRIM(N464))="N/A"),1,0)*INDEX('Rules of Credit'!$B$5:$F$8,MATCH($F464,'Rules of Credit'!$A$5:$A$8,0),5))/(IF($W464="N",0,INDEX('Rules of Credit'!$B$5:$F$8,MATCH($F464,'Rules of Credit'!$A$5:$A$8,0),1))+INDEX('Rules of Credit'!$B$5:$F$8,MATCH($F464,'Rules of Credit'!$A$5:$A$8,0),2)+INDEX('Rules of Credit'!$B$5:$F$8,MATCH($F464,'Rules of Credit'!$A$5:$A$8,0),3)+IF($X464="N",0,INDEX('Rules of Credit'!$B$5:$F$8,MATCH($F464,'Rules of Credit'!$A$5:$A$8,0),4))+INDEX('Rules of Credit'!$B$5:$F$8,MATCH($F464,'Rules of Credit'!$A$5:$A$8,0),5)),0)</f>
        <v>0</v>
      </c>
      <c r="Q464" s="219" t="n">
        <f aca="false">IF(OR($H464="",$I464=""),0,IF('Tracker Summary'!$C$3&lt;$H464,0,IF('Tracker Summary'!$C$3&gt;=$I464,1,('Tracker Summary'!$C$3-$H464)/($I464-$H464+1))))</f>
        <v>0</v>
      </c>
      <c r="R464" s="219" t="n">
        <f aca="false">P464-Q464</f>
        <v>0</v>
      </c>
      <c r="S464" s="216" t="str">
        <f aca="false">IF($I464="","Not scheduled",IF(P464&gt;=1,"Complete",IF('Tracker Summary'!$C$3&gt;$I464,"Overdue",IF(P464-Q464&lt;-0.1,"Behind",IF(AND(P464=0,'Tracker Summary'!$C$3&lt;$H464),"Not started","On track")))))</f>
        <v>Not started</v>
      </c>
      <c r="T464" s="90"/>
      <c r="U464" s="216" t="str">
        <f aca="false">IFERROR(INDEX(Schedule!$D$2:$D$147,MATCH($G464,Schedule!$A$2:$A$147,0)),"")</f>
        <v>Treatment Equipment — Sludge dewatering (rotary fan press)</v>
      </c>
      <c r="V464" s="218" t="n">
        <f aca="false">IFERROR(INDEX(Schedule!$F$2:$F$147,MATCH("46-P01",Schedule!$A$2:$A$147,0)),"")</f>
        <v>45016</v>
      </c>
      <c r="W464" s="216" t="s">
        <v>91</v>
      </c>
      <c r="X464" s="216" t="s">
        <v>91</v>
      </c>
      <c r="Y464" s="216" t="n">
        <v>0</v>
      </c>
      <c r="Z464" s="216" t="n">
        <v>0</v>
      </c>
      <c r="AA464" s="216"/>
      <c r="AB464" s="216" t="s">
        <v>2056</v>
      </c>
      <c r="AC464" s="216" t="s">
        <v>92</v>
      </c>
      <c r="AD464" s="216" t="s">
        <v>93</v>
      </c>
      <c r="AE464" s="216" t="s">
        <v>2057</v>
      </c>
      <c r="AF464" s="216"/>
      <c r="AG464" s="216" t="s">
        <v>2057</v>
      </c>
      <c r="AH464" s="216" t="s">
        <v>213</v>
      </c>
    </row>
    <row r="465" customFormat="false" ht="15" hidden="false" customHeight="false" outlineLevel="0" collapsed="false">
      <c r="A465" s="216" t="s">
        <v>60</v>
      </c>
      <c r="B465" s="217" t="s">
        <v>53</v>
      </c>
      <c r="C465" s="216" t="s">
        <v>2058</v>
      </c>
      <c r="D465" s="216" t="s">
        <v>2059</v>
      </c>
      <c r="E465" s="216" t="s">
        <v>1616</v>
      </c>
      <c r="F465" s="90" t="s">
        <v>234</v>
      </c>
      <c r="G465" s="216" t="s">
        <v>2025</v>
      </c>
      <c r="H465" s="218" t="n">
        <f aca="false">IFERROR(INDEX(Schedule!$E$2:$E$147,MATCH($G465,Schedule!$A$2:$A$147,0)),"")</f>
        <v>45231</v>
      </c>
      <c r="I465" s="218" t="n">
        <f aca="false">IFERROR(INDEX(Schedule!$F$2:$F$147,MATCH($G465,Schedule!$A$2:$A$147,0)),"")</f>
        <v>45331</v>
      </c>
      <c r="J465" s="92"/>
      <c r="K465" s="92"/>
      <c r="L465" s="92"/>
      <c r="M465" s="92"/>
      <c r="N465" s="92"/>
      <c r="O465" s="90" t="n">
        <v>1</v>
      </c>
      <c r="P465" s="219" t="n">
        <f aca="false">IFERROR((IF(OR(ISNUMBER(J465),UPPER(TRIM(J465))="N/A"),1,0)*IF($W465="N",0,INDEX('Rules of Credit'!$B$5:$F$8,MATCH($F465,'Rules of Credit'!$A$5:$A$8,0),1))+IF(OR(ISNUMBER(K465),UPPER(TRIM(K465))="N/A"),1,0)*INDEX('Rules of Credit'!$B$5:$F$8,MATCH($F465,'Rules of Credit'!$A$5:$A$8,0),2)+IF(OR(ISNUMBER(L465),UPPER(TRIM(L465))="N/A"),1,0)*INDEX('Rules of Credit'!$B$5:$F$8,MATCH($F465,'Rules of Credit'!$A$5:$A$8,0),3)+IF(OR(ISNUMBER(M465),UPPER(TRIM(M465))="N/A"),1,0)*IF($X465="N",0,INDEX('Rules of Credit'!$B$5:$F$8,MATCH($F465,'Rules of Credit'!$A$5:$A$8,0),4))+IF(OR(ISNUMBER(N465),UPPER(TRIM(N465))="N/A"),1,0)*INDEX('Rules of Credit'!$B$5:$F$8,MATCH($F465,'Rules of Credit'!$A$5:$A$8,0),5))/(IF($W465="N",0,INDEX('Rules of Credit'!$B$5:$F$8,MATCH($F465,'Rules of Credit'!$A$5:$A$8,0),1))+INDEX('Rules of Credit'!$B$5:$F$8,MATCH($F465,'Rules of Credit'!$A$5:$A$8,0),2)+INDEX('Rules of Credit'!$B$5:$F$8,MATCH($F465,'Rules of Credit'!$A$5:$A$8,0),3)+IF($X465="N",0,INDEX('Rules of Credit'!$B$5:$F$8,MATCH($F465,'Rules of Credit'!$A$5:$A$8,0),4))+INDEX('Rules of Credit'!$B$5:$F$8,MATCH($F465,'Rules of Credit'!$A$5:$A$8,0),5)),0)</f>
        <v>0</v>
      </c>
      <c r="Q465" s="219" t="n">
        <f aca="false">IF(OR($H465="",$I465=""),0,IF('Tracker Summary'!$C$3&lt;$H465,0,IF('Tracker Summary'!$C$3&gt;=$I465,1,('Tracker Summary'!$C$3-$H465)/($I465-$H465+1))))</f>
        <v>0</v>
      </c>
      <c r="R465" s="219" t="n">
        <f aca="false">P465-Q465</f>
        <v>0</v>
      </c>
      <c r="S465" s="216" t="str">
        <f aca="false">IF($I465="","Not scheduled",IF(P465&gt;=1,"Complete",IF('Tracker Summary'!$C$3&gt;$I465,"Overdue",IF(P465-Q465&lt;-0.1,"Behind",IF(AND(P465=0,'Tracker Summary'!$C$3&lt;$H465),"Not started","On track")))))</f>
        <v>Not started</v>
      </c>
      <c r="T465" s="90"/>
      <c r="U465" s="216" t="str">
        <f aca="false">IFERROR(INDEX(Schedule!$D$2:$D$147,MATCH($G465,Schedule!$A$2:$A$147,0)),"")</f>
        <v>Treatment Equipment — Sludge dewatering (rotary fan press)</v>
      </c>
      <c r="V465" s="218" t="n">
        <f aca="false">IFERROR(INDEX(Schedule!$F$2:$F$147,MATCH("46-P01",Schedule!$A$2:$A$147,0)),"")</f>
        <v>45016</v>
      </c>
      <c r="W465" s="216" t="s">
        <v>99</v>
      </c>
      <c r="X465" s="216" t="s">
        <v>91</v>
      </c>
      <c r="Y465" s="216" t="n">
        <v>2</v>
      </c>
      <c r="Z465" s="216" t="n">
        <v>0</v>
      </c>
      <c r="AA465" s="216"/>
      <c r="AB465" s="216" t="s">
        <v>2060</v>
      </c>
      <c r="AC465" s="216" t="s">
        <v>92</v>
      </c>
      <c r="AD465" s="216" t="s">
        <v>1619</v>
      </c>
      <c r="AE465" s="216"/>
      <c r="AF465" s="216" t="s">
        <v>2061</v>
      </c>
      <c r="AG465" s="216" t="s">
        <v>2061</v>
      </c>
      <c r="AH465" s="216" t="s">
        <v>213</v>
      </c>
    </row>
    <row r="466" customFormat="false" ht="15" hidden="false" customHeight="false" outlineLevel="0" collapsed="false">
      <c r="A466" s="216" t="s">
        <v>60</v>
      </c>
      <c r="B466" s="217" t="s">
        <v>53</v>
      </c>
      <c r="C466" s="216" t="s">
        <v>2062</v>
      </c>
      <c r="D466" s="216" t="s">
        <v>2063</v>
      </c>
      <c r="E466" s="216" t="s">
        <v>1616</v>
      </c>
      <c r="F466" s="90" t="s">
        <v>234</v>
      </c>
      <c r="G466" s="216" t="s">
        <v>2025</v>
      </c>
      <c r="H466" s="218" t="n">
        <f aca="false">IFERROR(INDEX(Schedule!$E$2:$E$147,MATCH($G466,Schedule!$A$2:$A$147,0)),"")</f>
        <v>45231</v>
      </c>
      <c r="I466" s="218" t="n">
        <f aca="false">IFERROR(INDEX(Schedule!$F$2:$F$147,MATCH($G466,Schedule!$A$2:$A$147,0)),"")</f>
        <v>45331</v>
      </c>
      <c r="J466" s="92"/>
      <c r="K466" s="92"/>
      <c r="L466" s="92"/>
      <c r="M466" s="92"/>
      <c r="N466" s="92"/>
      <c r="O466" s="90" t="n">
        <v>1</v>
      </c>
      <c r="P466" s="219" t="n">
        <f aca="false">IFERROR((IF(OR(ISNUMBER(J466),UPPER(TRIM(J466))="N/A"),1,0)*IF($W466="N",0,INDEX('Rules of Credit'!$B$5:$F$8,MATCH($F466,'Rules of Credit'!$A$5:$A$8,0),1))+IF(OR(ISNUMBER(K466),UPPER(TRIM(K466))="N/A"),1,0)*INDEX('Rules of Credit'!$B$5:$F$8,MATCH($F466,'Rules of Credit'!$A$5:$A$8,0),2)+IF(OR(ISNUMBER(L466),UPPER(TRIM(L466))="N/A"),1,0)*INDEX('Rules of Credit'!$B$5:$F$8,MATCH($F466,'Rules of Credit'!$A$5:$A$8,0),3)+IF(OR(ISNUMBER(M466),UPPER(TRIM(M466))="N/A"),1,0)*IF($X466="N",0,INDEX('Rules of Credit'!$B$5:$F$8,MATCH($F466,'Rules of Credit'!$A$5:$A$8,0),4))+IF(OR(ISNUMBER(N466),UPPER(TRIM(N466))="N/A"),1,0)*INDEX('Rules of Credit'!$B$5:$F$8,MATCH($F466,'Rules of Credit'!$A$5:$A$8,0),5))/(IF($W466="N",0,INDEX('Rules of Credit'!$B$5:$F$8,MATCH($F466,'Rules of Credit'!$A$5:$A$8,0),1))+INDEX('Rules of Credit'!$B$5:$F$8,MATCH($F466,'Rules of Credit'!$A$5:$A$8,0),2)+INDEX('Rules of Credit'!$B$5:$F$8,MATCH($F466,'Rules of Credit'!$A$5:$A$8,0),3)+IF($X466="N",0,INDEX('Rules of Credit'!$B$5:$F$8,MATCH($F466,'Rules of Credit'!$A$5:$A$8,0),4))+INDEX('Rules of Credit'!$B$5:$F$8,MATCH($F466,'Rules of Credit'!$A$5:$A$8,0),5)),0)</f>
        <v>0</v>
      </c>
      <c r="Q466" s="219" t="n">
        <f aca="false">IF(OR($H466="",$I466=""),0,IF('Tracker Summary'!$C$3&lt;$H466,0,IF('Tracker Summary'!$C$3&gt;=$I466,1,('Tracker Summary'!$C$3-$H466)/($I466-$H466+1))))</f>
        <v>0</v>
      </c>
      <c r="R466" s="219" t="n">
        <f aca="false">P466-Q466</f>
        <v>0</v>
      </c>
      <c r="S466" s="216" t="str">
        <f aca="false">IF($I466="","Not scheduled",IF(P466&gt;=1,"Complete",IF('Tracker Summary'!$C$3&gt;$I466,"Overdue",IF(P466-Q466&lt;-0.1,"Behind",IF(AND(P466=0,'Tracker Summary'!$C$3&lt;$H466),"Not started","On track")))))</f>
        <v>Not started</v>
      </c>
      <c r="T466" s="90"/>
      <c r="U466" s="216" t="str">
        <f aca="false">IFERROR(INDEX(Schedule!$D$2:$D$147,MATCH($G466,Schedule!$A$2:$A$147,0)),"")</f>
        <v>Treatment Equipment — Sludge dewatering (rotary fan press)</v>
      </c>
      <c r="V466" s="218" t="n">
        <f aca="false">IFERROR(INDEX(Schedule!$F$2:$F$147,MATCH("46-P01",Schedule!$A$2:$A$147,0)),"")</f>
        <v>45016</v>
      </c>
      <c r="W466" s="216" t="s">
        <v>99</v>
      </c>
      <c r="X466" s="216" t="s">
        <v>91</v>
      </c>
      <c r="Y466" s="216" t="n">
        <v>1</v>
      </c>
      <c r="Z466" s="216" t="n">
        <v>0</v>
      </c>
      <c r="AA466" s="216"/>
      <c r="AB466" s="216" t="s">
        <v>2064</v>
      </c>
      <c r="AC466" s="216" t="s">
        <v>92</v>
      </c>
      <c r="AD466" s="216" t="s">
        <v>1619</v>
      </c>
      <c r="AE466" s="216"/>
      <c r="AF466" s="216" t="s">
        <v>1861</v>
      </c>
      <c r="AG466" s="216" t="s">
        <v>1861</v>
      </c>
      <c r="AH466" s="216" t="s">
        <v>213</v>
      </c>
    </row>
    <row r="467" customFormat="false" ht="15" hidden="false" customHeight="false" outlineLevel="0" collapsed="false">
      <c r="A467" s="216" t="s">
        <v>60</v>
      </c>
      <c r="B467" s="217" t="s">
        <v>53</v>
      </c>
      <c r="C467" s="216" t="s">
        <v>2065</v>
      </c>
      <c r="D467" s="216" t="s">
        <v>2066</v>
      </c>
      <c r="E467" s="216" t="s">
        <v>1616</v>
      </c>
      <c r="F467" s="90" t="s">
        <v>234</v>
      </c>
      <c r="G467" s="216" t="s">
        <v>2025</v>
      </c>
      <c r="H467" s="218" t="n">
        <f aca="false">IFERROR(INDEX(Schedule!$E$2:$E$147,MATCH($G467,Schedule!$A$2:$A$147,0)),"")</f>
        <v>45231</v>
      </c>
      <c r="I467" s="218" t="n">
        <f aca="false">IFERROR(INDEX(Schedule!$F$2:$F$147,MATCH($G467,Schedule!$A$2:$A$147,0)),"")</f>
        <v>45331</v>
      </c>
      <c r="J467" s="92"/>
      <c r="K467" s="92"/>
      <c r="L467" s="92"/>
      <c r="M467" s="92"/>
      <c r="N467" s="92"/>
      <c r="O467" s="90" t="n">
        <v>1</v>
      </c>
      <c r="P467" s="219" t="n">
        <f aca="false">IFERROR((IF(OR(ISNUMBER(J467),UPPER(TRIM(J467))="N/A"),1,0)*IF($W467="N",0,INDEX('Rules of Credit'!$B$5:$F$8,MATCH($F467,'Rules of Credit'!$A$5:$A$8,0),1))+IF(OR(ISNUMBER(K467),UPPER(TRIM(K467))="N/A"),1,0)*INDEX('Rules of Credit'!$B$5:$F$8,MATCH($F467,'Rules of Credit'!$A$5:$A$8,0),2)+IF(OR(ISNUMBER(L467),UPPER(TRIM(L467))="N/A"),1,0)*INDEX('Rules of Credit'!$B$5:$F$8,MATCH($F467,'Rules of Credit'!$A$5:$A$8,0),3)+IF(OR(ISNUMBER(M467),UPPER(TRIM(M467))="N/A"),1,0)*IF($X467="N",0,INDEX('Rules of Credit'!$B$5:$F$8,MATCH($F467,'Rules of Credit'!$A$5:$A$8,0),4))+IF(OR(ISNUMBER(N467),UPPER(TRIM(N467))="N/A"),1,0)*INDEX('Rules of Credit'!$B$5:$F$8,MATCH($F467,'Rules of Credit'!$A$5:$A$8,0),5))/(IF($W467="N",0,INDEX('Rules of Credit'!$B$5:$F$8,MATCH($F467,'Rules of Credit'!$A$5:$A$8,0),1))+INDEX('Rules of Credit'!$B$5:$F$8,MATCH($F467,'Rules of Credit'!$A$5:$A$8,0),2)+INDEX('Rules of Credit'!$B$5:$F$8,MATCH($F467,'Rules of Credit'!$A$5:$A$8,0),3)+IF($X467="N",0,INDEX('Rules of Credit'!$B$5:$F$8,MATCH($F467,'Rules of Credit'!$A$5:$A$8,0),4))+INDEX('Rules of Credit'!$B$5:$F$8,MATCH($F467,'Rules of Credit'!$A$5:$A$8,0),5)),0)</f>
        <v>0</v>
      </c>
      <c r="Q467" s="219" t="n">
        <f aca="false">IF(OR($H467="",$I467=""),0,IF('Tracker Summary'!$C$3&lt;$H467,0,IF('Tracker Summary'!$C$3&gt;=$I467,1,('Tracker Summary'!$C$3-$H467)/($I467-$H467+1))))</f>
        <v>0</v>
      </c>
      <c r="R467" s="219" t="n">
        <f aca="false">P467-Q467</f>
        <v>0</v>
      </c>
      <c r="S467" s="216" t="str">
        <f aca="false">IF($I467="","Not scheduled",IF(P467&gt;=1,"Complete",IF('Tracker Summary'!$C$3&gt;$I467,"Overdue",IF(P467-Q467&lt;-0.1,"Behind",IF(AND(P467=0,'Tracker Summary'!$C$3&lt;$H467),"Not started","On track")))))</f>
        <v>Not started</v>
      </c>
      <c r="T467" s="90"/>
      <c r="U467" s="216" t="str">
        <f aca="false">IFERROR(INDEX(Schedule!$D$2:$D$147,MATCH($G467,Schedule!$A$2:$A$147,0)),"")</f>
        <v>Treatment Equipment — Sludge dewatering (rotary fan press)</v>
      </c>
      <c r="V467" s="218" t="n">
        <f aca="false">IFERROR(INDEX(Schedule!$F$2:$F$147,MATCH("46-P01",Schedule!$A$2:$A$147,0)),"")</f>
        <v>45016</v>
      </c>
      <c r="W467" s="216" t="s">
        <v>99</v>
      </c>
      <c r="X467" s="216" t="s">
        <v>99</v>
      </c>
      <c r="Y467" s="216" t="n">
        <v>12</v>
      </c>
      <c r="Z467" s="216" t="n">
        <v>6</v>
      </c>
      <c r="AA467" s="216" t="s">
        <v>2067</v>
      </c>
      <c r="AB467" s="216" t="s">
        <v>2068</v>
      </c>
      <c r="AC467" s="216" t="s">
        <v>120</v>
      </c>
      <c r="AD467" s="216" t="s">
        <v>1619</v>
      </c>
      <c r="AE467" s="216"/>
      <c r="AF467" s="216" t="s">
        <v>1854</v>
      </c>
      <c r="AG467" s="216" t="s">
        <v>1855</v>
      </c>
      <c r="AH467" s="216" t="s">
        <v>109</v>
      </c>
    </row>
  </sheetData>
  <autoFilter ref="A4:AH467"/>
  <conditionalFormatting sqref="S5:S467">
    <cfRule type="cellIs" priority="2" operator="equal" aboveAverage="0" equalAverage="0" bottom="0" percent="0" rank="0" text="" dxfId="42">
      <formula>"Overdue"</formula>
    </cfRule>
    <cfRule type="cellIs" priority="3" operator="equal" aboveAverage="0" equalAverage="0" bottom="0" percent="0" rank="0" text="" dxfId="43">
      <formula>"Behind"</formula>
    </cfRule>
    <cfRule type="cellIs" priority="4" operator="equal" aboveAverage="0" equalAverage="0" bottom="0" percent="0" rank="0" text="" dxfId="44">
      <formula>"Complete"</formula>
    </cfRule>
    <cfRule type="cellIs" priority="5" operator="equal" aboveAverage="0" equalAverage="0" bottom="0" percent="0" rank="0" text="" dxfId="45">
      <formula>"On track"</formula>
    </cfRule>
  </conditionalFormatting>
  <dataValidations count="3">
    <dataValidation allowBlank="false" errorStyle="stop" operator="between" showDropDown="false" showErrorMessage="false" showInputMessage="false" sqref="F6:F17 F19:F39 F41:F70 F72:F77 F79:F82 F84 F86:F88 F90:F96 F98:F122 F124:F138 F140:F242 F244:F262 F264:F275 F277:F364 F366 F368:F369 F371:F401 F403:F406 F408:F467" type="list">
      <formula1>"Install,Remove,Temporary,Modify / connect"</formula1>
      <formula2>0</formula2>
    </dataValidation>
    <dataValidation allowBlank="true" error="Enter a date, or N/A if the step does not apply." errorStyle="stop" errorTitle="Date or N/A" operator="between" showDropDown="false" showErrorMessage="true" showInputMessage="false" sqref="J6:N17 J19:N39 J41:N70 J72:N77 J79:N82 J84:N84 J86:N88 J90:N96 J98:N122 J124:N138 J140:N242 J244:N262 J264:N275 J277:N364 J366:N366 J368:N369 J371:N401 J403:N406 J408:N467" type="custom">
      <formula1>OR(ISNUMBER(J5),UPPER(J5)="N/A",J5="")</formula1>
      <formula2>0</formula2>
    </dataValidation>
    <dataValidation allowBlank="true" errorStyle="stop" operator="greaterThanOrEqual" showDropDown="false" showErrorMessage="false" showInputMessage="false" sqref="O6:O17 O19:O39 O41:O70 O72:O77 O79:O82 O84 O86:O88 O90:O96 O98:O122 O124:O138 O140:O242 O244:O262 O264:O275 O277:O364 O366 O368:O369 O371:O401 O403:O406 O408:O467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6"/>
  </cols>
  <sheetData>
    <row r="1" customFormat="false" ht="15" hidden="false" customHeight="false" outlineLevel="0" collapsed="false">
      <c r="A1" s="220" t="s">
        <v>2069</v>
      </c>
    </row>
    <row r="2" customFormat="false" ht="15" hidden="false" customHeight="false" outlineLevel="0" collapsed="false">
      <c r="A2" s="4" t="s">
        <v>2070</v>
      </c>
    </row>
    <row r="3" customFormat="false" ht="15" hidden="false" customHeight="false" outlineLevel="0" collapsed="false">
      <c r="A3" s="221"/>
      <c r="B3" s="221"/>
      <c r="C3" s="221"/>
      <c r="D3" s="221"/>
      <c r="E3" s="221"/>
      <c r="F3" s="221"/>
      <c r="G3" s="221"/>
    </row>
    <row r="4" customFormat="false" ht="26.85" hidden="false" customHeight="false" outlineLevel="0" collapsed="false">
      <c r="A4" s="222" t="s">
        <v>62</v>
      </c>
      <c r="B4" s="222" t="s">
        <v>64</v>
      </c>
      <c r="C4" s="222" t="s">
        <v>65</v>
      </c>
      <c r="D4" s="222" t="s">
        <v>66</v>
      </c>
      <c r="E4" s="222" t="s">
        <v>67</v>
      </c>
      <c r="F4" s="222" t="s">
        <v>68</v>
      </c>
      <c r="G4" s="222" t="s">
        <v>2071</v>
      </c>
    </row>
    <row r="5" customFormat="false" ht="15" hidden="false" customHeight="false" outlineLevel="0" collapsed="false">
      <c r="A5" s="221" t="s">
        <v>234</v>
      </c>
      <c r="B5" s="223" t="n">
        <v>5</v>
      </c>
      <c r="C5" s="223" t="n">
        <v>15</v>
      </c>
      <c r="D5" s="223" t="n">
        <v>50</v>
      </c>
      <c r="E5" s="223" t="n">
        <v>20</v>
      </c>
      <c r="F5" s="223" t="n">
        <v>10</v>
      </c>
      <c r="G5" s="221" t="n">
        <f aca="false">SUM(B5:F5)</f>
        <v>100</v>
      </c>
    </row>
    <row r="6" customFormat="false" ht="15" hidden="false" customHeight="false" outlineLevel="0" collapsed="false">
      <c r="A6" s="221" t="s">
        <v>149</v>
      </c>
      <c r="B6" s="223" t="n">
        <v>0</v>
      </c>
      <c r="C6" s="223" t="n">
        <v>10</v>
      </c>
      <c r="D6" s="223" t="n">
        <v>80</v>
      </c>
      <c r="E6" s="223" t="n">
        <v>0</v>
      </c>
      <c r="F6" s="223" t="n">
        <v>10</v>
      </c>
      <c r="G6" s="221" t="n">
        <f aca="false">SUM(B6:F6)</f>
        <v>100</v>
      </c>
    </row>
    <row r="7" customFormat="false" ht="15" hidden="false" customHeight="false" outlineLevel="0" collapsed="false">
      <c r="A7" s="221" t="s">
        <v>89</v>
      </c>
      <c r="B7" s="223" t="n">
        <v>5</v>
      </c>
      <c r="C7" s="223" t="n">
        <v>15</v>
      </c>
      <c r="D7" s="223" t="n">
        <v>40</v>
      </c>
      <c r="E7" s="223" t="n">
        <v>20</v>
      </c>
      <c r="F7" s="223" t="n">
        <v>20</v>
      </c>
      <c r="G7" s="221" t="n">
        <f aca="false">SUM(B7:F7)</f>
        <v>100</v>
      </c>
    </row>
    <row r="8" customFormat="false" ht="15" hidden="false" customHeight="false" outlineLevel="0" collapsed="false">
      <c r="A8" s="221" t="s">
        <v>216</v>
      </c>
      <c r="B8" s="223" t="n">
        <v>5</v>
      </c>
      <c r="C8" s="223" t="n">
        <v>10</v>
      </c>
      <c r="D8" s="223" t="n">
        <v>55</v>
      </c>
      <c r="E8" s="223" t="n">
        <v>20</v>
      </c>
      <c r="F8" s="223" t="n">
        <v>10</v>
      </c>
      <c r="G8" s="221" t="n">
        <f aca="false">SUM(B8:F8)</f>
        <v>100</v>
      </c>
    </row>
    <row r="9" customFormat="false" ht="15" hidden="false" customHeight="false" outlineLevel="0" collapsed="false">
      <c r="A9" s="221"/>
      <c r="B9" s="221"/>
      <c r="C9" s="221"/>
      <c r="D9" s="221"/>
      <c r="E9" s="221"/>
      <c r="F9" s="221"/>
      <c r="G9" s="221"/>
    </row>
    <row r="10" customFormat="false" ht="15" hidden="false" customHeight="false" outlineLevel="0" collapsed="false">
      <c r="A10" s="221" t="s">
        <v>2072</v>
      </c>
      <c r="B10" s="221"/>
      <c r="C10" s="221"/>
      <c r="D10" s="221"/>
      <c r="E10" s="221"/>
      <c r="F10" s="221"/>
      <c r="G10" s="221"/>
    </row>
    <row r="11" customFormat="false" ht="15" hidden="false" customHeight="false" outlineLevel="0" collapsed="false">
      <c r="A11" s="221" t="s">
        <v>2073</v>
      </c>
      <c r="B11" s="221"/>
      <c r="C11" s="221"/>
      <c r="D11" s="221"/>
      <c r="E11" s="221"/>
      <c r="F11" s="221"/>
      <c r="G11" s="221"/>
    </row>
    <row r="12" customFormat="false" ht="15" hidden="false" customHeight="false" outlineLevel="0" collapsed="false">
      <c r="A12" s="221" t="s">
        <v>2074</v>
      </c>
      <c r="B12" s="221"/>
      <c r="C12" s="221"/>
      <c r="D12" s="221"/>
      <c r="E12" s="221"/>
      <c r="F12" s="221"/>
      <c r="G12" s="221"/>
    </row>
    <row r="13" customFormat="false" ht="15" hidden="false" customHeight="false" outlineLevel="0" collapsed="false">
      <c r="A13" s="221" t="s">
        <v>2075</v>
      </c>
      <c r="B13" s="221"/>
      <c r="C13" s="221"/>
      <c r="D13" s="221"/>
      <c r="E13" s="221"/>
      <c r="F13" s="221"/>
      <c r="G13" s="221"/>
    </row>
    <row r="14" customFormat="false" ht="15" hidden="false" customHeight="false" outlineLevel="0" collapsed="false">
      <c r="A14" s="221" t="s">
        <v>2076</v>
      </c>
      <c r="B14" s="221"/>
      <c r="C14" s="221"/>
      <c r="D14" s="221"/>
      <c r="E14" s="221"/>
      <c r="F14" s="221"/>
      <c r="G14" s="221"/>
    </row>
    <row r="15" customFormat="false" ht="15" hidden="false" customHeight="false" outlineLevel="0" collapsed="false">
      <c r="A15" s="221" t="s">
        <v>2077</v>
      </c>
      <c r="B15" s="221"/>
      <c r="C15" s="221"/>
      <c r="D15" s="221"/>
      <c r="E15" s="221"/>
      <c r="F15" s="221"/>
      <c r="G15" s="2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224" t="s">
        <v>2078</v>
      </c>
      <c r="B1" s="224" t="s">
        <v>2079</v>
      </c>
      <c r="C1" s="224" t="s">
        <v>3</v>
      </c>
      <c r="D1" s="224" t="s">
        <v>2080</v>
      </c>
      <c r="E1" s="224" t="s">
        <v>2081</v>
      </c>
      <c r="F1" s="224" t="s">
        <v>2082</v>
      </c>
    </row>
    <row r="2" customFormat="false" ht="15" hidden="false" customHeight="false" outlineLevel="0" collapsed="false">
      <c r="A2" s="225" t="s">
        <v>2083</v>
      </c>
      <c r="B2" s="225" t="s">
        <v>2084</v>
      </c>
      <c r="C2" s="225" t="s">
        <v>2084</v>
      </c>
      <c r="D2" s="225" t="s">
        <v>2085</v>
      </c>
      <c r="E2" s="226" t="n">
        <v>44965</v>
      </c>
      <c r="F2" s="226" t="n">
        <v>44965</v>
      </c>
    </row>
    <row r="3" customFormat="false" ht="15" hidden="false" customHeight="false" outlineLevel="0" collapsed="false">
      <c r="A3" s="225" t="s">
        <v>2086</v>
      </c>
      <c r="B3" s="225" t="s">
        <v>2084</v>
      </c>
      <c r="C3" s="225" t="s">
        <v>2084</v>
      </c>
      <c r="D3" s="225" t="s">
        <v>2087</v>
      </c>
      <c r="E3" s="226" t="n">
        <v>44972</v>
      </c>
      <c r="F3" s="226" t="n">
        <v>44972</v>
      </c>
    </row>
    <row r="4" customFormat="false" ht="15" hidden="false" customHeight="false" outlineLevel="0" collapsed="false">
      <c r="A4" s="225" t="s">
        <v>2088</v>
      </c>
      <c r="B4" s="225" t="s">
        <v>2084</v>
      </c>
      <c r="C4" s="225" t="s">
        <v>2084</v>
      </c>
      <c r="D4" s="225" t="s">
        <v>2089</v>
      </c>
      <c r="E4" s="226" t="n">
        <v>44982</v>
      </c>
      <c r="F4" s="226" t="n">
        <v>44982</v>
      </c>
    </row>
    <row r="5" customFormat="false" ht="15" hidden="false" customHeight="false" outlineLevel="0" collapsed="false">
      <c r="A5" s="225" t="s">
        <v>2090</v>
      </c>
      <c r="B5" s="225" t="s">
        <v>2084</v>
      </c>
      <c r="C5" s="225" t="s">
        <v>2084</v>
      </c>
      <c r="D5" s="225" t="s">
        <v>2091</v>
      </c>
      <c r="E5" s="226" t="n">
        <v>45000</v>
      </c>
      <c r="F5" s="226" t="n">
        <v>45000</v>
      </c>
    </row>
    <row r="6" customFormat="false" ht="15" hidden="false" customHeight="false" outlineLevel="0" collapsed="false">
      <c r="A6" s="225" t="s">
        <v>2092</v>
      </c>
      <c r="B6" s="225" t="s">
        <v>2084</v>
      </c>
      <c r="C6" s="225" t="s">
        <v>2084</v>
      </c>
      <c r="D6" s="225" t="s">
        <v>2093</v>
      </c>
      <c r="E6" s="226" t="n">
        <v>45203</v>
      </c>
      <c r="F6" s="226" t="n">
        <v>45203</v>
      </c>
    </row>
    <row r="7" customFormat="false" ht="15" hidden="false" customHeight="false" outlineLevel="0" collapsed="false">
      <c r="A7" s="225" t="s">
        <v>2094</v>
      </c>
      <c r="B7" s="225" t="s">
        <v>2084</v>
      </c>
      <c r="C7" s="225" t="s">
        <v>2084</v>
      </c>
      <c r="D7" s="225" t="s">
        <v>2095</v>
      </c>
      <c r="E7" s="226" t="n">
        <v>45206</v>
      </c>
      <c r="F7" s="226" t="n">
        <v>45206</v>
      </c>
    </row>
    <row r="8" customFormat="false" ht="15" hidden="false" customHeight="false" outlineLevel="0" collapsed="false">
      <c r="A8" s="225" t="s">
        <v>2096</v>
      </c>
      <c r="B8" s="225" t="s">
        <v>2084</v>
      </c>
      <c r="C8" s="225" t="s">
        <v>2084</v>
      </c>
      <c r="D8" s="225" t="s">
        <v>2097</v>
      </c>
      <c r="E8" s="226" t="n">
        <v>45210</v>
      </c>
      <c r="F8" s="226" t="n">
        <v>45210</v>
      </c>
    </row>
    <row r="9" customFormat="false" ht="15" hidden="false" customHeight="false" outlineLevel="0" collapsed="false">
      <c r="A9" s="225" t="s">
        <v>2098</v>
      </c>
      <c r="B9" s="225" t="s">
        <v>2084</v>
      </c>
      <c r="C9" s="225" t="s">
        <v>2084</v>
      </c>
      <c r="D9" s="225" t="s">
        <v>2099</v>
      </c>
      <c r="E9" s="226" t="n">
        <v>45217</v>
      </c>
      <c r="F9" s="226" t="n">
        <v>45217</v>
      </c>
    </row>
    <row r="10" customFormat="false" ht="15" hidden="false" customHeight="false" outlineLevel="0" collapsed="false">
      <c r="A10" s="225" t="s">
        <v>2100</v>
      </c>
      <c r="B10" s="225" t="s">
        <v>2084</v>
      </c>
      <c r="C10" s="225" t="s">
        <v>2084</v>
      </c>
      <c r="D10" s="225" t="s">
        <v>2101</v>
      </c>
      <c r="E10" s="226" t="n">
        <v>45224</v>
      </c>
      <c r="F10" s="226" t="n">
        <v>45224</v>
      </c>
    </row>
    <row r="11" customFormat="false" ht="15" hidden="false" customHeight="false" outlineLevel="0" collapsed="false">
      <c r="A11" s="225" t="s">
        <v>2102</v>
      </c>
      <c r="B11" s="225" t="s">
        <v>2084</v>
      </c>
      <c r="C11" s="225" t="s">
        <v>2084</v>
      </c>
      <c r="D11" s="225" t="s">
        <v>2103</v>
      </c>
      <c r="E11" s="226" t="n">
        <v>45231</v>
      </c>
      <c r="F11" s="226" t="n">
        <v>45231</v>
      </c>
    </row>
    <row r="12" customFormat="false" ht="15" hidden="false" customHeight="false" outlineLevel="0" collapsed="false">
      <c r="A12" s="225" t="s">
        <v>2104</v>
      </c>
      <c r="B12" s="225" t="s">
        <v>2084</v>
      </c>
      <c r="C12" s="225" t="s">
        <v>2084</v>
      </c>
      <c r="D12" s="225" t="s">
        <v>2105</v>
      </c>
      <c r="E12" s="226" t="n">
        <v>45331</v>
      </c>
      <c r="F12" s="226" t="n">
        <v>45331</v>
      </c>
    </row>
    <row r="13" customFormat="false" ht="15" hidden="false" customHeight="false" outlineLevel="0" collapsed="false">
      <c r="A13" s="225" t="s">
        <v>2106</v>
      </c>
      <c r="B13" s="225" t="s">
        <v>2084</v>
      </c>
      <c r="C13" s="225" t="s">
        <v>2084</v>
      </c>
      <c r="D13" s="225" t="s">
        <v>2107</v>
      </c>
      <c r="E13" s="226" t="n">
        <v>45412</v>
      </c>
      <c r="F13" s="226" t="n">
        <v>45412</v>
      </c>
    </row>
    <row r="14" customFormat="false" ht="15" hidden="false" customHeight="false" outlineLevel="0" collapsed="false">
      <c r="A14" s="225" t="s">
        <v>2108</v>
      </c>
      <c r="B14" s="225" t="s">
        <v>2084</v>
      </c>
      <c r="C14" s="225" t="s">
        <v>2084</v>
      </c>
      <c r="D14" s="225" t="s">
        <v>2109</v>
      </c>
      <c r="E14" s="226" t="n">
        <v>45481</v>
      </c>
      <c r="F14" s="226" t="n">
        <v>45481</v>
      </c>
    </row>
    <row r="15" customFormat="false" ht="15" hidden="false" customHeight="false" outlineLevel="0" collapsed="false">
      <c r="A15" s="225" t="s">
        <v>2110</v>
      </c>
      <c r="B15" s="225" t="s">
        <v>2084</v>
      </c>
      <c r="C15" s="225" t="s">
        <v>2084</v>
      </c>
      <c r="D15" s="225" t="s">
        <v>2111</v>
      </c>
      <c r="E15" s="226" t="n">
        <v>45499</v>
      </c>
      <c r="F15" s="226" t="n">
        <v>45499</v>
      </c>
    </row>
    <row r="16" customFormat="false" ht="15" hidden="false" customHeight="false" outlineLevel="0" collapsed="false">
      <c r="A16" s="225" t="s">
        <v>2112</v>
      </c>
      <c r="B16" s="225" t="s">
        <v>2084</v>
      </c>
      <c r="C16" s="225" t="s">
        <v>2084</v>
      </c>
      <c r="D16" s="225" t="s">
        <v>2113</v>
      </c>
      <c r="E16" s="226" t="n">
        <v>45581</v>
      </c>
      <c r="F16" s="226" t="n">
        <v>45581</v>
      </c>
    </row>
    <row r="17" customFormat="false" ht="15" hidden="false" customHeight="false" outlineLevel="0" collapsed="false">
      <c r="A17" s="225" t="s">
        <v>130</v>
      </c>
      <c r="B17" s="225" t="s">
        <v>2114</v>
      </c>
      <c r="C17" s="225" t="s">
        <v>17</v>
      </c>
      <c r="D17" s="225" t="s">
        <v>2115</v>
      </c>
      <c r="E17" s="226" t="n">
        <v>45017</v>
      </c>
      <c r="F17" s="226" t="n">
        <v>45210</v>
      </c>
    </row>
    <row r="18" customFormat="false" ht="15" hidden="false" customHeight="false" outlineLevel="0" collapsed="false">
      <c r="A18" s="225" t="s">
        <v>90</v>
      </c>
      <c r="B18" s="225" t="s">
        <v>2114</v>
      </c>
      <c r="C18" s="225" t="s">
        <v>17</v>
      </c>
      <c r="D18" s="225" t="s">
        <v>2116</v>
      </c>
      <c r="E18" s="226" t="n">
        <v>45000</v>
      </c>
      <c r="F18" s="226" t="n">
        <v>45581</v>
      </c>
    </row>
    <row r="19" customFormat="false" ht="15" hidden="false" customHeight="false" outlineLevel="0" collapsed="false">
      <c r="A19" s="225" t="s">
        <v>226</v>
      </c>
      <c r="B19" s="225" t="s">
        <v>2114</v>
      </c>
      <c r="C19" s="225" t="s">
        <v>19</v>
      </c>
      <c r="D19" s="225" t="s">
        <v>2117</v>
      </c>
      <c r="E19" s="226" t="n">
        <v>45413</v>
      </c>
      <c r="F19" s="226" t="n">
        <v>45443</v>
      </c>
    </row>
    <row r="20" customFormat="false" ht="15" hidden="false" customHeight="false" outlineLevel="0" collapsed="false">
      <c r="A20" s="225" t="s">
        <v>150</v>
      </c>
      <c r="B20" s="225" t="s">
        <v>2114</v>
      </c>
      <c r="C20" s="225" t="s">
        <v>19</v>
      </c>
      <c r="D20" s="225" t="s">
        <v>2118</v>
      </c>
      <c r="E20" s="226" t="n">
        <v>45017</v>
      </c>
      <c r="F20" s="226" t="n">
        <v>45077</v>
      </c>
    </row>
    <row r="21" customFormat="false" ht="15" hidden="false" customHeight="false" outlineLevel="0" collapsed="false">
      <c r="A21" s="225" t="s">
        <v>217</v>
      </c>
      <c r="B21" s="225" t="s">
        <v>2114</v>
      </c>
      <c r="C21" s="225" t="s">
        <v>19</v>
      </c>
      <c r="D21" s="225" t="s">
        <v>2119</v>
      </c>
      <c r="E21" s="226" t="n">
        <v>45017</v>
      </c>
      <c r="F21" s="226" t="n">
        <v>45231</v>
      </c>
    </row>
    <row r="22" customFormat="false" ht="15" hidden="false" customHeight="false" outlineLevel="0" collapsed="false">
      <c r="A22" s="225" t="s">
        <v>311</v>
      </c>
      <c r="B22" s="225" t="s">
        <v>2114</v>
      </c>
      <c r="C22" s="225" t="s">
        <v>21</v>
      </c>
      <c r="D22" s="225" t="s">
        <v>2120</v>
      </c>
      <c r="E22" s="226" t="n">
        <v>45047</v>
      </c>
      <c r="F22" s="226" t="n">
        <v>45217</v>
      </c>
    </row>
    <row r="23" customFormat="false" ht="15" hidden="false" customHeight="false" outlineLevel="0" collapsed="false">
      <c r="A23" s="225" t="s">
        <v>235</v>
      </c>
      <c r="B23" s="225" t="s">
        <v>2114</v>
      </c>
      <c r="C23" s="225" t="s">
        <v>21</v>
      </c>
      <c r="D23" s="225" t="s">
        <v>2121</v>
      </c>
      <c r="E23" s="226" t="n">
        <v>45017</v>
      </c>
      <c r="F23" s="226" t="n">
        <v>45138</v>
      </c>
    </row>
    <row r="24" customFormat="false" ht="15" hidden="false" customHeight="false" outlineLevel="0" collapsed="false">
      <c r="A24" s="225" t="s">
        <v>385</v>
      </c>
      <c r="B24" s="225" t="s">
        <v>2114</v>
      </c>
      <c r="C24" s="225" t="s">
        <v>21</v>
      </c>
      <c r="D24" s="225" t="s">
        <v>2122</v>
      </c>
      <c r="E24" s="226" t="n">
        <v>45352</v>
      </c>
      <c r="F24" s="226" t="n">
        <v>45412</v>
      </c>
    </row>
    <row r="25" customFormat="false" ht="15" hidden="false" customHeight="false" outlineLevel="0" collapsed="false">
      <c r="A25" s="225" t="s">
        <v>316</v>
      </c>
      <c r="B25" s="225" t="s">
        <v>2114</v>
      </c>
      <c r="C25" s="225" t="s">
        <v>21</v>
      </c>
      <c r="D25" s="225" t="s">
        <v>2123</v>
      </c>
      <c r="E25" s="226" t="n">
        <v>45078</v>
      </c>
      <c r="F25" s="226" t="n">
        <v>45224</v>
      </c>
    </row>
    <row r="26" customFormat="false" ht="15" hidden="false" customHeight="false" outlineLevel="0" collapsed="false">
      <c r="A26" s="225" t="s">
        <v>249</v>
      </c>
      <c r="B26" s="225" t="s">
        <v>2114</v>
      </c>
      <c r="C26" s="225" t="s">
        <v>21</v>
      </c>
      <c r="D26" s="225" t="s">
        <v>2124</v>
      </c>
      <c r="E26" s="226" t="n">
        <v>45017</v>
      </c>
      <c r="F26" s="226" t="n">
        <v>45231</v>
      </c>
    </row>
    <row r="27" customFormat="false" ht="15" hidden="false" customHeight="false" outlineLevel="0" collapsed="false">
      <c r="A27" s="225" t="s">
        <v>377</v>
      </c>
      <c r="B27" s="225" t="s">
        <v>2114</v>
      </c>
      <c r="C27" s="225" t="s">
        <v>21</v>
      </c>
      <c r="D27" s="225" t="s">
        <v>2125</v>
      </c>
      <c r="E27" s="226" t="n">
        <v>45139</v>
      </c>
      <c r="F27" s="226" t="n">
        <v>45481</v>
      </c>
    </row>
    <row r="28" customFormat="false" ht="15" hidden="false" customHeight="false" outlineLevel="0" collapsed="false">
      <c r="A28" s="225" t="s">
        <v>257</v>
      </c>
      <c r="B28" s="225" t="s">
        <v>2114</v>
      </c>
      <c r="C28" s="225" t="s">
        <v>21</v>
      </c>
      <c r="D28" s="225" t="s">
        <v>2126</v>
      </c>
      <c r="E28" s="226" t="n">
        <v>45017</v>
      </c>
      <c r="F28" s="226" t="n">
        <v>45231</v>
      </c>
    </row>
    <row r="29" customFormat="false" ht="15" hidden="false" customHeight="false" outlineLevel="0" collapsed="false">
      <c r="A29" s="225" t="s">
        <v>288</v>
      </c>
      <c r="B29" s="225" t="s">
        <v>2114</v>
      </c>
      <c r="C29" s="225" t="s">
        <v>21</v>
      </c>
      <c r="D29" s="225" t="s">
        <v>2127</v>
      </c>
      <c r="E29" s="226" t="n">
        <v>45017</v>
      </c>
      <c r="F29" s="226" t="n">
        <v>45231</v>
      </c>
    </row>
    <row r="30" customFormat="false" ht="15" hidden="false" customHeight="false" outlineLevel="0" collapsed="false">
      <c r="A30" s="225" t="s">
        <v>411</v>
      </c>
      <c r="B30" s="225" t="s">
        <v>2114</v>
      </c>
      <c r="C30" s="225" t="s">
        <v>23</v>
      </c>
      <c r="D30" s="225" t="s">
        <v>2128</v>
      </c>
      <c r="E30" s="226" t="n">
        <v>45139</v>
      </c>
      <c r="F30" s="226" t="n">
        <v>45481</v>
      </c>
    </row>
    <row r="31" customFormat="false" ht="15" hidden="false" customHeight="false" outlineLevel="0" collapsed="false">
      <c r="A31" s="225" t="s">
        <v>389</v>
      </c>
      <c r="B31" s="225" t="s">
        <v>2114</v>
      </c>
      <c r="C31" s="225" t="s">
        <v>23</v>
      </c>
      <c r="D31" s="225" t="s">
        <v>2129</v>
      </c>
      <c r="E31" s="226" t="n">
        <v>45017</v>
      </c>
      <c r="F31" s="226" t="n">
        <v>45231</v>
      </c>
    </row>
    <row r="32" customFormat="false" ht="15" hidden="false" customHeight="false" outlineLevel="0" collapsed="false">
      <c r="A32" s="225" t="s">
        <v>427</v>
      </c>
      <c r="B32" s="225" t="s">
        <v>2114</v>
      </c>
      <c r="C32" s="225" t="s">
        <v>25</v>
      </c>
      <c r="D32" s="225" t="s">
        <v>2130</v>
      </c>
      <c r="E32" s="226" t="n">
        <v>45017</v>
      </c>
      <c r="F32" s="226" t="n">
        <v>45138</v>
      </c>
    </row>
    <row r="33" customFormat="false" ht="15" hidden="false" customHeight="false" outlineLevel="0" collapsed="false">
      <c r="A33" s="225" t="s">
        <v>441</v>
      </c>
      <c r="B33" s="225" t="s">
        <v>2114</v>
      </c>
      <c r="C33" s="225" t="s">
        <v>27</v>
      </c>
      <c r="D33" s="225" t="s">
        <v>2131</v>
      </c>
      <c r="E33" s="226" t="n">
        <v>45078</v>
      </c>
      <c r="F33" s="226" t="n">
        <v>45224</v>
      </c>
    </row>
    <row r="34" customFormat="false" ht="15" hidden="false" customHeight="false" outlineLevel="0" collapsed="false">
      <c r="A34" s="225" t="s">
        <v>446</v>
      </c>
      <c r="B34" s="225" t="s">
        <v>2114</v>
      </c>
      <c r="C34" s="225" t="s">
        <v>29</v>
      </c>
      <c r="D34" s="225" t="s">
        <v>2132</v>
      </c>
      <c r="E34" s="226" t="n">
        <v>45017</v>
      </c>
      <c r="F34" s="226" t="n">
        <v>45138</v>
      </c>
    </row>
    <row r="35" customFormat="false" ht="15" hidden="false" customHeight="false" outlineLevel="0" collapsed="false">
      <c r="A35" s="225" t="s">
        <v>458</v>
      </c>
      <c r="B35" s="225" t="s">
        <v>2114</v>
      </c>
      <c r="C35" s="225" t="s">
        <v>29</v>
      </c>
      <c r="D35" s="225" t="s">
        <v>2133</v>
      </c>
      <c r="E35" s="226" t="n">
        <v>45139</v>
      </c>
      <c r="F35" s="226" t="n">
        <v>45481</v>
      </c>
    </row>
    <row r="36" customFormat="false" ht="15" hidden="false" customHeight="false" outlineLevel="0" collapsed="false">
      <c r="A36" s="225" t="s">
        <v>452</v>
      </c>
      <c r="B36" s="225" t="s">
        <v>2114</v>
      </c>
      <c r="C36" s="225" t="s">
        <v>29</v>
      </c>
      <c r="D36" s="225" t="s">
        <v>2134</v>
      </c>
      <c r="E36" s="226" t="n">
        <v>45017</v>
      </c>
      <c r="F36" s="226" t="n">
        <v>45231</v>
      </c>
    </row>
    <row r="37" customFormat="false" ht="15" hidden="false" customHeight="false" outlineLevel="0" collapsed="false">
      <c r="A37" s="225" t="s">
        <v>466</v>
      </c>
      <c r="B37" s="225" t="s">
        <v>2114</v>
      </c>
      <c r="C37" s="225" t="s">
        <v>31</v>
      </c>
      <c r="D37" s="225" t="s">
        <v>2135</v>
      </c>
      <c r="E37" s="226" t="n">
        <v>45017</v>
      </c>
      <c r="F37" s="226" t="n">
        <v>45138</v>
      </c>
    </row>
    <row r="38" customFormat="false" ht="15" hidden="false" customHeight="false" outlineLevel="0" collapsed="false">
      <c r="A38" s="225" t="s">
        <v>496</v>
      </c>
      <c r="B38" s="225" t="s">
        <v>2114</v>
      </c>
      <c r="C38" s="225" t="s">
        <v>31</v>
      </c>
      <c r="D38" s="225" t="s">
        <v>2136</v>
      </c>
      <c r="E38" s="226" t="n">
        <v>45413</v>
      </c>
      <c r="F38" s="226" t="n">
        <v>45443</v>
      </c>
    </row>
    <row r="39" customFormat="false" ht="15" hidden="false" customHeight="false" outlineLevel="0" collapsed="false">
      <c r="A39" s="225" t="s">
        <v>476</v>
      </c>
      <c r="B39" s="225" t="s">
        <v>2114</v>
      </c>
      <c r="C39" s="225" t="s">
        <v>31</v>
      </c>
      <c r="D39" s="225" t="s">
        <v>2137</v>
      </c>
      <c r="E39" s="226" t="n">
        <v>45017</v>
      </c>
      <c r="F39" s="226" t="n">
        <v>45077</v>
      </c>
    </row>
    <row r="40" customFormat="false" ht="15" hidden="false" customHeight="false" outlineLevel="0" collapsed="false">
      <c r="A40" s="225" t="s">
        <v>486</v>
      </c>
      <c r="B40" s="225" t="s">
        <v>2114</v>
      </c>
      <c r="C40" s="225" t="s">
        <v>31</v>
      </c>
      <c r="D40" s="225" t="s">
        <v>2138</v>
      </c>
      <c r="E40" s="226" t="n">
        <v>45017</v>
      </c>
      <c r="F40" s="226" t="n">
        <v>45331</v>
      </c>
    </row>
    <row r="41" customFormat="false" ht="15" hidden="false" customHeight="false" outlineLevel="0" collapsed="false">
      <c r="A41" s="225" t="s">
        <v>568</v>
      </c>
      <c r="B41" s="225" t="s">
        <v>2114</v>
      </c>
      <c r="C41" s="225" t="s">
        <v>33</v>
      </c>
      <c r="D41" s="225" t="s">
        <v>2139</v>
      </c>
      <c r="E41" s="226" t="n">
        <v>45078</v>
      </c>
      <c r="F41" s="226" t="n">
        <v>45224</v>
      </c>
    </row>
    <row r="42" customFormat="false" ht="15" hidden="false" customHeight="false" outlineLevel="0" collapsed="false">
      <c r="A42" s="225" t="s">
        <v>508</v>
      </c>
      <c r="B42" s="225" t="s">
        <v>2114</v>
      </c>
      <c r="C42" s="225" t="s">
        <v>33</v>
      </c>
      <c r="D42" s="225" t="s">
        <v>2140</v>
      </c>
      <c r="E42" s="226" t="n">
        <v>45017</v>
      </c>
      <c r="F42" s="226" t="n">
        <v>45231</v>
      </c>
    </row>
    <row r="43" customFormat="false" ht="15" hidden="false" customHeight="false" outlineLevel="0" collapsed="false">
      <c r="A43" s="225" t="s">
        <v>538</v>
      </c>
      <c r="B43" s="225" t="s">
        <v>2114</v>
      </c>
      <c r="C43" s="225" t="s">
        <v>33</v>
      </c>
      <c r="D43" s="225" t="s">
        <v>2141</v>
      </c>
      <c r="E43" s="226" t="n">
        <v>45017</v>
      </c>
      <c r="F43" s="226" t="n">
        <v>45331</v>
      </c>
    </row>
    <row r="44" customFormat="false" ht="15" hidden="false" customHeight="false" outlineLevel="0" collapsed="false">
      <c r="A44" s="225" t="s">
        <v>554</v>
      </c>
      <c r="B44" s="225" t="s">
        <v>2114</v>
      </c>
      <c r="C44" s="225" t="s">
        <v>33</v>
      </c>
      <c r="D44" s="225" t="s">
        <v>2142</v>
      </c>
      <c r="E44" s="226" t="n">
        <v>45017</v>
      </c>
      <c r="F44" s="226" t="n">
        <v>45231</v>
      </c>
    </row>
    <row r="45" customFormat="false" ht="15" hidden="false" customHeight="false" outlineLevel="0" collapsed="false">
      <c r="A45" s="225" t="s">
        <v>629</v>
      </c>
      <c r="B45" s="225" t="s">
        <v>2114</v>
      </c>
      <c r="C45" s="225" t="s">
        <v>35</v>
      </c>
      <c r="D45" s="225" t="s">
        <v>2143</v>
      </c>
      <c r="E45" s="226" t="n">
        <v>45017</v>
      </c>
      <c r="F45" s="226" t="n">
        <v>45138</v>
      </c>
    </row>
    <row r="46" customFormat="false" ht="15" hidden="false" customHeight="false" outlineLevel="0" collapsed="false">
      <c r="A46" s="225" t="s">
        <v>671</v>
      </c>
      <c r="B46" s="225" t="s">
        <v>2114</v>
      </c>
      <c r="C46" s="225" t="s">
        <v>35</v>
      </c>
      <c r="D46" s="225" t="s">
        <v>2144</v>
      </c>
      <c r="E46" s="226" t="n">
        <v>45017</v>
      </c>
      <c r="F46" s="226" t="n">
        <v>45331</v>
      </c>
    </row>
    <row r="47" customFormat="false" ht="15" hidden="false" customHeight="false" outlineLevel="0" collapsed="false">
      <c r="A47" s="225" t="s">
        <v>952</v>
      </c>
      <c r="B47" s="225" t="s">
        <v>2114</v>
      </c>
      <c r="C47" s="225" t="s">
        <v>37</v>
      </c>
      <c r="D47" s="225" t="s">
        <v>2145</v>
      </c>
      <c r="E47" s="226" t="n">
        <v>45047</v>
      </c>
      <c r="F47" s="226" t="n">
        <v>45217</v>
      </c>
    </row>
    <row r="48" customFormat="false" ht="15" hidden="false" customHeight="false" outlineLevel="0" collapsed="false">
      <c r="A48" s="225" t="s">
        <v>702</v>
      </c>
      <c r="B48" s="225" t="s">
        <v>2114</v>
      </c>
      <c r="C48" s="225" t="s">
        <v>37</v>
      </c>
      <c r="D48" s="225" t="s">
        <v>2146</v>
      </c>
      <c r="E48" s="226" t="n">
        <v>45017</v>
      </c>
      <c r="F48" s="226" t="n">
        <v>45138</v>
      </c>
    </row>
    <row r="49" customFormat="false" ht="15" hidden="false" customHeight="false" outlineLevel="0" collapsed="false">
      <c r="A49" s="225" t="s">
        <v>1116</v>
      </c>
      <c r="B49" s="225" t="s">
        <v>2114</v>
      </c>
      <c r="C49" s="225" t="s">
        <v>37</v>
      </c>
      <c r="D49" s="225" t="s">
        <v>2147</v>
      </c>
      <c r="E49" s="226" t="n">
        <v>45413</v>
      </c>
      <c r="F49" s="226" t="n">
        <v>45443</v>
      </c>
    </row>
    <row r="50" customFormat="false" ht="15" hidden="false" customHeight="false" outlineLevel="0" collapsed="false">
      <c r="A50" s="225" t="s">
        <v>1080</v>
      </c>
      <c r="B50" s="225" t="s">
        <v>2114</v>
      </c>
      <c r="C50" s="225" t="s">
        <v>37</v>
      </c>
      <c r="D50" s="225" t="s">
        <v>2148</v>
      </c>
      <c r="E50" s="226" t="n">
        <v>45204</v>
      </c>
      <c r="F50" s="226" t="n">
        <v>45230</v>
      </c>
    </row>
    <row r="51" customFormat="false" ht="15" hidden="false" customHeight="false" outlineLevel="0" collapsed="false">
      <c r="A51" s="225" t="s">
        <v>790</v>
      </c>
      <c r="B51" s="225" t="s">
        <v>2114</v>
      </c>
      <c r="C51" s="225" t="s">
        <v>37</v>
      </c>
      <c r="D51" s="225" t="s">
        <v>2149</v>
      </c>
      <c r="E51" s="226" t="n">
        <v>45017</v>
      </c>
      <c r="F51" s="226" t="n">
        <v>45231</v>
      </c>
    </row>
    <row r="52" customFormat="false" ht="15" hidden="false" customHeight="false" outlineLevel="0" collapsed="false">
      <c r="A52" s="225" t="s">
        <v>2150</v>
      </c>
      <c r="B52" s="225" t="s">
        <v>2151</v>
      </c>
      <c r="C52" s="225" t="s">
        <v>37</v>
      </c>
      <c r="D52" s="225" t="s">
        <v>2152</v>
      </c>
      <c r="E52" s="226"/>
      <c r="F52" s="226"/>
    </row>
    <row r="53" customFormat="false" ht="15" hidden="false" customHeight="false" outlineLevel="0" collapsed="false">
      <c r="A53" s="225" t="s">
        <v>1091</v>
      </c>
      <c r="B53" s="225" t="s">
        <v>2114</v>
      </c>
      <c r="C53" s="225" t="s">
        <v>37</v>
      </c>
      <c r="D53" s="225" t="s">
        <v>2153</v>
      </c>
      <c r="E53" s="226" t="n">
        <v>45352</v>
      </c>
      <c r="F53" s="226" t="n">
        <v>45412</v>
      </c>
    </row>
    <row r="54" customFormat="false" ht="15" hidden="false" customHeight="false" outlineLevel="0" collapsed="false">
      <c r="A54" s="225" t="s">
        <v>976</v>
      </c>
      <c r="B54" s="225" t="s">
        <v>2114</v>
      </c>
      <c r="C54" s="225" t="s">
        <v>37</v>
      </c>
      <c r="D54" s="225" t="s">
        <v>2154</v>
      </c>
      <c r="E54" s="226" t="n">
        <v>45078</v>
      </c>
      <c r="F54" s="226" t="n">
        <v>45224</v>
      </c>
    </row>
    <row r="55" customFormat="false" ht="15" hidden="false" customHeight="false" outlineLevel="0" collapsed="false">
      <c r="A55" s="225" t="s">
        <v>1075</v>
      </c>
      <c r="B55" s="225" t="s">
        <v>2114</v>
      </c>
      <c r="C55" s="225" t="s">
        <v>37</v>
      </c>
      <c r="D55" s="225" t="s">
        <v>2155</v>
      </c>
      <c r="E55" s="226" t="n">
        <v>45203</v>
      </c>
      <c r="F55" s="226" t="n">
        <v>45499</v>
      </c>
    </row>
    <row r="56" customFormat="false" ht="15" hidden="false" customHeight="false" outlineLevel="0" collapsed="false">
      <c r="A56" s="225" t="s">
        <v>801</v>
      </c>
      <c r="B56" s="225" t="s">
        <v>2114</v>
      </c>
      <c r="C56" s="225" t="s">
        <v>37</v>
      </c>
      <c r="D56" s="225" t="s">
        <v>2156</v>
      </c>
      <c r="E56" s="226" t="n">
        <v>45017</v>
      </c>
      <c r="F56" s="226" t="n">
        <v>45203</v>
      </c>
    </row>
    <row r="57" customFormat="false" ht="15" hidden="false" customHeight="false" outlineLevel="0" collapsed="false">
      <c r="A57" s="225" t="s">
        <v>872</v>
      </c>
      <c r="B57" s="225" t="s">
        <v>2114</v>
      </c>
      <c r="C57" s="225" t="s">
        <v>37</v>
      </c>
      <c r="D57" s="225" t="s">
        <v>2157</v>
      </c>
      <c r="E57" s="226" t="n">
        <v>45017</v>
      </c>
      <c r="F57" s="226" t="n">
        <v>45231</v>
      </c>
    </row>
    <row r="58" customFormat="false" ht="15" hidden="false" customHeight="false" outlineLevel="0" collapsed="false">
      <c r="A58" s="225" t="s">
        <v>691</v>
      </c>
      <c r="B58" s="225" t="s">
        <v>2114</v>
      </c>
      <c r="C58" s="225" t="s">
        <v>37</v>
      </c>
      <c r="D58" s="225" t="s">
        <v>2158</v>
      </c>
      <c r="E58" s="226" t="n">
        <v>45000</v>
      </c>
      <c r="F58" s="226" t="n">
        <v>45581</v>
      </c>
    </row>
    <row r="59" customFormat="false" ht="15" hidden="false" customHeight="false" outlineLevel="0" collapsed="false">
      <c r="A59" s="225" t="s">
        <v>1057</v>
      </c>
      <c r="B59" s="225" t="s">
        <v>2114</v>
      </c>
      <c r="C59" s="225" t="s">
        <v>37</v>
      </c>
      <c r="D59" s="225" t="s">
        <v>2159</v>
      </c>
      <c r="E59" s="226" t="n">
        <v>45194</v>
      </c>
      <c r="F59" s="226" t="n">
        <v>45412</v>
      </c>
    </row>
    <row r="60" customFormat="false" ht="15" hidden="false" customHeight="false" outlineLevel="0" collapsed="false">
      <c r="A60" s="225" t="s">
        <v>1045</v>
      </c>
      <c r="B60" s="225" t="s">
        <v>2114</v>
      </c>
      <c r="C60" s="225" t="s">
        <v>37</v>
      </c>
      <c r="D60" s="225" t="s">
        <v>2160</v>
      </c>
      <c r="E60" s="226" t="n">
        <v>45139</v>
      </c>
      <c r="F60" s="226" t="n">
        <v>45481</v>
      </c>
    </row>
    <row r="61" customFormat="false" ht="15" hidden="false" customHeight="false" outlineLevel="0" collapsed="false">
      <c r="A61" s="225" t="s">
        <v>879</v>
      </c>
      <c r="B61" s="225" t="s">
        <v>2114</v>
      </c>
      <c r="C61" s="225" t="s">
        <v>37</v>
      </c>
      <c r="D61" s="225" t="s">
        <v>2161</v>
      </c>
      <c r="E61" s="226" t="n">
        <v>45017</v>
      </c>
      <c r="F61" s="226" t="n">
        <v>45331</v>
      </c>
    </row>
    <row r="62" customFormat="false" ht="15" hidden="false" customHeight="false" outlineLevel="0" collapsed="false">
      <c r="A62" s="225" t="s">
        <v>924</v>
      </c>
      <c r="B62" s="225" t="s">
        <v>2114</v>
      </c>
      <c r="C62" s="225" t="s">
        <v>37</v>
      </c>
      <c r="D62" s="225" t="s">
        <v>2162</v>
      </c>
      <c r="E62" s="226" t="n">
        <v>45017</v>
      </c>
      <c r="F62" s="226" t="n">
        <v>45210</v>
      </c>
    </row>
    <row r="63" customFormat="false" ht="15" hidden="false" customHeight="false" outlineLevel="0" collapsed="false">
      <c r="A63" s="225" t="s">
        <v>947</v>
      </c>
      <c r="B63" s="225" t="s">
        <v>2114</v>
      </c>
      <c r="C63" s="225" t="s">
        <v>37</v>
      </c>
      <c r="D63" s="225" t="s">
        <v>2163</v>
      </c>
      <c r="E63" s="226" t="n">
        <v>45017</v>
      </c>
      <c r="F63" s="226" t="n">
        <v>45231</v>
      </c>
    </row>
    <row r="64" customFormat="false" ht="15" hidden="false" customHeight="false" outlineLevel="0" collapsed="false">
      <c r="A64" s="225" t="s">
        <v>1206</v>
      </c>
      <c r="B64" s="225" t="s">
        <v>2114</v>
      </c>
      <c r="C64" s="225" t="s">
        <v>39</v>
      </c>
      <c r="D64" s="225" t="s">
        <v>2164</v>
      </c>
      <c r="E64" s="226" t="n">
        <v>45078</v>
      </c>
      <c r="F64" s="226" t="n">
        <v>45224</v>
      </c>
    </row>
    <row r="65" customFormat="false" ht="15" hidden="false" customHeight="false" outlineLevel="0" collapsed="false">
      <c r="A65" s="225" t="s">
        <v>1124</v>
      </c>
      <c r="B65" s="225" t="s">
        <v>2114</v>
      </c>
      <c r="C65" s="225" t="s">
        <v>39</v>
      </c>
      <c r="D65" s="225" t="s">
        <v>2165</v>
      </c>
      <c r="E65" s="226" t="n">
        <v>45000</v>
      </c>
      <c r="F65" s="226" t="n">
        <v>45581</v>
      </c>
    </row>
    <row r="66" customFormat="false" ht="15" hidden="false" customHeight="false" outlineLevel="0" collapsed="false">
      <c r="A66" s="225" t="s">
        <v>1215</v>
      </c>
      <c r="B66" s="225" t="s">
        <v>2114</v>
      </c>
      <c r="C66" s="225" t="s">
        <v>39</v>
      </c>
      <c r="D66" s="225" t="s">
        <v>2166</v>
      </c>
      <c r="E66" s="226" t="n">
        <v>45139</v>
      </c>
      <c r="F66" s="226" t="n">
        <v>45481</v>
      </c>
    </row>
    <row r="67" customFormat="false" ht="15" hidden="false" customHeight="false" outlineLevel="0" collapsed="false">
      <c r="A67" s="225" t="s">
        <v>1193</v>
      </c>
      <c r="B67" s="225" t="s">
        <v>2114</v>
      </c>
      <c r="C67" s="225" t="s">
        <v>39</v>
      </c>
      <c r="D67" s="225" t="s">
        <v>2167</v>
      </c>
      <c r="E67" s="226" t="n">
        <v>45017</v>
      </c>
      <c r="F67" s="226" t="n">
        <v>45231</v>
      </c>
    </row>
    <row r="68" customFormat="false" ht="15" hidden="false" customHeight="false" outlineLevel="0" collapsed="false">
      <c r="A68" s="225" t="s">
        <v>1223</v>
      </c>
      <c r="B68" s="225" t="s">
        <v>2114</v>
      </c>
      <c r="C68" s="225" t="s">
        <v>41</v>
      </c>
      <c r="D68" s="225" t="s">
        <v>2168</v>
      </c>
      <c r="E68" s="226" t="n">
        <v>45505</v>
      </c>
      <c r="F68" s="226" t="n">
        <v>45535</v>
      </c>
    </row>
    <row r="69" customFormat="false" ht="15" hidden="false" customHeight="false" outlineLevel="0" collapsed="false">
      <c r="A69" s="225" t="s">
        <v>1254</v>
      </c>
      <c r="B69" s="225" t="s">
        <v>2114</v>
      </c>
      <c r="C69" s="225" t="s">
        <v>41</v>
      </c>
      <c r="D69" s="225" t="s">
        <v>2169</v>
      </c>
      <c r="E69" s="226" t="n">
        <v>45505</v>
      </c>
      <c r="F69" s="226" t="n">
        <v>45565</v>
      </c>
    </row>
    <row r="70" customFormat="false" ht="15" hidden="false" customHeight="false" outlineLevel="0" collapsed="false">
      <c r="A70" s="225" t="s">
        <v>1219</v>
      </c>
      <c r="B70" s="225" t="s">
        <v>2114</v>
      </c>
      <c r="C70" s="225" t="s">
        <v>41</v>
      </c>
      <c r="D70" s="225" t="s">
        <v>2170</v>
      </c>
      <c r="E70" s="226" t="n">
        <v>45000</v>
      </c>
      <c r="F70" s="226" t="n">
        <v>45581</v>
      </c>
    </row>
    <row r="71" customFormat="false" ht="15" hidden="false" customHeight="false" outlineLevel="0" collapsed="false">
      <c r="A71" s="225" t="s">
        <v>1277</v>
      </c>
      <c r="B71" s="225" t="s">
        <v>2114</v>
      </c>
      <c r="C71" s="225" t="s">
        <v>43</v>
      </c>
      <c r="D71" s="225" t="s">
        <v>2171</v>
      </c>
      <c r="E71" s="226" t="n">
        <v>45017</v>
      </c>
      <c r="F71" s="226" t="n">
        <v>45138</v>
      </c>
    </row>
    <row r="72" customFormat="false" ht="15" hidden="false" customHeight="false" outlineLevel="0" collapsed="false">
      <c r="A72" s="225" t="s">
        <v>1302</v>
      </c>
      <c r="B72" s="225" t="s">
        <v>2114</v>
      </c>
      <c r="C72" s="225" t="s">
        <v>43</v>
      </c>
      <c r="D72" s="225" t="s">
        <v>2172</v>
      </c>
      <c r="E72" s="226" t="n">
        <v>45017</v>
      </c>
      <c r="F72" s="226" t="n">
        <v>45210</v>
      </c>
    </row>
    <row r="73" customFormat="false" ht="15" hidden="false" customHeight="false" outlineLevel="0" collapsed="false">
      <c r="A73" s="225" t="s">
        <v>1579</v>
      </c>
      <c r="B73" s="225" t="s">
        <v>2114</v>
      </c>
      <c r="C73" s="225" t="s">
        <v>43</v>
      </c>
      <c r="D73" s="225" t="s">
        <v>2173</v>
      </c>
      <c r="E73" s="226" t="n">
        <v>45078</v>
      </c>
      <c r="F73" s="226" t="n">
        <v>45224</v>
      </c>
    </row>
    <row r="74" customFormat="false" ht="15" hidden="false" customHeight="false" outlineLevel="0" collapsed="false">
      <c r="A74" s="225" t="s">
        <v>1600</v>
      </c>
      <c r="B74" s="225" t="s">
        <v>2114</v>
      </c>
      <c r="C74" s="225" t="s">
        <v>43</v>
      </c>
      <c r="D74" s="225" t="s">
        <v>2174</v>
      </c>
      <c r="E74" s="226" t="n">
        <v>45139</v>
      </c>
      <c r="F74" s="226" t="n">
        <v>45481</v>
      </c>
    </row>
    <row r="75" customFormat="false" ht="15" hidden="false" customHeight="false" outlineLevel="0" collapsed="false">
      <c r="A75" s="225" t="s">
        <v>1314</v>
      </c>
      <c r="B75" s="225" t="s">
        <v>2114</v>
      </c>
      <c r="C75" s="225" t="s">
        <v>43</v>
      </c>
      <c r="D75" s="225" t="s">
        <v>2175</v>
      </c>
      <c r="E75" s="226" t="n">
        <v>45017</v>
      </c>
      <c r="F75" s="226" t="n">
        <v>45231</v>
      </c>
    </row>
    <row r="76" customFormat="false" ht="15" hidden="false" customHeight="false" outlineLevel="0" collapsed="false">
      <c r="A76" s="225" t="s">
        <v>1337</v>
      </c>
      <c r="B76" s="225" t="s">
        <v>2114</v>
      </c>
      <c r="C76" s="225" t="s">
        <v>43</v>
      </c>
      <c r="D76" s="225" t="s">
        <v>2176</v>
      </c>
      <c r="E76" s="226" t="n">
        <v>45017</v>
      </c>
      <c r="F76" s="226" t="n">
        <v>45231</v>
      </c>
    </row>
    <row r="77" customFormat="false" ht="15" hidden="false" customHeight="false" outlineLevel="0" collapsed="false">
      <c r="A77" s="225" t="s">
        <v>1610</v>
      </c>
      <c r="B77" s="225" t="s">
        <v>2114</v>
      </c>
      <c r="C77" s="225" t="s">
        <v>45</v>
      </c>
      <c r="D77" s="225" t="s">
        <v>2177</v>
      </c>
      <c r="E77" s="226" t="n">
        <v>45017</v>
      </c>
      <c r="F77" s="226" t="n">
        <v>45231</v>
      </c>
    </row>
    <row r="78" customFormat="false" ht="15" hidden="false" customHeight="false" outlineLevel="0" collapsed="false">
      <c r="A78" s="225" t="s">
        <v>1617</v>
      </c>
      <c r="B78" s="225" t="s">
        <v>2114</v>
      </c>
      <c r="C78" s="225" t="s">
        <v>47</v>
      </c>
      <c r="D78" s="225" t="s">
        <v>2178</v>
      </c>
      <c r="E78" s="226" t="n">
        <v>45231</v>
      </c>
      <c r="F78" s="226" t="n">
        <v>45331</v>
      </c>
    </row>
    <row r="79" customFormat="false" ht="15" hidden="false" customHeight="false" outlineLevel="0" collapsed="false">
      <c r="A79" s="225" t="s">
        <v>1699</v>
      </c>
      <c r="B79" s="225" t="s">
        <v>2114</v>
      </c>
      <c r="C79" s="225" t="s">
        <v>49</v>
      </c>
      <c r="D79" s="225" t="s">
        <v>2179</v>
      </c>
      <c r="E79" s="226" t="n">
        <v>45047</v>
      </c>
      <c r="F79" s="226" t="n">
        <v>45217</v>
      </c>
    </row>
    <row r="80" customFormat="false" ht="15" hidden="false" customHeight="false" outlineLevel="0" collapsed="false">
      <c r="A80" s="225" t="s">
        <v>1627</v>
      </c>
      <c r="B80" s="225" t="s">
        <v>2114</v>
      </c>
      <c r="C80" s="225" t="s">
        <v>49</v>
      </c>
      <c r="D80" s="225" t="s">
        <v>2180</v>
      </c>
      <c r="E80" s="226" t="n">
        <v>45017</v>
      </c>
      <c r="F80" s="226" t="n">
        <v>45138</v>
      </c>
    </row>
    <row r="81" customFormat="false" ht="15" hidden="false" customHeight="false" outlineLevel="0" collapsed="false">
      <c r="A81" s="225" t="s">
        <v>1774</v>
      </c>
      <c r="B81" s="225" t="s">
        <v>2114</v>
      </c>
      <c r="C81" s="225" t="s">
        <v>49</v>
      </c>
      <c r="D81" s="225" t="s">
        <v>2181</v>
      </c>
      <c r="E81" s="226" t="n">
        <v>45231</v>
      </c>
      <c r="F81" s="226" t="n">
        <v>45331</v>
      </c>
    </row>
    <row r="82" customFormat="false" ht="15" hidden="false" customHeight="false" outlineLevel="0" collapsed="false">
      <c r="A82" s="225" t="s">
        <v>1669</v>
      </c>
      <c r="B82" s="225" t="s">
        <v>2114</v>
      </c>
      <c r="C82" s="225" t="s">
        <v>49</v>
      </c>
      <c r="D82" s="225" t="s">
        <v>2182</v>
      </c>
      <c r="E82" s="226" t="n">
        <v>45017</v>
      </c>
      <c r="F82" s="226" t="n">
        <v>45231</v>
      </c>
    </row>
    <row r="83" customFormat="false" ht="15" hidden="false" customHeight="false" outlineLevel="0" collapsed="false">
      <c r="A83" s="225" t="s">
        <v>1676</v>
      </c>
      <c r="B83" s="225" t="s">
        <v>2114</v>
      </c>
      <c r="C83" s="225" t="s">
        <v>49</v>
      </c>
      <c r="D83" s="225" t="s">
        <v>2183</v>
      </c>
      <c r="E83" s="226" t="n">
        <v>45017</v>
      </c>
      <c r="F83" s="226" t="n">
        <v>45231</v>
      </c>
    </row>
    <row r="84" customFormat="false" ht="15" hidden="false" customHeight="false" outlineLevel="0" collapsed="false">
      <c r="A84" s="225" t="s">
        <v>1781</v>
      </c>
      <c r="B84" s="225" t="s">
        <v>2114</v>
      </c>
      <c r="C84" s="225" t="s">
        <v>51</v>
      </c>
      <c r="D84" s="225" t="s">
        <v>2184</v>
      </c>
      <c r="E84" s="226" t="n">
        <v>45017</v>
      </c>
      <c r="F84" s="226" t="n">
        <v>45231</v>
      </c>
    </row>
    <row r="85" customFormat="false" ht="15" hidden="false" customHeight="false" outlineLevel="0" collapsed="false">
      <c r="A85" s="225" t="s">
        <v>1791</v>
      </c>
      <c r="B85" s="225" t="s">
        <v>2114</v>
      </c>
      <c r="C85" s="225" t="s">
        <v>51</v>
      </c>
      <c r="D85" s="225" t="s">
        <v>2185</v>
      </c>
      <c r="E85" s="226" t="n">
        <v>45078</v>
      </c>
      <c r="F85" s="226" t="n">
        <v>45224</v>
      </c>
    </row>
    <row r="86" customFormat="false" ht="15" hidden="false" customHeight="false" outlineLevel="0" collapsed="false">
      <c r="A86" s="225" t="s">
        <v>1787</v>
      </c>
      <c r="B86" s="225" t="s">
        <v>2114</v>
      </c>
      <c r="C86" s="225" t="s">
        <v>51</v>
      </c>
      <c r="D86" s="225" t="s">
        <v>2186</v>
      </c>
      <c r="E86" s="226" t="n">
        <v>45017</v>
      </c>
      <c r="F86" s="226" t="n">
        <v>45231</v>
      </c>
    </row>
    <row r="87" customFormat="false" ht="15" hidden="false" customHeight="false" outlineLevel="0" collapsed="false">
      <c r="A87" s="225" t="s">
        <v>2025</v>
      </c>
      <c r="B87" s="225" t="s">
        <v>2114</v>
      </c>
      <c r="C87" s="225" t="s">
        <v>53</v>
      </c>
      <c r="D87" s="225" t="s">
        <v>2187</v>
      </c>
      <c r="E87" s="226" t="n">
        <v>45231</v>
      </c>
      <c r="F87" s="226" t="n">
        <v>45331</v>
      </c>
    </row>
    <row r="88" customFormat="false" ht="15" hidden="false" customHeight="false" outlineLevel="0" collapsed="false">
      <c r="A88" s="225" t="s">
        <v>1865</v>
      </c>
      <c r="B88" s="225" t="s">
        <v>2114</v>
      </c>
      <c r="C88" s="225" t="s">
        <v>53</v>
      </c>
      <c r="D88" s="225" t="s">
        <v>2188</v>
      </c>
      <c r="E88" s="226" t="n">
        <v>45078</v>
      </c>
      <c r="F88" s="226" t="n">
        <v>45224</v>
      </c>
    </row>
    <row r="89" customFormat="false" ht="15" hidden="false" customHeight="false" outlineLevel="0" collapsed="false">
      <c r="A89" s="225" t="s">
        <v>1797</v>
      </c>
      <c r="B89" s="225" t="s">
        <v>2114</v>
      </c>
      <c r="C89" s="225" t="s">
        <v>53</v>
      </c>
      <c r="D89" s="225" t="s">
        <v>2189</v>
      </c>
      <c r="E89" s="226" t="n">
        <v>45017</v>
      </c>
      <c r="F89" s="226" t="n">
        <v>45231</v>
      </c>
    </row>
    <row r="90" customFormat="false" ht="15" hidden="false" customHeight="false" outlineLevel="0" collapsed="false">
      <c r="A90" s="225" t="s">
        <v>1886</v>
      </c>
      <c r="B90" s="225" t="s">
        <v>2114</v>
      </c>
      <c r="C90" s="225" t="s">
        <v>53</v>
      </c>
      <c r="D90" s="225" t="s">
        <v>2190</v>
      </c>
      <c r="E90" s="226" t="n">
        <v>45139</v>
      </c>
      <c r="F90" s="226" t="n">
        <v>45481</v>
      </c>
    </row>
    <row r="91" customFormat="false" ht="15" hidden="false" customHeight="false" outlineLevel="0" collapsed="false">
      <c r="A91" s="225" t="s">
        <v>1802</v>
      </c>
      <c r="B91" s="225" t="s">
        <v>2114</v>
      </c>
      <c r="C91" s="225" t="s">
        <v>53</v>
      </c>
      <c r="D91" s="225" t="s">
        <v>2191</v>
      </c>
      <c r="E91" s="226" t="n">
        <v>45017</v>
      </c>
      <c r="F91" s="226" t="n">
        <v>45331</v>
      </c>
    </row>
    <row r="92" customFormat="false" ht="15" hidden="false" customHeight="false" outlineLevel="0" collapsed="false">
      <c r="A92" s="225" t="s">
        <v>1818</v>
      </c>
      <c r="B92" s="225" t="s">
        <v>2114</v>
      </c>
      <c r="C92" s="225" t="s">
        <v>53</v>
      </c>
      <c r="D92" s="225" t="s">
        <v>2192</v>
      </c>
      <c r="E92" s="226" t="n">
        <v>45017</v>
      </c>
      <c r="F92" s="226" t="n">
        <v>45210</v>
      </c>
    </row>
    <row r="93" customFormat="false" ht="15" hidden="false" customHeight="false" outlineLevel="0" collapsed="false">
      <c r="A93" s="225" t="s">
        <v>1831</v>
      </c>
      <c r="B93" s="225" t="s">
        <v>2114</v>
      </c>
      <c r="C93" s="225" t="s">
        <v>53</v>
      </c>
      <c r="D93" s="225" t="s">
        <v>2193</v>
      </c>
      <c r="E93" s="226" t="n">
        <v>45017</v>
      </c>
      <c r="F93" s="226" t="n">
        <v>45231</v>
      </c>
    </row>
    <row r="94" customFormat="false" ht="15" hidden="false" customHeight="false" outlineLevel="0" collapsed="false">
      <c r="A94" s="225" t="s">
        <v>1858</v>
      </c>
      <c r="B94" s="225" t="s">
        <v>2114</v>
      </c>
      <c r="C94" s="225" t="s">
        <v>53</v>
      </c>
      <c r="D94" s="225" t="s">
        <v>2194</v>
      </c>
      <c r="E94" s="226" t="n">
        <v>45017</v>
      </c>
      <c r="F94" s="226" t="n">
        <v>45231</v>
      </c>
    </row>
    <row r="95" customFormat="false" ht="15" hidden="false" customHeight="false" outlineLevel="0" collapsed="false">
      <c r="A95" s="225" t="s">
        <v>2195</v>
      </c>
      <c r="B95" s="225" t="s">
        <v>2196</v>
      </c>
      <c r="C95" s="225" t="s">
        <v>17</v>
      </c>
      <c r="D95" s="225" t="s">
        <v>2197</v>
      </c>
      <c r="E95" s="226" t="n">
        <v>44972</v>
      </c>
      <c r="F95" s="226" t="n">
        <v>44999</v>
      </c>
    </row>
    <row r="96" customFormat="false" ht="15" hidden="false" customHeight="false" outlineLevel="0" collapsed="false">
      <c r="A96" s="225" t="s">
        <v>2198</v>
      </c>
      <c r="B96" s="225" t="s">
        <v>2199</v>
      </c>
      <c r="C96" s="225" t="s">
        <v>17</v>
      </c>
      <c r="D96" s="225" t="s">
        <v>2200</v>
      </c>
      <c r="E96" s="226" t="n">
        <v>45000</v>
      </c>
      <c r="F96" s="226" t="n">
        <v>45581</v>
      </c>
    </row>
    <row r="97" customFormat="false" ht="15" hidden="false" customHeight="false" outlineLevel="0" collapsed="false">
      <c r="A97" s="225" t="s">
        <v>2201</v>
      </c>
      <c r="B97" s="225" t="s">
        <v>2196</v>
      </c>
      <c r="C97" s="225" t="s">
        <v>19</v>
      </c>
      <c r="D97" s="225" t="s">
        <v>2202</v>
      </c>
      <c r="E97" s="226" t="n">
        <v>44972</v>
      </c>
      <c r="F97" s="226" t="n">
        <v>45016</v>
      </c>
    </row>
    <row r="98" customFormat="false" ht="15" hidden="false" customHeight="false" outlineLevel="0" collapsed="false">
      <c r="A98" s="225" t="s">
        <v>2203</v>
      </c>
      <c r="B98" s="225" t="s">
        <v>2199</v>
      </c>
      <c r="C98" s="225" t="s">
        <v>19</v>
      </c>
      <c r="D98" s="225" t="s">
        <v>2204</v>
      </c>
      <c r="E98" s="226" t="n">
        <v>45017</v>
      </c>
      <c r="F98" s="226" t="n">
        <v>45443</v>
      </c>
    </row>
    <row r="99" customFormat="false" ht="15" hidden="false" customHeight="false" outlineLevel="0" collapsed="false">
      <c r="A99" s="225" t="s">
        <v>2205</v>
      </c>
      <c r="B99" s="225" t="s">
        <v>2196</v>
      </c>
      <c r="C99" s="225" t="s">
        <v>21</v>
      </c>
      <c r="D99" s="225" t="s">
        <v>2206</v>
      </c>
      <c r="E99" s="226" t="n">
        <v>44972</v>
      </c>
      <c r="F99" s="226" t="n">
        <v>45016</v>
      </c>
    </row>
    <row r="100" customFormat="false" ht="15" hidden="false" customHeight="false" outlineLevel="0" collapsed="false">
      <c r="A100" s="225" t="s">
        <v>2207</v>
      </c>
      <c r="B100" s="225" t="s">
        <v>2199</v>
      </c>
      <c r="C100" s="225" t="s">
        <v>21</v>
      </c>
      <c r="D100" s="225" t="s">
        <v>2208</v>
      </c>
      <c r="E100" s="226" t="n">
        <v>45017</v>
      </c>
      <c r="F100" s="226" t="n">
        <v>45481</v>
      </c>
    </row>
    <row r="101" customFormat="false" ht="15" hidden="false" customHeight="false" outlineLevel="0" collapsed="false">
      <c r="A101" s="225" t="s">
        <v>2209</v>
      </c>
      <c r="B101" s="225" t="s">
        <v>2196</v>
      </c>
      <c r="C101" s="225" t="s">
        <v>23</v>
      </c>
      <c r="D101" s="225" t="s">
        <v>2210</v>
      </c>
      <c r="E101" s="226" t="n">
        <v>44972</v>
      </c>
      <c r="F101" s="226" t="n">
        <v>45016</v>
      </c>
    </row>
    <row r="102" customFormat="false" ht="15" hidden="false" customHeight="false" outlineLevel="0" collapsed="false">
      <c r="A102" s="225" t="s">
        <v>2211</v>
      </c>
      <c r="B102" s="225" t="s">
        <v>2199</v>
      </c>
      <c r="C102" s="225" t="s">
        <v>23</v>
      </c>
      <c r="D102" s="225" t="s">
        <v>2212</v>
      </c>
      <c r="E102" s="226" t="n">
        <v>45017</v>
      </c>
      <c r="F102" s="226" t="n">
        <v>45481</v>
      </c>
    </row>
    <row r="103" customFormat="false" ht="15" hidden="false" customHeight="false" outlineLevel="0" collapsed="false">
      <c r="A103" s="225" t="s">
        <v>2213</v>
      </c>
      <c r="B103" s="225" t="s">
        <v>2196</v>
      </c>
      <c r="C103" s="225" t="s">
        <v>25</v>
      </c>
      <c r="D103" s="225" t="s">
        <v>2214</v>
      </c>
      <c r="E103" s="226" t="n">
        <v>44972</v>
      </c>
      <c r="F103" s="226" t="n">
        <v>45016</v>
      </c>
    </row>
    <row r="104" customFormat="false" ht="15" hidden="false" customHeight="false" outlineLevel="0" collapsed="false">
      <c r="A104" s="225" t="s">
        <v>2215</v>
      </c>
      <c r="B104" s="225" t="s">
        <v>2199</v>
      </c>
      <c r="C104" s="225" t="s">
        <v>25</v>
      </c>
      <c r="D104" s="225" t="s">
        <v>2216</v>
      </c>
      <c r="E104" s="226" t="n">
        <v>45017</v>
      </c>
      <c r="F104" s="226" t="n">
        <v>45138</v>
      </c>
    </row>
    <row r="105" customFormat="false" ht="15" hidden="false" customHeight="false" outlineLevel="0" collapsed="false">
      <c r="A105" s="225" t="s">
        <v>2217</v>
      </c>
      <c r="B105" s="225" t="s">
        <v>2196</v>
      </c>
      <c r="C105" s="225" t="s">
        <v>27</v>
      </c>
      <c r="D105" s="225" t="s">
        <v>2218</v>
      </c>
      <c r="E105" s="226" t="n">
        <v>44972</v>
      </c>
      <c r="F105" s="226" t="n">
        <v>45077</v>
      </c>
    </row>
    <row r="106" customFormat="false" ht="15" hidden="false" customHeight="false" outlineLevel="0" collapsed="false">
      <c r="A106" s="225" t="s">
        <v>2219</v>
      </c>
      <c r="B106" s="225" t="s">
        <v>2199</v>
      </c>
      <c r="C106" s="225" t="s">
        <v>27</v>
      </c>
      <c r="D106" s="225" t="s">
        <v>2220</v>
      </c>
      <c r="E106" s="226" t="n">
        <v>45078</v>
      </c>
      <c r="F106" s="226" t="n">
        <v>45224</v>
      </c>
    </row>
    <row r="107" customFormat="false" ht="15" hidden="false" customHeight="false" outlineLevel="0" collapsed="false">
      <c r="A107" s="225" t="s">
        <v>2221</v>
      </c>
      <c r="B107" s="225" t="s">
        <v>2196</v>
      </c>
      <c r="C107" s="225" t="s">
        <v>29</v>
      </c>
      <c r="D107" s="225" t="s">
        <v>2222</v>
      </c>
      <c r="E107" s="226" t="n">
        <v>44972</v>
      </c>
      <c r="F107" s="226" t="n">
        <v>45016</v>
      </c>
    </row>
    <row r="108" customFormat="false" ht="15" hidden="false" customHeight="false" outlineLevel="0" collapsed="false">
      <c r="A108" s="225" t="s">
        <v>2223</v>
      </c>
      <c r="B108" s="225" t="s">
        <v>2199</v>
      </c>
      <c r="C108" s="225" t="s">
        <v>29</v>
      </c>
      <c r="D108" s="225" t="s">
        <v>2224</v>
      </c>
      <c r="E108" s="226" t="n">
        <v>45017</v>
      </c>
      <c r="F108" s="226" t="n">
        <v>45481</v>
      </c>
    </row>
    <row r="109" customFormat="false" ht="15" hidden="false" customHeight="false" outlineLevel="0" collapsed="false">
      <c r="A109" s="225" t="s">
        <v>2225</v>
      </c>
      <c r="B109" s="225" t="s">
        <v>2196</v>
      </c>
      <c r="C109" s="225" t="s">
        <v>31</v>
      </c>
      <c r="D109" s="225" t="s">
        <v>2226</v>
      </c>
      <c r="E109" s="226" t="n">
        <v>44972</v>
      </c>
      <c r="F109" s="226" t="n">
        <v>45016</v>
      </c>
    </row>
    <row r="110" customFormat="false" ht="15" hidden="false" customHeight="false" outlineLevel="0" collapsed="false">
      <c r="A110" s="225" t="s">
        <v>2227</v>
      </c>
      <c r="B110" s="225" t="s">
        <v>2199</v>
      </c>
      <c r="C110" s="225" t="s">
        <v>31</v>
      </c>
      <c r="D110" s="225" t="s">
        <v>2228</v>
      </c>
      <c r="E110" s="226" t="n">
        <v>45017</v>
      </c>
      <c r="F110" s="226" t="n">
        <v>45443</v>
      </c>
    </row>
    <row r="111" customFormat="false" ht="15" hidden="false" customHeight="false" outlineLevel="0" collapsed="false">
      <c r="A111" s="225" t="s">
        <v>2229</v>
      </c>
      <c r="B111" s="225" t="s">
        <v>2196</v>
      </c>
      <c r="C111" s="225" t="s">
        <v>33</v>
      </c>
      <c r="D111" s="225" t="s">
        <v>2230</v>
      </c>
      <c r="E111" s="226" t="n">
        <v>44972</v>
      </c>
      <c r="F111" s="226" t="n">
        <v>45016</v>
      </c>
    </row>
    <row r="112" customFormat="false" ht="15" hidden="false" customHeight="false" outlineLevel="0" collapsed="false">
      <c r="A112" s="225" t="s">
        <v>2231</v>
      </c>
      <c r="B112" s="225" t="s">
        <v>2199</v>
      </c>
      <c r="C112" s="225" t="s">
        <v>33</v>
      </c>
      <c r="D112" s="225" t="s">
        <v>2232</v>
      </c>
      <c r="E112" s="226" t="n">
        <v>45017</v>
      </c>
      <c r="F112" s="226" t="n">
        <v>45331</v>
      </c>
    </row>
    <row r="113" customFormat="false" ht="15" hidden="false" customHeight="false" outlineLevel="0" collapsed="false">
      <c r="A113" s="225" t="s">
        <v>2233</v>
      </c>
      <c r="B113" s="225" t="s">
        <v>2196</v>
      </c>
      <c r="C113" s="225" t="s">
        <v>35</v>
      </c>
      <c r="D113" s="225" t="s">
        <v>2234</v>
      </c>
      <c r="E113" s="226" t="n">
        <v>44972</v>
      </c>
      <c r="F113" s="226" t="n">
        <v>45016</v>
      </c>
    </row>
    <row r="114" customFormat="false" ht="15" hidden="false" customHeight="false" outlineLevel="0" collapsed="false">
      <c r="A114" s="225" t="s">
        <v>2235</v>
      </c>
      <c r="B114" s="225" t="s">
        <v>2199</v>
      </c>
      <c r="C114" s="225" t="s">
        <v>35</v>
      </c>
      <c r="D114" s="225" t="s">
        <v>2236</v>
      </c>
      <c r="E114" s="226" t="n">
        <v>45017</v>
      </c>
      <c r="F114" s="226" t="n">
        <v>45331</v>
      </c>
    </row>
    <row r="115" customFormat="false" ht="15" hidden="false" customHeight="false" outlineLevel="0" collapsed="false">
      <c r="A115" s="225" t="s">
        <v>2237</v>
      </c>
      <c r="B115" s="225" t="s">
        <v>2196</v>
      </c>
      <c r="C115" s="225" t="s">
        <v>37</v>
      </c>
      <c r="D115" s="225" t="s">
        <v>2238</v>
      </c>
      <c r="E115" s="226" t="n">
        <v>44972</v>
      </c>
      <c r="F115" s="226" t="n">
        <v>44999</v>
      </c>
    </row>
    <row r="116" customFormat="false" ht="15" hidden="false" customHeight="false" outlineLevel="0" collapsed="false">
      <c r="A116" s="225" t="s">
        <v>2239</v>
      </c>
      <c r="B116" s="225" t="s">
        <v>2199</v>
      </c>
      <c r="C116" s="225" t="s">
        <v>37</v>
      </c>
      <c r="D116" s="225" t="s">
        <v>2240</v>
      </c>
      <c r="E116" s="226" t="n">
        <v>45000</v>
      </c>
      <c r="F116" s="226" t="n">
        <v>45581</v>
      </c>
    </row>
    <row r="117" customFormat="false" ht="15" hidden="false" customHeight="false" outlineLevel="0" collapsed="false">
      <c r="A117" s="225" t="s">
        <v>2241</v>
      </c>
      <c r="B117" s="225" t="s">
        <v>2196</v>
      </c>
      <c r="C117" s="225" t="s">
        <v>39</v>
      </c>
      <c r="D117" s="225" t="s">
        <v>2242</v>
      </c>
      <c r="E117" s="226" t="n">
        <v>44972</v>
      </c>
      <c r="F117" s="226" t="n">
        <v>44999</v>
      </c>
    </row>
    <row r="118" customFormat="false" ht="15" hidden="false" customHeight="false" outlineLevel="0" collapsed="false">
      <c r="A118" s="225" t="s">
        <v>2243</v>
      </c>
      <c r="B118" s="225" t="s">
        <v>2199</v>
      </c>
      <c r="C118" s="225" t="s">
        <v>39</v>
      </c>
      <c r="D118" s="225" t="s">
        <v>2244</v>
      </c>
      <c r="E118" s="226" t="n">
        <v>45000</v>
      </c>
      <c r="F118" s="226" t="n">
        <v>45581</v>
      </c>
    </row>
    <row r="119" customFormat="false" ht="15" hidden="false" customHeight="false" outlineLevel="0" collapsed="false">
      <c r="A119" s="225" t="s">
        <v>2245</v>
      </c>
      <c r="B119" s="225" t="s">
        <v>2196</v>
      </c>
      <c r="C119" s="225" t="s">
        <v>41</v>
      </c>
      <c r="D119" s="225" t="s">
        <v>2246</v>
      </c>
      <c r="E119" s="226" t="n">
        <v>44972</v>
      </c>
      <c r="F119" s="226" t="n">
        <v>44999</v>
      </c>
    </row>
    <row r="120" customFormat="false" ht="15" hidden="false" customHeight="false" outlineLevel="0" collapsed="false">
      <c r="A120" s="225" t="s">
        <v>2247</v>
      </c>
      <c r="B120" s="225" t="s">
        <v>2199</v>
      </c>
      <c r="C120" s="225" t="s">
        <v>41</v>
      </c>
      <c r="D120" s="225" t="s">
        <v>2248</v>
      </c>
      <c r="E120" s="226" t="n">
        <v>45000</v>
      </c>
      <c r="F120" s="226" t="n">
        <v>45581</v>
      </c>
    </row>
    <row r="121" customFormat="false" ht="15" hidden="false" customHeight="false" outlineLevel="0" collapsed="false">
      <c r="A121" s="225" t="s">
        <v>2249</v>
      </c>
      <c r="B121" s="225" t="s">
        <v>2196</v>
      </c>
      <c r="C121" s="225" t="s">
        <v>43</v>
      </c>
      <c r="D121" s="225" t="s">
        <v>2250</v>
      </c>
      <c r="E121" s="226" t="n">
        <v>44972</v>
      </c>
      <c r="F121" s="226" t="n">
        <v>45016</v>
      </c>
    </row>
    <row r="122" customFormat="false" ht="15" hidden="false" customHeight="false" outlineLevel="0" collapsed="false">
      <c r="A122" s="225" t="s">
        <v>2251</v>
      </c>
      <c r="B122" s="225" t="s">
        <v>2199</v>
      </c>
      <c r="C122" s="225" t="s">
        <v>43</v>
      </c>
      <c r="D122" s="225" t="s">
        <v>2252</v>
      </c>
      <c r="E122" s="226" t="n">
        <v>45017</v>
      </c>
      <c r="F122" s="226" t="n">
        <v>45481</v>
      </c>
    </row>
    <row r="123" customFormat="false" ht="15" hidden="false" customHeight="false" outlineLevel="0" collapsed="false">
      <c r="A123" s="225" t="s">
        <v>2253</v>
      </c>
      <c r="B123" s="225" t="s">
        <v>2196</v>
      </c>
      <c r="C123" s="225" t="s">
        <v>45</v>
      </c>
      <c r="D123" s="225" t="s">
        <v>2254</v>
      </c>
      <c r="E123" s="226" t="n">
        <v>44972</v>
      </c>
      <c r="F123" s="226" t="n">
        <v>45016</v>
      </c>
    </row>
    <row r="124" customFormat="false" ht="15" hidden="false" customHeight="false" outlineLevel="0" collapsed="false">
      <c r="A124" s="225" t="s">
        <v>2255</v>
      </c>
      <c r="B124" s="225" t="s">
        <v>2199</v>
      </c>
      <c r="C124" s="225" t="s">
        <v>45</v>
      </c>
      <c r="D124" s="225" t="s">
        <v>2256</v>
      </c>
      <c r="E124" s="226" t="n">
        <v>45017</v>
      </c>
      <c r="F124" s="226" t="n">
        <v>45231</v>
      </c>
    </row>
    <row r="125" customFormat="false" ht="15" hidden="false" customHeight="false" outlineLevel="0" collapsed="false">
      <c r="A125" s="225" t="s">
        <v>2257</v>
      </c>
      <c r="B125" s="225" t="s">
        <v>2196</v>
      </c>
      <c r="C125" s="225" t="s">
        <v>47</v>
      </c>
      <c r="D125" s="225" t="s">
        <v>2258</v>
      </c>
      <c r="E125" s="226" t="n">
        <v>44972</v>
      </c>
      <c r="F125" s="226" t="n">
        <v>45230</v>
      </c>
    </row>
    <row r="126" customFormat="false" ht="15" hidden="false" customHeight="false" outlineLevel="0" collapsed="false">
      <c r="A126" s="225" t="s">
        <v>2259</v>
      </c>
      <c r="B126" s="225" t="s">
        <v>2199</v>
      </c>
      <c r="C126" s="225" t="s">
        <v>47</v>
      </c>
      <c r="D126" s="225" t="s">
        <v>2260</v>
      </c>
      <c r="E126" s="226" t="n">
        <v>45231</v>
      </c>
      <c r="F126" s="226" t="n">
        <v>45331</v>
      </c>
    </row>
    <row r="127" customFormat="false" ht="15" hidden="false" customHeight="false" outlineLevel="0" collapsed="false">
      <c r="A127" s="225" t="s">
        <v>2261</v>
      </c>
      <c r="B127" s="225" t="s">
        <v>2196</v>
      </c>
      <c r="C127" s="225" t="s">
        <v>49</v>
      </c>
      <c r="D127" s="225" t="s">
        <v>2262</v>
      </c>
      <c r="E127" s="226" t="n">
        <v>44972</v>
      </c>
      <c r="F127" s="226" t="n">
        <v>45016</v>
      </c>
    </row>
    <row r="128" customFormat="false" ht="15" hidden="false" customHeight="false" outlineLevel="0" collapsed="false">
      <c r="A128" s="225" t="s">
        <v>2263</v>
      </c>
      <c r="B128" s="225" t="s">
        <v>2199</v>
      </c>
      <c r="C128" s="225" t="s">
        <v>49</v>
      </c>
      <c r="D128" s="225" t="s">
        <v>2264</v>
      </c>
      <c r="E128" s="226" t="n">
        <v>45017</v>
      </c>
      <c r="F128" s="226" t="n">
        <v>45331</v>
      </c>
    </row>
    <row r="129" customFormat="false" ht="15" hidden="false" customHeight="false" outlineLevel="0" collapsed="false">
      <c r="A129" s="225" t="s">
        <v>2265</v>
      </c>
      <c r="B129" s="225" t="s">
        <v>2196</v>
      </c>
      <c r="C129" s="225" t="s">
        <v>51</v>
      </c>
      <c r="D129" s="225" t="s">
        <v>2266</v>
      </c>
      <c r="E129" s="226" t="n">
        <v>44972</v>
      </c>
      <c r="F129" s="226" t="n">
        <v>45016</v>
      </c>
    </row>
    <row r="130" customFormat="false" ht="15" hidden="false" customHeight="false" outlineLevel="0" collapsed="false">
      <c r="A130" s="225" t="s">
        <v>2267</v>
      </c>
      <c r="B130" s="225" t="s">
        <v>2199</v>
      </c>
      <c r="C130" s="225" t="s">
        <v>51</v>
      </c>
      <c r="D130" s="225" t="s">
        <v>2268</v>
      </c>
      <c r="E130" s="226" t="n">
        <v>45017</v>
      </c>
      <c r="F130" s="226" t="n">
        <v>45231</v>
      </c>
    </row>
    <row r="131" customFormat="false" ht="15" hidden="false" customHeight="false" outlineLevel="0" collapsed="false">
      <c r="A131" s="225" t="s">
        <v>2269</v>
      </c>
      <c r="B131" s="225" t="s">
        <v>2196</v>
      </c>
      <c r="C131" s="225" t="s">
        <v>53</v>
      </c>
      <c r="D131" s="225" t="s">
        <v>2270</v>
      </c>
      <c r="E131" s="226" t="n">
        <v>44972</v>
      </c>
      <c r="F131" s="226" t="n">
        <v>45016</v>
      </c>
    </row>
    <row r="132" customFormat="false" ht="15" hidden="false" customHeight="false" outlineLevel="0" collapsed="false">
      <c r="A132" s="225" t="s">
        <v>2271</v>
      </c>
      <c r="B132" s="225" t="s">
        <v>2199</v>
      </c>
      <c r="C132" s="225" t="s">
        <v>53</v>
      </c>
      <c r="D132" s="225" t="s">
        <v>2272</v>
      </c>
      <c r="E132" s="226" t="n">
        <v>45017</v>
      </c>
      <c r="F132" s="226" t="n">
        <v>45481</v>
      </c>
    </row>
    <row r="133" customFormat="false" ht="15" hidden="false" customHeight="false" outlineLevel="0" collapsed="false">
      <c r="A133" s="225" t="s">
        <v>2273</v>
      </c>
      <c r="B133" s="225" t="s">
        <v>2274</v>
      </c>
      <c r="C133" s="225" t="s">
        <v>21</v>
      </c>
      <c r="D133" s="225" t="s">
        <v>2275</v>
      </c>
      <c r="E133" s="226" t="n">
        <v>45196</v>
      </c>
      <c r="F133" s="226" t="n">
        <v>45209</v>
      </c>
    </row>
    <row r="134" customFormat="false" ht="15" hidden="false" customHeight="false" outlineLevel="0" collapsed="false">
      <c r="A134" s="225" t="s">
        <v>2276</v>
      </c>
      <c r="B134" s="225" t="s">
        <v>2274</v>
      </c>
      <c r="C134" s="225" t="s">
        <v>21</v>
      </c>
      <c r="D134" s="225" t="s">
        <v>2277</v>
      </c>
      <c r="E134" s="226" t="n">
        <v>45203</v>
      </c>
      <c r="F134" s="226" t="n">
        <v>45216</v>
      </c>
    </row>
    <row r="135" customFormat="false" ht="15" hidden="false" customHeight="false" outlineLevel="0" collapsed="false">
      <c r="A135" s="225" t="s">
        <v>2278</v>
      </c>
      <c r="B135" s="225" t="s">
        <v>2274</v>
      </c>
      <c r="C135" s="225" t="s">
        <v>21</v>
      </c>
      <c r="D135" s="225" t="s">
        <v>2279</v>
      </c>
      <c r="E135" s="226" t="n">
        <v>45210</v>
      </c>
      <c r="F135" s="226" t="n">
        <v>45223</v>
      </c>
    </row>
    <row r="136" customFormat="false" ht="15" hidden="false" customHeight="false" outlineLevel="0" collapsed="false">
      <c r="A136" s="225" t="s">
        <v>2280</v>
      </c>
      <c r="B136" s="225" t="s">
        <v>2274</v>
      </c>
      <c r="C136" s="225" t="s">
        <v>21</v>
      </c>
      <c r="D136" s="225" t="s">
        <v>2281</v>
      </c>
      <c r="E136" s="226" t="n">
        <v>45217</v>
      </c>
      <c r="F136" s="226" t="n">
        <v>45230</v>
      </c>
    </row>
    <row r="137" customFormat="false" ht="15" hidden="false" customHeight="false" outlineLevel="0" collapsed="false">
      <c r="A137" s="225" t="s">
        <v>2282</v>
      </c>
      <c r="B137" s="225" t="s">
        <v>2274</v>
      </c>
      <c r="C137" s="225" t="s">
        <v>21</v>
      </c>
      <c r="D137" s="225" t="s">
        <v>2283</v>
      </c>
      <c r="E137" s="226" t="n">
        <v>45467</v>
      </c>
      <c r="F137" s="226" t="n">
        <v>45480</v>
      </c>
    </row>
    <row r="138" customFormat="false" ht="15" hidden="false" customHeight="false" outlineLevel="0" collapsed="false">
      <c r="A138" s="225" t="s">
        <v>2284</v>
      </c>
      <c r="B138" s="225" t="s">
        <v>2274</v>
      </c>
      <c r="C138" s="225" t="s">
        <v>43</v>
      </c>
      <c r="D138" s="225" t="s">
        <v>2285</v>
      </c>
      <c r="E138" s="226" t="n">
        <v>45200</v>
      </c>
      <c r="F138" s="226" t="n">
        <v>45230</v>
      </c>
    </row>
    <row r="139" customFormat="false" ht="15" hidden="false" customHeight="false" outlineLevel="0" collapsed="false">
      <c r="A139" s="225" t="s">
        <v>2286</v>
      </c>
      <c r="B139" s="225" t="s">
        <v>2274</v>
      </c>
      <c r="C139" s="225" t="s">
        <v>37</v>
      </c>
      <c r="D139" s="225" t="s">
        <v>2287</v>
      </c>
      <c r="E139" s="226" t="n">
        <v>45194</v>
      </c>
      <c r="F139" s="226" t="n">
        <v>45203</v>
      </c>
    </row>
    <row r="140" customFormat="false" ht="15" hidden="false" customHeight="false" outlineLevel="0" collapsed="false">
      <c r="A140" s="225" t="s">
        <v>2288</v>
      </c>
      <c r="B140" s="225" t="s">
        <v>2274</v>
      </c>
      <c r="C140" s="225" t="s">
        <v>37</v>
      </c>
      <c r="D140" s="225" t="s">
        <v>2289</v>
      </c>
      <c r="E140" s="226" t="n">
        <v>45189</v>
      </c>
      <c r="F140" s="226" t="n">
        <v>45203</v>
      </c>
    </row>
    <row r="141" customFormat="false" ht="15" hidden="false" customHeight="false" outlineLevel="0" collapsed="false">
      <c r="A141" s="225" t="s">
        <v>2290</v>
      </c>
      <c r="B141" s="225" t="s">
        <v>2274</v>
      </c>
      <c r="C141" s="225" t="s">
        <v>37</v>
      </c>
      <c r="D141" s="225" t="s">
        <v>2291</v>
      </c>
      <c r="E141" s="226" t="n">
        <v>45397</v>
      </c>
      <c r="F141" s="226" t="n">
        <v>45412</v>
      </c>
    </row>
    <row r="142" customFormat="false" ht="15" hidden="false" customHeight="false" outlineLevel="0" collapsed="false">
      <c r="A142" s="225" t="s">
        <v>2292</v>
      </c>
      <c r="B142" s="225" t="s">
        <v>2274</v>
      </c>
      <c r="C142" s="225" t="s">
        <v>53</v>
      </c>
      <c r="D142" s="225" t="s">
        <v>2293</v>
      </c>
      <c r="E142" s="226" t="n">
        <v>45206</v>
      </c>
      <c r="F142" s="226" t="n">
        <v>45210</v>
      </c>
    </row>
    <row r="143" customFormat="false" ht="15" hidden="false" customHeight="false" outlineLevel="0" collapsed="false">
      <c r="A143" s="225" t="s">
        <v>2294</v>
      </c>
      <c r="B143" s="225" t="s">
        <v>2274</v>
      </c>
      <c r="C143" s="225" t="s">
        <v>49</v>
      </c>
      <c r="D143" s="225" t="s">
        <v>2295</v>
      </c>
      <c r="E143" s="226" t="n">
        <v>45210</v>
      </c>
      <c r="F143" s="226" t="n">
        <v>45217</v>
      </c>
    </row>
    <row r="144" customFormat="false" ht="15" hidden="false" customHeight="false" outlineLevel="0" collapsed="false">
      <c r="A144" s="225" t="s">
        <v>2296</v>
      </c>
      <c r="B144" s="225" t="s">
        <v>2274</v>
      </c>
      <c r="C144" s="225" t="s">
        <v>33</v>
      </c>
      <c r="D144" s="225" t="s">
        <v>2297</v>
      </c>
      <c r="E144" s="226" t="n">
        <v>45217</v>
      </c>
      <c r="F144" s="226" t="n">
        <v>45224</v>
      </c>
    </row>
    <row r="145" customFormat="false" ht="15" hidden="false" customHeight="false" outlineLevel="0" collapsed="false">
      <c r="A145" s="225" t="s">
        <v>2298</v>
      </c>
      <c r="B145" s="225" t="s">
        <v>2274</v>
      </c>
      <c r="C145" s="225" t="s">
        <v>49</v>
      </c>
      <c r="D145" s="225" t="s">
        <v>2299</v>
      </c>
      <c r="E145" s="226" t="n">
        <v>45217</v>
      </c>
      <c r="F145" s="226" t="n">
        <v>45231</v>
      </c>
    </row>
    <row r="146" customFormat="false" ht="15" hidden="false" customHeight="false" outlineLevel="0" collapsed="false">
      <c r="A146" s="225" t="s">
        <v>2300</v>
      </c>
      <c r="B146" s="225" t="s">
        <v>2274</v>
      </c>
      <c r="C146" s="225" t="s">
        <v>53</v>
      </c>
      <c r="D146" s="225" t="s">
        <v>2301</v>
      </c>
      <c r="E146" s="226" t="n">
        <v>45323</v>
      </c>
      <c r="F146" s="226" t="n">
        <v>45331</v>
      </c>
    </row>
    <row r="147" customFormat="false" ht="15" hidden="false" customHeight="false" outlineLevel="0" collapsed="false">
      <c r="A147" s="225" t="s">
        <v>2302</v>
      </c>
      <c r="B147" s="225" t="s">
        <v>2274</v>
      </c>
      <c r="C147" s="225" t="s">
        <v>53</v>
      </c>
      <c r="D147" s="225" t="s">
        <v>2303</v>
      </c>
      <c r="E147" s="226" t="n">
        <v>45481</v>
      </c>
      <c r="F147" s="226" t="n">
        <v>45485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  <col collapsed="false" customWidth="true" hidden="false" outlineLevel="0" max="9" min="3" style="0" width="14"/>
  </cols>
  <sheetData>
    <row r="1" customFormat="false" ht="15" hidden="false" customHeight="false" outlineLevel="0" collapsed="false">
      <c r="A1" s="220" t="s">
        <v>2304</v>
      </c>
    </row>
    <row r="2" customFormat="false" ht="35.05" hidden="false" customHeight="false" outlineLevel="0" collapsed="false">
      <c r="A2" s="227" t="s">
        <v>2305</v>
      </c>
      <c r="B2" s="228" t="s">
        <v>2306</v>
      </c>
      <c r="C2" s="228"/>
      <c r="D2" s="228"/>
      <c r="E2" s="228"/>
      <c r="F2" s="228"/>
      <c r="G2" s="228"/>
      <c r="H2" s="228"/>
      <c r="I2" s="228"/>
    </row>
    <row r="3" customFormat="false" ht="15" hidden="false" customHeight="false" outlineLevel="0" collapsed="false">
      <c r="A3" s="227" t="s">
        <v>2307</v>
      </c>
      <c r="B3" s="228" t="s">
        <v>2308</v>
      </c>
      <c r="C3" s="228"/>
      <c r="D3" s="228"/>
      <c r="E3" s="228"/>
      <c r="F3" s="228"/>
      <c r="G3" s="228"/>
      <c r="H3" s="228"/>
      <c r="I3" s="228"/>
    </row>
    <row r="4" customFormat="false" ht="35.05" hidden="false" customHeight="false" outlineLevel="0" collapsed="false">
      <c r="A4" s="227" t="s">
        <v>8</v>
      </c>
      <c r="B4" s="228" t="s">
        <v>2309</v>
      </c>
      <c r="C4" s="228"/>
      <c r="D4" s="228"/>
      <c r="E4" s="228"/>
      <c r="F4" s="228"/>
      <c r="G4" s="228"/>
      <c r="H4" s="228"/>
      <c r="I4" s="228"/>
    </row>
    <row r="5" customFormat="false" ht="15" hidden="false" customHeight="false" outlineLevel="0" collapsed="false">
      <c r="A5" s="227" t="s">
        <v>7</v>
      </c>
      <c r="B5" s="228" t="s">
        <v>2310</v>
      </c>
      <c r="C5" s="228"/>
      <c r="D5" s="228"/>
      <c r="E5" s="228"/>
      <c r="F5" s="228"/>
      <c r="G5" s="228"/>
      <c r="H5" s="228"/>
      <c r="I5" s="228"/>
    </row>
    <row r="6" customFormat="false" ht="23.85" hidden="false" customHeight="false" outlineLevel="0" collapsed="false">
      <c r="A6" s="227" t="s">
        <v>69</v>
      </c>
      <c r="B6" s="228" t="s">
        <v>2311</v>
      </c>
      <c r="C6" s="228"/>
      <c r="D6" s="228"/>
      <c r="E6" s="228"/>
      <c r="F6" s="228"/>
      <c r="G6" s="228"/>
      <c r="H6" s="228"/>
      <c r="I6" s="228"/>
    </row>
    <row r="7" customFormat="false" ht="23.85" hidden="false" customHeight="false" outlineLevel="0" collapsed="false">
      <c r="A7" s="227" t="s">
        <v>2312</v>
      </c>
      <c r="B7" s="228" t="s">
        <v>2313</v>
      </c>
      <c r="C7" s="228"/>
      <c r="D7" s="228"/>
      <c r="E7" s="228"/>
      <c r="F7" s="228"/>
      <c r="G7" s="228"/>
      <c r="H7" s="228"/>
      <c r="I7" s="228"/>
    </row>
    <row r="8" customFormat="false" ht="23.85" hidden="false" customHeight="false" outlineLevel="0" collapsed="false">
      <c r="A8" s="227" t="s">
        <v>2314</v>
      </c>
      <c r="B8" s="228" t="s">
        <v>2315</v>
      </c>
      <c r="C8" s="228"/>
      <c r="D8" s="228"/>
      <c r="E8" s="228"/>
      <c r="F8" s="228"/>
      <c r="G8" s="228"/>
      <c r="H8" s="228"/>
      <c r="I8" s="228"/>
    </row>
    <row r="9" customFormat="false" ht="23.85" hidden="false" customHeight="false" outlineLevel="0" collapsed="false">
      <c r="A9" s="227" t="s">
        <v>6</v>
      </c>
      <c r="B9" s="228" t="s">
        <v>2316</v>
      </c>
      <c r="C9" s="228"/>
      <c r="D9" s="228"/>
      <c r="E9" s="228"/>
      <c r="F9" s="228"/>
      <c r="G9" s="228"/>
      <c r="H9" s="228"/>
      <c r="I9" s="228"/>
    </row>
    <row r="10" customFormat="false" ht="15" hidden="false" customHeight="false" outlineLevel="0" collapsed="false">
      <c r="A10" s="228"/>
      <c r="B10" s="228"/>
      <c r="C10" s="228"/>
      <c r="D10" s="228"/>
      <c r="E10" s="228"/>
      <c r="F10" s="228"/>
      <c r="G10" s="228"/>
      <c r="H10" s="228"/>
      <c r="I10" s="228"/>
    </row>
    <row r="11" customFormat="false" ht="68.65" hidden="false" customHeight="false" outlineLevel="0" collapsed="false">
      <c r="A11" s="228" t="s">
        <v>2317</v>
      </c>
      <c r="B11" s="228"/>
      <c r="C11" s="228"/>
      <c r="D11" s="228"/>
      <c r="E11" s="228"/>
      <c r="F11" s="228"/>
      <c r="G11" s="228"/>
      <c r="H11" s="228"/>
      <c r="I11" s="228"/>
    </row>
    <row r="12" customFormat="false" ht="26.85" hidden="false" customHeight="false" outlineLevel="0" collapsed="false">
      <c r="A12" s="222" t="s">
        <v>62</v>
      </c>
      <c r="B12" s="222" t="s">
        <v>64</v>
      </c>
      <c r="C12" s="222" t="s">
        <v>65</v>
      </c>
      <c r="D12" s="222" t="s">
        <v>66</v>
      </c>
      <c r="E12" s="222" t="s">
        <v>67</v>
      </c>
      <c r="F12" s="222" t="s">
        <v>68</v>
      </c>
      <c r="G12" s="222" t="s">
        <v>73</v>
      </c>
      <c r="H12" s="222" t="s">
        <v>74</v>
      </c>
      <c r="I12" s="222" t="s">
        <v>2318</v>
      </c>
    </row>
    <row r="13" customFormat="false" ht="15" hidden="false" customHeight="false" outlineLevel="0" collapsed="false">
      <c r="A13" s="228" t="s">
        <v>234</v>
      </c>
      <c r="B13" s="229" t="n">
        <v>44995</v>
      </c>
      <c r="C13" s="229" t="n">
        <v>45092</v>
      </c>
      <c r="D13" s="229" t="n">
        <v>45127</v>
      </c>
      <c r="E13" s="229"/>
      <c r="F13" s="229"/>
      <c r="G13" s="228" t="s">
        <v>99</v>
      </c>
      <c r="H13" s="228" t="s">
        <v>99</v>
      </c>
      <c r="I13" s="230" t="n">
        <f aca="false">IFERROR((IF(OR(ISNUMBER(B13),UPPER(TRIM(B13))="N/A"),1,0)*IF($G13="N",0,INDEX('Rules of Credit'!$B$5:$F$8,MATCH($A13,'Rules of Credit'!$A$5:$A$8,0),1))+IF(OR(ISNUMBER(C13),UPPER(TRIM(C13))="N/A"),1,0)*INDEX('Rules of Credit'!$B$5:$F$8,MATCH($A13,'Rules of Credit'!$A$5:$A$8,0),2)+IF(OR(ISNUMBER(D13),UPPER(TRIM(D13))="N/A"),1,0)*INDEX('Rules of Credit'!$B$5:$F$8,MATCH($A13,'Rules of Credit'!$A$5:$A$8,0),3)+IF(OR(ISNUMBER(E13),UPPER(TRIM(E13))="N/A"),1,0)*IF($H13="N",0,INDEX('Rules of Credit'!$B$5:$F$8,MATCH($A13,'Rules of Credit'!$A$5:$A$8,0),4))+IF(OR(ISNUMBER(F13),UPPER(TRIM(F13))="N/A"),1,0)*INDEX('Rules of Credit'!$B$5:$F$8,MATCH($A13,'Rules of Credit'!$A$5:$A$8,0),5))/(IF($G13="N",0,INDEX('Rules of Credit'!$B$5:$F$8,MATCH($A13,'Rules of Credit'!$A$5:$A$8,0),1))+INDEX('Rules of Credit'!$B$5:$F$8,MATCH($A13,'Rules of Credit'!$A$5:$A$8,0),2)+INDEX('Rules of Credit'!$B$5:$F$8,MATCH($A13,'Rules of Credit'!$A$5:$A$8,0),3)+IF($H13="N",0,INDEX('Rules of Credit'!$B$5:$F$8,MATCH($A13,'Rules of Credit'!$A$5:$A$8,0),4))+INDEX('Rules of Credit'!$B$5:$F$8,MATCH($A13,'Rules of Credit'!$A$5:$A$8,0),5)),0)</f>
        <v>0.7</v>
      </c>
    </row>
    <row r="14" customFormat="false" ht="46.25" hidden="false" customHeight="false" outlineLevel="0" collapsed="false">
      <c r="A14" s="228" t="s">
        <v>2319</v>
      </c>
      <c r="B14" s="228"/>
      <c r="C14" s="228"/>
      <c r="D14" s="228"/>
      <c r="E14" s="228"/>
      <c r="F14" s="228"/>
      <c r="G14" s="228"/>
      <c r="H14" s="228"/>
      <c r="I14" s="2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2026-09-30T14:54:03Z</dcterms:created>
  <dc:creator>openpyxl</dc:creator>
  <dc:description/>
  <dc:language>en-US</dc:language>
  <cp:lastModifiedBy/>
  <dcterms:modified xsi:type="dcterms:W3CDTF">2026-09-30T14:55:00Z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